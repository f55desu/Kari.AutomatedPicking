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Лист1" sheetId="1" state="visible" r:id="rId1"/>
  </sheets>
  <definedNames>
    <definedName name="_xlnm._FilterDatabase" localSheetId="0" hidden="1">'Лист1'!$A$2:$X$1430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_-;\-* #,##0_-;_-* &quot;-&quot;??_-;_-@_-"/>
  </numFmts>
  <fonts count="4">
    <font>
      <name val="Calibri"/>
      <charset val="204"/>
      <family val="2"/>
      <color theme="1"/>
      <sz val="11"/>
      <scheme val="minor"/>
    </font>
    <font>
      <name val="Calibri"/>
      <charset val="204"/>
      <family val="2"/>
      <color theme="1"/>
      <sz val="11"/>
      <scheme val="minor"/>
    </font>
    <font>
      <name val="Calibri"/>
      <family val="2"/>
      <b val="1"/>
      <color theme="1"/>
      <sz val="8"/>
      <scheme val="minor"/>
    </font>
    <font>
      <name val="Calibri"/>
      <family val="2"/>
      <color theme="1"/>
      <sz val="8"/>
      <scheme val="minor"/>
    </font>
  </fonts>
  <fills count="3">
    <fill>
      <patternFill/>
    </fill>
    <fill>
      <patternFill patternType="gray125"/>
    </fill>
    <fill>
      <patternFill patternType="solid">
        <fgColor theme="4" tint="0.7999816888943144"/>
        <bgColor theme="4" tint="0.7999816888943144"/>
      </patternFill>
    </fill>
  </fills>
  <borders count="2">
    <border>
      <left/>
      <right/>
      <top/>
      <bottom/>
      <diagonal/>
    </border>
    <border>
      <left/>
      <right/>
      <top/>
      <bottom style="thin">
        <color theme="4" tint="0.3999755851924192"/>
      </bottom>
      <diagonal/>
    </border>
  </borders>
  <cellStyleXfs count="3">
    <xf numFmtId="0" fontId="1" fillId="0" borderId="0"/>
    <xf numFmtId="43" fontId="1" fillId="0" borderId="0"/>
    <xf numFmtId="9" fontId="1" fillId="0" borderId="0"/>
  </cellStyleXfs>
  <cellXfs count="13">
    <xf numFmtId="0" fontId="0" fillId="0" borderId="0" pivotButton="0" quotePrefix="0" xfId="0"/>
    <xf numFmtId="0" fontId="2" fillId="0" borderId="1" pivotButton="0" quotePrefix="0" xfId="0"/>
    <xf numFmtId="0" fontId="2" fillId="0" borderId="0" pivotButton="0" quotePrefix="0" xfId="0"/>
    <xf numFmtId="0" fontId="3" fillId="0" borderId="0" pivotButton="0" quotePrefix="0" xfId="0"/>
    <xf numFmtId="10" fontId="3" fillId="0" borderId="0" pivotButton="0" quotePrefix="0" xfId="0"/>
    <xf numFmtId="164" fontId="0" fillId="0" borderId="0" pivotButton="0" quotePrefix="0" xfId="2"/>
    <xf numFmtId="10" fontId="0" fillId="0" borderId="0" pivotButton="0" quotePrefix="0" xfId="2"/>
    <xf numFmtId="165" fontId="0" fillId="0" borderId="0" pivotButton="0" quotePrefix="0" xfId="1"/>
    <xf numFmtId="1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165" fontId="2" fillId="2" borderId="0" applyAlignment="1" pivotButton="0" quotePrefix="0" xfId="1">
      <alignment horizontal="center" vertical="center" wrapText="1"/>
    </xf>
  </cellXfs>
  <cellStyles count="3">
    <cellStyle name="Обычный" xfId="0" builtinId="0"/>
    <cellStyle name="Финансовый" xfId="1" builtinId="3"/>
    <cellStyle name="Процентный" xfId="2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0"/>
  <sheetViews>
    <sheetView tabSelected="1" zoomScale="70" zoomScaleNormal="70" workbookViewId="0">
      <selection activeCell="I4" sqref="I4"/>
    </sheetView>
  </sheetViews>
  <sheetFormatPr baseColWidth="8" defaultRowHeight="14.4"/>
  <cols>
    <col width="14.5546875" bestFit="1" customWidth="1" min="8" max="8"/>
    <col width="12.44140625" bestFit="1" customWidth="1" min="10" max="10"/>
    <col width="12.21875" bestFit="1" customWidth="1" min="11" max="11"/>
    <col width="11.21875" bestFit="1" customWidth="1" min="12" max="12"/>
    <col width="11.21875" bestFit="1" customWidth="1" min="15" max="15"/>
    <col width="8.77734375" customWidth="1" style="7" min="17" max="17"/>
    <col width="16.21875" bestFit="1" customWidth="1" min="18" max="18"/>
    <col width="16.6640625" bestFit="1" customWidth="1" min="19" max="20"/>
    <col width="16.5546875" bestFit="1" customWidth="1" min="21" max="21"/>
    <col width="16.88671875" bestFit="1" customWidth="1" min="22" max="23"/>
  </cols>
  <sheetData>
    <row r="1">
      <c r="K1" s="7">
        <f>SUBTOTAL(9,K3:K1430)</f>
        <v/>
      </c>
      <c r="L1" s="7">
        <f>SUBTOTAL(9,L3:L1430)</f>
        <v/>
      </c>
      <c r="M1" s="7">
        <f>SUBTOTAL(9,M3:M1430)</f>
        <v/>
      </c>
      <c r="N1" s="6">
        <f>L1/K1</f>
        <v/>
      </c>
      <c r="O1" s="6">
        <f>M1/L1</f>
        <v/>
      </c>
      <c r="T1" s="8">
        <f>SUMIF(R:R,1,L:L)/SUMIF(R:R,1,K:K)</f>
        <v/>
      </c>
      <c r="U1" s="8">
        <f>SUMIF(R:R,1,M:M)/SUMIF(R:R,1,L:L)</f>
        <v/>
      </c>
    </row>
    <row r="2" ht="31.5" customFormat="1" customHeight="1" s="11">
      <c r="A2" s="9" t="inlineStr">
        <is>
          <t>Артикул</t>
        </is>
      </c>
      <c r="B2" s="9" t="inlineStr">
        <is>
          <t>Артикул WB</t>
        </is>
      </c>
      <c r="C2" s="9" t="inlineStr">
        <is>
          <t>Бизнес-группа</t>
        </is>
      </c>
      <c r="D2" s="9" t="inlineStr">
        <is>
          <t>Розничный отдел</t>
        </is>
      </c>
      <c r="E2" s="9" t="inlineStr">
        <is>
          <t>Группа</t>
        </is>
      </c>
      <c r="F2" s="9" t="inlineStr">
        <is>
          <t>Сезон</t>
        </is>
      </c>
      <c r="G2" s="9" t="inlineStr">
        <is>
          <t>Бренд</t>
        </is>
      </c>
      <c r="H2" s="9" t="inlineStr">
        <is>
          <t>Ответственный за группу</t>
        </is>
      </c>
      <c r="I2" s="9" t="inlineStr">
        <is>
          <t>ФИО менеджера</t>
        </is>
      </c>
      <c r="J2" s="9" t="inlineStr">
        <is>
          <t>Коллекция</t>
        </is>
      </c>
      <c r="K2" s="9" t="inlineStr">
        <is>
          <t>Показы</t>
        </is>
      </c>
      <c r="L2" s="9" t="inlineStr">
        <is>
          <t>Клики</t>
        </is>
      </c>
      <c r="M2" s="9" t="inlineStr">
        <is>
          <t>Заказы</t>
        </is>
      </c>
      <c r="N2" s="9" t="inlineStr">
        <is>
          <t>CTR</t>
        </is>
      </c>
      <c r="O2" s="9" t="inlineStr">
        <is>
          <t>Конверсия клики в заказы</t>
        </is>
      </c>
      <c r="P2" s="10" t="inlineStr">
        <is>
          <t>Остаток на 12.04</t>
        </is>
      </c>
      <c r="Q2" s="10" t="inlineStr">
        <is>
          <t>Дистрибуция по размерам</t>
        </is>
      </c>
      <c r="R2" s="12" t="inlineStr">
        <is>
          <t>Техничка</t>
        </is>
      </c>
      <c r="S2" s="10" t="inlineStr">
        <is>
          <t>Отбор для поиска</t>
        </is>
      </c>
      <c r="T2" s="10" t="inlineStr">
        <is>
          <t>Отбор по CTR</t>
        </is>
      </c>
      <c r="U2" s="10" t="inlineStr">
        <is>
          <t>Отбор по CR</t>
        </is>
      </c>
      <c r="V2" s="10" t="inlineStr">
        <is>
          <t>Отбор для поиска (внутри группы)</t>
        </is>
      </c>
      <c r="W2" s="10" t="inlineStr">
        <is>
          <t>Отбор по CTR (внутри группы)</t>
        </is>
      </c>
      <c r="X2" s="10" t="inlineStr">
        <is>
          <t>Отбор по CR (внутри группы)</t>
        </is>
      </c>
      <c r="Y2" s="10" t="inlineStr">
        <is>
          <t>Количество фото (-2 от скрипта)</t>
        </is>
      </c>
      <c r="Z2" s="10" t="inlineStr">
        <is>
          <t>Дата создания на WB</t>
        </is>
      </c>
    </row>
    <row r="3">
      <c r="A3" s="1" t="inlineStr">
        <is>
          <t>094000Q0</t>
        </is>
      </c>
      <c r="B3" s="2" t="inlineStr">
        <is>
          <t>710319264</t>
        </is>
      </c>
      <c r="C3" s="3" t="inlineStr">
        <is>
          <t>Одежда и аксессуары</t>
        </is>
      </c>
      <c r="D3" s="2" t="inlineStr">
        <is>
          <t>Купальники женские</t>
        </is>
      </c>
      <c r="E3" s="3" t="inlineStr">
        <is>
          <t>094 Купальник</t>
        </is>
      </c>
      <c r="F3" s="2" t="inlineStr">
        <is>
          <t>лето</t>
        </is>
      </c>
      <c r="G3" s="3" t="inlineStr">
        <is>
          <t>kari</t>
        </is>
      </c>
      <c r="H3" s="2" t="inlineStr">
        <is>
          <t>Никонорова Алина</t>
        </is>
      </c>
      <c r="J3" s="3" t="inlineStr">
        <is>
          <t>2026SS</t>
        </is>
      </c>
      <c r="K3" s="3" t="n">
        <v>653479</v>
      </c>
      <c r="L3" s="3" t="n">
        <v>20864</v>
      </c>
      <c r="M3" s="3" t="n">
        <v>452</v>
      </c>
      <c r="N3" s="4">
        <f>IFERROR(L3/K3,0)</f>
        <v/>
      </c>
      <c r="O3" s="4">
        <f>IFERROR(M3/L3,0)</f>
        <v/>
      </c>
      <c r="P3" t="n">
        <v>7323</v>
      </c>
      <c r="Q3" s="5" t="n">
        <v>0.6666666666666666</v>
      </c>
      <c r="R3" s="7" t="n">
        <v>1</v>
      </c>
      <c r="S3">
        <f>IF(OR(N3&lt;$T$1*0.5,O3&lt;$U$1*0.5),"код для проверки","нормальный код")</f>
        <v/>
      </c>
      <c r="T3">
        <f>IF(N3&lt;$T$1*0.5,"Низшая четверть",IF(N3&lt;$T$1,"Вторая четверть","Больше половины"))</f>
        <v/>
      </c>
      <c r="U3">
        <f>IF(O3&lt;$U$1*0.5,"Низшая четверть",IF(O3&lt;$U$1,"Вторая четверть","Больше половины"))</f>
        <v/>
      </c>
      <c r="V3">
        <f>IF(OR(N3&lt;SUMIFS(L:L,R:R,1,E:E,E3)/SUMIFS(K:K,R:R,1,E:E,E3)*0.5,O3&lt;SUMIFS(M:M,R:R,1,E:E,E3)/SUMIFS(L:L,R:R,1,E:E,E3)*0.5),"код для проверки","нормальный код")</f>
        <v/>
      </c>
      <c r="W3">
        <f>IF(N3&lt;SUMIFS(L:L,R:R,1,E:E,E3)/SUMIFS(K:K,R:R,1,E:E,E3)*0.5,"Низшая четверть",IF(N3&lt;SUMIFS(L:L,R:R,1,E:E,E3)/SUMIFS(K:K,R:R,1,E:E,E3),"Вторая четверть","Больше половины"))</f>
        <v/>
      </c>
      <c r="X3">
        <f>IF(O3&lt;SUMIFS(M:M,R:R,1,E:E,E3)/SUMIFS(L:L,R:R,1,E:E,E3)*0.5,"Низшая четверть",IF(O3&lt;SUMIFS(M:M,R:R,1,E:E,E3)/SUMIFS(L:L,R:R,1,E:E,E3),"Вторая четверть","Больше половины"))</f>
        <v/>
      </c>
      <c r="Y3" t="n">
        <v>22</v>
      </c>
    </row>
    <row r="4">
      <c r="A4" s="1" t="inlineStr">
        <is>
          <t>09400980</t>
        </is>
      </c>
      <c r="B4" s="2" t="inlineStr">
        <is>
          <t>712237447</t>
        </is>
      </c>
      <c r="C4" s="3" t="inlineStr">
        <is>
          <t>Одежда и аксессуары</t>
        </is>
      </c>
      <c r="D4" s="2" t="inlineStr">
        <is>
          <t>Купальники женские</t>
        </is>
      </c>
      <c r="E4" s="3" t="inlineStr">
        <is>
          <t>094 Купальник</t>
        </is>
      </c>
      <c r="F4" s="2" t="inlineStr">
        <is>
          <t>лето</t>
        </is>
      </c>
      <c r="G4" s="3" t="inlineStr">
        <is>
          <t>kari</t>
        </is>
      </c>
      <c r="H4" s="2" t="inlineStr">
        <is>
          <t>Никонорова Алина</t>
        </is>
      </c>
      <c r="J4" s="3" t="inlineStr">
        <is>
          <t>2026SS</t>
        </is>
      </c>
      <c r="K4" s="3" t="n">
        <v>622386</v>
      </c>
      <c r="L4" s="3" t="n">
        <v>36726</v>
      </c>
      <c r="M4" s="3" t="n">
        <v>464</v>
      </c>
      <c r="N4" s="4">
        <f>IFERROR(L4/K4,0)</f>
        <v/>
      </c>
      <c r="O4" s="4">
        <f>IFERROR(M4/L4,0)</f>
        <v/>
      </c>
      <c r="P4" t="n">
        <v>3509</v>
      </c>
      <c r="Q4" s="5" t="n">
        <v>0.6666666666666666</v>
      </c>
      <c r="R4" s="7" t="n">
        <v>1</v>
      </c>
      <c r="S4">
        <f>IF(OR(N4&lt;$T$1*0.5,O4&lt;$U$1*0.5),"код для проверки","нормальный код")</f>
        <v/>
      </c>
      <c r="T4">
        <f>IF(N4&lt;$T$1*0.5,"Низшая четверть",IF(N4&lt;$T$1,"Вторая четверть","Больше половины"))</f>
        <v/>
      </c>
      <c r="U4">
        <f>IF(O4&lt;$U$1*0.5,"Низшая четверть",IF(O4&lt;$U$1,"Вторая четверть","Больше половины"))</f>
        <v/>
      </c>
      <c r="V4">
        <f>IF(OR(N4&lt;SUMIFS(L:L,R:R,1,E:E,E4)/SUMIFS(K:K,R:R,1,E:E,E4)*0.5,O4&lt;SUMIFS(M:M,R:R,1,E:E,E4)/SUMIFS(L:L,R:R,1,E:E,E4)*0.5),"код для проверки","нормальный код")</f>
        <v/>
      </c>
      <c r="W4">
        <f>IF(N4&lt;SUMIFS(L:L,R:R,1,E:E,E4)/SUMIFS(K:K,R:R,1,E:E,E4)*0.5,"Низшая четверть",IF(N4&lt;SUMIFS(L:L,R:R,1,E:E,E4)/SUMIFS(K:K,R:R,1,E:E,E4),"Вторая четверть","Больше половины"))</f>
        <v/>
      </c>
      <c r="X4">
        <f>IF(O4&lt;SUMIFS(M:M,R:R,1,E:E,E4)/SUMIFS(L:L,R:R,1,E:E,E4)*0.5,"Низшая четверть",IF(O4&lt;SUMIFS(M:M,R:R,1,E:E,E4)/SUMIFS(L:L,R:R,1,E:E,E4),"Вторая четверть","Больше половины"))</f>
        <v/>
      </c>
      <c r="Y4" t="n">
        <v>15</v>
      </c>
    </row>
    <row r="5">
      <c r="A5" s="1" t="inlineStr">
        <is>
          <t>094000L0</t>
        </is>
      </c>
      <c r="B5" s="2" t="inlineStr">
        <is>
          <t>756548739</t>
        </is>
      </c>
      <c r="C5" s="3" t="inlineStr">
        <is>
          <t>Одежда и аксессуары</t>
        </is>
      </c>
      <c r="D5" s="2" t="inlineStr">
        <is>
          <t>Купальники женские</t>
        </is>
      </c>
      <c r="E5" s="3" t="inlineStr">
        <is>
          <t>094 Купальник</t>
        </is>
      </c>
      <c r="F5" s="2" t="inlineStr">
        <is>
          <t>лето</t>
        </is>
      </c>
      <c r="G5" s="3" t="inlineStr">
        <is>
          <t>kari</t>
        </is>
      </c>
      <c r="H5" s="2" t="inlineStr">
        <is>
          <t>Никонорова Алина</t>
        </is>
      </c>
      <c r="J5" s="3" t="inlineStr">
        <is>
          <t>2026SS</t>
        </is>
      </c>
      <c r="K5" s="3" t="n">
        <v>472642</v>
      </c>
      <c r="L5" s="3" t="n">
        <v>16220</v>
      </c>
      <c r="M5" s="3" t="n">
        <v>373</v>
      </c>
      <c r="N5" s="4">
        <f>IFERROR(L5/K5,0)</f>
        <v/>
      </c>
      <c r="O5" s="4">
        <f>IFERROR(M5/L5,0)</f>
        <v/>
      </c>
      <c r="P5" t="n">
        <v>3253</v>
      </c>
      <c r="Q5" s="5" t="n">
        <v>0.6666666666666666</v>
      </c>
      <c r="R5" s="7" t="n">
        <v>1</v>
      </c>
      <c r="S5">
        <f>IF(OR(N5&lt;$T$1*0.5,O5&lt;$U$1*0.5),"код для проверки","нормальный код")</f>
        <v/>
      </c>
      <c r="T5">
        <f>IF(N5&lt;$T$1*0.5,"Низшая четверть",IF(N5&lt;$T$1,"Вторая четверть","Больше половины"))</f>
        <v/>
      </c>
      <c r="U5">
        <f>IF(O5&lt;$U$1*0.5,"Низшая четверть",IF(O5&lt;$U$1,"Вторая четверть","Больше половины"))</f>
        <v/>
      </c>
      <c r="V5">
        <f>IF(OR(N5&lt;SUMIFS(L:L,R:R,1,E:E,E5)/SUMIFS(K:K,R:R,1,E:E,E5)*0.5,O5&lt;SUMIFS(M:M,R:R,1,E:E,E5)/SUMIFS(L:L,R:R,1,E:E,E5)*0.5),"код для проверки","нормальный код")</f>
        <v/>
      </c>
      <c r="W5">
        <f>IF(N5&lt;SUMIFS(L:L,R:R,1,E:E,E5)/SUMIFS(K:K,R:R,1,E:E,E5)*0.5,"Низшая четверть",IF(N5&lt;SUMIFS(L:L,R:R,1,E:E,E5)/SUMIFS(K:K,R:R,1,E:E,E5),"Вторая четверть","Больше половины"))</f>
        <v/>
      </c>
      <c r="X5">
        <f>IF(O5&lt;SUMIFS(M:M,R:R,1,E:E,E5)/SUMIFS(L:L,R:R,1,E:E,E5)*0.5,"Низшая четверть",IF(O5&lt;SUMIFS(M:M,R:R,1,E:E,E5)/SUMIFS(L:L,R:R,1,E:E,E5),"Вторая четверть","Больше половины"))</f>
        <v/>
      </c>
      <c r="Y5" t="n">
        <v>17</v>
      </c>
    </row>
    <row r="6">
      <c r="A6" s="1" t="inlineStr">
        <is>
          <t>09400990</t>
        </is>
      </c>
      <c r="B6" s="2" t="inlineStr">
        <is>
          <t>712237467</t>
        </is>
      </c>
      <c r="C6" s="3" t="inlineStr">
        <is>
          <t>Одежда и аксессуары</t>
        </is>
      </c>
      <c r="D6" s="2" t="inlineStr">
        <is>
          <t>Купальники женские</t>
        </is>
      </c>
      <c r="E6" s="3" t="inlineStr">
        <is>
          <t>094 Купальник</t>
        </is>
      </c>
      <c r="F6" s="2" t="inlineStr">
        <is>
          <t>лето</t>
        </is>
      </c>
      <c r="G6" s="3" t="inlineStr">
        <is>
          <t>kari</t>
        </is>
      </c>
      <c r="H6" s="2" t="inlineStr">
        <is>
          <t>Никонорова Алина</t>
        </is>
      </c>
      <c r="J6" s="3" t="inlineStr">
        <is>
          <t>2026SS</t>
        </is>
      </c>
      <c r="K6" s="3" t="n">
        <v>441103</v>
      </c>
      <c r="L6" s="3" t="n">
        <v>34871</v>
      </c>
      <c r="M6" s="3" t="n">
        <v>482</v>
      </c>
      <c r="N6" s="4">
        <f>IFERROR(L6/K6,0)</f>
        <v/>
      </c>
      <c r="O6" s="4">
        <f>IFERROR(M6/L6,0)</f>
        <v/>
      </c>
      <c r="P6" t="n">
        <v>2364</v>
      </c>
      <c r="Q6" s="5" t="n">
        <v>0.6666666666666666</v>
      </c>
      <c r="R6" s="7" t="n">
        <v>1</v>
      </c>
      <c r="S6">
        <f>IF(OR(N6&lt;$T$1*0.5,O6&lt;$U$1*0.5),"код для проверки","нормальный код")</f>
        <v/>
      </c>
      <c r="T6">
        <f>IF(N6&lt;$T$1*0.5,"Низшая четверть",IF(N6&lt;$T$1,"Вторая четверть","Больше половины"))</f>
        <v/>
      </c>
      <c r="U6">
        <f>IF(O6&lt;$U$1*0.5,"Низшая четверть",IF(O6&lt;$U$1,"Вторая четверть","Больше половины"))</f>
        <v/>
      </c>
      <c r="V6">
        <f>IF(OR(N6&lt;SUMIFS(L:L,R:R,1,E:E,E6)/SUMIFS(K:K,R:R,1,E:E,E6)*0.5,O6&lt;SUMIFS(M:M,R:R,1,E:E,E6)/SUMIFS(L:L,R:R,1,E:E,E6)*0.5),"код для проверки","нормальный код")</f>
        <v/>
      </c>
      <c r="W6">
        <f>IF(N6&lt;SUMIFS(L:L,R:R,1,E:E,E6)/SUMIFS(K:K,R:R,1,E:E,E6)*0.5,"Низшая четверть",IF(N6&lt;SUMIFS(L:L,R:R,1,E:E,E6)/SUMIFS(K:K,R:R,1,E:E,E6),"Вторая четверть","Больше половины"))</f>
        <v/>
      </c>
      <c r="X6">
        <f>IF(O6&lt;SUMIFS(M:M,R:R,1,E:E,E6)/SUMIFS(L:L,R:R,1,E:E,E6)*0.5,"Низшая четверть",IF(O6&lt;SUMIFS(M:M,R:R,1,E:E,E6)/SUMIFS(L:L,R:R,1,E:E,E6),"Вторая четверть","Больше половины"))</f>
        <v/>
      </c>
      <c r="Y6" t="n">
        <v>15</v>
      </c>
    </row>
    <row r="7">
      <c r="A7" s="1" t="inlineStr">
        <is>
          <t>09400350</t>
        </is>
      </c>
      <c r="B7" s="2" t="inlineStr">
        <is>
          <t>710483822</t>
        </is>
      </c>
      <c r="C7" s="3" t="inlineStr">
        <is>
          <t>Одежда и аксессуары</t>
        </is>
      </c>
      <c r="D7" s="2" t="inlineStr">
        <is>
          <t>Купальники женские</t>
        </is>
      </c>
      <c r="E7" s="3" t="inlineStr">
        <is>
          <t>094 Купальник</t>
        </is>
      </c>
      <c r="F7" s="2" t="inlineStr">
        <is>
          <t>лето</t>
        </is>
      </c>
      <c r="G7" s="3" t="inlineStr">
        <is>
          <t>kari</t>
        </is>
      </c>
      <c r="H7" s="2" t="inlineStr">
        <is>
          <t>Никонорова Алина</t>
        </is>
      </c>
      <c r="J7" s="3" t="inlineStr">
        <is>
          <t>2026SS</t>
        </is>
      </c>
      <c r="K7" s="3" t="n">
        <v>436856</v>
      </c>
      <c r="L7" s="3" t="n">
        <v>21228</v>
      </c>
      <c r="M7" s="3" t="n">
        <v>344</v>
      </c>
      <c r="N7" s="4">
        <f>IFERROR(L7/K7,0)</f>
        <v/>
      </c>
      <c r="O7" s="4">
        <f>IFERROR(M7/L7,0)</f>
        <v/>
      </c>
      <c r="P7" t="n">
        <v>3896</v>
      </c>
      <c r="Q7" s="5" t="n">
        <v>0.7777777777777778</v>
      </c>
      <c r="R7" s="7" t="n">
        <v>1</v>
      </c>
      <c r="S7">
        <f>IF(OR(N7&lt;$T$1*0.5,O7&lt;$U$1*0.5),"код для проверки","нормальный код")</f>
        <v/>
      </c>
      <c r="T7">
        <f>IF(N7&lt;$T$1*0.5,"Низшая четверть",IF(N7&lt;$T$1,"Вторая четверть","Больше половины"))</f>
        <v/>
      </c>
      <c r="U7">
        <f>IF(O7&lt;$U$1*0.5,"Низшая четверть",IF(O7&lt;$U$1,"Вторая четверть","Больше половины"))</f>
        <v/>
      </c>
      <c r="V7">
        <f>IF(OR(N7&lt;SUMIFS(L:L,R:R,1,E:E,E7)/SUMIFS(K:K,R:R,1,E:E,E7)*0.5,O7&lt;SUMIFS(M:M,R:R,1,E:E,E7)/SUMIFS(L:L,R:R,1,E:E,E7)*0.5),"код для проверки","нормальный код")</f>
        <v/>
      </c>
      <c r="W7">
        <f>IF(N7&lt;SUMIFS(L:L,R:R,1,E:E,E7)/SUMIFS(K:K,R:R,1,E:E,E7)*0.5,"Низшая четверть",IF(N7&lt;SUMIFS(L:L,R:R,1,E:E,E7)/SUMIFS(K:K,R:R,1,E:E,E7),"Вторая четверть","Больше половины"))</f>
        <v/>
      </c>
      <c r="X7">
        <f>IF(O7&lt;SUMIFS(M:M,R:R,1,E:E,E7)/SUMIFS(L:L,R:R,1,E:E,E7)*0.5,"Низшая четверть",IF(O7&lt;SUMIFS(M:M,R:R,1,E:E,E7)/SUMIFS(L:L,R:R,1,E:E,E7),"Вторая четверть","Больше половины"))</f>
        <v/>
      </c>
      <c r="Y7" t="n">
        <v>21</v>
      </c>
    </row>
    <row r="8">
      <c r="A8" s="1" t="inlineStr">
        <is>
          <t>094000P0</t>
        </is>
      </c>
      <c r="B8" s="2" t="inlineStr">
        <is>
          <t>879606137</t>
        </is>
      </c>
      <c r="C8" s="3" t="inlineStr">
        <is>
          <t>Одежда и аксессуары</t>
        </is>
      </c>
      <c r="D8" s="2" t="inlineStr">
        <is>
          <t>Купальники женские</t>
        </is>
      </c>
      <c r="E8" s="3" t="inlineStr">
        <is>
          <t>094 Купальник</t>
        </is>
      </c>
      <c r="F8" s="2" t="inlineStr">
        <is>
          <t>лето</t>
        </is>
      </c>
      <c r="G8" s="3" t="inlineStr">
        <is>
          <t>kari</t>
        </is>
      </c>
      <c r="H8" s="2" t="inlineStr">
        <is>
          <t>Никонорова Алина</t>
        </is>
      </c>
      <c r="J8" s="3" t="inlineStr">
        <is>
          <t>2026SS</t>
        </is>
      </c>
      <c r="K8" s="3" t="n">
        <v>397857</v>
      </c>
      <c r="L8" s="3" t="n">
        <v>13933</v>
      </c>
      <c r="M8" s="3" t="n">
        <v>338</v>
      </c>
      <c r="N8" s="4">
        <f>IFERROR(L8/K8,0)</f>
        <v/>
      </c>
      <c r="O8" s="4">
        <f>IFERROR(M8/L8,0)</f>
        <v/>
      </c>
      <c r="P8" t="n">
        <v>7610</v>
      </c>
      <c r="Q8" s="5" t="n">
        <v>0.6666666666666666</v>
      </c>
      <c r="R8" s="7" t="n">
        <v>1</v>
      </c>
      <c r="S8">
        <f>IF(OR(N8&lt;$T$1*0.5,O8&lt;$U$1*0.5),"код для проверки","нормальный код")</f>
        <v/>
      </c>
      <c r="T8">
        <f>IF(N8&lt;$T$1*0.5,"Низшая четверть",IF(N8&lt;$T$1,"Вторая четверть","Больше половины"))</f>
        <v/>
      </c>
      <c r="U8">
        <f>IF(O8&lt;$U$1*0.5,"Низшая четверть",IF(O8&lt;$U$1,"Вторая четверть","Больше половины"))</f>
        <v/>
      </c>
      <c r="V8">
        <f>IF(OR(N8&lt;SUMIFS(L:L,R:R,1,E:E,E8)/SUMIFS(K:K,R:R,1,E:E,E8)*0.5,O8&lt;SUMIFS(M:M,R:R,1,E:E,E8)/SUMIFS(L:L,R:R,1,E:E,E8)*0.5),"код для проверки","нормальный код")</f>
        <v/>
      </c>
      <c r="W8">
        <f>IF(N8&lt;SUMIFS(L:L,R:R,1,E:E,E8)/SUMIFS(K:K,R:R,1,E:E,E8)*0.5,"Низшая четверть",IF(N8&lt;SUMIFS(L:L,R:R,1,E:E,E8)/SUMIFS(K:K,R:R,1,E:E,E8),"Вторая четверть","Больше половины"))</f>
        <v/>
      </c>
      <c r="X8">
        <f>IF(O8&lt;SUMIFS(M:M,R:R,1,E:E,E8)/SUMIFS(L:L,R:R,1,E:E,E8)*0.5,"Низшая четверть",IF(O8&lt;SUMIFS(M:M,R:R,1,E:E,E8)/SUMIFS(L:L,R:R,1,E:E,E8),"Вторая четверть","Больше половины"))</f>
        <v/>
      </c>
      <c r="Y8" t="n">
        <v>22</v>
      </c>
    </row>
    <row r="9">
      <c r="A9" s="1" t="inlineStr">
        <is>
          <t>094001H0</t>
        </is>
      </c>
      <c r="B9" s="2" t="inlineStr">
        <is>
          <t>822827114</t>
        </is>
      </c>
      <c r="C9" s="3" t="inlineStr">
        <is>
          <t>Одежда и аксессуары</t>
        </is>
      </c>
      <c r="D9" s="2" t="inlineStr">
        <is>
          <t>Купальники женские</t>
        </is>
      </c>
      <c r="E9" s="3" t="inlineStr">
        <is>
          <t>094 Купальник</t>
        </is>
      </c>
      <c r="F9" s="2" t="inlineStr">
        <is>
          <t>лето</t>
        </is>
      </c>
      <c r="G9" s="3" t="inlineStr">
        <is>
          <t>kari</t>
        </is>
      </c>
      <c r="H9" s="2" t="inlineStr">
        <is>
          <t>Никонорова Алина</t>
        </is>
      </c>
      <c r="J9" s="3" t="inlineStr">
        <is>
          <t>2026SS</t>
        </is>
      </c>
      <c r="K9" s="3" t="n">
        <v>368368</v>
      </c>
      <c r="L9" s="3" t="n">
        <v>10188</v>
      </c>
      <c r="M9" s="3" t="n">
        <v>265</v>
      </c>
      <c r="N9" s="4">
        <f>IFERROR(L9/K9,0)</f>
        <v/>
      </c>
      <c r="O9" s="4">
        <f>IFERROR(M9/L9,0)</f>
        <v/>
      </c>
      <c r="P9" t="n">
        <v>6614</v>
      </c>
      <c r="Q9" s="5" t="n">
        <v>0.6666666666666666</v>
      </c>
      <c r="R9" s="7" t="n">
        <v>1</v>
      </c>
      <c r="S9">
        <f>IF(OR(N9&lt;$T$1*0.5,O9&lt;$U$1*0.5),"код для проверки","нормальный код")</f>
        <v/>
      </c>
      <c r="T9">
        <f>IF(N9&lt;$T$1*0.5,"Низшая четверть",IF(N9&lt;$T$1,"Вторая четверть","Больше половины"))</f>
        <v/>
      </c>
      <c r="U9">
        <f>IF(O9&lt;$U$1*0.5,"Низшая четверть",IF(O9&lt;$U$1,"Вторая четверть","Больше половины"))</f>
        <v/>
      </c>
      <c r="V9">
        <f>IF(OR(N9&lt;SUMIFS(L:L,R:R,1,E:E,E9)/SUMIFS(K:K,R:R,1,E:E,E9)*0.5,O9&lt;SUMIFS(M:M,R:R,1,E:E,E9)/SUMIFS(L:L,R:R,1,E:E,E9)*0.5),"код для проверки","нормальный код")</f>
        <v/>
      </c>
      <c r="W9">
        <f>IF(N9&lt;SUMIFS(L:L,R:R,1,E:E,E9)/SUMIFS(K:K,R:R,1,E:E,E9)*0.5,"Низшая четверть",IF(N9&lt;SUMIFS(L:L,R:R,1,E:E,E9)/SUMIFS(K:K,R:R,1,E:E,E9),"Вторая четверть","Больше половины"))</f>
        <v/>
      </c>
      <c r="X9">
        <f>IF(O9&lt;SUMIFS(M:M,R:R,1,E:E,E9)/SUMIFS(L:L,R:R,1,E:E,E9)*0.5,"Низшая четверть",IF(O9&lt;SUMIFS(M:M,R:R,1,E:E,E9)/SUMIFS(L:L,R:R,1,E:E,E9),"Вторая четверть","Больше половины"))</f>
        <v/>
      </c>
      <c r="Y9" t="n">
        <v>19</v>
      </c>
    </row>
    <row r="10">
      <c r="A10" s="1" t="inlineStr">
        <is>
          <t>14400040</t>
        </is>
      </c>
      <c r="B10" s="2" t="inlineStr">
        <is>
          <t>722467591</t>
        </is>
      </c>
      <c r="C10" s="3" t="inlineStr">
        <is>
          <t>Одежда и аксессуары</t>
        </is>
      </c>
      <c r="D10" s="2" t="inlineStr">
        <is>
          <t>Шарфы женские</t>
        </is>
      </c>
      <c r="E10" s="3" t="inlineStr">
        <is>
          <t>144 Шарф летний женский</t>
        </is>
      </c>
      <c r="F10" s="2" t="inlineStr">
        <is>
          <t>весна, лето</t>
        </is>
      </c>
      <c r="G10" s="3" t="inlineStr">
        <is>
          <t>kari</t>
        </is>
      </c>
      <c r="H10" s="2" t="inlineStr">
        <is>
          <t>Никонорова Алина</t>
        </is>
      </c>
      <c r="J10" s="3" t="inlineStr">
        <is>
          <t>2026SS</t>
        </is>
      </c>
      <c r="K10" s="3" t="n">
        <v>338406</v>
      </c>
      <c r="L10" s="3" t="n">
        <v>27069</v>
      </c>
      <c r="M10" s="3" t="n">
        <v>259</v>
      </c>
      <c r="N10" s="4">
        <f>IFERROR(L10/K10,0)</f>
        <v/>
      </c>
      <c r="O10" s="4">
        <f>IFERROR(M10/L10,0)</f>
        <v/>
      </c>
      <c r="P10" t="n">
        <v>656</v>
      </c>
      <c r="Q10" s="5" t="n">
        <v>1</v>
      </c>
      <c r="R10" s="7" t="n">
        <v>1</v>
      </c>
      <c r="S10">
        <f>IF(OR(N10&lt;$T$1*0.5,O10&lt;$U$1*0.5),"код для проверки","нормальный код")</f>
        <v/>
      </c>
      <c r="T10">
        <f>IF(N10&lt;$T$1*0.5,"Низшая четверть",IF(N10&lt;$T$1,"Вторая четверть","Больше половины"))</f>
        <v/>
      </c>
      <c r="U10">
        <f>IF(O10&lt;$U$1*0.5,"Низшая четверть",IF(O10&lt;$U$1,"Вторая четверть","Больше половины"))</f>
        <v/>
      </c>
      <c r="V10">
        <f>IF(OR(N10&lt;SUMIFS(L:L,R:R,1,E:E,E10)/SUMIFS(K:K,R:R,1,E:E,E10)*0.5,O10&lt;SUMIFS(M:M,R:R,1,E:E,E10)/SUMIFS(L:L,R:R,1,E:E,E10)*0.5),"код для проверки","нормальный код")</f>
        <v/>
      </c>
      <c r="W10">
        <f>IF(N10&lt;SUMIFS(L:L,R:R,1,E:E,E10)/SUMIFS(K:K,R:R,1,E:E,E10)*0.5,"Низшая четверть",IF(N10&lt;SUMIFS(L:L,R:R,1,E:E,E10)/SUMIFS(K:K,R:R,1,E:E,E10),"Вторая четверть","Больше половины"))</f>
        <v/>
      </c>
      <c r="X10">
        <f>IF(O10&lt;SUMIFS(M:M,R:R,1,E:E,E10)/SUMIFS(L:L,R:R,1,E:E,E10)*0.5,"Низшая четверть",IF(O10&lt;SUMIFS(M:M,R:R,1,E:E,E10)/SUMIFS(L:L,R:R,1,E:E,E10),"Вторая четверть","Больше половины"))</f>
        <v/>
      </c>
      <c r="Y10" t="n">
        <v>14</v>
      </c>
    </row>
    <row r="11">
      <c r="A11" s="1" t="inlineStr">
        <is>
          <t>a6000630</t>
        </is>
      </c>
      <c r="B11" s="2" t="inlineStr">
        <is>
          <t>884287747</t>
        </is>
      </c>
      <c r="C11" s="3" t="inlineStr">
        <is>
          <t>Одежда для детей</t>
        </is>
      </c>
      <c r="D11" s="2" t="inlineStr">
        <is>
          <t>Платья, майки, футболки детские для девочек</t>
        </is>
      </c>
      <c r="E11" s="3" t="inlineStr">
        <is>
          <t>a60 Футболка детская для девочек</t>
        </is>
      </c>
      <c r="F11" s="2" t="inlineStr">
        <is>
          <t>всесезонный</t>
        </is>
      </c>
      <c r="G11" s="3" t="inlineStr">
        <is>
          <t>Kari KIDS</t>
        </is>
      </c>
      <c r="H11" s="2" t="inlineStr">
        <is>
          <t>Зиннуров Ильнур</t>
        </is>
      </c>
      <c r="J11" s="3" t="inlineStr">
        <is>
          <t>2026SS</t>
        </is>
      </c>
      <c r="K11" s="3" t="n">
        <v>290144</v>
      </c>
      <c r="L11" s="3" t="n">
        <v>24801</v>
      </c>
      <c r="M11" s="3" t="n">
        <v>938</v>
      </c>
      <c r="N11" s="4">
        <f>IFERROR(L11/K11,0)</f>
        <v/>
      </c>
      <c r="O11" s="4">
        <f>IFERROR(M11/L11,0)</f>
        <v/>
      </c>
      <c r="P11" t="n">
        <v>3284</v>
      </c>
      <c r="Q11" s="5" t="n">
        <v>1</v>
      </c>
      <c r="R11" s="7" t="n">
        <v>1</v>
      </c>
      <c r="S11">
        <f>IF(OR(N11&lt;$T$1*0.5,O11&lt;$U$1*0.5),"код для проверки","нормальный код")</f>
        <v/>
      </c>
      <c r="T11">
        <f>IF(N11&lt;$T$1*0.5,"Низшая четверть",IF(N11&lt;$T$1,"Вторая четверть","Больше половины"))</f>
        <v/>
      </c>
      <c r="U11">
        <f>IF(O11&lt;$U$1*0.5,"Низшая четверть",IF(O11&lt;$U$1,"Вторая четверть","Больше половины"))</f>
        <v/>
      </c>
      <c r="V11">
        <f>IF(OR(N11&lt;SUMIFS(L:L,R:R,1,E:E,E11)/SUMIFS(K:K,R:R,1,E:E,E11)*0.5,O11&lt;SUMIFS(M:M,R:R,1,E:E,E11)/SUMIFS(L:L,R:R,1,E:E,E11)*0.5),"код для проверки","нормальный код")</f>
        <v/>
      </c>
      <c r="W11">
        <f>IF(N11&lt;SUMIFS(L:L,R:R,1,E:E,E11)/SUMIFS(K:K,R:R,1,E:E,E11)*0.5,"Низшая четверть",IF(N11&lt;SUMIFS(L:L,R:R,1,E:E,E11)/SUMIFS(K:K,R:R,1,E:E,E11),"Вторая четверть","Больше половины"))</f>
        <v/>
      </c>
      <c r="X11">
        <f>IF(O11&lt;SUMIFS(M:M,R:R,1,E:E,E11)/SUMIFS(L:L,R:R,1,E:E,E11)*0.5,"Низшая четверть",IF(O11&lt;SUMIFS(M:M,R:R,1,E:E,E11)/SUMIFS(L:L,R:R,1,E:E,E11),"Вторая четверть","Больше половины"))</f>
        <v/>
      </c>
      <c r="Y11" t="n">
        <v>8</v>
      </c>
    </row>
    <row r="12">
      <c r="A12" s="1" t="inlineStr">
        <is>
          <t>14400140</t>
        </is>
      </c>
      <c r="B12" s="2" t="inlineStr">
        <is>
          <t>722467595</t>
        </is>
      </c>
      <c r="C12" s="3" t="inlineStr">
        <is>
          <t>Одежда и аксессуары</t>
        </is>
      </c>
      <c r="D12" s="2" t="inlineStr">
        <is>
          <t>Шарфы женские</t>
        </is>
      </c>
      <c r="E12" s="3" t="inlineStr">
        <is>
          <t>144 Шарф летний женский</t>
        </is>
      </c>
      <c r="F12" s="2" t="inlineStr">
        <is>
          <t>весна, лето</t>
        </is>
      </c>
      <c r="G12" s="3" t="inlineStr">
        <is>
          <t>kari</t>
        </is>
      </c>
      <c r="H12" s="2" t="inlineStr">
        <is>
          <t>Никонорова Алина</t>
        </is>
      </c>
      <c r="J12" s="3" t="inlineStr">
        <is>
          <t>2026SS</t>
        </is>
      </c>
      <c r="K12" s="3" t="n">
        <v>271586</v>
      </c>
      <c r="L12" s="3" t="n">
        <v>20571</v>
      </c>
      <c r="M12" s="3" t="n">
        <v>262</v>
      </c>
      <c r="N12" s="4">
        <f>IFERROR(L12/K12,0)</f>
        <v/>
      </c>
      <c r="O12" s="4">
        <f>IFERROR(M12/L12,0)</f>
        <v/>
      </c>
      <c r="P12" t="n">
        <v>668</v>
      </c>
      <c r="Q12" s="5" t="n">
        <v>1</v>
      </c>
      <c r="R12" s="7" t="n">
        <v>1</v>
      </c>
      <c r="S12">
        <f>IF(OR(N12&lt;$T$1*0.5,O12&lt;$U$1*0.5),"код для проверки","нормальный код")</f>
        <v/>
      </c>
      <c r="T12">
        <f>IF(N12&lt;$T$1*0.5,"Низшая четверть",IF(N12&lt;$T$1,"Вторая четверть","Больше половины"))</f>
        <v/>
      </c>
      <c r="U12">
        <f>IF(O12&lt;$U$1*0.5,"Низшая четверть",IF(O12&lt;$U$1,"Вторая четверть","Больше половины"))</f>
        <v/>
      </c>
      <c r="V12">
        <f>IF(OR(N12&lt;SUMIFS(L:L,R:R,1,E:E,E12)/SUMIFS(K:K,R:R,1,E:E,E12)*0.5,O12&lt;SUMIFS(M:M,R:R,1,E:E,E12)/SUMIFS(L:L,R:R,1,E:E,E12)*0.5),"код для проверки","нормальный код")</f>
        <v/>
      </c>
      <c r="W12">
        <f>IF(N12&lt;SUMIFS(L:L,R:R,1,E:E,E12)/SUMIFS(K:K,R:R,1,E:E,E12)*0.5,"Низшая четверть",IF(N12&lt;SUMIFS(L:L,R:R,1,E:E,E12)/SUMIFS(K:K,R:R,1,E:E,E12),"Вторая четверть","Больше половины"))</f>
        <v/>
      </c>
      <c r="X12">
        <f>IF(O12&lt;SUMIFS(M:M,R:R,1,E:E,E12)/SUMIFS(L:L,R:R,1,E:E,E12)*0.5,"Низшая четверть",IF(O12&lt;SUMIFS(M:M,R:R,1,E:E,E12)/SUMIFS(L:L,R:R,1,E:E,E12),"Вторая четверть","Больше половины"))</f>
        <v/>
      </c>
      <c r="Y12" t="n">
        <v>14</v>
      </c>
    </row>
    <row r="13">
      <c r="A13" s="1" t="inlineStr">
        <is>
          <t>18100270</t>
        </is>
      </c>
      <c r="B13" s="2" t="inlineStr">
        <is>
          <t>762057019</t>
        </is>
      </c>
      <c r="C13" s="3" t="inlineStr">
        <is>
          <t>Одежда для детей</t>
        </is>
      </c>
      <c r="D13" s="2" t="inlineStr">
        <is>
          <t>Джинсы детские для девочек</t>
        </is>
      </c>
      <c r="E13" s="3" t="inlineStr">
        <is>
          <t>181 Джинсы детские для девочек</t>
        </is>
      </c>
      <c r="F13" s="2" t="inlineStr">
        <is>
          <t>всесезонный</t>
        </is>
      </c>
      <c r="G13" s="3" t="inlineStr">
        <is>
          <t>kari</t>
        </is>
      </c>
      <c r="H13" s="2" t="inlineStr">
        <is>
          <t>Зиннуров Ильнур</t>
        </is>
      </c>
      <c r="J13" s="3" t="inlineStr">
        <is>
          <t>2026SS</t>
        </is>
      </c>
      <c r="K13" s="3" t="n">
        <v>243730</v>
      </c>
      <c r="L13" s="3" t="n">
        <v>15635</v>
      </c>
      <c r="M13" s="3" t="n">
        <v>761</v>
      </c>
      <c r="N13" s="4">
        <f>IFERROR(L13/K13,0)</f>
        <v/>
      </c>
      <c r="O13" s="4">
        <f>IFERROR(M13/L13,0)</f>
        <v/>
      </c>
      <c r="P13" t="n">
        <v>1255</v>
      </c>
      <c r="Q13" s="5" t="n">
        <v>1</v>
      </c>
      <c r="R13" s="7" t="n">
        <v>1</v>
      </c>
      <c r="S13">
        <f>IF(OR(N13&lt;$T$1*0.5,O13&lt;$U$1*0.5),"код для проверки","нормальный код")</f>
        <v/>
      </c>
      <c r="T13">
        <f>IF(N13&lt;$T$1*0.5,"Низшая четверть",IF(N13&lt;$T$1,"Вторая четверть","Больше половины"))</f>
        <v/>
      </c>
      <c r="U13">
        <f>IF(O13&lt;$U$1*0.5,"Низшая четверть",IF(O13&lt;$U$1,"Вторая четверть","Больше половины"))</f>
        <v/>
      </c>
      <c r="V13">
        <f>IF(OR(N13&lt;SUMIFS(L:L,R:R,1,E:E,E13)/SUMIFS(K:K,R:R,1,E:E,E13)*0.5,O13&lt;SUMIFS(M:M,R:R,1,E:E,E13)/SUMIFS(L:L,R:R,1,E:E,E13)*0.5),"код для проверки","нормальный код")</f>
        <v/>
      </c>
      <c r="W13">
        <f>IF(N13&lt;SUMIFS(L:L,R:R,1,E:E,E13)/SUMIFS(K:K,R:R,1,E:E,E13)*0.5,"Низшая четверть",IF(N13&lt;SUMIFS(L:L,R:R,1,E:E,E13)/SUMIFS(K:K,R:R,1,E:E,E13),"Вторая четверть","Больше половины"))</f>
        <v/>
      </c>
      <c r="X13">
        <f>IF(O13&lt;SUMIFS(M:M,R:R,1,E:E,E13)/SUMIFS(L:L,R:R,1,E:E,E13)*0.5,"Низшая четверть",IF(O13&lt;SUMIFS(M:M,R:R,1,E:E,E13)/SUMIFS(L:L,R:R,1,E:E,E13),"Вторая четверть","Больше половины"))</f>
        <v/>
      </c>
      <c r="Y13" t="n">
        <v>15</v>
      </c>
    </row>
    <row r="14">
      <c r="A14" s="1" t="inlineStr">
        <is>
          <t>18208210</t>
        </is>
      </c>
      <c r="B14" s="2" t="inlineStr">
        <is>
          <t>341720493</t>
        </is>
      </c>
      <c r="C14" s="3" t="inlineStr">
        <is>
          <t>Одежда для детей</t>
        </is>
      </c>
      <c r="D14" s="2" t="inlineStr">
        <is>
          <t>Джинсы детские для мальчиков</t>
        </is>
      </c>
      <c r="E14" s="3" t="inlineStr">
        <is>
          <t>182 Джинсы детские для мальчиков</t>
        </is>
      </c>
      <c r="F14" s="2" t="inlineStr">
        <is>
          <t>всесезонный</t>
        </is>
      </c>
      <c r="G14" s="3" t="inlineStr">
        <is>
          <t>Kari KIDS</t>
        </is>
      </c>
      <c r="H14" s="2" t="inlineStr">
        <is>
          <t>Зиннуров Ильнур</t>
        </is>
      </c>
      <c r="J14" s="3" t="inlineStr">
        <is>
          <t>2026SS</t>
        </is>
      </c>
      <c r="K14" s="3" t="n">
        <v>243544</v>
      </c>
      <c r="L14" s="3" t="n">
        <v>5415</v>
      </c>
      <c r="M14" s="3" t="n">
        <v>163</v>
      </c>
      <c r="N14" s="4">
        <f>IFERROR(L14/K14,0)</f>
        <v/>
      </c>
      <c r="O14" s="4">
        <f>IFERROR(M14/L14,0)</f>
        <v/>
      </c>
      <c r="P14" t="n">
        <v>1521</v>
      </c>
      <c r="Q14" s="5" t="n">
        <v>1</v>
      </c>
      <c r="R14" s="7" t="n">
        <v>1</v>
      </c>
      <c r="S14">
        <f>IF(OR(N14&lt;$T$1*0.5,O14&lt;$U$1*0.5),"код для проверки","нормальный код")</f>
        <v/>
      </c>
      <c r="T14">
        <f>IF(N14&lt;$T$1*0.5,"Низшая четверть",IF(N14&lt;$T$1,"Вторая четверть","Больше половины"))</f>
        <v/>
      </c>
      <c r="U14">
        <f>IF(O14&lt;$U$1*0.5,"Низшая четверть",IF(O14&lt;$U$1,"Вторая четверть","Больше половины"))</f>
        <v/>
      </c>
      <c r="V14">
        <f>IF(OR(N14&lt;SUMIFS(L:L,R:R,1,E:E,E14)/SUMIFS(K:K,R:R,1,E:E,E14)*0.5,O14&lt;SUMIFS(M:M,R:R,1,E:E,E14)/SUMIFS(L:L,R:R,1,E:E,E14)*0.5),"код для проверки","нормальный код")</f>
        <v/>
      </c>
      <c r="W14">
        <f>IF(N14&lt;SUMIFS(L:L,R:R,1,E:E,E14)/SUMIFS(K:K,R:R,1,E:E,E14)*0.5,"Низшая четверть",IF(N14&lt;SUMIFS(L:L,R:R,1,E:E,E14)/SUMIFS(K:K,R:R,1,E:E,E14),"Вторая четверть","Больше половины"))</f>
        <v/>
      </c>
      <c r="X14">
        <f>IF(O14&lt;SUMIFS(M:M,R:R,1,E:E,E14)/SUMIFS(L:L,R:R,1,E:E,E14)*0.5,"Низшая четверть",IF(O14&lt;SUMIFS(M:M,R:R,1,E:E,E14)/SUMIFS(L:L,R:R,1,E:E,E14),"Вторая четверть","Больше половины"))</f>
        <v/>
      </c>
      <c r="Y14" t="n">
        <v>20</v>
      </c>
    </row>
    <row r="15">
      <c r="A15" s="1" t="inlineStr">
        <is>
          <t>18100330</t>
        </is>
      </c>
      <c r="B15" s="2" t="inlineStr">
        <is>
          <t>762057042</t>
        </is>
      </c>
      <c r="C15" s="3" t="inlineStr">
        <is>
          <t>Одежда для детей</t>
        </is>
      </c>
      <c r="D15" s="2" t="inlineStr">
        <is>
          <t>Джинсы детские для девочек</t>
        </is>
      </c>
      <c r="E15" s="3" t="inlineStr">
        <is>
          <t>181 Джинсы детские для девочек</t>
        </is>
      </c>
      <c r="F15" s="2" t="inlineStr">
        <is>
          <t>всесезонный</t>
        </is>
      </c>
      <c r="G15" s="3" t="inlineStr">
        <is>
          <t>kari</t>
        </is>
      </c>
      <c r="H15" s="2" t="inlineStr">
        <is>
          <t>Зиннуров Ильнур</t>
        </is>
      </c>
      <c r="J15" s="3" t="inlineStr">
        <is>
          <t>2026SS</t>
        </is>
      </c>
      <c r="K15" s="3" t="n">
        <v>215282</v>
      </c>
      <c r="L15" s="3" t="n">
        <v>9299</v>
      </c>
      <c r="M15" s="3" t="n">
        <v>387</v>
      </c>
      <c r="N15" s="4">
        <f>IFERROR(L15/K15,0)</f>
        <v/>
      </c>
      <c r="O15" s="4">
        <f>IFERROR(M15/L15,0)</f>
        <v/>
      </c>
      <c r="P15" t="n">
        <v>1132</v>
      </c>
      <c r="Q15" s="5" t="n">
        <v>1</v>
      </c>
      <c r="R15" s="7" t="n">
        <v>1</v>
      </c>
      <c r="S15">
        <f>IF(OR(N15&lt;$T$1*0.5,O15&lt;$U$1*0.5),"код для проверки","нормальный код")</f>
        <v/>
      </c>
      <c r="T15">
        <f>IF(N15&lt;$T$1*0.5,"Низшая четверть",IF(N15&lt;$T$1,"Вторая четверть","Больше половины"))</f>
        <v/>
      </c>
      <c r="U15">
        <f>IF(O15&lt;$U$1*0.5,"Низшая четверть",IF(O15&lt;$U$1,"Вторая четверть","Больше половины"))</f>
        <v/>
      </c>
      <c r="V15">
        <f>IF(OR(N15&lt;SUMIFS(L:L,R:R,1,E:E,E15)/SUMIFS(K:K,R:R,1,E:E,E15)*0.5,O15&lt;SUMIFS(M:M,R:R,1,E:E,E15)/SUMIFS(L:L,R:R,1,E:E,E15)*0.5),"код для проверки","нормальный код")</f>
        <v/>
      </c>
      <c r="W15">
        <f>IF(N15&lt;SUMIFS(L:L,R:R,1,E:E,E15)/SUMIFS(K:K,R:R,1,E:E,E15)*0.5,"Низшая четверть",IF(N15&lt;SUMIFS(L:L,R:R,1,E:E,E15)/SUMIFS(K:K,R:R,1,E:E,E15),"Вторая четверть","Больше половины"))</f>
        <v/>
      </c>
      <c r="X15">
        <f>IF(O15&lt;SUMIFS(M:M,R:R,1,E:E,E15)/SUMIFS(L:L,R:R,1,E:E,E15)*0.5,"Низшая четверть",IF(O15&lt;SUMIFS(M:M,R:R,1,E:E,E15)/SUMIFS(L:L,R:R,1,E:E,E15),"Вторая четверть","Больше половины"))</f>
        <v/>
      </c>
      <c r="Y15" t="n">
        <v>20</v>
      </c>
    </row>
    <row r="16">
      <c r="A16" s="1" t="inlineStr">
        <is>
          <t>18100310</t>
        </is>
      </c>
      <c r="B16" s="2" t="inlineStr">
        <is>
          <t>762057077</t>
        </is>
      </c>
      <c r="C16" s="3" t="inlineStr">
        <is>
          <t>Одежда для детей</t>
        </is>
      </c>
      <c r="D16" s="2" t="inlineStr">
        <is>
          <t>Джинсы детские для девочек</t>
        </is>
      </c>
      <c r="E16" s="3" t="inlineStr">
        <is>
          <t>181 Джинсы детские для девочек</t>
        </is>
      </c>
      <c r="F16" s="2" t="inlineStr">
        <is>
          <t>всесезонный</t>
        </is>
      </c>
      <c r="G16" s="3" t="inlineStr">
        <is>
          <t>kari</t>
        </is>
      </c>
      <c r="H16" s="2" t="inlineStr">
        <is>
          <t>Зиннуров Ильнур</t>
        </is>
      </c>
      <c r="J16" s="3" t="inlineStr">
        <is>
          <t>2026SS</t>
        </is>
      </c>
      <c r="K16" s="3" t="n">
        <v>213537</v>
      </c>
      <c r="L16" s="3" t="n">
        <v>11449</v>
      </c>
      <c r="M16" s="3" t="n">
        <v>467</v>
      </c>
      <c r="N16" s="4">
        <f>IFERROR(L16/K16,0)</f>
        <v/>
      </c>
      <c r="O16" s="4">
        <f>IFERROR(M16/L16,0)</f>
        <v/>
      </c>
      <c r="P16" t="n">
        <v>1564</v>
      </c>
      <c r="Q16" s="5" t="n">
        <v>1</v>
      </c>
      <c r="R16" s="7" t="n">
        <v>1</v>
      </c>
      <c r="S16">
        <f>IF(OR(N16&lt;$T$1*0.5,O16&lt;$U$1*0.5),"код для проверки","нормальный код")</f>
        <v/>
      </c>
      <c r="T16">
        <f>IF(N16&lt;$T$1*0.5,"Низшая четверть",IF(N16&lt;$T$1,"Вторая четверть","Больше половины"))</f>
        <v/>
      </c>
      <c r="U16">
        <f>IF(O16&lt;$U$1*0.5,"Низшая четверть",IF(O16&lt;$U$1,"Вторая четверть","Больше половины"))</f>
        <v/>
      </c>
      <c r="V16">
        <f>IF(OR(N16&lt;SUMIFS(L:L,R:R,1,E:E,E16)/SUMIFS(K:K,R:R,1,E:E,E16)*0.5,O16&lt;SUMIFS(M:M,R:R,1,E:E,E16)/SUMIFS(L:L,R:R,1,E:E,E16)*0.5),"код для проверки","нормальный код")</f>
        <v/>
      </c>
      <c r="W16">
        <f>IF(N16&lt;SUMIFS(L:L,R:R,1,E:E,E16)/SUMIFS(K:K,R:R,1,E:E,E16)*0.5,"Низшая четверть",IF(N16&lt;SUMIFS(L:L,R:R,1,E:E,E16)/SUMIFS(K:K,R:R,1,E:E,E16),"Вторая четверть","Больше половины"))</f>
        <v/>
      </c>
      <c r="X16">
        <f>IF(O16&lt;SUMIFS(M:M,R:R,1,E:E,E16)/SUMIFS(L:L,R:R,1,E:E,E16)*0.5,"Низшая четверть",IF(O16&lt;SUMIFS(M:M,R:R,1,E:E,E16)/SUMIFS(L:L,R:R,1,E:E,E16),"Вторая четверть","Больше половины"))</f>
        <v/>
      </c>
      <c r="Y16" t="n">
        <v>22</v>
      </c>
    </row>
    <row r="17">
      <c r="A17" s="1" t="inlineStr">
        <is>
          <t>18100250</t>
        </is>
      </c>
      <c r="B17" s="2" t="inlineStr">
        <is>
          <t>762057060</t>
        </is>
      </c>
      <c r="C17" s="3" t="inlineStr">
        <is>
          <t>Одежда для детей</t>
        </is>
      </c>
      <c r="D17" s="2" t="inlineStr">
        <is>
          <t>Джинсы детские для девочек</t>
        </is>
      </c>
      <c r="E17" s="3" t="inlineStr">
        <is>
          <t>181 Джинсы детские для девочек</t>
        </is>
      </c>
      <c r="F17" s="2" t="inlineStr">
        <is>
          <t>всесезонный</t>
        </is>
      </c>
      <c r="G17" s="3" t="inlineStr">
        <is>
          <t>kari</t>
        </is>
      </c>
      <c r="H17" s="2" t="inlineStr">
        <is>
          <t>Зиннуров Ильнур</t>
        </is>
      </c>
      <c r="J17" s="3" t="inlineStr">
        <is>
          <t>2026SS</t>
        </is>
      </c>
      <c r="K17" s="3" t="n">
        <v>194777</v>
      </c>
      <c r="L17" s="3" t="n">
        <v>13656</v>
      </c>
      <c r="M17" s="3" t="n">
        <v>623</v>
      </c>
      <c r="N17" s="4">
        <f>IFERROR(L17/K17,0)</f>
        <v/>
      </c>
      <c r="O17" s="4">
        <f>IFERROR(M17/L17,0)</f>
        <v/>
      </c>
      <c r="P17" t="n">
        <v>1258</v>
      </c>
      <c r="Q17" s="5" t="n">
        <v>1</v>
      </c>
      <c r="R17" s="7" t="n">
        <v>1</v>
      </c>
      <c r="S17">
        <f>IF(OR(N17&lt;$T$1*0.5,O17&lt;$U$1*0.5),"код для проверки","нормальный код")</f>
        <v/>
      </c>
      <c r="T17">
        <f>IF(N17&lt;$T$1*0.5,"Низшая четверть",IF(N17&lt;$T$1,"Вторая четверть","Больше половины"))</f>
        <v/>
      </c>
      <c r="U17">
        <f>IF(O17&lt;$U$1*0.5,"Низшая четверть",IF(O17&lt;$U$1,"Вторая четверть","Больше половины"))</f>
        <v/>
      </c>
      <c r="V17">
        <f>IF(OR(N17&lt;SUMIFS(L:L,R:R,1,E:E,E17)/SUMIFS(K:K,R:R,1,E:E,E17)*0.5,O17&lt;SUMIFS(M:M,R:R,1,E:E,E17)/SUMIFS(L:L,R:R,1,E:E,E17)*0.5),"код для проверки","нормальный код")</f>
        <v/>
      </c>
      <c r="W17">
        <f>IF(N17&lt;SUMIFS(L:L,R:R,1,E:E,E17)/SUMIFS(K:K,R:R,1,E:E,E17)*0.5,"Низшая четверть",IF(N17&lt;SUMIFS(L:L,R:R,1,E:E,E17)/SUMIFS(K:K,R:R,1,E:E,E17),"Вторая четверть","Больше половины"))</f>
        <v/>
      </c>
      <c r="X17">
        <f>IF(O17&lt;SUMIFS(M:M,R:R,1,E:E,E17)/SUMIFS(L:L,R:R,1,E:E,E17)*0.5,"Низшая четверть",IF(O17&lt;SUMIFS(M:M,R:R,1,E:E,E17)/SUMIFS(L:L,R:R,1,E:E,E17),"Вторая четверть","Больше половины"))</f>
        <v/>
      </c>
      <c r="Y17" t="n">
        <v>22</v>
      </c>
    </row>
    <row r="18">
      <c r="A18" s="1" t="inlineStr">
        <is>
          <t>094001M0</t>
        </is>
      </c>
      <c r="B18" s="2" t="inlineStr">
        <is>
          <t>804097383</t>
        </is>
      </c>
      <c r="C18" s="3" t="inlineStr">
        <is>
          <t>Одежда и аксессуары</t>
        </is>
      </c>
      <c r="D18" s="2" t="inlineStr">
        <is>
          <t>Купальники женские</t>
        </is>
      </c>
      <c r="E18" s="3" t="inlineStr">
        <is>
          <t>094 Купальник</t>
        </is>
      </c>
      <c r="F18" s="2" t="inlineStr">
        <is>
          <t>лето</t>
        </is>
      </c>
      <c r="G18" s="3" t="inlineStr">
        <is>
          <t>kari</t>
        </is>
      </c>
      <c r="H18" s="2" t="inlineStr">
        <is>
          <t>Никонорова Алина</t>
        </is>
      </c>
      <c r="J18" s="3" t="inlineStr">
        <is>
          <t>2026SS</t>
        </is>
      </c>
      <c r="K18" s="3" t="n">
        <v>188598</v>
      </c>
      <c r="L18" s="3" t="n">
        <v>9908</v>
      </c>
      <c r="M18" s="3" t="n">
        <v>118</v>
      </c>
      <c r="N18" s="4">
        <f>IFERROR(L18/K18,0)</f>
        <v/>
      </c>
      <c r="O18" s="4">
        <f>IFERROR(M18/L18,0)</f>
        <v/>
      </c>
      <c r="P18" t="n">
        <v>3205</v>
      </c>
      <c r="Q18" s="5" t="n">
        <v>0.7777777777777778</v>
      </c>
      <c r="R18" s="7" t="n">
        <v>1</v>
      </c>
      <c r="S18">
        <f>IF(OR(N18&lt;$T$1*0.5,O18&lt;$U$1*0.5),"код для проверки","нормальный код")</f>
        <v/>
      </c>
      <c r="T18">
        <f>IF(N18&lt;$T$1*0.5,"Низшая четверть",IF(N18&lt;$T$1,"Вторая четверть","Больше половины"))</f>
        <v/>
      </c>
      <c r="U18">
        <f>IF(O18&lt;$U$1*0.5,"Низшая четверть",IF(O18&lt;$U$1,"Вторая четверть","Больше половины"))</f>
        <v/>
      </c>
      <c r="V18">
        <f>IF(OR(N18&lt;SUMIFS(L:L,R:R,1,E:E,E18)/SUMIFS(K:K,R:R,1,E:E,E18)*0.5,O18&lt;SUMIFS(M:M,R:R,1,E:E,E18)/SUMIFS(L:L,R:R,1,E:E,E18)*0.5),"код для проверки","нормальный код")</f>
        <v/>
      </c>
      <c r="W18">
        <f>IF(N18&lt;SUMIFS(L:L,R:R,1,E:E,E18)/SUMIFS(K:K,R:R,1,E:E,E18)*0.5,"Низшая четверть",IF(N18&lt;SUMIFS(L:L,R:R,1,E:E,E18)/SUMIFS(K:K,R:R,1,E:E,E18),"Вторая четверть","Больше половины"))</f>
        <v/>
      </c>
      <c r="X18">
        <f>IF(O18&lt;SUMIFS(M:M,R:R,1,E:E,E18)/SUMIFS(L:L,R:R,1,E:E,E18)*0.5,"Низшая четверть",IF(O18&lt;SUMIFS(M:M,R:R,1,E:E,E18)/SUMIFS(L:L,R:R,1,E:E,E18),"Вторая четверть","Больше половины"))</f>
        <v/>
      </c>
      <c r="Y18" t="n">
        <v>25</v>
      </c>
    </row>
    <row r="19">
      <c r="A19" s="1" t="inlineStr">
        <is>
          <t>96100130</t>
        </is>
      </c>
      <c r="B19" s="2" t="inlineStr">
        <is>
          <t>899022981</t>
        </is>
      </c>
      <c r="C19" s="3" t="inlineStr">
        <is>
          <t>Одежда для детей</t>
        </is>
      </c>
      <c r="D19" s="2" t="inlineStr">
        <is>
          <t>Одежда для новорожденных</t>
        </is>
      </c>
      <c r="E19" s="3" t="inlineStr">
        <is>
          <t>961 Комплект летней одежды для маленькой девочки</t>
        </is>
      </c>
      <c r="F19" s="2" t="inlineStr">
        <is>
          <t>весна, лето</t>
        </is>
      </c>
      <c r="G19" s="3" t="inlineStr">
        <is>
          <t>Kari baby</t>
        </is>
      </c>
      <c r="H19" s="2" t="inlineStr">
        <is>
          <t>Зиннуров Ильнур</t>
        </is>
      </c>
      <c r="J19" s="3" t="inlineStr">
        <is>
          <t>2026SS</t>
        </is>
      </c>
      <c r="K19" s="3" t="n">
        <v>184887</v>
      </c>
      <c r="L19" s="3" t="n">
        <v>10889</v>
      </c>
      <c r="M19" s="3" t="n">
        <v>236</v>
      </c>
      <c r="N19" s="4">
        <f>IFERROR(L19/K19,0)</f>
        <v/>
      </c>
      <c r="O19" s="4">
        <f>IFERROR(M19/L19,0)</f>
        <v/>
      </c>
      <c r="P19" t="n">
        <v>720</v>
      </c>
      <c r="Q19" s="5" t="n">
        <v>1</v>
      </c>
      <c r="R19" s="7" t="n">
        <v>1</v>
      </c>
      <c r="S19">
        <f>IF(OR(N19&lt;$T$1*0.5,O19&lt;$U$1*0.5),"код для проверки","нормальный код")</f>
        <v/>
      </c>
      <c r="T19">
        <f>IF(N19&lt;$T$1*0.5,"Низшая четверть",IF(N19&lt;$T$1,"Вторая четверть","Больше половины"))</f>
        <v/>
      </c>
      <c r="U19">
        <f>IF(O19&lt;$U$1*0.5,"Низшая четверть",IF(O19&lt;$U$1,"Вторая четверть","Больше половины"))</f>
        <v/>
      </c>
      <c r="V19">
        <f>IF(OR(N19&lt;SUMIFS(L:L,R:R,1,E:E,E19)/SUMIFS(K:K,R:R,1,E:E,E19)*0.5,O19&lt;SUMIFS(M:M,R:R,1,E:E,E19)/SUMIFS(L:L,R:R,1,E:E,E19)*0.5),"код для проверки","нормальный код")</f>
        <v/>
      </c>
      <c r="W19">
        <f>IF(N19&lt;SUMIFS(L:L,R:R,1,E:E,E19)/SUMIFS(K:K,R:R,1,E:E,E19)*0.5,"Низшая четверть",IF(N19&lt;SUMIFS(L:L,R:R,1,E:E,E19)/SUMIFS(K:K,R:R,1,E:E,E19),"Вторая четверть","Больше половины"))</f>
        <v/>
      </c>
      <c r="X19">
        <f>IF(O19&lt;SUMIFS(M:M,R:R,1,E:E,E19)/SUMIFS(L:L,R:R,1,E:E,E19)*0.5,"Низшая четверть",IF(O19&lt;SUMIFS(M:M,R:R,1,E:E,E19)/SUMIFS(L:L,R:R,1,E:E,E19),"Вторая четверть","Больше половины"))</f>
        <v/>
      </c>
      <c r="Y19" t="n">
        <v>21</v>
      </c>
    </row>
    <row r="20">
      <c r="A20" s="1" t="inlineStr">
        <is>
          <t>95400190</t>
        </is>
      </c>
      <c r="B20" s="2" t="inlineStr">
        <is>
          <t>786399435</t>
        </is>
      </c>
      <c r="C20" s="3" t="inlineStr">
        <is>
          <t>Одежда для детей</t>
        </is>
      </c>
      <c r="D20" s="2" t="inlineStr">
        <is>
          <t>Верхняя детская одежда для девочек</t>
        </is>
      </c>
      <c r="E20" s="3" t="inlineStr">
        <is>
          <t>954 Ветровка детская для девочек</t>
        </is>
      </c>
      <c r="F20" s="2" t="inlineStr">
        <is>
          <t>демисезонный</t>
        </is>
      </c>
      <c r="G20" s="3" t="inlineStr">
        <is>
          <t>kari</t>
        </is>
      </c>
      <c r="H20" s="2" t="inlineStr">
        <is>
          <t>Зиннуров Ильнур</t>
        </is>
      </c>
      <c r="J20" s="3" t="inlineStr">
        <is>
          <t>2026SS</t>
        </is>
      </c>
      <c r="K20" s="3" t="n">
        <v>184775</v>
      </c>
      <c r="L20" s="3" t="n">
        <v>7080</v>
      </c>
      <c r="M20" s="3" t="n">
        <v>130</v>
      </c>
      <c r="N20" s="4">
        <f>IFERROR(L20/K20,0)</f>
        <v/>
      </c>
      <c r="O20" s="4">
        <f>IFERROR(M20/L20,0)</f>
        <v/>
      </c>
      <c r="P20" t="n">
        <v>690</v>
      </c>
      <c r="Q20" s="5" t="n">
        <v>1</v>
      </c>
      <c r="R20" s="7" t="n">
        <v>1</v>
      </c>
      <c r="S20">
        <f>IF(OR(N20&lt;$T$1*0.5,O20&lt;$U$1*0.5),"код для проверки","нормальный код")</f>
        <v/>
      </c>
      <c r="T20">
        <f>IF(N20&lt;$T$1*0.5,"Низшая четверть",IF(N20&lt;$T$1,"Вторая четверть","Больше половины"))</f>
        <v/>
      </c>
      <c r="U20">
        <f>IF(O20&lt;$U$1*0.5,"Низшая четверть",IF(O20&lt;$U$1,"Вторая четверть","Больше половины"))</f>
        <v/>
      </c>
      <c r="V20">
        <f>IF(OR(N20&lt;SUMIFS(L:L,R:R,1,E:E,E20)/SUMIFS(K:K,R:R,1,E:E,E20)*0.5,O20&lt;SUMIFS(M:M,R:R,1,E:E,E20)/SUMIFS(L:L,R:R,1,E:E,E20)*0.5),"код для проверки","нормальный код")</f>
        <v/>
      </c>
      <c r="W20">
        <f>IF(N20&lt;SUMIFS(L:L,R:R,1,E:E,E20)/SUMIFS(K:K,R:R,1,E:E,E20)*0.5,"Низшая четверть",IF(N20&lt;SUMIFS(L:L,R:R,1,E:E,E20)/SUMIFS(K:K,R:R,1,E:E,E20),"Вторая четверть","Больше половины"))</f>
        <v/>
      </c>
      <c r="X20">
        <f>IF(O20&lt;SUMIFS(M:M,R:R,1,E:E,E20)/SUMIFS(L:L,R:R,1,E:E,E20)*0.5,"Низшая четверть",IF(O20&lt;SUMIFS(M:M,R:R,1,E:E,E20)/SUMIFS(L:L,R:R,1,E:E,E20),"Вторая четверть","Больше половины"))</f>
        <v/>
      </c>
      <c r="Y20" t="n">
        <v>8</v>
      </c>
    </row>
    <row r="21">
      <c r="A21" s="1" t="inlineStr">
        <is>
          <t>18200090</t>
        </is>
      </c>
      <c r="B21" s="2" t="inlineStr">
        <is>
          <t>771100637</t>
        </is>
      </c>
      <c r="C21" s="3" t="inlineStr">
        <is>
          <t>Одежда для детей</t>
        </is>
      </c>
      <c r="D21" s="2" t="inlineStr">
        <is>
          <t>Джинсы детские для мальчиков</t>
        </is>
      </c>
      <c r="E21" s="3" t="inlineStr">
        <is>
          <t>182 Джинсы детские для мальчиков</t>
        </is>
      </c>
      <c r="F21" s="2" t="inlineStr">
        <is>
          <t>всесезонный</t>
        </is>
      </c>
      <c r="G21" s="3" t="inlineStr">
        <is>
          <t>kari</t>
        </is>
      </c>
      <c r="H21" s="2" t="inlineStr">
        <is>
          <t>Зиннуров Ильнур</t>
        </is>
      </c>
      <c r="J21" s="3" t="inlineStr">
        <is>
          <t>2026SS</t>
        </is>
      </c>
      <c r="K21" s="3" t="n">
        <v>182483</v>
      </c>
      <c r="L21" s="3" t="n">
        <v>6367</v>
      </c>
      <c r="M21" s="3" t="n">
        <v>218</v>
      </c>
      <c r="N21" s="4">
        <f>IFERROR(L21/K21,0)</f>
        <v/>
      </c>
      <c r="O21" s="4">
        <f>IFERROR(M21/L21,0)</f>
        <v/>
      </c>
      <c r="P21" t="n">
        <v>177</v>
      </c>
      <c r="Q21" s="5" t="n">
        <v>1</v>
      </c>
      <c r="R21" s="7" t="n">
        <v>1</v>
      </c>
      <c r="S21">
        <f>IF(OR(N21&lt;$T$1*0.5,O21&lt;$U$1*0.5),"код для проверки","нормальный код")</f>
        <v/>
      </c>
      <c r="T21">
        <f>IF(N21&lt;$T$1*0.5,"Низшая четверть",IF(N21&lt;$T$1,"Вторая четверть","Больше половины"))</f>
        <v/>
      </c>
      <c r="U21">
        <f>IF(O21&lt;$U$1*0.5,"Низшая четверть",IF(O21&lt;$U$1,"Вторая четверть","Больше половины"))</f>
        <v/>
      </c>
      <c r="V21">
        <f>IF(OR(N21&lt;SUMIFS(L:L,R:R,1,E:E,E21)/SUMIFS(K:K,R:R,1,E:E,E21)*0.5,O21&lt;SUMIFS(M:M,R:R,1,E:E,E21)/SUMIFS(L:L,R:R,1,E:E,E21)*0.5),"код для проверки","нормальный код")</f>
        <v/>
      </c>
      <c r="W21">
        <f>IF(N21&lt;SUMIFS(L:L,R:R,1,E:E,E21)/SUMIFS(K:K,R:R,1,E:E,E21)*0.5,"Низшая четверть",IF(N21&lt;SUMIFS(L:L,R:R,1,E:E,E21)/SUMIFS(K:K,R:R,1,E:E,E21),"Вторая четверть","Больше половины"))</f>
        <v/>
      </c>
      <c r="X21">
        <f>IF(O21&lt;SUMIFS(M:M,R:R,1,E:E,E21)/SUMIFS(L:L,R:R,1,E:E,E21)*0.5,"Низшая четверть",IF(O21&lt;SUMIFS(M:M,R:R,1,E:E,E21)/SUMIFS(L:L,R:R,1,E:E,E21),"Вторая четверть","Больше половины"))</f>
        <v/>
      </c>
      <c r="Y21" t="n">
        <v>27</v>
      </c>
    </row>
    <row r="22">
      <c r="A22" s="1" t="inlineStr">
        <is>
          <t>094000Z0</t>
        </is>
      </c>
      <c r="B22" s="2" t="inlineStr">
        <is>
          <t>773198122</t>
        </is>
      </c>
      <c r="C22" s="3" t="inlineStr">
        <is>
          <t>Одежда и аксессуары</t>
        </is>
      </c>
      <c r="D22" s="2" t="inlineStr">
        <is>
          <t>Купальники женские</t>
        </is>
      </c>
      <c r="E22" s="3" t="inlineStr">
        <is>
          <t>094 Купальник</t>
        </is>
      </c>
      <c r="F22" s="2" t="inlineStr">
        <is>
          <t>лето</t>
        </is>
      </c>
      <c r="G22" s="3" t="inlineStr">
        <is>
          <t>kari</t>
        </is>
      </c>
      <c r="H22" s="2" t="inlineStr">
        <is>
          <t>Никонорова Алина</t>
        </is>
      </c>
      <c r="J22" s="3" t="inlineStr">
        <is>
          <t>2026SS</t>
        </is>
      </c>
      <c r="K22" s="3" t="n">
        <v>182226</v>
      </c>
      <c r="L22" s="3" t="n">
        <v>10534</v>
      </c>
      <c r="M22" s="3" t="n">
        <v>134</v>
      </c>
      <c r="N22" s="4">
        <f>IFERROR(L22/K22,0)</f>
        <v/>
      </c>
      <c r="O22" s="4">
        <f>IFERROR(M22/L22,0)</f>
        <v/>
      </c>
      <c r="P22" t="n">
        <v>2584</v>
      </c>
      <c r="Q22" s="5" t="n">
        <v>0.5555555555555556</v>
      </c>
      <c r="R22" s="7" t="n">
        <v>1</v>
      </c>
      <c r="S22">
        <f>IF(OR(N22&lt;$T$1*0.5,O22&lt;$U$1*0.5),"код для проверки","нормальный код")</f>
        <v/>
      </c>
      <c r="T22">
        <f>IF(N22&lt;$T$1*0.5,"Низшая четверть",IF(N22&lt;$T$1,"Вторая четверть","Больше половины"))</f>
        <v/>
      </c>
      <c r="U22">
        <f>IF(O22&lt;$U$1*0.5,"Низшая четверть",IF(O22&lt;$U$1,"Вторая четверть","Больше половины"))</f>
        <v/>
      </c>
      <c r="V22">
        <f>IF(OR(N22&lt;SUMIFS(L:L,R:R,1,E:E,E22)/SUMIFS(K:K,R:R,1,E:E,E22)*0.5,O22&lt;SUMIFS(M:M,R:R,1,E:E,E22)/SUMIFS(L:L,R:R,1,E:E,E22)*0.5),"код для проверки","нормальный код")</f>
        <v/>
      </c>
      <c r="W22">
        <f>IF(N22&lt;SUMIFS(L:L,R:R,1,E:E,E22)/SUMIFS(K:K,R:R,1,E:E,E22)*0.5,"Низшая четверть",IF(N22&lt;SUMIFS(L:L,R:R,1,E:E,E22)/SUMIFS(K:K,R:R,1,E:E,E22),"Вторая четверть","Больше половины"))</f>
        <v/>
      </c>
      <c r="X22">
        <f>IF(O22&lt;SUMIFS(M:M,R:R,1,E:E,E22)/SUMIFS(L:L,R:R,1,E:E,E22)*0.5,"Низшая четверть",IF(O22&lt;SUMIFS(M:M,R:R,1,E:E,E22)/SUMIFS(L:L,R:R,1,E:E,E22),"Вторая четверть","Больше половины"))</f>
        <v/>
      </c>
      <c r="Y22" t="n">
        <v>19</v>
      </c>
    </row>
    <row r="23">
      <c r="A23" s="1" t="inlineStr">
        <is>
          <t>87708050</t>
        </is>
      </c>
      <c r="B23" s="2" t="inlineStr">
        <is>
          <t>316075945</t>
        </is>
      </c>
      <c r="C23" s="3" t="inlineStr">
        <is>
          <t>Одежда для детей</t>
        </is>
      </c>
      <c r="D23" s="2" t="inlineStr">
        <is>
          <t>Верхняя одежда детская для мальчиков</t>
        </is>
      </c>
      <c r="E23" s="3" t="inlineStr">
        <is>
          <t>877 Жилет утепленный детский для мальчиков</t>
        </is>
      </c>
      <c r="F23" s="2" t="inlineStr">
        <is>
          <t>демисезонный</t>
        </is>
      </c>
      <c r="G23" s="3" t="inlineStr">
        <is>
          <t>kari</t>
        </is>
      </c>
      <c r="H23" s="2" t="inlineStr">
        <is>
          <t>Зиннуров Ильнур</t>
        </is>
      </c>
      <c r="J23" s="3" t="inlineStr">
        <is>
          <t>2026SS</t>
        </is>
      </c>
      <c r="K23" s="3" t="n">
        <v>176297</v>
      </c>
      <c r="L23" s="3" t="n">
        <v>7972</v>
      </c>
      <c r="M23" s="3" t="n">
        <v>278</v>
      </c>
      <c r="N23" s="4">
        <f>IFERROR(L23/K23,0)</f>
        <v/>
      </c>
      <c r="O23" s="4">
        <f>IFERROR(M23/L23,0)</f>
        <v/>
      </c>
      <c r="P23" t="n">
        <v>880</v>
      </c>
      <c r="Q23" s="5" t="n">
        <v>1</v>
      </c>
      <c r="R23" s="7" t="n">
        <v>1</v>
      </c>
      <c r="S23">
        <f>IF(OR(N23&lt;$T$1*0.5,O23&lt;$U$1*0.5),"код для проверки","нормальный код")</f>
        <v/>
      </c>
      <c r="T23">
        <f>IF(N23&lt;$T$1*0.5,"Низшая четверть",IF(N23&lt;$T$1,"Вторая четверть","Больше половины"))</f>
        <v/>
      </c>
      <c r="U23">
        <f>IF(O23&lt;$U$1*0.5,"Низшая четверть",IF(O23&lt;$U$1,"Вторая четверть","Больше половины"))</f>
        <v/>
      </c>
      <c r="V23">
        <f>IF(OR(N23&lt;SUMIFS(L:L,R:R,1,E:E,E23)/SUMIFS(K:K,R:R,1,E:E,E23)*0.5,O23&lt;SUMIFS(M:M,R:R,1,E:E,E23)/SUMIFS(L:L,R:R,1,E:E,E23)*0.5),"код для проверки","нормальный код")</f>
        <v/>
      </c>
      <c r="W23">
        <f>IF(N23&lt;SUMIFS(L:L,R:R,1,E:E,E23)/SUMIFS(K:K,R:R,1,E:E,E23)*0.5,"Низшая четверть",IF(N23&lt;SUMIFS(L:L,R:R,1,E:E,E23)/SUMIFS(K:K,R:R,1,E:E,E23),"Вторая четверть","Больше половины"))</f>
        <v/>
      </c>
      <c r="X23">
        <f>IF(O23&lt;SUMIFS(M:M,R:R,1,E:E,E23)/SUMIFS(L:L,R:R,1,E:E,E23)*0.5,"Низшая четверть",IF(O23&lt;SUMIFS(M:M,R:R,1,E:E,E23)/SUMIFS(L:L,R:R,1,E:E,E23),"Вторая четверть","Больше половины"))</f>
        <v/>
      </c>
      <c r="Y23" t="n">
        <v>13</v>
      </c>
    </row>
    <row r="24">
      <c r="A24" s="1" t="inlineStr">
        <is>
          <t>18400150</t>
        </is>
      </c>
      <c r="B24" s="2" t="inlineStr">
        <is>
          <t>754451670</t>
        </is>
      </c>
      <c r="C24" s="3" t="inlineStr">
        <is>
          <t>Одежда и аксессуары</t>
        </is>
      </c>
      <c r="D24" s="2" t="inlineStr">
        <is>
          <t>Майки и платья женские</t>
        </is>
      </c>
      <c r="E24" s="3" t="inlineStr">
        <is>
          <t>184 Женская футболка</t>
        </is>
      </c>
      <c r="F24" s="2" t="inlineStr">
        <is>
          <t>всесезонный</t>
        </is>
      </c>
      <c r="G24" s="3" t="inlineStr">
        <is>
          <t>kari</t>
        </is>
      </c>
      <c r="H24" s="2" t="inlineStr">
        <is>
          <t>Зиннуров Ильнур</t>
        </is>
      </c>
      <c r="J24" s="3" t="inlineStr">
        <is>
          <t>2026SS</t>
        </is>
      </c>
      <c r="K24" s="3" t="n">
        <v>165841</v>
      </c>
      <c r="L24" s="3" t="n">
        <v>9215</v>
      </c>
      <c r="M24" s="3" t="n">
        <v>133</v>
      </c>
      <c r="N24" s="4">
        <f>IFERROR(L24/K24,0)</f>
        <v/>
      </c>
      <c r="O24" s="4">
        <f>IFERROR(M24/L24,0)</f>
        <v/>
      </c>
      <c r="P24" t="n">
        <v>498</v>
      </c>
      <c r="Q24" s="5" t="n">
        <v>1</v>
      </c>
      <c r="R24" s="7" t="n">
        <v>1</v>
      </c>
      <c r="S24">
        <f>IF(OR(N24&lt;$T$1*0.5,O24&lt;$U$1*0.5),"код для проверки","нормальный код")</f>
        <v/>
      </c>
      <c r="T24">
        <f>IF(N24&lt;$T$1*0.5,"Низшая четверть",IF(N24&lt;$T$1,"Вторая четверть","Больше половины"))</f>
        <v/>
      </c>
      <c r="U24">
        <f>IF(O24&lt;$U$1*0.5,"Низшая четверть",IF(O24&lt;$U$1,"Вторая четверть","Больше половины"))</f>
        <v/>
      </c>
      <c r="V24">
        <f>IF(OR(N24&lt;SUMIFS(L:L,R:R,1,E:E,E24)/SUMIFS(K:K,R:R,1,E:E,E24)*0.5,O24&lt;SUMIFS(M:M,R:R,1,E:E,E24)/SUMIFS(L:L,R:R,1,E:E,E24)*0.5),"код для проверки","нормальный код")</f>
        <v/>
      </c>
      <c r="W24">
        <f>IF(N24&lt;SUMIFS(L:L,R:R,1,E:E,E24)/SUMIFS(K:K,R:R,1,E:E,E24)*0.5,"Низшая четверть",IF(N24&lt;SUMIFS(L:L,R:R,1,E:E,E24)/SUMIFS(K:K,R:R,1,E:E,E24),"Вторая четверть","Больше половины"))</f>
        <v/>
      </c>
      <c r="X24">
        <f>IF(O24&lt;SUMIFS(M:M,R:R,1,E:E,E24)/SUMIFS(L:L,R:R,1,E:E,E24)*0.5,"Низшая четверть",IF(O24&lt;SUMIFS(M:M,R:R,1,E:E,E24)/SUMIFS(L:L,R:R,1,E:E,E24),"Вторая четверть","Больше половины"))</f>
        <v/>
      </c>
      <c r="Y24" t="n">
        <v>16</v>
      </c>
    </row>
    <row r="25">
      <c r="A25" s="1" t="inlineStr">
        <is>
          <t>23908020</t>
        </is>
      </c>
      <c r="B25" s="2" t="inlineStr">
        <is>
          <t>316544877</t>
        </is>
      </c>
      <c r="C25" s="3" t="inlineStr">
        <is>
          <t>Одежда для детей</t>
        </is>
      </c>
      <c r="D25" s="2" t="inlineStr">
        <is>
          <t>Спортивная детская одежда для мальчиков</t>
        </is>
      </c>
      <c r="E25" s="3" t="inlineStr">
        <is>
          <t>239 Спортивный костюм детский для мальчиков</t>
        </is>
      </c>
      <c r="F25" s="2" t="inlineStr">
        <is>
          <t>всесезонный</t>
        </is>
      </c>
      <c r="G25" s="3" t="inlineStr">
        <is>
          <t>kari</t>
        </is>
      </c>
      <c r="H25" s="2" t="inlineStr">
        <is>
          <t>Зиннуров Ильнур</t>
        </is>
      </c>
      <c r="J25" s="3" t="inlineStr">
        <is>
          <t>2026SS</t>
        </is>
      </c>
      <c r="K25" s="3" t="n">
        <v>161562</v>
      </c>
      <c r="L25" s="3" t="n">
        <v>13761</v>
      </c>
      <c r="M25" s="3" t="n">
        <v>342</v>
      </c>
      <c r="N25" s="4">
        <f>IFERROR(L25/K25,0)</f>
        <v/>
      </c>
      <c r="O25" s="4">
        <f>IFERROR(M25/L25,0)</f>
        <v/>
      </c>
      <c r="P25" t="n">
        <v>1177</v>
      </c>
      <c r="Q25" s="5" t="n">
        <v>1</v>
      </c>
      <c r="R25" s="7" t="n">
        <v>1</v>
      </c>
      <c r="S25">
        <f>IF(OR(N25&lt;$T$1*0.5,O25&lt;$U$1*0.5),"код для проверки","нормальный код")</f>
        <v/>
      </c>
      <c r="T25">
        <f>IF(N25&lt;$T$1*0.5,"Низшая четверть",IF(N25&lt;$T$1,"Вторая четверть","Больше половины"))</f>
        <v/>
      </c>
      <c r="U25">
        <f>IF(O25&lt;$U$1*0.5,"Низшая четверть",IF(O25&lt;$U$1,"Вторая четверть","Больше половины"))</f>
        <v/>
      </c>
      <c r="V25">
        <f>IF(OR(N25&lt;SUMIFS(L:L,R:R,1,E:E,E25)/SUMIFS(K:K,R:R,1,E:E,E25)*0.5,O25&lt;SUMIFS(M:M,R:R,1,E:E,E25)/SUMIFS(L:L,R:R,1,E:E,E25)*0.5),"код для проверки","нормальный код")</f>
        <v/>
      </c>
      <c r="W25">
        <f>IF(N25&lt;SUMIFS(L:L,R:R,1,E:E,E25)/SUMIFS(K:K,R:R,1,E:E,E25)*0.5,"Низшая четверть",IF(N25&lt;SUMIFS(L:L,R:R,1,E:E,E25)/SUMIFS(K:K,R:R,1,E:E,E25),"Вторая четверть","Больше половины"))</f>
        <v/>
      </c>
      <c r="X25">
        <f>IF(O25&lt;SUMIFS(M:M,R:R,1,E:E,E25)/SUMIFS(L:L,R:R,1,E:E,E25)*0.5,"Низшая четверть",IF(O25&lt;SUMIFS(M:M,R:R,1,E:E,E25)/SUMIFS(L:L,R:R,1,E:E,E25),"Вторая четверть","Больше половины"))</f>
        <v/>
      </c>
      <c r="Y25" t="n">
        <v>7</v>
      </c>
    </row>
    <row r="26">
      <c r="A26" s="1" t="inlineStr">
        <is>
          <t>18200140</t>
        </is>
      </c>
      <c r="B26" s="2" t="inlineStr">
        <is>
          <t>762057069</t>
        </is>
      </c>
      <c r="C26" s="3" t="inlineStr">
        <is>
          <t>Одежда для детей</t>
        </is>
      </c>
      <c r="D26" s="2" t="inlineStr">
        <is>
          <t>Джинсы детские для мальчиков</t>
        </is>
      </c>
      <c r="E26" s="3" t="inlineStr">
        <is>
          <t>182 Джинсы детские для мальчиков</t>
        </is>
      </c>
      <c r="F26" s="2" t="inlineStr">
        <is>
          <t>всесезонный</t>
        </is>
      </c>
      <c r="G26" s="3" t="inlineStr">
        <is>
          <t>Kari KIDS</t>
        </is>
      </c>
      <c r="H26" s="2" t="inlineStr">
        <is>
          <t>Зиннуров Ильнур</t>
        </is>
      </c>
      <c r="J26" s="3" t="inlineStr">
        <is>
          <t>2026SS</t>
        </is>
      </c>
      <c r="K26" s="3" t="n">
        <v>157792</v>
      </c>
      <c r="L26" s="3" t="n">
        <v>8844</v>
      </c>
      <c r="M26" s="3" t="n">
        <v>566</v>
      </c>
      <c r="N26" s="4">
        <f>IFERROR(L26/K26,0)</f>
        <v/>
      </c>
      <c r="O26" s="4">
        <f>IFERROR(M26/L26,0)</f>
        <v/>
      </c>
      <c r="P26" t="n">
        <v>473</v>
      </c>
      <c r="Q26" s="5" t="n">
        <v>1</v>
      </c>
      <c r="R26" s="7" t="n">
        <v>1</v>
      </c>
      <c r="S26">
        <f>IF(OR(N26&lt;$T$1*0.5,O26&lt;$U$1*0.5),"код для проверки","нормальный код")</f>
        <v/>
      </c>
      <c r="T26">
        <f>IF(N26&lt;$T$1*0.5,"Низшая четверть",IF(N26&lt;$T$1,"Вторая четверть","Больше половины"))</f>
        <v/>
      </c>
      <c r="U26">
        <f>IF(O26&lt;$U$1*0.5,"Низшая четверть",IF(O26&lt;$U$1,"Вторая четверть","Больше половины"))</f>
        <v/>
      </c>
      <c r="V26">
        <f>IF(OR(N26&lt;SUMIFS(L:L,R:R,1,E:E,E26)/SUMIFS(K:K,R:R,1,E:E,E26)*0.5,O26&lt;SUMIFS(M:M,R:R,1,E:E,E26)/SUMIFS(L:L,R:R,1,E:E,E26)*0.5),"код для проверки","нормальный код")</f>
        <v/>
      </c>
      <c r="W26">
        <f>IF(N26&lt;SUMIFS(L:L,R:R,1,E:E,E26)/SUMIFS(K:K,R:R,1,E:E,E26)*0.5,"Низшая четверть",IF(N26&lt;SUMIFS(L:L,R:R,1,E:E,E26)/SUMIFS(K:K,R:R,1,E:E,E26),"Вторая четверть","Больше половины"))</f>
        <v/>
      </c>
      <c r="X26">
        <f>IF(O26&lt;SUMIFS(M:M,R:R,1,E:E,E26)/SUMIFS(L:L,R:R,1,E:E,E26)*0.5,"Низшая четверть",IF(O26&lt;SUMIFS(M:M,R:R,1,E:E,E26)/SUMIFS(L:L,R:R,1,E:E,E26),"Вторая четверть","Больше половины"))</f>
        <v/>
      </c>
      <c r="Y26" t="n">
        <v>17</v>
      </c>
    </row>
    <row r="27">
      <c r="A27" s="1" t="inlineStr">
        <is>
          <t>094001W0</t>
        </is>
      </c>
      <c r="B27" s="2" t="inlineStr">
        <is>
          <t>710465036</t>
        </is>
      </c>
      <c r="C27" s="3" t="inlineStr">
        <is>
          <t>Одежда и аксессуары</t>
        </is>
      </c>
      <c r="D27" s="2" t="inlineStr">
        <is>
          <t>Купальники женские</t>
        </is>
      </c>
      <c r="E27" s="3" t="inlineStr">
        <is>
          <t>094 Купальник</t>
        </is>
      </c>
      <c r="F27" s="2" t="inlineStr">
        <is>
          <t>лето</t>
        </is>
      </c>
      <c r="G27" s="3" t="inlineStr">
        <is>
          <t>kari</t>
        </is>
      </c>
      <c r="H27" s="2" t="inlineStr">
        <is>
          <t>Никонорова Алина</t>
        </is>
      </c>
      <c r="J27" s="3" t="inlineStr">
        <is>
          <t>2026SS</t>
        </is>
      </c>
      <c r="K27" s="3" t="n">
        <v>154955</v>
      </c>
      <c r="L27" s="3" t="n">
        <v>7386</v>
      </c>
      <c r="M27" s="3" t="n">
        <v>124</v>
      </c>
      <c r="N27" s="4">
        <f>IFERROR(L27/K27,0)</f>
        <v/>
      </c>
      <c r="O27" s="4">
        <f>IFERROR(M27/L27,0)</f>
        <v/>
      </c>
      <c r="P27" t="n">
        <v>3761</v>
      </c>
      <c r="Q27" s="5" t="n">
        <v>0.6666666666666666</v>
      </c>
      <c r="R27" s="7" t="n">
        <v>1</v>
      </c>
      <c r="S27">
        <f>IF(OR(N27&lt;$T$1*0.5,O27&lt;$U$1*0.5),"код для проверки","нормальный код")</f>
        <v/>
      </c>
      <c r="T27">
        <f>IF(N27&lt;$T$1*0.5,"Низшая четверть",IF(N27&lt;$T$1,"Вторая четверть","Больше половины"))</f>
        <v/>
      </c>
      <c r="U27">
        <f>IF(O27&lt;$U$1*0.5,"Низшая четверть",IF(O27&lt;$U$1,"Вторая четверть","Больше половины"))</f>
        <v/>
      </c>
      <c r="V27">
        <f>IF(OR(N27&lt;SUMIFS(L:L,R:R,1,E:E,E27)/SUMIFS(K:K,R:R,1,E:E,E27)*0.5,O27&lt;SUMIFS(M:M,R:R,1,E:E,E27)/SUMIFS(L:L,R:R,1,E:E,E27)*0.5),"код для проверки","нормальный код")</f>
        <v/>
      </c>
      <c r="W27">
        <f>IF(N27&lt;SUMIFS(L:L,R:R,1,E:E,E27)/SUMIFS(K:K,R:R,1,E:E,E27)*0.5,"Низшая четверть",IF(N27&lt;SUMIFS(L:L,R:R,1,E:E,E27)/SUMIFS(K:K,R:R,1,E:E,E27),"Вторая четверть","Больше половины"))</f>
        <v/>
      </c>
      <c r="X27">
        <f>IF(O27&lt;SUMIFS(M:M,R:R,1,E:E,E27)/SUMIFS(L:L,R:R,1,E:E,E27)*0.5,"Низшая четверть",IF(O27&lt;SUMIFS(M:M,R:R,1,E:E,E27)/SUMIFS(L:L,R:R,1,E:E,E27),"Вторая четверть","Больше половины"))</f>
        <v/>
      </c>
      <c r="Y27" t="n">
        <v>17</v>
      </c>
    </row>
    <row r="28">
      <c r="A28" s="1" t="inlineStr">
        <is>
          <t>18100190</t>
        </is>
      </c>
      <c r="B28" s="2" t="inlineStr">
        <is>
          <t>879308769</t>
        </is>
      </c>
      <c r="C28" s="3" t="inlineStr">
        <is>
          <t>Одежда для детей</t>
        </is>
      </c>
      <c r="D28" s="2" t="inlineStr">
        <is>
          <t>Джинсы детские для девочек</t>
        </is>
      </c>
      <c r="E28" s="3" t="inlineStr">
        <is>
          <t>181 Джинсы детские для девочек</t>
        </is>
      </c>
      <c r="F28" s="2" t="inlineStr">
        <is>
          <t>всесезонный</t>
        </is>
      </c>
      <c r="G28" s="3" t="inlineStr">
        <is>
          <t>kari</t>
        </is>
      </c>
      <c r="H28" s="2" t="inlineStr">
        <is>
          <t>Зиннуров Ильнур</t>
        </is>
      </c>
      <c r="J28" s="3" t="inlineStr">
        <is>
          <t>2026SS</t>
        </is>
      </c>
      <c r="K28" s="3" t="n">
        <v>153824</v>
      </c>
      <c r="L28" s="3" t="n">
        <v>8574</v>
      </c>
      <c r="M28" s="3" t="n">
        <v>403</v>
      </c>
      <c r="N28" s="4">
        <f>IFERROR(L28/K28,0)</f>
        <v/>
      </c>
      <c r="O28" s="4">
        <f>IFERROR(M28/L28,0)</f>
        <v/>
      </c>
      <c r="P28" t="n">
        <v>947</v>
      </c>
      <c r="Q28" s="5" t="n">
        <v>1</v>
      </c>
      <c r="R28" s="7" t="n">
        <v>1</v>
      </c>
      <c r="S28">
        <f>IF(OR(N28&lt;$T$1*0.5,O28&lt;$U$1*0.5),"код для проверки","нормальный код")</f>
        <v/>
      </c>
      <c r="T28">
        <f>IF(N28&lt;$T$1*0.5,"Низшая четверть",IF(N28&lt;$T$1,"Вторая четверть","Больше половины"))</f>
        <v/>
      </c>
      <c r="U28">
        <f>IF(O28&lt;$U$1*0.5,"Низшая четверть",IF(O28&lt;$U$1,"Вторая четверть","Больше половины"))</f>
        <v/>
      </c>
      <c r="V28">
        <f>IF(OR(N28&lt;SUMIFS(L:L,R:R,1,E:E,E28)/SUMIFS(K:K,R:R,1,E:E,E28)*0.5,O28&lt;SUMIFS(M:M,R:R,1,E:E,E28)/SUMIFS(L:L,R:R,1,E:E,E28)*0.5),"код для проверки","нормальный код")</f>
        <v/>
      </c>
      <c r="W28">
        <f>IF(N28&lt;SUMIFS(L:L,R:R,1,E:E,E28)/SUMIFS(K:K,R:R,1,E:E,E28)*0.5,"Низшая четверть",IF(N28&lt;SUMIFS(L:L,R:R,1,E:E,E28)/SUMIFS(K:K,R:R,1,E:E,E28),"Вторая четверть","Больше половины"))</f>
        <v/>
      </c>
      <c r="X28">
        <f>IF(O28&lt;SUMIFS(M:M,R:R,1,E:E,E28)/SUMIFS(L:L,R:R,1,E:E,E28)*0.5,"Низшая четверть",IF(O28&lt;SUMIFS(M:M,R:R,1,E:E,E28)/SUMIFS(L:L,R:R,1,E:E,E28),"Вторая четверть","Больше половины"))</f>
        <v/>
      </c>
      <c r="Y28" t="n">
        <v>22</v>
      </c>
    </row>
    <row r="29">
      <c r="A29" s="1" t="inlineStr">
        <is>
          <t>a6000080</t>
        </is>
      </c>
      <c r="B29" s="2" t="inlineStr">
        <is>
          <t>760545241</t>
        </is>
      </c>
      <c r="C29" s="3" t="inlineStr">
        <is>
          <t>Одежда для детей</t>
        </is>
      </c>
      <c r="D29" s="2" t="inlineStr">
        <is>
          <t>Платья, майки, футболки детские для девочек</t>
        </is>
      </c>
      <c r="E29" s="3" t="inlineStr">
        <is>
          <t>a60 Футболка детская для девочек</t>
        </is>
      </c>
      <c r="F29" s="2" t="inlineStr">
        <is>
          <t>всесезонный</t>
        </is>
      </c>
      <c r="G29" s="3" t="inlineStr">
        <is>
          <t>Kari KIDS</t>
        </is>
      </c>
      <c r="H29" s="2" t="inlineStr">
        <is>
          <t>Зиннуров Ильнур</t>
        </is>
      </c>
      <c r="J29" s="3" t="inlineStr">
        <is>
          <t>2026SS</t>
        </is>
      </c>
      <c r="K29" s="3" t="n">
        <v>149834</v>
      </c>
      <c r="L29" s="3" t="n">
        <v>13339</v>
      </c>
      <c r="M29" s="3" t="n">
        <v>384</v>
      </c>
      <c r="N29" s="4">
        <f>IFERROR(L29/K29,0)</f>
        <v/>
      </c>
      <c r="O29" s="4">
        <f>IFERROR(M29/L29,0)</f>
        <v/>
      </c>
      <c r="P29" t="n">
        <v>1844</v>
      </c>
      <c r="Q29" s="5" t="n">
        <v>1</v>
      </c>
      <c r="R29" s="7" t="n">
        <v>1</v>
      </c>
      <c r="S29">
        <f>IF(OR(N29&lt;$T$1*0.5,O29&lt;$U$1*0.5),"код для проверки","нормальный код")</f>
        <v/>
      </c>
      <c r="T29">
        <f>IF(N29&lt;$T$1*0.5,"Низшая четверть",IF(N29&lt;$T$1,"Вторая четверть","Больше половины"))</f>
        <v/>
      </c>
      <c r="U29">
        <f>IF(O29&lt;$U$1*0.5,"Низшая четверть",IF(O29&lt;$U$1,"Вторая четверть","Больше половины"))</f>
        <v/>
      </c>
      <c r="V29">
        <f>IF(OR(N29&lt;SUMIFS(L:L,R:R,1,E:E,E29)/SUMIFS(K:K,R:R,1,E:E,E29)*0.5,O29&lt;SUMIFS(M:M,R:R,1,E:E,E29)/SUMIFS(L:L,R:R,1,E:E,E29)*0.5),"код для проверки","нормальный код")</f>
        <v/>
      </c>
      <c r="W29">
        <f>IF(N29&lt;SUMIFS(L:L,R:R,1,E:E,E29)/SUMIFS(K:K,R:R,1,E:E,E29)*0.5,"Низшая четверть",IF(N29&lt;SUMIFS(L:L,R:R,1,E:E,E29)/SUMIFS(K:K,R:R,1,E:E,E29),"Вторая четверть","Больше половины"))</f>
        <v/>
      </c>
      <c r="X29">
        <f>IF(O29&lt;SUMIFS(M:M,R:R,1,E:E,E29)/SUMIFS(L:L,R:R,1,E:E,E29)*0.5,"Низшая четверть",IF(O29&lt;SUMIFS(M:M,R:R,1,E:E,E29)/SUMIFS(L:L,R:R,1,E:E,E29),"Вторая четверть","Больше половины"))</f>
        <v/>
      </c>
      <c r="Y29" t="n">
        <v>14</v>
      </c>
    </row>
    <row r="30">
      <c r="A30" s="1" t="inlineStr">
        <is>
          <t>11000010</t>
        </is>
      </c>
      <c r="B30" s="2" t="inlineStr">
        <is>
          <t>707522596</t>
        </is>
      </c>
      <c r="C30" s="3" t="inlineStr">
        <is>
          <t>Одежда и аксессуары</t>
        </is>
      </c>
      <c r="D30" s="2" t="inlineStr">
        <is>
          <t>Шарфы женские</t>
        </is>
      </c>
      <c r="E30" s="3" t="inlineStr">
        <is>
          <t>110 Платок женский</t>
        </is>
      </c>
      <c r="F30" s="2" t="inlineStr">
        <is>
          <t>демисезонный</t>
        </is>
      </c>
      <c r="G30" s="3" t="inlineStr">
        <is>
          <t>kari</t>
        </is>
      </c>
      <c r="H30" s="2" t="inlineStr">
        <is>
          <t>Никонорова Алина</t>
        </is>
      </c>
      <c r="J30" s="3" t="inlineStr">
        <is>
          <t>2026SS</t>
        </is>
      </c>
      <c r="K30" s="3" t="n">
        <v>149609</v>
      </c>
      <c r="L30" s="3" t="n">
        <v>11256</v>
      </c>
      <c r="M30" s="3" t="n">
        <v>284</v>
      </c>
      <c r="N30" s="4">
        <f>IFERROR(L30/K30,0)</f>
        <v/>
      </c>
      <c r="O30" s="4">
        <f>IFERROR(M30/L30,0)</f>
        <v/>
      </c>
      <c r="P30" t="n">
        <v>490</v>
      </c>
      <c r="Q30" s="5" t="n">
        <v>1</v>
      </c>
      <c r="R30" s="7" t="n">
        <v>1</v>
      </c>
      <c r="S30">
        <f>IF(OR(N30&lt;$T$1*0.5,O30&lt;$U$1*0.5),"код для проверки","нормальный код")</f>
        <v/>
      </c>
      <c r="T30">
        <f>IF(N30&lt;$T$1*0.5,"Низшая четверть",IF(N30&lt;$T$1,"Вторая четверть","Больше половины"))</f>
        <v/>
      </c>
      <c r="U30">
        <f>IF(O30&lt;$U$1*0.5,"Низшая четверть",IF(O30&lt;$U$1,"Вторая четверть","Больше половины"))</f>
        <v/>
      </c>
      <c r="V30">
        <f>IF(OR(N30&lt;SUMIFS(L:L,R:R,1,E:E,E30)/SUMIFS(K:K,R:R,1,E:E,E30)*0.5,O30&lt;SUMIFS(M:M,R:R,1,E:E,E30)/SUMIFS(L:L,R:R,1,E:E,E30)*0.5),"код для проверки","нормальный код")</f>
        <v/>
      </c>
      <c r="W30">
        <f>IF(N30&lt;SUMIFS(L:L,R:R,1,E:E,E30)/SUMIFS(K:K,R:R,1,E:E,E30)*0.5,"Низшая четверть",IF(N30&lt;SUMIFS(L:L,R:R,1,E:E,E30)/SUMIFS(K:K,R:R,1,E:E,E30),"Вторая четверть","Больше половины"))</f>
        <v/>
      </c>
      <c r="X30">
        <f>IF(O30&lt;SUMIFS(M:M,R:R,1,E:E,E30)/SUMIFS(L:L,R:R,1,E:E,E30)*0.5,"Низшая четверть",IF(O30&lt;SUMIFS(M:M,R:R,1,E:E,E30)/SUMIFS(L:L,R:R,1,E:E,E30),"Вторая четверть","Больше половины"))</f>
        <v/>
      </c>
      <c r="Y30" t="n">
        <v>12</v>
      </c>
    </row>
    <row r="31">
      <c r="A31" s="1" t="inlineStr">
        <is>
          <t>92600020</t>
        </is>
      </c>
      <c r="B31" s="2" t="inlineStr">
        <is>
          <t>800126650</t>
        </is>
      </c>
      <c r="C31" s="3" t="inlineStr">
        <is>
          <t>Одежда для детей</t>
        </is>
      </c>
      <c r="D31" s="2" t="inlineStr">
        <is>
          <t>Одежда для новорожденных</t>
        </is>
      </c>
      <c r="E31" s="3" t="inlineStr">
        <is>
          <t>926 Полукомбинезон для маленькой девочки</t>
        </is>
      </c>
      <c r="F31" s="2" t="inlineStr">
        <is>
          <t>весна, лето</t>
        </is>
      </c>
      <c r="G31" s="3" t="inlineStr">
        <is>
          <t>Kari baby</t>
        </is>
      </c>
      <c r="H31" s="2" t="inlineStr">
        <is>
          <t>Зиннуров Ильнур</t>
        </is>
      </c>
      <c r="J31" s="3" t="inlineStr">
        <is>
          <t>2026SS</t>
        </is>
      </c>
      <c r="K31" s="3" t="n">
        <v>148494</v>
      </c>
      <c r="L31" s="3" t="n">
        <v>12864</v>
      </c>
      <c r="M31" s="3" t="n">
        <v>207</v>
      </c>
      <c r="N31" s="4">
        <f>IFERROR(L31/K31,0)</f>
        <v/>
      </c>
      <c r="O31" s="4">
        <f>IFERROR(M31/L31,0)</f>
        <v/>
      </c>
      <c r="P31" t="n">
        <v>371</v>
      </c>
      <c r="Q31" s="5" t="n">
        <v>1</v>
      </c>
      <c r="R31" s="7" t="n">
        <v>1</v>
      </c>
      <c r="S31">
        <f>IF(OR(N31&lt;$T$1*0.5,O31&lt;$U$1*0.5),"код для проверки","нормальный код")</f>
        <v/>
      </c>
      <c r="T31">
        <f>IF(N31&lt;$T$1*0.5,"Низшая четверть",IF(N31&lt;$T$1,"Вторая четверть","Больше половины"))</f>
        <v/>
      </c>
      <c r="U31">
        <f>IF(O31&lt;$U$1*0.5,"Низшая четверть",IF(O31&lt;$U$1,"Вторая четверть","Больше половины"))</f>
        <v/>
      </c>
      <c r="V31">
        <f>IF(OR(N31&lt;SUMIFS(L:L,R:R,1,E:E,E31)/SUMIFS(K:K,R:R,1,E:E,E31)*0.5,O31&lt;SUMIFS(M:M,R:R,1,E:E,E31)/SUMIFS(L:L,R:R,1,E:E,E31)*0.5),"код для проверки","нормальный код")</f>
        <v/>
      </c>
      <c r="W31">
        <f>IF(N31&lt;SUMIFS(L:L,R:R,1,E:E,E31)/SUMIFS(K:K,R:R,1,E:E,E31)*0.5,"Низшая четверть",IF(N31&lt;SUMIFS(L:L,R:R,1,E:E,E31)/SUMIFS(K:K,R:R,1,E:E,E31),"Вторая четверть","Больше половины"))</f>
        <v/>
      </c>
      <c r="X31">
        <f>IF(O31&lt;SUMIFS(M:M,R:R,1,E:E,E31)/SUMIFS(L:L,R:R,1,E:E,E31)*0.5,"Низшая четверть",IF(O31&lt;SUMIFS(M:M,R:R,1,E:E,E31)/SUMIFS(L:L,R:R,1,E:E,E31),"Вторая четверть","Больше половины"))</f>
        <v/>
      </c>
      <c r="Y31" t="n">
        <v>19</v>
      </c>
    </row>
    <row r="32">
      <c r="A32" s="1" t="inlineStr">
        <is>
          <t>18200180</t>
        </is>
      </c>
      <c r="B32" s="2" t="inlineStr">
        <is>
          <t>762056973</t>
        </is>
      </c>
      <c r="C32" s="3" t="inlineStr">
        <is>
          <t>Одежда для детей</t>
        </is>
      </c>
      <c r="D32" s="2" t="inlineStr">
        <is>
          <t>Джинсы детские для мальчиков</t>
        </is>
      </c>
      <c r="E32" s="3" t="inlineStr">
        <is>
          <t>182 Джинсы детские для мальчиков</t>
        </is>
      </c>
      <c r="F32" s="2" t="inlineStr">
        <is>
          <t>всесезонный</t>
        </is>
      </c>
      <c r="G32" s="3" t="inlineStr">
        <is>
          <t>kari</t>
        </is>
      </c>
      <c r="H32" s="2" t="inlineStr">
        <is>
          <t>Зиннуров Ильнур</t>
        </is>
      </c>
      <c r="J32" s="3" t="inlineStr">
        <is>
          <t>2026SS</t>
        </is>
      </c>
      <c r="K32" s="3" t="n">
        <v>146885</v>
      </c>
      <c r="L32" s="3" t="n">
        <v>3720</v>
      </c>
      <c r="M32" s="3" t="n">
        <v>158</v>
      </c>
      <c r="N32" s="4">
        <f>IFERROR(L32/K32,0)</f>
        <v/>
      </c>
      <c r="O32" s="4">
        <f>IFERROR(M32/L32,0)</f>
        <v/>
      </c>
      <c r="P32" t="n">
        <v>1433</v>
      </c>
      <c r="Q32" s="5" t="n">
        <v>1</v>
      </c>
      <c r="R32" s="7" t="n">
        <v>1</v>
      </c>
      <c r="S32">
        <f>IF(OR(N32&lt;$T$1*0.5,O32&lt;$U$1*0.5),"код для проверки","нормальный код")</f>
        <v/>
      </c>
      <c r="T32">
        <f>IF(N32&lt;$T$1*0.5,"Низшая четверть",IF(N32&lt;$T$1,"Вторая четверть","Больше половины"))</f>
        <v/>
      </c>
      <c r="U32">
        <f>IF(O32&lt;$U$1*0.5,"Низшая четверть",IF(O32&lt;$U$1,"Вторая четверть","Больше половины"))</f>
        <v/>
      </c>
      <c r="V32">
        <f>IF(OR(N32&lt;SUMIFS(L:L,R:R,1,E:E,E32)/SUMIFS(K:K,R:R,1,E:E,E32)*0.5,O32&lt;SUMIFS(M:M,R:R,1,E:E,E32)/SUMIFS(L:L,R:R,1,E:E,E32)*0.5),"код для проверки","нормальный код")</f>
        <v/>
      </c>
      <c r="W32">
        <f>IF(N32&lt;SUMIFS(L:L,R:R,1,E:E,E32)/SUMIFS(K:K,R:R,1,E:E,E32)*0.5,"Низшая четверть",IF(N32&lt;SUMIFS(L:L,R:R,1,E:E,E32)/SUMIFS(K:K,R:R,1,E:E,E32),"Вторая четверть","Больше половины"))</f>
        <v/>
      </c>
      <c r="X32">
        <f>IF(O32&lt;SUMIFS(M:M,R:R,1,E:E,E32)/SUMIFS(L:L,R:R,1,E:E,E32)*0.5,"Низшая четверть",IF(O32&lt;SUMIFS(M:M,R:R,1,E:E,E32)/SUMIFS(L:L,R:R,1,E:E,E32),"Вторая четверть","Больше половины"))</f>
        <v/>
      </c>
      <c r="Y32" t="n">
        <v>23</v>
      </c>
    </row>
    <row r="33">
      <c r="A33" s="1" t="inlineStr">
        <is>
          <t>14408860</t>
        </is>
      </c>
      <c r="B33" s="2" t="inlineStr">
        <is>
          <t>355558793</t>
        </is>
      </c>
      <c r="C33" s="3" t="inlineStr">
        <is>
          <t>Одежда и аксессуары</t>
        </is>
      </c>
      <c r="D33" s="2" t="inlineStr">
        <is>
          <t>Шарфы женские</t>
        </is>
      </c>
      <c r="E33" s="3" t="inlineStr">
        <is>
          <t>144 Шарф летний женский</t>
        </is>
      </c>
      <c r="F33" s="2" t="inlineStr">
        <is>
          <t>весна, лето</t>
        </is>
      </c>
      <c r="G33" s="3" t="inlineStr">
        <is>
          <t>kari</t>
        </is>
      </c>
      <c r="H33" s="2" t="inlineStr">
        <is>
          <t>Никонорова Алина</t>
        </is>
      </c>
      <c r="J33" s="3" t="inlineStr">
        <is>
          <t>2026SS</t>
        </is>
      </c>
      <c r="K33" s="3" t="n">
        <v>145972</v>
      </c>
      <c r="L33" s="3" t="n">
        <v>14034</v>
      </c>
      <c r="M33" s="3" t="n">
        <v>397</v>
      </c>
      <c r="N33" s="4">
        <f>IFERROR(L33/K33,0)</f>
        <v/>
      </c>
      <c r="O33" s="4">
        <f>IFERROR(M33/L33,0)</f>
        <v/>
      </c>
      <c r="P33" t="n">
        <v>401</v>
      </c>
      <c r="Q33" s="5" t="n">
        <v>1</v>
      </c>
      <c r="R33" s="7" t="n">
        <v>1</v>
      </c>
      <c r="S33">
        <f>IF(OR(N33&lt;$T$1*0.5,O33&lt;$U$1*0.5),"код для проверки","нормальный код")</f>
        <v/>
      </c>
      <c r="T33">
        <f>IF(N33&lt;$T$1*0.5,"Низшая четверть",IF(N33&lt;$T$1,"Вторая четверть","Больше половины"))</f>
        <v/>
      </c>
      <c r="U33">
        <f>IF(O33&lt;$U$1*0.5,"Низшая четверть",IF(O33&lt;$U$1,"Вторая четверть","Больше половины"))</f>
        <v/>
      </c>
      <c r="V33">
        <f>IF(OR(N33&lt;SUMIFS(L:L,R:R,1,E:E,E33)/SUMIFS(K:K,R:R,1,E:E,E33)*0.5,O33&lt;SUMIFS(M:M,R:R,1,E:E,E33)/SUMIFS(L:L,R:R,1,E:E,E33)*0.5),"код для проверки","нормальный код")</f>
        <v/>
      </c>
      <c r="W33">
        <f>IF(N33&lt;SUMIFS(L:L,R:R,1,E:E,E33)/SUMIFS(K:K,R:R,1,E:E,E33)*0.5,"Низшая четверть",IF(N33&lt;SUMIFS(L:L,R:R,1,E:E,E33)/SUMIFS(K:K,R:R,1,E:E,E33),"Вторая четверть","Больше половины"))</f>
        <v/>
      </c>
      <c r="X33">
        <f>IF(O33&lt;SUMIFS(M:M,R:R,1,E:E,E33)/SUMIFS(L:L,R:R,1,E:E,E33)*0.5,"Низшая четверть",IF(O33&lt;SUMIFS(M:M,R:R,1,E:E,E33)/SUMIFS(L:L,R:R,1,E:E,E33),"Вторая четверть","Больше половины"))</f>
        <v/>
      </c>
      <c r="Y33" t="n">
        <v>16</v>
      </c>
    </row>
    <row r="34">
      <c r="A34" s="1" t="inlineStr">
        <is>
          <t>95200120</t>
        </is>
      </c>
      <c r="B34" s="2" t="inlineStr">
        <is>
          <t>786399453</t>
        </is>
      </c>
      <c r="C34" s="3" t="inlineStr">
        <is>
          <t>Одежда для детей</t>
        </is>
      </c>
      <c r="D34" s="2" t="inlineStr">
        <is>
          <t>Верхняя одежда детская для мальчиков</t>
        </is>
      </c>
      <c r="E34" s="3" t="inlineStr">
        <is>
          <t>952 Ветровка детская для мальчиков</t>
        </is>
      </c>
      <c r="F34" s="2" t="inlineStr">
        <is>
          <t>демисезонный</t>
        </is>
      </c>
      <c r="G34" s="3" t="inlineStr">
        <is>
          <t>kari</t>
        </is>
      </c>
      <c r="H34" s="2" t="inlineStr">
        <is>
          <t>Зиннуров Ильнур</t>
        </is>
      </c>
      <c r="J34" s="3" t="inlineStr">
        <is>
          <t>2026SS</t>
        </is>
      </c>
      <c r="K34" s="3" t="n">
        <v>131067</v>
      </c>
      <c r="L34" s="3" t="n">
        <v>6107</v>
      </c>
      <c r="M34" s="3" t="n">
        <v>85</v>
      </c>
      <c r="N34" s="4">
        <f>IFERROR(L34/K34,0)</f>
        <v/>
      </c>
      <c r="O34" s="4">
        <f>IFERROR(M34/L34,0)</f>
        <v/>
      </c>
      <c r="P34" t="n">
        <v>1112</v>
      </c>
      <c r="Q34" s="5" t="n">
        <v>1</v>
      </c>
      <c r="R34" s="7" t="n">
        <v>1</v>
      </c>
      <c r="S34">
        <f>IF(OR(N34&lt;$T$1*0.5,O34&lt;$U$1*0.5),"код для проверки","нормальный код")</f>
        <v/>
      </c>
      <c r="T34">
        <f>IF(N34&lt;$T$1*0.5,"Низшая четверть",IF(N34&lt;$T$1,"Вторая четверть","Больше половины"))</f>
        <v/>
      </c>
      <c r="U34">
        <f>IF(O34&lt;$U$1*0.5,"Низшая четверть",IF(O34&lt;$U$1,"Вторая четверть","Больше половины"))</f>
        <v/>
      </c>
      <c r="V34">
        <f>IF(OR(N34&lt;SUMIFS(L:L,R:R,1,E:E,E34)/SUMIFS(K:K,R:R,1,E:E,E34)*0.5,O34&lt;SUMIFS(M:M,R:R,1,E:E,E34)/SUMIFS(L:L,R:R,1,E:E,E34)*0.5),"код для проверки","нормальный код")</f>
        <v/>
      </c>
      <c r="W34">
        <f>IF(N34&lt;SUMIFS(L:L,R:R,1,E:E,E34)/SUMIFS(K:K,R:R,1,E:E,E34)*0.5,"Низшая четверть",IF(N34&lt;SUMIFS(L:L,R:R,1,E:E,E34)/SUMIFS(K:K,R:R,1,E:E,E34),"Вторая четверть","Больше половины"))</f>
        <v/>
      </c>
      <c r="X34">
        <f>IF(O34&lt;SUMIFS(M:M,R:R,1,E:E,E34)/SUMIFS(L:L,R:R,1,E:E,E34)*0.5,"Низшая четверть",IF(O34&lt;SUMIFS(M:M,R:R,1,E:E,E34)/SUMIFS(L:L,R:R,1,E:E,E34),"Вторая четверть","Больше половины"))</f>
        <v/>
      </c>
      <c r="Y34" t="n">
        <v>7</v>
      </c>
    </row>
    <row r="35">
      <c r="A35" s="1" t="inlineStr">
        <is>
          <t>310000A0</t>
        </is>
      </c>
      <c r="B35" s="2" t="inlineStr">
        <is>
          <t>708049755</t>
        </is>
      </c>
      <c r="C35" s="3" t="inlineStr">
        <is>
          <t>Одежда для детей</t>
        </is>
      </c>
      <c r="D35" s="2" t="inlineStr">
        <is>
          <t>Футболки, майки, рубашки детские для мальчиков</t>
        </is>
      </c>
      <c r="E35" s="3" t="inlineStr">
        <is>
          <t>310 Футболка детская для мальчиков</t>
        </is>
      </c>
      <c r="F35" s="2" t="inlineStr">
        <is>
          <t>всесезонный</t>
        </is>
      </c>
      <c r="G35" s="3" t="inlineStr">
        <is>
          <t>Kari KIDS</t>
        </is>
      </c>
      <c r="H35" s="2" t="inlineStr">
        <is>
          <t>Зиннуров Ильнур</t>
        </is>
      </c>
      <c r="J35" s="3" t="inlineStr">
        <is>
          <t>2026SS</t>
        </is>
      </c>
      <c r="K35" s="3" t="n">
        <v>130015</v>
      </c>
      <c r="L35" s="3" t="n">
        <v>14489</v>
      </c>
      <c r="M35" s="3" t="n">
        <v>286</v>
      </c>
      <c r="N35" s="4">
        <f>IFERROR(L35/K35,0)</f>
        <v/>
      </c>
      <c r="O35" s="4">
        <f>IFERROR(M35/L35,0)</f>
        <v/>
      </c>
      <c r="P35" t="n">
        <v>709</v>
      </c>
      <c r="Q35" s="5" t="n">
        <v>1</v>
      </c>
      <c r="R35" s="7" t="n">
        <v>1</v>
      </c>
      <c r="S35">
        <f>IF(OR(N35&lt;$T$1*0.5,O35&lt;$U$1*0.5),"код для проверки","нормальный код")</f>
        <v/>
      </c>
      <c r="T35">
        <f>IF(N35&lt;$T$1*0.5,"Низшая четверть",IF(N35&lt;$T$1,"Вторая четверть","Больше половины"))</f>
        <v/>
      </c>
      <c r="U35">
        <f>IF(O35&lt;$U$1*0.5,"Низшая четверть",IF(O35&lt;$U$1,"Вторая четверть","Больше половины"))</f>
        <v/>
      </c>
      <c r="V35">
        <f>IF(OR(N35&lt;SUMIFS(L:L,R:R,1,E:E,E35)/SUMIFS(K:K,R:R,1,E:E,E35)*0.5,O35&lt;SUMIFS(M:M,R:R,1,E:E,E35)/SUMIFS(L:L,R:R,1,E:E,E35)*0.5),"код для проверки","нормальный код")</f>
        <v/>
      </c>
      <c r="W35">
        <f>IF(N35&lt;SUMIFS(L:L,R:R,1,E:E,E35)/SUMIFS(K:K,R:R,1,E:E,E35)*0.5,"Низшая четверть",IF(N35&lt;SUMIFS(L:L,R:R,1,E:E,E35)/SUMIFS(K:K,R:R,1,E:E,E35),"Вторая четверть","Больше половины"))</f>
        <v/>
      </c>
      <c r="X35">
        <f>IF(O35&lt;SUMIFS(M:M,R:R,1,E:E,E35)/SUMIFS(L:L,R:R,1,E:E,E35)*0.5,"Низшая четверть",IF(O35&lt;SUMIFS(M:M,R:R,1,E:E,E35)/SUMIFS(L:L,R:R,1,E:E,E35),"Вторая четверть","Больше половины"))</f>
        <v/>
      </c>
      <c r="Y35" t="n">
        <v>19</v>
      </c>
    </row>
    <row r="36">
      <c r="A36" s="1" t="inlineStr">
        <is>
          <t>30200350</t>
        </is>
      </c>
      <c r="B36" s="2" t="inlineStr">
        <is>
          <t>788608588</t>
        </is>
      </c>
      <c r="C36" s="3" t="inlineStr">
        <is>
          <t>Одежда для детей</t>
        </is>
      </c>
      <c r="D36" s="2" t="inlineStr">
        <is>
          <t>Платья, майки, футболки детские для девочек</t>
        </is>
      </c>
      <c r="E36" s="3" t="inlineStr">
        <is>
          <t>302 Юбка детская для девочек</t>
        </is>
      </c>
      <c r="F36" s="2" t="inlineStr">
        <is>
          <t>всесезонный</t>
        </is>
      </c>
      <c r="G36" s="3" t="inlineStr">
        <is>
          <t>kari</t>
        </is>
      </c>
      <c r="H36" s="2" t="inlineStr">
        <is>
          <t>Зиннуров Ильнур</t>
        </is>
      </c>
      <c r="J36" s="3" t="inlineStr">
        <is>
          <t>2026SS</t>
        </is>
      </c>
      <c r="K36" s="3" t="n">
        <v>127757</v>
      </c>
      <c r="L36" s="3" t="n">
        <v>12266</v>
      </c>
      <c r="M36" s="3" t="n">
        <v>401</v>
      </c>
      <c r="N36" s="4">
        <f>IFERROR(L36/K36,0)</f>
        <v/>
      </c>
      <c r="O36" s="4">
        <f>IFERROR(M36/L36,0)</f>
        <v/>
      </c>
      <c r="P36" t="n">
        <v>290</v>
      </c>
      <c r="Q36" s="5" t="n">
        <v>1</v>
      </c>
      <c r="R36" s="7" t="n">
        <v>1</v>
      </c>
      <c r="S36">
        <f>IF(OR(N36&lt;$T$1*0.5,O36&lt;$U$1*0.5),"код для проверки","нормальный код")</f>
        <v/>
      </c>
      <c r="T36">
        <f>IF(N36&lt;$T$1*0.5,"Низшая четверть",IF(N36&lt;$T$1,"Вторая четверть","Больше половины"))</f>
        <v/>
      </c>
      <c r="U36">
        <f>IF(O36&lt;$U$1*0.5,"Низшая четверть",IF(O36&lt;$U$1,"Вторая четверть","Больше половины"))</f>
        <v/>
      </c>
      <c r="V36">
        <f>IF(OR(N36&lt;SUMIFS(L:L,R:R,1,E:E,E36)/SUMIFS(K:K,R:R,1,E:E,E36)*0.5,O36&lt;SUMIFS(M:M,R:R,1,E:E,E36)/SUMIFS(L:L,R:R,1,E:E,E36)*0.5),"код для проверки","нормальный код")</f>
        <v/>
      </c>
      <c r="W36">
        <f>IF(N36&lt;SUMIFS(L:L,R:R,1,E:E,E36)/SUMIFS(K:K,R:R,1,E:E,E36)*0.5,"Низшая четверть",IF(N36&lt;SUMIFS(L:L,R:R,1,E:E,E36)/SUMIFS(K:K,R:R,1,E:E,E36),"Вторая четверть","Больше половины"))</f>
        <v/>
      </c>
      <c r="X36">
        <f>IF(O36&lt;SUMIFS(M:M,R:R,1,E:E,E36)/SUMIFS(L:L,R:R,1,E:E,E36)*0.5,"Низшая четверть",IF(O36&lt;SUMIFS(M:M,R:R,1,E:E,E36)/SUMIFS(L:L,R:R,1,E:E,E36),"Вторая четверть","Больше половины"))</f>
        <v/>
      </c>
      <c r="Y36" t="n">
        <v>18</v>
      </c>
    </row>
    <row r="37">
      <c r="A37" s="1" t="inlineStr">
        <is>
          <t>18200170</t>
        </is>
      </c>
      <c r="B37" s="2" t="inlineStr">
        <is>
          <t>762057086</t>
        </is>
      </c>
      <c r="C37" s="3" t="inlineStr">
        <is>
          <t>Одежда для детей</t>
        </is>
      </c>
      <c r="D37" s="2" t="inlineStr">
        <is>
          <t>Джинсы детские для мальчиков</t>
        </is>
      </c>
      <c r="E37" s="3" t="inlineStr">
        <is>
          <t>182 Джинсы детские для мальчиков</t>
        </is>
      </c>
      <c r="F37" s="2" t="inlineStr">
        <is>
          <t>всесезонный</t>
        </is>
      </c>
      <c r="G37" s="3" t="inlineStr">
        <is>
          <t>Kari KIDS</t>
        </is>
      </c>
      <c r="H37" s="2" t="inlineStr">
        <is>
          <t>Зиннуров Ильнур</t>
        </is>
      </c>
      <c r="J37" s="3" t="inlineStr">
        <is>
          <t>2026SS</t>
        </is>
      </c>
      <c r="K37" s="3" t="n">
        <v>127675</v>
      </c>
      <c r="L37" s="3" t="n">
        <v>8349</v>
      </c>
      <c r="M37" s="3" t="n">
        <v>362</v>
      </c>
      <c r="N37" s="4">
        <f>IFERROR(L37/K37,0)</f>
        <v/>
      </c>
      <c r="O37" s="4">
        <f>IFERROR(M37/L37,0)</f>
        <v/>
      </c>
      <c r="P37" t="n">
        <v>320</v>
      </c>
      <c r="Q37" s="5" t="n">
        <v>1</v>
      </c>
      <c r="R37" s="7" t="n">
        <v>1</v>
      </c>
      <c r="S37">
        <f>IF(OR(N37&lt;$T$1*0.5,O37&lt;$U$1*0.5),"код для проверки","нормальный код")</f>
        <v/>
      </c>
      <c r="T37">
        <f>IF(N37&lt;$T$1*0.5,"Низшая четверть",IF(N37&lt;$T$1,"Вторая четверть","Больше половины"))</f>
        <v/>
      </c>
      <c r="U37">
        <f>IF(O37&lt;$U$1*0.5,"Низшая четверть",IF(O37&lt;$U$1,"Вторая четверть","Больше половины"))</f>
        <v/>
      </c>
      <c r="V37">
        <f>IF(OR(N37&lt;SUMIFS(L:L,R:R,1,E:E,E37)/SUMIFS(K:K,R:R,1,E:E,E37)*0.5,O37&lt;SUMIFS(M:M,R:R,1,E:E,E37)/SUMIFS(L:L,R:R,1,E:E,E37)*0.5),"код для проверки","нормальный код")</f>
        <v/>
      </c>
      <c r="W37">
        <f>IF(N37&lt;SUMIFS(L:L,R:R,1,E:E,E37)/SUMIFS(K:K,R:R,1,E:E,E37)*0.5,"Низшая четверть",IF(N37&lt;SUMIFS(L:L,R:R,1,E:E,E37)/SUMIFS(K:K,R:R,1,E:E,E37),"Вторая четверть","Больше половины"))</f>
        <v/>
      </c>
      <c r="X37">
        <f>IF(O37&lt;SUMIFS(M:M,R:R,1,E:E,E37)/SUMIFS(L:L,R:R,1,E:E,E37)*0.5,"Низшая четверть",IF(O37&lt;SUMIFS(M:M,R:R,1,E:E,E37)/SUMIFS(L:L,R:R,1,E:E,E37),"Вторая четверть","Больше половины"))</f>
        <v/>
      </c>
      <c r="Y37" t="n">
        <v>23</v>
      </c>
    </row>
    <row r="38">
      <c r="A38" s="1" t="inlineStr">
        <is>
          <t>18100320</t>
        </is>
      </c>
      <c r="B38" s="2" t="inlineStr">
        <is>
          <t>762057001</t>
        </is>
      </c>
      <c r="C38" s="3" t="inlineStr">
        <is>
          <t>Одежда для детей</t>
        </is>
      </c>
      <c r="D38" s="2" t="inlineStr">
        <is>
          <t>Джинсы детские для девочек</t>
        </is>
      </c>
      <c r="E38" s="3" t="inlineStr">
        <is>
          <t>181 Джинсы детские для девочек</t>
        </is>
      </c>
      <c r="F38" s="2" t="inlineStr">
        <is>
          <t>всесезонный</t>
        </is>
      </c>
      <c r="G38" s="3" t="inlineStr">
        <is>
          <t>Kari KIDS</t>
        </is>
      </c>
      <c r="H38" s="2" t="inlineStr">
        <is>
          <t>Зиннуров Ильнур</t>
        </is>
      </c>
      <c r="J38" s="3" t="inlineStr">
        <is>
          <t>2026SS</t>
        </is>
      </c>
      <c r="K38" s="3" t="n">
        <v>127539</v>
      </c>
      <c r="L38" s="3" t="n">
        <v>9847</v>
      </c>
      <c r="M38" s="3" t="n">
        <v>216</v>
      </c>
      <c r="N38" s="4">
        <f>IFERROR(L38/K38,0)</f>
        <v/>
      </c>
      <c r="O38" s="4">
        <f>IFERROR(M38/L38,0)</f>
        <v/>
      </c>
      <c r="P38" t="n">
        <v>671</v>
      </c>
      <c r="Q38" s="5" t="n">
        <v>1</v>
      </c>
      <c r="R38" s="7" t="n">
        <v>1</v>
      </c>
      <c r="S38">
        <f>IF(OR(N38&lt;$T$1*0.5,O38&lt;$U$1*0.5),"код для проверки","нормальный код")</f>
        <v/>
      </c>
      <c r="T38">
        <f>IF(N38&lt;$T$1*0.5,"Низшая четверть",IF(N38&lt;$T$1,"Вторая четверть","Больше половины"))</f>
        <v/>
      </c>
      <c r="U38">
        <f>IF(O38&lt;$U$1*0.5,"Низшая четверть",IF(O38&lt;$U$1,"Вторая четверть","Больше половины"))</f>
        <v/>
      </c>
      <c r="V38">
        <f>IF(OR(N38&lt;SUMIFS(L:L,R:R,1,E:E,E38)/SUMIFS(K:K,R:R,1,E:E,E38)*0.5,O38&lt;SUMIFS(M:M,R:R,1,E:E,E38)/SUMIFS(L:L,R:R,1,E:E,E38)*0.5),"код для проверки","нормальный код")</f>
        <v/>
      </c>
      <c r="W38">
        <f>IF(N38&lt;SUMIFS(L:L,R:R,1,E:E,E38)/SUMIFS(K:K,R:R,1,E:E,E38)*0.5,"Низшая четверть",IF(N38&lt;SUMIFS(L:L,R:R,1,E:E,E38)/SUMIFS(K:K,R:R,1,E:E,E38),"Вторая четверть","Больше половины"))</f>
        <v/>
      </c>
      <c r="X38">
        <f>IF(O38&lt;SUMIFS(M:M,R:R,1,E:E,E38)/SUMIFS(L:L,R:R,1,E:E,E38)*0.5,"Низшая четверть",IF(O38&lt;SUMIFS(M:M,R:R,1,E:E,E38)/SUMIFS(L:L,R:R,1,E:E,E38),"Вторая четверть","Больше половины"))</f>
        <v/>
      </c>
      <c r="Y38" t="n">
        <v>9</v>
      </c>
    </row>
    <row r="39">
      <c r="A39" s="1" t="inlineStr">
        <is>
          <t>95400220</t>
        </is>
      </c>
      <c r="B39" s="2" t="inlineStr">
        <is>
          <t>835127759</t>
        </is>
      </c>
      <c r="C39" s="3" t="inlineStr">
        <is>
          <t>Одежда для детей</t>
        </is>
      </c>
      <c r="D39" s="2" t="inlineStr">
        <is>
          <t>Верхняя детская одежда для девочек</t>
        </is>
      </c>
      <c r="E39" s="3" t="inlineStr">
        <is>
          <t>954 Ветровка детская для девочек</t>
        </is>
      </c>
      <c r="F39" s="2" t="inlineStr">
        <is>
          <t>демисезонный</t>
        </is>
      </c>
      <c r="G39" s="3" t="inlineStr">
        <is>
          <t>kari</t>
        </is>
      </c>
      <c r="H39" s="2" t="inlineStr">
        <is>
          <t>Зиннуров Ильнур</t>
        </is>
      </c>
      <c r="J39" s="3" t="inlineStr">
        <is>
          <t>2026SS</t>
        </is>
      </c>
      <c r="K39" s="3" t="n">
        <v>127272</v>
      </c>
      <c r="L39" s="3" t="n">
        <v>6556</v>
      </c>
      <c r="M39" s="3" t="n">
        <v>71</v>
      </c>
      <c r="N39" s="4">
        <f>IFERROR(L39/K39,0)</f>
        <v/>
      </c>
      <c r="O39" s="4">
        <f>IFERROR(M39/L39,0)</f>
        <v/>
      </c>
      <c r="P39" t="n">
        <v>928</v>
      </c>
      <c r="Q39" s="5" t="n">
        <v>1</v>
      </c>
      <c r="R39" s="7" t="n">
        <v>1</v>
      </c>
      <c r="S39">
        <f>IF(OR(N39&lt;$T$1*0.5,O39&lt;$U$1*0.5),"код для проверки","нормальный код")</f>
        <v/>
      </c>
      <c r="T39">
        <f>IF(N39&lt;$T$1*0.5,"Низшая четверть",IF(N39&lt;$T$1,"Вторая четверть","Больше половины"))</f>
        <v/>
      </c>
      <c r="U39">
        <f>IF(O39&lt;$U$1*0.5,"Низшая четверть",IF(O39&lt;$U$1,"Вторая четверть","Больше половины"))</f>
        <v/>
      </c>
      <c r="V39">
        <f>IF(OR(N39&lt;SUMIFS(L:L,R:R,1,E:E,E39)/SUMIFS(K:K,R:R,1,E:E,E39)*0.5,O39&lt;SUMIFS(M:M,R:R,1,E:E,E39)/SUMIFS(L:L,R:R,1,E:E,E39)*0.5),"код для проверки","нормальный код")</f>
        <v/>
      </c>
      <c r="W39">
        <f>IF(N39&lt;SUMIFS(L:L,R:R,1,E:E,E39)/SUMIFS(K:K,R:R,1,E:E,E39)*0.5,"Низшая четверть",IF(N39&lt;SUMIFS(L:L,R:R,1,E:E,E39)/SUMIFS(K:K,R:R,1,E:E,E39),"Вторая четверть","Больше половины"))</f>
        <v/>
      </c>
      <c r="X39">
        <f>IF(O39&lt;SUMIFS(M:M,R:R,1,E:E,E39)/SUMIFS(L:L,R:R,1,E:E,E39)*0.5,"Низшая четверть",IF(O39&lt;SUMIFS(M:M,R:R,1,E:E,E39)/SUMIFS(L:L,R:R,1,E:E,E39),"Вторая четверть","Больше половины"))</f>
        <v/>
      </c>
      <c r="Y39" t="n">
        <v>8</v>
      </c>
    </row>
    <row r="40">
      <c r="A40" s="1" t="inlineStr">
        <is>
          <t>88600040</t>
        </is>
      </c>
      <c r="B40" s="2" t="inlineStr">
        <is>
          <t>790337428</t>
        </is>
      </c>
      <c r="C40" s="3" t="inlineStr">
        <is>
          <t>Одежда для детей</t>
        </is>
      </c>
      <c r="D40" s="2" t="inlineStr">
        <is>
          <t>Верхняя детская одежда для девочек</t>
        </is>
      </c>
      <c r="E40" s="3" t="inlineStr">
        <is>
          <t>886 Жилет утепленный детский для девочек</t>
        </is>
      </c>
      <c r="F40" s="2" t="inlineStr">
        <is>
          <t>демисезонный</t>
        </is>
      </c>
      <c r="G40" s="3" t="inlineStr">
        <is>
          <t>kari</t>
        </is>
      </c>
      <c r="H40" s="2" t="inlineStr">
        <is>
          <t>Зиннуров Ильнур</t>
        </is>
      </c>
      <c r="J40" s="3" t="inlineStr">
        <is>
          <t>2026SS</t>
        </is>
      </c>
      <c r="K40" s="3" t="n">
        <v>126328</v>
      </c>
      <c r="L40" s="3" t="n">
        <v>9800</v>
      </c>
      <c r="M40" s="3" t="n">
        <v>196</v>
      </c>
      <c r="N40" s="4">
        <f>IFERROR(L40/K40,0)</f>
        <v/>
      </c>
      <c r="O40" s="4">
        <f>IFERROR(M40/L40,0)</f>
        <v/>
      </c>
      <c r="P40" t="n">
        <v>280</v>
      </c>
      <c r="Q40" s="5" t="n">
        <v>1</v>
      </c>
      <c r="R40" s="7" t="n">
        <v>1</v>
      </c>
      <c r="S40">
        <f>IF(OR(N40&lt;$T$1*0.5,O40&lt;$U$1*0.5),"код для проверки","нормальный код")</f>
        <v/>
      </c>
      <c r="T40">
        <f>IF(N40&lt;$T$1*0.5,"Низшая четверть",IF(N40&lt;$T$1,"Вторая четверть","Больше половины"))</f>
        <v/>
      </c>
      <c r="U40">
        <f>IF(O40&lt;$U$1*0.5,"Низшая четверть",IF(O40&lt;$U$1,"Вторая четверть","Больше половины"))</f>
        <v/>
      </c>
      <c r="V40">
        <f>IF(OR(N40&lt;SUMIFS(L:L,R:R,1,E:E,E40)/SUMIFS(K:K,R:R,1,E:E,E40)*0.5,O40&lt;SUMIFS(M:M,R:R,1,E:E,E40)/SUMIFS(L:L,R:R,1,E:E,E40)*0.5),"код для проверки","нормальный код")</f>
        <v/>
      </c>
      <c r="W40">
        <f>IF(N40&lt;SUMIFS(L:L,R:R,1,E:E,E40)/SUMIFS(K:K,R:R,1,E:E,E40)*0.5,"Низшая четверть",IF(N40&lt;SUMIFS(L:L,R:R,1,E:E,E40)/SUMIFS(K:K,R:R,1,E:E,E40),"Вторая четверть","Больше половины"))</f>
        <v/>
      </c>
      <c r="X40">
        <f>IF(O40&lt;SUMIFS(M:M,R:R,1,E:E,E40)/SUMIFS(L:L,R:R,1,E:E,E40)*0.5,"Низшая четверть",IF(O40&lt;SUMIFS(M:M,R:R,1,E:E,E40)/SUMIFS(L:L,R:R,1,E:E,E40),"Вторая четверть","Больше половины"))</f>
        <v/>
      </c>
      <c r="Y40" t="n">
        <v>23</v>
      </c>
    </row>
    <row r="41">
      <c r="A41" s="1" t="inlineStr">
        <is>
          <t>18200220</t>
        </is>
      </c>
      <c r="B41" s="2" t="inlineStr">
        <is>
          <t>788369310</t>
        </is>
      </c>
      <c r="C41" s="3" t="inlineStr">
        <is>
          <t>Одежда для детей</t>
        </is>
      </c>
      <c r="D41" s="2" t="inlineStr">
        <is>
          <t>Джинсы детские для мальчиков</t>
        </is>
      </c>
      <c r="E41" s="3" t="inlineStr">
        <is>
          <t>182 Джинсы детские для мальчиков</t>
        </is>
      </c>
      <c r="F41" s="2" t="inlineStr">
        <is>
          <t>всесезонный</t>
        </is>
      </c>
      <c r="G41" s="3" t="inlineStr">
        <is>
          <t>kari</t>
        </is>
      </c>
      <c r="H41" s="2" t="inlineStr">
        <is>
          <t>Зиннуров Ильнур</t>
        </is>
      </c>
      <c r="J41" s="3" t="inlineStr">
        <is>
          <t>2026SS</t>
        </is>
      </c>
      <c r="K41" s="3" t="n">
        <v>125258</v>
      </c>
      <c r="L41" s="3" t="n">
        <v>4551</v>
      </c>
      <c r="M41" s="3" t="n">
        <v>187</v>
      </c>
      <c r="N41" s="4">
        <f>IFERROR(L41/K41,0)</f>
        <v/>
      </c>
      <c r="O41" s="4">
        <f>IFERROR(M41/L41,0)</f>
        <v/>
      </c>
      <c r="P41" t="n">
        <v>953</v>
      </c>
      <c r="Q41" s="5" t="n">
        <v>1</v>
      </c>
      <c r="R41" s="7" t="n">
        <v>1</v>
      </c>
      <c r="S41">
        <f>IF(OR(N41&lt;$T$1*0.5,O41&lt;$U$1*0.5),"код для проверки","нормальный код")</f>
        <v/>
      </c>
      <c r="T41">
        <f>IF(N41&lt;$T$1*0.5,"Низшая четверть",IF(N41&lt;$T$1,"Вторая четверть","Больше половины"))</f>
        <v/>
      </c>
      <c r="U41">
        <f>IF(O41&lt;$U$1*0.5,"Низшая четверть",IF(O41&lt;$U$1,"Вторая четверть","Больше половины"))</f>
        <v/>
      </c>
      <c r="V41">
        <f>IF(OR(N41&lt;SUMIFS(L:L,R:R,1,E:E,E41)/SUMIFS(K:K,R:R,1,E:E,E41)*0.5,O41&lt;SUMIFS(M:M,R:R,1,E:E,E41)/SUMIFS(L:L,R:R,1,E:E,E41)*0.5),"код для проверки","нормальный код")</f>
        <v/>
      </c>
      <c r="W41">
        <f>IF(N41&lt;SUMIFS(L:L,R:R,1,E:E,E41)/SUMIFS(K:K,R:R,1,E:E,E41)*0.5,"Низшая четверть",IF(N41&lt;SUMIFS(L:L,R:R,1,E:E,E41)/SUMIFS(K:K,R:R,1,E:E,E41),"Вторая четверть","Больше половины"))</f>
        <v/>
      </c>
      <c r="X41">
        <f>IF(O41&lt;SUMIFS(M:M,R:R,1,E:E,E41)/SUMIFS(L:L,R:R,1,E:E,E41)*0.5,"Низшая четверть",IF(O41&lt;SUMIFS(M:M,R:R,1,E:E,E41)/SUMIFS(L:L,R:R,1,E:E,E41),"Вторая четверть","Больше половины"))</f>
        <v/>
      </c>
      <c r="Y41" t="n">
        <v>24</v>
      </c>
    </row>
    <row r="42">
      <c r="A42" s="1" t="inlineStr">
        <is>
          <t>18200210</t>
        </is>
      </c>
      <c r="B42" s="2" t="inlineStr">
        <is>
          <t>788369489</t>
        </is>
      </c>
      <c r="C42" s="3" t="inlineStr">
        <is>
          <t>Одежда для детей</t>
        </is>
      </c>
      <c r="D42" s="2" t="inlineStr">
        <is>
          <t>Джинсы детские для мальчиков</t>
        </is>
      </c>
      <c r="E42" s="3" t="inlineStr">
        <is>
          <t>182 Джинсы детские для мальчиков</t>
        </is>
      </c>
      <c r="F42" s="2" t="inlineStr">
        <is>
          <t>всесезонный</t>
        </is>
      </c>
      <c r="G42" s="3" t="inlineStr">
        <is>
          <t>kari</t>
        </is>
      </c>
      <c r="H42" s="2" t="inlineStr">
        <is>
          <t>Зиннуров Ильнур</t>
        </is>
      </c>
      <c r="J42" s="3" t="inlineStr">
        <is>
          <t>2026SS</t>
        </is>
      </c>
      <c r="K42" s="3" t="n">
        <v>124650</v>
      </c>
      <c r="L42" s="3" t="n">
        <v>4745</v>
      </c>
      <c r="M42" s="3" t="n">
        <v>147</v>
      </c>
      <c r="N42" s="4">
        <f>IFERROR(L42/K42,0)</f>
        <v/>
      </c>
      <c r="O42" s="4">
        <f>IFERROR(M42/L42,0)</f>
        <v/>
      </c>
      <c r="P42" t="n">
        <v>1521</v>
      </c>
      <c r="Q42" s="5" t="n">
        <v>1</v>
      </c>
      <c r="R42" s="7" t="n">
        <v>1</v>
      </c>
      <c r="S42">
        <f>IF(OR(N42&lt;$T$1*0.5,O42&lt;$U$1*0.5),"код для проверки","нормальный код")</f>
        <v/>
      </c>
      <c r="T42">
        <f>IF(N42&lt;$T$1*0.5,"Низшая четверть",IF(N42&lt;$T$1,"Вторая четверть","Больше половины"))</f>
        <v/>
      </c>
      <c r="U42">
        <f>IF(O42&lt;$U$1*0.5,"Низшая четверть",IF(O42&lt;$U$1,"Вторая четверть","Больше половины"))</f>
        <v/>
      </c>
      <c r="V42">
        <f>IF(OR(N42&lt;SUMIFS(L:L,R:R,1,E:E,E42)/SUMIFS(K:K,R:R,1,E:E,E42)*0.5,O42&lt;SUMIFS(M:M,R:R,1,E:E,E42)/SUMIFS(L:L,R:R,1,E:E,E42)*0.5),"код для проверки","нормальный код")</f>
        <v/>
      </c>
      <c r="W42">
        <f>IF(N42&lt;SUMIFS(L:L,R:R,1,E:E,E42)/SUMIFS(K:K,R:R,1,E:E,E42)*0.5,"Низшая четверть",IF(N42&lt;SUMIFS(L:L,R:R,1,E:E,E42)/SUMIFS(K:K,R:R,1,E:E,E42),"Вторая четверть","Больше половины"))</f>
        <v/>
      </c>
      <c r="X42">
        <f>IF(O42&lt;SUMIFS(M:M,R:R,1,E:E,E42)/SUMIFS(L:L,R:R,1,E:E,E42)*0.5,"Низшая четверть",IF(O42&lt;SUMIFS(M:M,R:R,1,E:E,E42)/SUMIFS(L:L,R:R,1,E:E,E42),"Вторая четверть","Больше половины"))</f>
        <v/>
      </c>
      <c r="Y42" t="n">
        <v>22</v>
      </c>
    </row>
    <row r="43">
      <c r="A43" s="1" t="inlineStr">
        <is>
          <t>29709000</t>
        </is>
      </c>
      <c r="B43" s="2" t="inlineStr">
        <is>
          <t>465496481</t>
        </is>
      </c>
      <c r="C43" s="3" t="inlineStr">
        <is>
          <t>Одежда для детей</t>
        </is>
      </c>
      <c r="D43" s="2" t="inlineStr">
        <is>
          <t>Пиджаки, костюмы детские для девочек</t>
        </is>
      </c>
      <c r="E43" s="3" t="inlineStr">
        <is>
          <t>297 Кофта детская для девочек</t>
        </is>
      </c>
      <c r="F43" s="2" t="inlineStr">
        <is>
          <t>осень, зима</t>
        </is>
      </c>
      <c r="G43" s="3" t="inlineStr">
        <is>
          <t>Kari KIDS</t>
        </is>
      </c>
      <c r="H43" s="2" t="inlineStr">
        <is>
          <t>Зиннуров Ильнур</t>
        </is>
      </c>
      <c r="J43" s="3" t="inlineStr">
        <is>
          <t>2026SS</t>
        </is>
      </c>
      <c r="K43" s="3" t="n">
        <v>120839</v>
      </c>
      <c r="L43" s="3" t="n">
        <v>7144</v>
      </c>
      <c r="M43" s="3" t="n">
        <v>103</v>
      </c>
      <c r="N43" s="4">
        <f>IFERROR(L43/K43,0)</f>
        <v/>
      </c>
      <c r="O43" s="4">
        <f>IFERROR(M43/L43,0)</f>
        <v/>
      </c>
      <c r="P43" t="n">
        <v>2</v>
      </c>
      <c r="Q43" s="5" t="n">
        <v>0.8</v>
      </c>
      <c r="R43" s="7" t="n">
        <v>0</v>
      </c>
      <c r="S43" t="inlineStr">
        <is>
          <t>Мало остатка</t>
        </is>
      </c>
      <c r="T43">
        <f>IF(N43&lt;$T$1*0.5,"Низшая четверть",IF(N43&lt;$T$1,"Вторая четверть","Больше половины"))</f>
        <v/>
      </c>
      <c r="U43">
        <f>IF(O43&lt;$U$1*0.5,"Низшая четверть",IF(O43&lt;$U$1,"Вторая четверть","Больше половины"))</f>
        <v/>
      </c>
      <c r="V43">
        <f>IF(OR(N43&lt;SUMIFS(L:L,R:R,1,E:E,E43)/SUMIFS(K:K,R:R,1,E:E,E43)*0.5,O43&lt;SUMIFS(M:M,R:R,1,E:E,E43)/SUMIFS(L:L,R:R,1,E:E,E43)*0.5),"код для проверки","нормальный код")</f>
        <v/>
      </c>
      <c r="W43">
        <f>IF(N43&lt;SUMIFS(L:L,R:R,1,E:E,E43)/SUMIFS(K:K,R:R,1,E:E,E43)*0.5,"Низшая четверть",IF(N43&lt;SUMIFS(L:L,R:R,1,E:E,E43)/SUMIFS(K:K,R:R,1,E:E,E43),"Вторая четверть","Больше половины"))</f>
        <v/>
      </c>
      <c r="X43">
        <f>IF(O43&lt;SUMIFS(M:M,R:R,1,E:E,E43)/SUMIFS(L:L,R:R,1,E:E,E43)*0.5,"Низшая четверть",IF(O43&lt;SUMIFS(M:M,R:R,1,E:E,E43)/SUMIFS(L:L,R:R,1,E:E,E43),"Вторая четверть","Больше половины"))</f>
        <v/>
      </c>
      <c r="Y43" t="n">
        <v>16</v>
      </c>
    </row>
    <row r="44">
      <c r="A44" s="1" t="inlineStr">
        <is>
          <t>a6000000</t>
        </is>
      </c>
      <c r="B44" s="2" t="inlineStr">
        <is>
          <t>819952150</t>
        </is>
      </c>
      <c r="C44" s="3" t="inlineStr">
        <is>
          <t>Одежда для детей</t>
        </is>
      </c>
      <c r="D44" s="2" t="inlineStr">
        <is>
          <t>Платья, майки, футболки детские для девочек</t>
        </is>
      </c>
      <c r="E44" s="3" t="inlineStr">
        <is>
          <t>a60 Футболка детская для девочек</t>
        </is>
      </c>
      <c r="F44" s="2" t="inlineStr">
        <is>
          <t>всесезонный</t>
        </is>
      </c>
      <c r="G44" s="3" t="inlineStr">
        <is>
          <t>Kari KIDS</t>
        </is>
      </c>
      <c r="H44" s="2" t="inlineStr">
        <is>
          <t>Зиннуров Ильнур</t>
        </is>
      </c>
      <c r="J44" s="3" t="inlineStr">
        <is>
          <t>2026SS</t>
        </is>
      </c>
      <c r="K44" s="3" t="n">
        <v>120777</v>
      </c>
      <c r="L44" s="3" t="n">
        <v>8716</v>
      </c>
      <c r="M44" s="3" t="n">
        <v>189</v>
      </c>
      <c r="N44" s="4">
        <f>IFERROR(L44/K44,0)</f>
        <v/>
      </c>
      <c r="O44" s="4">
        <f>IFERROR(M44/L44,0)</f>
        <v/>
      </c>
      <c r="P44" t="n">
        <v>688</v>
      </c>
      <c r="Q44" s="5" t="n">
        <v>1</v>
      </c>
      <c r="R44" s="7" t="n">
        <v>1</v>
      </c>
      <c r="S44">
        <f>IF(OR(N44&lt;$T$1*0.5,O44&lt;$U$1*0.5),"код для проверки","нормальный код")</f>
        <v/>
      </c>
      <c r="T44">
        <f>IF(N44&lt;$T$1*0.5,"Низшая четверть",IF(N44&lt;$T$1,"Вторая четверть","Больше половины"))</f>
        <v/>
      </c>
      <c r="U44">
        <f>IF(O44&lt;$U$1*0.5,"Низшая четверть",IF(O44&lt;$U$1,"Вторая четверть","Больше половины"))</f>
        <v/>
      </c>
      <c r="V44">
        <f>IF(OR(N44&lt;SUMIFS(L:L,R:R,1,E:E,E44)/SUMIFS(K:K,R:R,1,E:E,E44)*0.5,O44&lt;SUMIFS(M:M,R:R,1,E:E,E44)/SUMIFS(L:L,R:R,1,E:E,E44)*0.5),"код для проверки","нормальный код")</f>
        <v/>
      </c>
      <c r="W44">
        <f>IF(N44&lt;SUMIFS(L:L,R:R,1,E:E,E44)/SUMIFS(K:K,R:R,1,E:E,E44)*0.5,"Низшая четверть",IF(N44&lt;SUMIFS(L:L,R:R,1,E:E,E44)/SUMIFS(K:K,R:R,1,E:E,E44),"Вторая четверть","Больше половины"))</f>
        <v/>
      </c>
      <c r="X44">
        <f>IF(O44&lt;SUMIFS(M:M,R:R,1,E:E,E44)/SUMIFS(L:L,R:R,1,E:E,E44)*0.5,"Низшая четверть",IF(O44&lt;SUMIFS(M:M,R:R,1,E:E,E44)/SUMIFS(L:L,R:R,1,E:E,E44),"Вторая четверть","Больше половины"))</f>
        <v/>
      </c>
      <c r="Y44" t="n">
        <v>14</v>
      </c>
    </row>
    <row r="45">
      <c r="A45" s="1" t="inlineStr">
        <is>
          <t>18100180</t>
        </is>
      </c>
      <c r="B45" s="2" t="inlineStr">
        <is>
          <t>710160963</t>
        </is>
      </c>
      <c r="C45" s="3" t="inlineStr">
        <is>
          <t>Одежда для детей</t>
        </is>
      </c>
      <c r="D45" s="2" t="inlineStr">
        <is>
          <t>Джинсы детские для девочек</t>
        </is>
      </c>
      <c r="E45" s="3" t="inlineStr">
        <is>
          <t>181 Джинсы детские для девочек</t>
        </is>
      </c>
      <c r="F45" s="2" t="inlineStr">
        <is>
          <t>всесезонный</t>
        </is>
      </c>
      <c r="G45" s="3" t="inlineStr">
        <is>
          <t>Kari KIDS</t>
        </is>
      </c>
      <c r="H45" s="2" t="inlineStr">
        <is>
          <t>Зиннуров Ильнур</t>
        </is>
      </c>
      <c r="J45" s="3" t="inlineStr">
        <is>
          <t>2026SS</t>
        </is>
      </c>
      <c r="K45" s="3" t="n">
        <v>120085</v>
      </c>
      <c r="L45" s="3" t="n">
        <v>11691</v>
      </c>
      <c r="M45" s="3" t="n">
        <v>246</v>
      </c>
      <c r="N45" s="4">
        <f>IFERROR(L45/K45,0)</f>
        <v/>
      </c>
      <c r="O45" s="4">
        <f>IFERROR(M45/L45,0)</f>
        <v/>
      </c>
      <c r="P45" t="n">
        <v>321</v>
      </c>
      <c r="Q45" s="5" t="n">
        <v>1</v>
      </c>
      <c r="R45" s="7" t="n">
        <v>1</v>
      </c>
      <c r="S45">
        <f>IF(OR(N45&lt;$T$1*0.5,O45&lt;$U$1*0.5),"код для проверки","нормальный код")</f>
        <v/>
      </c>
      <c r="T45">
        <f>IF(N45&lt;$T$1*0.5,"Низшая четверть",IF(N45&lt;$T$1,"Вторая четверть","Больше половины"))</f>
        <v/>
      </c>
      <c r="U45">
        <f>IF(O45&lt;$U$1*0.5,"Низшая четверть",IF(O45&lt;$U$1,"Вторая четверть","Больше половины"))</f>
        <v/>
      </c>
      <c r="V45">
        <f>IF(OR(N45&lt;SUMIFS(L:L,R:R,1,E:E,E45)/SUMIFS(K:K,R:R,1,E:E,E45)*0.5,O45&lt;SUMIFS(M:M,R:R,1,E:E,E45)/SUMIFS(L:L,R:R,1,E:E,E45)*0.5),"код для проверки","нормальный код")</f>
        <v/>
      </c>
      <c r="W45">
        <f>IF(N45&lt;SUMIFS(L:L,R:R,1,E:E,E45)/SUMIFS(K:K,R:R,1,E:E,E45)*0.5,"Низшая четверть",IF(N45&lt;SUMIFS(L:L,R:R,1,E:E,E45)/SUMIFS(K:K,R:R,1,E:E,E45),"Вторая четверть","Больше половины"))</f>
        <v/>
      </c>
      <c r="X45">
        <f>IF(O45&lt;SUMIFS(M:M,R:R,1,E:E,E45)/SUMIFS(L:L,R:R,1,E:E,E45)*0.5,"Низшая четверть",IF(O45&lt;SUMIFS(M:M,R:R,1,E:E,E45)/SUMIFS(L:L,R:R,1,E:E,E45),"Вторая четверть","Больше половины"))</f>
        <v/>
      </c>
      <c r="Y45" t="n">
        <v>22</v>
      </c>
    </row>
    <row r="46">
      <c r="A46" s="1" t="inlineStr">
        <is>
          <t>95208170</t>
        </is>
      </c>
      <c r="B46" s="2" t="inlineStr">
        <is>
          <t>325157095</t>
        </is>
      </c>
      <c r="C46" s="3" t="inlineStr">
        <is>
          <t>Одежда для детей</t>
        </is>
      </c>
      <c r="D46" s="2" t="inlineStr">
        <is>
          <t>Верхняя одежда детская для мальчиков</t>
        </is>
      </c>
      <c r="E46" s="3" t="inlineStr">
        <is>
          <t>952 Ветровка детская для мальчиков</t>
        </is>
      </c>
      <c r="F46" s="2" t="inlineStr">
        <is>
          <t>демисезонный</t>
        </is>
      </c>
      <c r="G46" s="3" t="inlineStr">
        <is>
          <t>kari</t>
        </is>
      </c>
      <c r="H46" s="2" t="inlineStr">
        <is>
          <t>Зиннуров Ильнур</t>
        </is>
      </c>
      <c r="J46" s="3" t="inlineStr">
        <is>
          <t>2026SS</t>
        </is>
      </c>
      <c r="K46" s="3" t="n">
        <v>118681</v>
      </c>
      <c r="L46" s="3" t="n">
        <v>11125</v>
      </c>
      <c r="M46" s="3" t="n">
        <v>279</v>
      </c>
      <c r="N46" s="4">
        <f>IFERROR(L46/K46,0)</f>
        <v/>
      </c>
      <c r="O46" s="4">
        <f>IFERROR(M46/L46,0)</f>
        <v/>
      </c>
      <c r="P46" t="n">
        <v>114</v>
      </c>
      <c r="Q46" s="5" t="n">
        <v>1</v>
      </c>
      <c r="R46" s="7" t="n">
        <v>1</v>
      </c>
      <c r="S46">
        <f>IF(OR(N46&lt;$T$1*0.5,O46&lt;$U$1*0.5),"код для проверки","нормальный код")</f>
        <v/>
      </c>
      <c r="T46">
        <f>IF(N46&lt;$T$1*0.5,"Низшая четверть",IF(N46&lt;$T$1,"Вторая четверть","Больше половины"))</f>
        <v/>
      </c>
      <c r="U46">
        <f>IF(O46&lt;$U$1*0.5,"Низшая четверть",IF(O46&lt;$U$1,"Вторая четверть","Больше половины"))</f>
        <v/>
      </c>
      <c r="V46">
        <f>IF(OR(N46&lt;SUMIFS(L:L,R:R,1,E:E,E46)/SUMIFS(K:K,R:R,1,E:E,E46)*0.5,O46&lt;SUMIFS(M:M,R:R,1,E:E,E46)/SUMIFS(L:L,R:R,1,E:E,E46)*0.5),"код для проверки","нормальный код")</f>
        <v/>
      </c>
      <c r="W46">
        <f>IF(N46&lt;SUMIFS(L:L,R:R,1,E:E,E46)/SUMIFS(K:K,R:R,1,E:E,E46)*0.5,"Низшая четверть",IF(N46&lt;SUMIFS(L:L,R:R,1,E:E,E46)/SUMIFS(K:K,R:R,1,E:E,E46),"Вторая четверть","Больше половины"))</f>
        <v/>
      </c>
      <c r="X46">
        <f>IF(O46&lt;SUMIFS(M:M,R:R,1,E:E,E46)/SUMIFS(L:L,R:R,1,E:E,E46)*0.5,"Низшая четверть",IF(O46&lt;SUMIFS(M:M,R:R,1,E:E,E46)/SUMIFS(L:L,R:R,1,E:E,E46),"Вторая четверть","Больше половины"))</f>
        <v/>
      </c>
      <c r="Y46" t="n">
        <v>5</v>
      </c>
    </row>
    <row r="47">
      <c r="A47" s="1" t="inlineStr">
        <is>
          <t>310000B0</t>
        </is>
      </c>
      <c r="B47" s="2" t="inlineStr">
        <is>
          <t>723105235</t>
        </is>
      </c>
      <c r="C47" s="3" t="inlineStr">
        <is>
          <t>Одежда для детей</t>
        </is>
      </c>
      <c r="D47" s="2" t="inlineStr">
        <is>
          <t>Футболки, майки, рубашки детские для мальчиков</t>
        </is>
      </c>
      <c r="E47" s="3" t="inlineStr">
        <is>
          <t>310 Футболка детская для мальчиков</t>
        </is>
      </c>
      <c r="F47" s="2" t="inlineStr">
        <is>
          <t>всесезонный</t>
        </is>
      </c>
      <c r="G47" s="3" t="inlineStr">
        <is>
          <t>Kari KIDS</t>
        </is>
      </c>
      <c r="H47" s="2" t="inlineStr">
        <is>
          <t>Зиннуров Ильнур</t>
        </is>
      </c>
      <c r="J47" s="3" t="inlineStr">
        <is>
          <t>2026SS</t>
        </is>
      </c>
      <c r="K47" s="3" t="n">
        <v>113099</v>
      </c>
      <c r="L47" s="3" t="n">
        <v>9674</v>
      </c>
      <c r="M47" s="3" t="n">
        <v>218</v>
      </c>
      <c r="N47" s="4">
        <f>IFERROR(L47/K47,0)</f>
        <v/>
      </c>
      <c r="O47" s="4">
        <f>IFERROR(M47/L47,0)</f>
        <v/>
      </c>
      <c r="P47" t="n">
        <v>1453</v>
      </c>
      <c r="Q47" s="5" t="n">
        <v>1</v>
      </c>
      <c r="R47" s="7" t="n">
        <v>1</v>
      </c>
      <c r="S47">
        <f>IF(OR(N47&lt;$T$1*0.5,O47&lt;$U$1*0.5),"код для проверки","нормальный код")</f>
        <v/>
      </c>
      <c r="T47">
        <f>IF(N47&lt;$T$1*0.5,"Низшая четверть",IF(N47&lt;$T$1,"Вторая четверть","Больше половины"))</f>
        <v/>
      </c>
      <c r="U47">
        <f>IF(O47&lt;$U$1*0.5,"Низшая четверть",IF(O47&lt;$U$1,"Вторая четверть","Больше половины"))</f>
        <v/>
      </c>
      <c r="V47">
        <f>IF(OR(N47&lt;SUMIFS(L:L,R:R,1,E:E,E47)/SUMIFS(K:K,R:R,1,E:E,E47)*0.5,O47&lt;SUMIFS(M:M,R:R,1,E:E,E47)/SUMIFS(L:L,R:R,1,E:E,E47)*0.5),"код для проверки","нормальный код")</f>
        <v/>
      </c>
      <c r="W47">
        <f>IF(N47&lt;SUMIFS(L:L,R:R,1,E:E,E47)/SUMIFS(K:K,R:R,1,E:E,E47)*0.5,"Низшая четверть",IF(N47&lt;SUMIFS(L:L,R:R,1,E:E,E47)/SUMIFS(K:K,R:R,1,E:E,E47),"Вторая четверть","Больше половины"))</f>
        <v/>
      </c>
      <c r="X47">
        <f>IF(O47&lt;SUMIFS(M:M,R:R,1,E:E,E47)/SUMIFS(L:L,R:R,1,E:E,E47)*0.5,"Низшая четверть",IF(O47&lt;SUMIFS(M:M,R:R,1,E:E,E47)/SUMIFS(L:L,R:R,1,E:E,E47),"Вторая четверть","Больше половины"))</f>
        <v/>
      </c>
      <c r="Y47" t="n">
        <v>18</v>
      </c>
    </row>
    <row r="48">
      <c r="A48" s="1" t="inlineStr">
        <is>
          <t>87700080</t>
        </is>
      </c>
      <c r="B48" s="2" t="inlineStr">
        <is>
          <t>866468999</t>
        </is>
      </c>
      <c r="C48" s="3" t="inlineStr">
        <is>
          <t>Одежда для детей</t>
        </is>
      </c>
      <c r="D48" s="2" t="inlineStr">
        <is>
          <t>Верхняя одежда детская для мальчиков</t>
        </is>
      </c>
      <c r="E48" s="3" t="inlineStr">
        <is>
          <t>877 Жилет утепленный детский для мальчиков</t>
        </is>
      </c>
      <c r="F48" s="2" t="inlineStr">
        <is>
          <t>демисезонный</t>
        </is>
      </c>
      <c r="G48" s="3" t="inlineStr">
        <is>
          <t>Kari KIDS</t>
        </is>
      </c>
      <c r="H48" s="2" t="inlineStr">
        <is>
          <t>Зиннуров Ильнур</t>
        </is>
      </c>
      <c r="J48" s="3" t="inlineStr">
        <is>
          <t>2026SS</t>
        </is>
      </c>
      <c r="K48" s="3" t="n">
        <v>112998</v>
      </c>
      <c r="L48" s="3" t="n">
        <v>5708</v>
      </c>
      <c r="M48" s="3" t="n">
        <v>182</v>
      </c>
      <c r="N48" s="4">
        <f>IFERROR(L48/K48,0)</f>
        <v/>
      </c>
      <c r="O48" s="4">
        <f>IFERROR(M48/L48,0)</f>
        <v/>
      </c>
      <c r="P48" t="n">
        <v>540</v>
      </c>
      <c r="Q48" s="5" t="n">
        <v>1</v>
      </c>
      <c r="R48" s="7" t="n">
        <v>1</v>
      </c>
      <c r="S48">
        <f>IF(OR(N48&lt;$T$1*0.5,O48&lt;$U$1*0.5),"код для проверки","нормальный код")</f>
        <v/>
      </c>
      <c r="T48">
        <f>IF(N48&lt;$T$1*0.5,"Низшая четверть",IF(N48&lt;$T$1,"Вторая четверть","Больше половины"))</f>
        <v/>
      </c>
      <c r="U48">
        <f>IF(O48&lt;$U$1*0.5,"Низшая четверть",IF(O48&lt;$U$1,"Вторая четверть","Больше половины"))</f>
        <v/>
      </c>
      <c r="V48">
        <f>IF(OR(N48&lt;SUMIFS(L:L,R:R,1,E:E,E48)/SUMIFS(K:K,R:R,1,E:E,E48)*0.5,O48&lt;SUMIFS(M:M,R:R,1,E:E,E48)/SUMIFS(L:L,R:R,1,E:E,E48)*0.5),"код для проверки","нормальный код")</f>
        <v/>
      </c>
      <c r="W48">
        <f>IF(N48&lt;SUMIFS(L:L,R:R,1,E:E,E48)/SUMIFS(K:K,R:R,1,E:E,E48)*0.5,"Низшая четверть",IF(N48&lt;SUMIFS(L:L,R:R,1,E:E,E48)/SUMIFS(K:K,R:R,1,E:E,E48),"Вторая четверть","Больше половины"))</f>
        <v/>
      </c>
      <c r="X48">
        <f>IF(O48&lt;SUMIFS(M:M,R:R,1,E:E,E48)/SUMIFS(L:L,R:R,1,E:E,E48)*0.5,"Низшая четверть",IF(O48&lt;SUMIFS(M:M,R:R,1,E:E,E48)/SUMIFS(L:L,R:R,1,E:E,E48),"Вторая четверть","Больше половины"))</f>
        <v/>
      </c>
      <c r="Y48" t="n">
        <v>24</v>
      </c>
    </row>
    <row r="49">
      <c r="A49" s="1" t="inlineStr">
        <is>
          <t>18100110</t>
        </is>
      </c>
      <c r="B49" s="2" t="inlineStr">
        <is>
          <t>762057004</t>
        </is>
      </c>
      <c r="C49" s="3" t="inlineStr">
        <is>
          <t>Одежда для детей</t>
        </is>
      </c>
      <c r="D49" s="2" t="inlineStr">
        <is>
          <t>Джинсы детские для девочек</t>
        </is>
      </c>
      <c r="E49" s="3" t="inlineStr">
        <is>
          <t>181 Джинсы детские для девочек</t>
        </is>
      </c>
      <c r="F49" s="2" t="inlineStr">
        <is>
          <t>всесезонный</t>
        </is>
      </c>
      <c r="G49" s="3" t="inlineStr">
        <is>
          <t>Kari KIDS</t>
        </is>
      </c>
      <c r="H49" s="2" t="inlineStr">
        <is>
          <t>Зиннуров Ильнур</t>
        </is>
      </c>
      <c r="J49" s="3" t="inlineStr">
        <is>
          <t>2026SS</t>
        </is>
      </c>
      <c r="K49" s="3" t="n">
        <v>111701</v>
      </c>
      <c r="L49" s="3" t="n">
        <v>9348</v>
      </c>
      <c r="M49" s="3" t="n">
        <v>236</v>
      </c>
      <c r="N49" s="4">
        <f>IFERROR(L49/K49,0)</f>
        <v/>
      </c>
      <c r="O49" s="4">
        <f>IFERROR(M49/L49,0)</f>
        <v/>
      </c>
      <c r="P49" t="n">
        <v>158</v>
      </c>
      <c r="Q49" s="5" t="n">
        <v>1</v>
      </c>
      <c r="R49" s="7" t="n">
        <v>1</v>
      </c>
      <c r="S49">
        <f>IF(OR(N49&lt;$T$1*0.5,O49&lt;$U$1*0.5),"код для проверки","нормальный код")</f>
        <v/>
      </c>
      <c r="T49">
        <f>IF(N49&lt;$T$1*0.5,"Низшая четверть",IF(N49&lt;$T$1,"Вторая четверть","Больше половины"))</f>
        <v/>
      </c>
      <c r="U49">
        <f>IF(O49&lt;$U$1*0.5,"Низшая четверть",IF(O49&lt;$U$1,"Вторая четверть","Больше половины"))</f>
        <v/>
      </c>
      <c r="V49">
        <f>IF(OR(N49&lt;SUMIFS(L:L,R:R,1,E:E,E49)/SUMIFS(K:K,R:R,1,E:E,E49)*0.5,O49&lt;SUMIFS(M:M,R:R,1,E:E,E49)/SUMIFS(L:L,R:R,1,E:E,E49)*0.5),"код для проверки","нормальный код")</f>
        <v/>
      </c>
      <c r="W49">
        <f>IF(N49&lt;SUMIFS(L:L,R:R,1,E:E,E49)/SUMIFS(K:K,R:R,1,E:E,E49)*0.5,"Низшая четверть",IF(N49&lt;SUMIFS(L:L,R:R,1,E:E,E49)/SUMIFS(K:K,R:R,1,E:E,E49),"Вторая четверть","Больше половины"))</f>
        <v/>
      </c>
      <c r="X49">
        <f>IF(O49&lt;SUMIFS(M:M,R:R,1,E:E,E49)/SUMIFS(L:L,R:R,1,E:E,E49)*0.5,"Низшая четверть",IF(O49&lt;SUMIFS(M:M,R:R,1,E:E,E49)/SUMIFS(L:L,R:R,1,E:E,E49),"Вторая четверть","Больше половины"))</f>
        <v/>
      </c>
      <c r="Y49" t="n">
        <v>12</v>
      </c>
    </row>
    <row r="50">
      <c r="A50" s="1" t="inlineStr">
        <is>
          <t>a6000290</t>
        </is>
      </c>
      <c r="B50" s="2" t="inlineStr">
        <is>
          <t>699629597</t>
        </is>
      </c>
      <c r="C50" s="3" t="inlineStr">
        <is>
          <t>Одежда для детей</t>
        </is>
      </c>
      <c r="D50" s="2" t="inlineStr">
        <is>
          <t>Платья, майки, футболки детские для девочек</t>
        </is>
      </c>
      <c r="E50" s="3" t="inlineStr">
        <is>
          <t>a60 Футболка детская для девочек</t>
        </is>
      </c>
      <c r="F50" s="2" t="inlineStr">
        <is>
          <t>всесезонный</t>
        </is>
      </c>
      <c r="G50" s="3" t="inlineStr">
        <is>
          <t>Kari KIDS</t>
        </is>
      </c>
      <c r="H50" s="2" t="inlineStr">
        <is>
          <t>Зиннуров Ильнур</t>
        </is>
      </c>
      <c r="J50" s="3" t="inlineStr">
        <is>
          <t>2026SS</t>
        </is>
      </c>
      <c r="K50" s="3" t="n">
        <v>110450</v>
      </c>
      <c r="L50" s="3" t="n">
        <v>10307</v>
      </c>
      <c r="M50" s="3" t="n">
        <v>372</v>
      </c>
      <c r="N50" s="4">
        <f>IFERROR(L50/K50,0)</f>
        <v/>
      </c>
      <c r="O50" s="4">
        <f>IFERROR(M50/L50,0)</f>
        <v/>
      </c>
      <c r="P50" t="n">
        <v>1277</v>
      </c>
      <c r="Q50" s="5" t="n">
        <v>1</v>
      </c>
      <c r="R50" s="7" t="n">
        <v>1</v>
      </c>
      <c r="S50">
        <f>IF(OR(N50&lt;$T$1*0.5,O50&lt;$U$1*0.5),"код для проверки","нормальный код")</f>
        <v/>
      </c>
      <c r="T50">
        <f>IF(N50&lt;$T$1*0.5,"Низшая четверть",IF(N50&lt;$T$1,"Вторая четверть","Больше половины"))</f>
        <v/>
      </c>
      <c r="U50">
        <f>IF(O50&lt;$U$1*0.5,"Низшая четверть",IF(O50&lt;$U$1,"Вторая четверть","Больше половины"))</f>
        <v/>
      </c>
      <c r="V50">
        <f>IF(OR(N50&lt;SUMIFS(L:L,R:R,1,E:E,E50)/SUMIFS(K:K,R:R,1,E:E,E50)*0.5,O50&lt;SUMIFS(M:M,R:R,1,E:E,E50)/SUMIFS(L:L,R:R,1,E:E,E50)*0.5),"код для проверки","нормальный код")</f>
        <v/>
      </c>
      <c r="W50">
        <f>IF(N50&lt;SUMIFS(L:L,R:R,1,E:E,E50)/SUMIFS(K:K,R:R,1,E:E,E50)*0.5,"Низшая четверть",IF(N50&lt;SUMIFS(L:L,R:R,1,E:E,E50)/SUMIFS(K:K,R:R,1,E:E,E50),"Вторая четверть","Больше половины"))</f>
        <v/>
      </c>
      <c r="X50">
        <f>IF(O50&lt;SUMIFS(M:M,R:R,1,E:E,E50)/SUMIFS(L:L,R:R,1,E:E,E50)*0.5,"Низшая четверть",IF(O50&lt;SUMIFS(M:M,R:R,1,E:E,E50)/SUMIFS(L:L,R:R,1,E:E,E50),"Вторая четверть","Больше половины"))</f>
        <v/>
      </c>
      <c r="Y50" t="n">
        <v>5</v>
      </c>
    </row>
    <row r="51">
      <c r="A51" s="1" t="inlineStr">
        <is>
          <t>87708130</t>
        </is>
      </c>
      <c r="B51" s="2" t="inlineStr">
        <is>
          <t>325157089</t>
        </is>
      </c>
      <c r="C51" s="3" t="inlineStr">
        <is>
          <t>Одежда для детей</t>
        </is>
      </c>
      <c r="D51" s="2" t="inlineStr">
        <is>
          <t>Верхняя одежда детская для мальчиков</t>
        </is>
      </c>
      <c r="E51" s="3" t="inlineStr">
        <is>
          <t>877 Жилет утепленный детский для мальчиков</t>
        </is>
      </c>
      <c r="F51" s="2" t="inlineStr">
        <is>
          <t>демисезонный</t>
        </is>
      </c>
      <c r="G51" s="3" t="inlineStr">
        <is>
          <t>kari</t>
        </is>
      </c>
      <c r="H51" s="2" t="inlineStr">
        <is>
          <t>Зиннуров Ильнур</t>
        </is>
      </c>
      <c r="J51" s="3" t="inlineStr">
        <is>
          <t>2026SS</t>
        </is>
      </c>
      <c r="K51" s="3" t="n">
        <v>109678</v>
      </c>
      <c r="L51" s="3" t="n">
        <v>6284</v>
      </c>
      <c r="M51" s="3" t="n">
        <v>238</v>
      </c>
      <c r="N51" s="4">
        <f>IFERROR(L51/K51,0)</f>
        <v/>
      </c>
      <c r="O51" s="4">
        <f>IFERROR(M51/L51,0)</f>
        <v/>
      </c>
      <c r="P51" t="n">
        <v>579</v>
      </c>
      <c r="Q51" s="5" t="n">
        <v>1</v>
      </c>
      <c r="R51" s="7" t="n">
        <v>1</v>
      </c>
      <c r="S51">
        <f>IF(OR(N51&lt;$T$1*0.5,O51&lt;$U$1*0.5),"код для проверки","нормальный код")</f>
        <v/>
      </c>
      <c r="T51">
        <f>IF(N51&lt;$T$1*0.5,"Низшая четверть",IF(N51&lt;$T$1,"Вторая четверть","Больше половины"))</f>
        <v/>
      </c>
      <c r="U51">
        <f>IF(O51&lt;$U$1*0.5,"Низшая четверть",IF(O51&lt;$U$1,"Вторая четверть","Больше половины"))</f>
        <v/>
      </c>
      <c r="V51">
        <f>IF(OR(N51&lt;SUMIFS(L:L,R:R,1,E:E,E51)/SUMIFS(K:K,R:R,1,E:E,E51)*0.5,O51&lt;SUMIFS(M:M,R:R,1,E:E,E51)/SUMIFS(L:L,R:R,1,E:E,E51)*0.5),"код для проверки","нормальный код")</f>
        <v/>
      </c>
      <c r="W51">
        <f>IF(N51&lt;SUMIFS(L:L,R:R,1,E:E,E51)/SUMIFS(K:K,R:R,1,E:E,E51)*0.5,"Низшая четверть",IF(N51&lt;SUMIFS(L:L,R:R,1,E:E,E51)/SUMIFS(K:K,R:R,1,E:E,E51),"Вторая четверть","Больше половины"))</f>
        <v/>
      </c>
      <c r="X51">
        <f>IF(O51&lt;SUMIFS(M:M,R:R,1,E:E,E51)/SUMIFS(L:L,R:R,1,E:E,E51)*0.5,"Низшая четверть",IF(O51&lt;SUMIFS(M:M,R:R,1,E:E,E51)/SUMIFS(L:L,R:R,1,E:E,E51),"Вторая четверть","Больше половины"))</f>
        <v/>
      </c>
      <c r="Y51" t="n">
        <v>9</v>
      </c>
    </row>
    <row r="52">
      <c r="A52" s="1" t="inlineStr">
        <is>
          <t>18400050</t>
        </is>
      </c>
      <c r="B52" s="2" t="inlineStr">
        <is>
          <t>766389221</t>
        </is>
      </c>
      <c r="C52" s="3" t="inlineStr">
        <is>
          <t>Одежда и аксессуары</t>
        </is>
      </c>
      <c r="D52" s="2" t="inlineStr">
        <is>
          <t>Майки и платья женские</t>
        </is>
      </c>
      <c r="E52" s="3" t="inlineStr">
        <is>
          <t>184 Женская футболка</t>
        </is>
      </c>
      <c r="F52" s="2" t="inlineStr">
        <is>
          <t>всесезонный</t>
        </is>
      </c>
      <c r="G52" s="3" t="inlineStr">
        <is>
          <t>kari</t>
        </is>
      </c>
      <c r="H52" s="2" t="inlineStr">
        <is>
          <t>Зиннуров Ильнур</t>
        </is>
      </c>
      <c r="J52" s="3" t="inlineStr">
        <is>
          <t>2026SS</t>
        </is>
      </c>
      <c r="K52" s="3" t="n">
        <v>108571</v>
      </c>
      <c r="L52" s="3" t="n">
        <v>8606</v>
      </c>
      <c r="M52" s="3" t="n">
        <v>105</v>
      </c>
      <c r="N52" s="4">
        <f>IFERROR(L52/K52,0)</f>
        <v/>
      </c>
      <c r="O52" s="4">
        <f>IFERROR(M52/L52,0)</f>
        <v/>
      </c>
      <c r="P52" t="n">
        <v>302</v>
      </c>
      <c r="Q52" s="5" t="n">
        <v>1</v>
      </c>
      <c r="R52" s="7" t="n">
        <v>1</v>
      </c>
      <c r="S52">
        <f>IF(OR(N52&lt;$T$1*0.5,O52&lt;$U$1*0.5),"код для проверки","нормальный код")</f>
        <v/>
      </c>
      <c r="T52">
        <f>IF(N52&lt;$T$1*0.5,"Низшая четверть",IF(N52&lt;$T$1,"Вторая четверть","Больше половины"))</f>
        <v/>
      </c>
      <c r="U52">
        <f>IF(O52&lt;$U$1*0.5,"Низшая четверть",IF(O52&lt;$U$1,"Вторая четверть","Больше половины"))</f>
        <v/>
      </c>
      <c r="V52">
        <f>IF(OR(N52&lt;SUMIFS(L:L,R:R,1,E:E,E52)/SUMIFS(K:K,R:R,1,E:E,E52)*0.5,O52&lt;SUMIFS(M:M,R:R,1,E:E,E52)/SUMIFS(L:L,R:R,1,E:E,E52)*0.5),"код для проверки","нормальный код")</f>
        <v/>
      </c>
      <c r="W52">
        <f>IF(N52&lt;SUMIFS(L:L,R:R,1,E:E,E52)/SUMIFS(K:K,R:R,1,E:E,E52)*0.5,"Низшая четверть",IF(N52&lt;SUMIFS(L:L,R:R,1,E:E,E52)/SUMIFS(K:K,R:R,1,E:E,E52),"Вторая четверть","Больше половины"))</f>
        <v/>
      </c>
      <c r="X52">
        <f>IF(O52&lt;SUMIFS(M:M,R:R,1,E:E,E52)/SUMIFS(L:L,R:R,1,E:E,E52)*0.5,"Низшая четверть",IF(O52&lt;SUMIFS(M:M,R:R,1,E:E,E52)/SUMIFS(L:L,R:R,1,E:E,E52),"Вторая четверть","Больше половины"))</f>
        <v/>
      </c>
      <c r="Y52" t="n">
        <v>11</v>
      </c>
    </row>
    <row r="53">
      <c r="A53" s="1" t="inlineStr">
        <is>
          <t>y5708020</t>
        </is>
      </c>
      <c r="B53" s="2" t="inlineStr">
        <is>
          <t>321683704</t>
        </is>
      </c>
      <c r="C53" s="3" t="inlineStr">
        <is>
          <t>Одежда для детей</t>
        </is>
      </c>
      <c r="D53" s="2" t="inlineStr">
        <is>
          <t>Верхняя одежда детская для мальчиков</t>
        </is>
      </c>
      <c r="E53" s="3" t="inlineStr">
        <is>
          <t>y57 Куртка для мальчиков облегченная</t>
        </is>
      </c>
      <c r="F53" s="2" t="inlineStr">
        <is>
          <t>демисезонный</t>
        </is>
      </c>
      <c r="G53" s="3" t="inlineStr">
        <is>
          <t>kari</t>
        </is>
      </c>
      <c r="H53" s="2" t="inlineStr">
        <is>
          <t>Зиннуров Ильнур</t>
        </is>
      </c>
      <c r="J53" s="3" t="inlineStr">
        <is>
          <t>2026SS</t>
        </is>
      </c>
      <c r="K53" s="3" t="n">
        <v>105271</v>
      </c>
      <c r="L53" s="3" t="n">
        <v>7357</v>
      </c>
      <c r="M53" s="3" t="n">
        <v>197</v>
      </c>
      <c r="N53" s="4">
        <f>IFERROR(L53/K53,0)</f>
        <v/>
      </c>
      <c r="O53" s="4">
        <f>IFERROR(M53/L53,0)</f>
        <v/>
      </c>
      <c r="P53" t="n">
        <v>144</v>
      </c>
      <c r="Q53" s="5" t="n">
        <v>1</v>
      </c>
      <c r="R53" s="7" t="n">
        <v>1</v>
      </c>
      <c r="S53">
        <f>IF(OR(N53&lt;$T$1*0.5,O53&lt;$U$1*0.5),"код для проверки","нормальный код")</f>
        <v/>
      </c>
      <c r="T53">
        <f>IF(N53&lt;$T$1*0.5,"Низшая четверть",IF(N53&lt;$T$1,"Вторая четверть","Больше половины"))</f>
        <v/>
      </c>
      <c r="U53">
        <f>IF(O53&lt;$U$1*0.5,"Низшая четверть",IF(O53&lt;$U$1,"Вторая четверть","Больше половины"))</f>
        <v/>
      </c>
      <c r="V53">
        <f>IF(OR(N53&lt;SUMIFS(L:L,R:R,1,E:E,E53)/SUMIFS(K:K,R:R,1,E:E,E53)*0.5,O53&lt;SUMIFS(M:M,R:R,1,E:E,E53)/SUMIFS(L:L,R:R,1,E:E,E53)*0.5),"код для проверки","нормальный код")</f>
        <v/>
      </c>
      <c r="W53">
        <f>IF(N53&lt;SUMIFS(L:L,R:R,1,E:E,E53)/SUMIFS(K:K,R:R,1,E:E,E53)*0.5,"Низшая четверть",IF(N53&lt;SUMIFS(L:L,R:R,1,E:E,E53)/SUMIFS(K:K,R:R,1,E:E,E53),"Вторая четверть","Больше половины"))</f>
        <v/>
      </c>
      <c r="X53">
        <f>IF(O53&lt;SUMIFS(M:M,R:R,1,E:E,E53)/SUMIFS(L:L,R:R,1,E:E,E53)*0.5,"Низшая четверть",IF(O53&lt;SUMIFS(M:M,R:R,1,E:E,E53)/SUMIFS(L:L,R:R,1,E:E,E53),"Вторая четверть","Больше половины"))</f>
        <v/>
      </c>
      <c r="Y53" t="n">
        <v>20</v>
      </c>
    </row>
    <row r="54">
      <c r="A54" s="1" t="inlineStr">
        <is>
          <t>18100260</t>
        </is>
      </c>
      <c r="B54" s="2" t="inlineStr">
        <is>
          <t>710160934</t>
        </is>
      </c>
      <c r="C54" s="3" t="inlineStr">
        <is>
          <t>Одежда для детей</t>
        </is>
      </c>
      <c r="D54" s="2" t="inlineStr">
        <is>
          <t>Джинсы детские для девочек</t>
        </is>
      </c>
      <c r="E54" s="3" t="inlineStr">
        <is>
          <t>181 Джинсы детские для девочек</t>
        </is>
      </c>
      <c r="F54" s="2" t="inlineStr">
        <is>
          <t>всесезонный</t>
        </is>
      </c>
      <c r="G54" s="3" t="inlineStr">
        <is>
          <t>kari</t>
        </is>
      </c>
      <c r="H54" s="2" t="inlineStr">
        <is>
          <t>Зиннуров Ильнур</t>
        </is>
      </c>
      <c r="J54" s="3" t="inlineStr">
        <is>
          <t>2026SS</t>
        </is>
      </c>
      <c r="K54" s="3" t="n">
        <v>103441</v>
      </c>
      <c r="L54" s="3" t="n">
        <v>5179</v>
      </c>
      <c r="M54" s="3" t="n">
        <v>183</v>
      </c>
      <c r="N54" s="4">
        <f>IFERROR(L54/K54,0)</f>
        <v/>
      </c>
      <c r="O54" s="4">
        <f>IFERROR(M54/L54,0)</f>
        <v/>
      </c>
      <c r="P54" t="n">
        <v>245</v>
      </c>
      <c r="Q54" s="5" t="n">
        <v>1</v>
      </c>
      <c r="R54" s="7" t="n">
        <v>1</v>
      </c>
      <c r="S54">
        <f>IF(OR(N54&lt;$T$1*0.5,O54&lt;$U$1*0.5),"код для проверки","нормальный код")</f>
        <v/>
      </c>
      <c r="T54">
        <f>IF(N54&lt;$T$1*0.5,"Низшая четверть",IF(N54&lt;$T$1,"Вторая четверть","Больше половины"))</f>
        <v/>
      </c>
      <c r="U54">
        <f>IF(O54&lt;$U$1*0.5,"Низшая четверть",IF(O54&lt;$U$1,"Вторая четверть","Больше половины"))</f>
        <v/>
      </c>
      <c r="V54">
        <f>IF(OR(N54&lt;SUMIFS(L:L,R:R,1,E:E,E54)/SUMIFS(K:K,R:R,1,E:E,E54)*0.5,O54&lt;SUMIFS(M:M,R:R,1,E:E,E54)/SUMIFS(L:L,R:R,1,E:E,E54)*0.5),"код для проверки","нормальный код")</f>
        <v/>
      </c>
      <c r="W54">
        <f>IF(N54&lt;SUMIFS(L:L,R:R,1,E:E,E54)/SUMIFS(K:K,R:R,1,E:E,E54)*0.5,"Низшая четверть",IF(N54&lt;SUMIFS(L:L,R:R,1,E:E,E54)/SUMIFS(K:K,R:R,1,E:E,E54),"Вторая четверть","Больше половины"))</f>
        <v/>
      </c>
      <c r="X54">
        <f>IF(O54&lt;SUMIFS(M:M,R:R,1,E:E,E54)/SUMIFS(L:L,R:R,1,E:E,E54)*0.5,"Низшая четверть",IF(O54&lt;SUMIFS(M:M,R:R,1,E:E,E54)/SUMIFS(L:L,R:R,1,E:E,E54),"Вторая четверть","Больше половины"))</f>
        <v/>
      </c>
      <c r="Y54" t="n">
        <v>26</v>
      </c>
    </row>
    <row r="55">
      <c r="A55" s="1" t="inlineStr">
        <is>
          <t>14408940</t>
        </is>
      </c>
      <c r="B55" s="2" t="inlineStr">
        <is>
          <t>355550905</t>
        </is>
      </c>
      <c r="C55" s="3" t="inlineStr">
        <is>
          <t>Одежда и аксессуары</t>
        </is>
      </c>
      <c r="D55" s="2" t="inlineStr">
        <is>
          <t>Шарфы женские</t>
        </is>
      </c>
      <c r="E55" s="3" t="inlineStr">
        <is>
          <t>144 Шарф летний женский</t>
        </is>
      </c>
      <c r="F55" s="2" t="inlineStr">
        <is>
          <t>весна, лето</t>
        </is>
      </c>
      <c r="G55" s="3" t="inlineStr">
        <is>
          <t>kari</t>
        </is>
      </c>
      <c r="H55" s="2" t="inlineStr">
        <is>
          <t>Никонорова Алина</t>
        </is>
      </c>
      <c r="J55" s="3" t="inlineStr">
        <is>
          <t>2026SS</t>
        </is>
      </c>
      <c r="K55" s="3" t="n">
        <v>101771</v>
      </c>
      <c r="L55" s="3" t="n">
        <v>15750</v>
      </c>
      <c r="M55" s="3" t="n">
        <v>296</v>
      </c>
      <c r="N55" s="4">
        <f>IFERROR(L55/K55,0)</f>
        <v/>
      </c>
      <c r="O55" s="4">
        <f>IFERROR(M55/L55,0)</f>
        <v/>
      </c>
      <c r="P55" t="n">
        <v>673</v>
      </c>
      <c r="Q55" s="5" t="n">
        <v>1</v>
      </c>
      <c r="R55" s="7" t="n">
        <v>1</v>
      </c>
      <c r="S55">
        <f>IF(OR(N55&lt;$T$1*0.5,O55&lt;$U$1*0.5),"код для проверки","нормальный код")</f>
        <v/>
      </c>
      <c r="T55">
        <f>IF(N55&lt;$T$1*0.5,"Низшая четверть",IF(N55&lt;$T$1,"Вторая четверть","Больше половины"))</f>
        <v/>
      </c>
      <c r="U55">
        <f>IF(O55&lt;$U$1*0.5,"Низшая четверть",IF(O55&lt;$U$1,"Вторая четверть","Больше половины"))</f>
        <v/>
      </c>
      <c r="V55">
        <f>IF(OR(N55&lt;SUMIFS(L:L,R:R,1,E:E,E55)/SUMIFS(K:K,R:R,1,E:E,E55)*0.5,O55&lt;SUMIFS(M:M,R:R,1,E:E,E55)/SUMIFS(L:L,R:R,1,E:E,E55)*0.5),"код для проверки","нормальный код")</f>
        <v/>
      </c>
      <c r="W55">
        <f>IF(N55&lt;SUMIFS(L:L,R:R,1,E:E,E55)/SUMIFS(K:K,R:R,1,E:E,E55)*0.5,"Низшая четверть",IF(N55&lt;SUMIFS(L:L,R:R,1,E:E,E55)/SUMIFS(K:K,R:R,1,E:E,E55),"Вторая четверть","Больше половины"))</f>
        <v/>
      </c>
      <c r="X55">
        <f>IF(O55&lt;SUMIFS(M:M,R:R,1,E:E,E55)/SUMIFS(L:L,R:R,1,E:E,E55)*0.5,"Низшая четверть",IF(O55&lt;SUMIFS(M:M,R:R,1,E:E,E55)/SUMIFS(L:L,R:R,1,E:E,E55),"Вторая четверть","Больше половины"))</f>
        <v/>
      </c>
      <c r="Y55" t="n">
        <v>8</v>
      </c>
    </row>
    <row r="56">
      <c r="A56" s="1" t="inlineStr">
        <is>
          <t>95400130</t>
        </is>
      </c>
      <c r="B56" s="2" t="inlineStr">
        <is>
          <t>785932824</t>
        </is>
      </c>
      <c r="C56" s="3" t="inlineStr">
        <is>
          <t>Одежда для детей</t>
        </is>
      </c>
      <c r="D56" s="2" t="inlineStr">
        <is>
          <t>Верхняя детская одежда для девочек</t>
        </is>
      </c>
      <c r="E56" s="3" t="inlineStr">
        <is>
          <t>954 Ветровка детская для девочек</t>
        </is>
      </c>
      <c r="F56" s="2" t="inlineStr">
        <is>
          <t>демисезонный</t>
        </is>
      </c>
      <c r="G56" s="3" t="inlineStr">
        <is>
          <t>Kari KIDS</t>
        </is>
      </c>
      <c r="H56" s="2" t="inlineStr">
        <is>
          <t>Зиннуров Ильнур</t>
        </is>
      </c>
      <c r="J56" s="3" t="inlineStr">
        <is>
          <t>2026SS</t>
        </is>
      </c>
      <c r="K56" s="3" t="n">
        <v>100045</v>
      </c>
      <c r="L56" s="3" t="n">
        <v>11919</v>
      </c>
      <c r="M56" s="3" t="n">
        <v>206</v>
      </c>
      <c r="N56" s="4">
        <f>IFERROR(L56/K56,0)</f>
        <v/>
      </c>
      <c r="O56" s="4">
        <f>IFERROR(M56/L56,0)</f>
        <v/>
      </c>
      <c r="P56" t="n">
        <v>354</v>
      </c>
      <c r="Q56" s="5" t="n">
        <v>1</v>
      </c>
      <c r="R56" s="7" t="n">
        <v>1</v>
      </c>
      <c r="S56">
        <f>IF(OR(N56&lt;$T$1*0.5,O56&lt;$U$1*0.5),"код для проверки","нормальный код")</f>
        <v/>
      </c>
      <c r="T56">
        <f>IF(N56&lt;$T$1*0.5,"Низшая четверть",IF(N56&lt;$T$1,"Вторая четверть","Больше половины"))</f>
        <v/>
      </c>
      <c r="U56">
        <f>IF(O56&lt;$U$1*0.5,"Низшая четверть",IF(O56&lt;$U$1,"Вторая четверть","Больше половины"))</f>
        <v/>
      </c>
      <c r="V56">
        <f>IF(OR(N56&lt;SUMIFS(L:L,R:R,1,E:E,E56)/SUMIFS(K:K,R:R,1,E:E,E56)*0.5,O56&lt;SUMIFS(M:M,R:R,1,E:E,E56)/SUMIFS(L:L,R:R,1,E:E,E56)*0.5),"код для проверки","нормальный код")</f>
        <v/>
      </c>
      <c r="W56">
        <f>IF(N56&lt;SUMIFS(L:L,R:R,1,E:E,E56)/SUMIFS(K:K,R:R,1,E:E,E56)*0.5,"Низшая четверть",IF(N56&lt;SUMIFS(L:L,R:R,1,E:E,E56)/SUMIFS(K:K,R:R,1,E:E,E56),"Вторая четверть","Больше половины"))</f>
        <v/>
      </c>
      <c r="X56">
        <f>IF(O56&lt;SUMIFS(M:M,R:R,1,E:E,E56)/SUMIFS(L:L,R:R,1,E:E,E56)*0.5,"Низшая четверть",IF(O56&lt;SUMIFS(M:M,R:R,1,E:E,E56)/SUMIFS(L:L,R:R,1,E:E,E56),"Вторая четверть","Больше половины"))</f>
        <v/>
      </c>
      <c r="Y56" t="n">
        <v>7</v>
      </c>
    </row>
    <row r="57">
      <c r="A57" s="1" t="inlineStr">
        <is>
          <t>30200430</t>
        </is>
      </c>
      <c r="B57" s="2" t="inlineStr">
        <is>
          <t>822040320</t>
        </is>
      </c>
      <c r="C57" s="3" t="inlineStr">
        <is>
          <t>Одежда для детей</t>
        </is>
      </c>
      <c r="D57" s="2" t="inlineStr">
        <is>
          <t>Платья, майки, футболки детские для девочек</t>
        </is>
      </c>
      <c r="E57" s="3" t="inlineStr">
        <is>
          <t>302 Юбка детская для девочек</t>
        </is>
      </c>
      <c r="F57" s="2" t="inlineStr">
        <is>
          <t>всесезонный</t>
        </is>
      </c>
      <c r="G57" s="3" t="inlineStr">
        <is>
          <t>Kari KIDS</t>
        </is>
      </c>
      <c r="H57" s="2" t="inlineStr">
        <is>
          <t>Зиннуров Ильнур</t>
        </is>
      </c>
      <c r="J57" s="3" t="inlineStr">
        <is>
          <t>2026SS</t>
        </is>
      </c>
      <c r="K57" s="3" t="n">
        <v>98200</v>
      </c>
      <c r="L57" s="3" t="n">
        <v>6333</v>
      </c>
      <c r="M57" s="3" t="n">
        <v>268</v>
      </c>
      <c r="N57" s="4">
        <f>IFERROR(L57/K57,0)</f>
        <v/>
      </c>
      <c r="O57" s="4">
        <f>IFERROR(M57/L57,0)</f>
        <v/>
      </c>
      <c r="P57" t="n">
        <v>180</v>
      </c>
      <c r="Q57" s="5" t="n">
        <v>1</v>
      </c>
      <c r="R57" s="7" t="n">
        <v>1</v>
      </c>
      <c r="S57">
        <f>IF(OR(N57&lt;$T$1*0.5,O57&lt;$U$1*0.5),"код для проверки","нормальный код")</f>
        <v/>
      </c>
      <c r="T57">
        <f>IF(N57&lt;$T$1*0.5,"Низшая четверть",IF(N57&lt;$T$1,"Вторая четверть","Больше половины"))</f>
        <v/>
      </c>
      <c r="U57">
        <f>IF(O57&lt;$U$1*0.5,"Низшая четверть",IF(O57&lt;$U$1,"Вторая четверть","Больше половины"))</f>
        <v/>
      </c>
      <c r="V57">
        <f>IF(OR(N57&lt;SUMIFS(L:L,R:R,1,E:E,E57)/SUMIFS(K:K,R:R,1,E:E,E57)*0.5,O57&lt;SUMIFS(M:M,R:R,1,E:E,E57)/SUMIFS(L:L,R:R,1,E:E,E57)*0.5),"код для проверки","нормальный код")</f>
        <v/>
      </c>
      <c r="W57">
        <f>IF(N57&lt;SUMIFS(L:L,R:R,1,E:E,E57)/SUMIFS(K:K,R:R,1,E:E,E57)*0.5,"Низшая четверть",IF(N57&lt;SUMIFS(L:L,R:R,1,E:E,E57)/SUMIFS(K:K,R:R,1,E:E,E57),"Вторая четверть","Больше половины"))</f>
        <v/>
      </c>
      <c r="X57">
        <f>IF(O57&lt;SUMIFS(M:M,R:R,1,E:E,E57)/SUMIFS(L:L,R:R,1,E:E,E57)*0.5,"Низшая четверть",IF(O57&lt;SUMIFS(M:M,R:R,1,E:E,E57)/SUMIFS(L:L,R:R,1,E:E,E57),"Вторая четверть","Больше половины"))</f>
        <v/>
      </c>
      <c r="Y57" t="n">
        <v>11</v>
      </c>
    </row>
    <row r="58">
      <c r="A58" s="1" t="inlineStr">
        <is>
          <t>19108040</t>
        </is>
      </c>
      <c r="B58" s="2" t="inlineStr">
        <is>
          <t>316541685</t>
        </is>
      </c>
      <c r="C58" s="3" t="inlineStr">
        <is>
          <t>Одежда для детей</t>
        </is>
      </c>
      <c r="D58" s="2" t="inlineStr">
        <is>
          <t>Спортивная одежда детская для девочек</t>
        </is>
      </c>
      <c r="E58" s="3" t="inlineStr">
        <is>
          <t>191 Спортивный костюм детский для девочек</t>
        </is>
      </c>
      <c r="F58" s="2" t="inlineStr">
        <is>
          <t>всесезонный</t>
        </is>
      </c>
      <c r="G58" s="3" t="inlineStr">
        <is>
          <t>kari</t>
        </is>
      </c>
      <c r="H58" s="2" t="inlineStr">
        <is>
          <t>Зиннуров Ильнур</t>
        </is>
      </c>
      <c r="J58" s="3" t="inlineStr">
        <is>
          <t>2026SS</t>
        </is>
      </c>
      <c r="K58" s="3" t="n">
        <v>96926</v>
      </c>
      <c r="L58" s="3" t="n">
        <v>6166</v>
      </c>
      <c r="M58" s="3" t="n">
        <v>113</v>
      </c>
      <c r="N58" s="4">
        <f>IFERROR(L58/K58,0)</f>
        <v/>
      </c>
      <c r="O58" s="4">
        <f>IFERROR(M58/L58,0)</f>
        <v/>
      </c>
      <c r="P58" t="n">
        <v>584</v>
      </c>
      <c r="Q58" s="5" t="n">
        <v>0.9</v>
      </c>
      <c r="R58" s="7" t="n">
        <v>1</v>
      </c>
      <c r="S58">
        <f>IF(OR(N58&lt;$T$1*0.5,O58&lt;$U$1*0.5),"код для проверки","нормальный код")</f>
        <v/>
      </c>
      <c r="T58">
        <f>IF(N58&lt;$T$1*0.5,"Низшая четверть",IF(N58&lt;$T$1,"Вторая четверть","Больше половины"))</f>
        <v/>
      </c>
      <c r="U58">
        <f>IF(O58&lt;$U$1*0.5,"Низшая четверть",IF(O58&lt;$U$1,"Вторая четверть","Больше половины"))</f>
        <v/>
      </c>
      <c r="V58">
        <f>IF(OR(N58&lt;SUMIFS(L:L,R:R,1,E:E,E58)/SUMIFS(K:K,R:R,1,E:E,E58)*0.5,O58&lt;SUMIFS(M:M,R:R,1,E:E,E58)/SUMIFS(L:L,R:R,1,E:E,E58)*0.5),"код для проверки","нормальный код")</f>
        <v/>
      </c>
      <c r="W58">
        <f>IF(N58&lt;SUMIFS(L:L,R:R,1,E:E,E58)/SUMIFS(K:K,R:R,1,E:E,E58)*0.5,"Низшая четверть",IF(N58&lt;SUMIFS(L:L,R:R,1,E:E,E58)/SUMIFS(K:K,R:R,1,E:E,E58),"Вторая четверть","Больше половины"))</f>
        <v/>
      </c>
      <c r="X58">
        <f>IF(O58&lt;SUMIFS(M:M,R:R,1,E:E,E58)/SUMIFS(L:L,R:R,1,E:E,E58)*0.5,"Низшая четверть",IF(O58&lt;SUMIFS(M:M,R:R,1,E:E,E58)/SUMIFS(L:L,R:R,1,E:E,E58),"Вторая четверть","Больше половины"))</f>
        <v/>
      </c>
      <c r="Y58" t="n">
        <v>14</v>
      </c>
    </row>
    <row r="59">
      <c r="A59" s="1" t="inlineStr">
        <is>
          <t>y9708250</t>
        </is>
      </c>
      <c r="B59" s="2" t="inlineStr">
        <is>
          <t>321683719</t>
        </is>
      </c>
      <c r="C59" s="3" t="inlineStr">
        <is>
          <t>Одежда и аксессуары</t>
        </is>
      </c>
      <c r="D59" s="2" t="inlineStr">
        <is>
          <t>Футболки, рубашки мужские</t>
        </is>
      </c>
      <c r="E59" s="3" t="inlineStr">
        <is>
          <t>h10 Футболка мужская</t>
        </is>
      </c>
      <c r="F59" s="2" t="inlineStr">
        <is>
          <t>всесезонный</t>
        </is>
      </c>
      <c r="G59" s="3" t="inlineStr">
        <is>
          <t>kari</t>
        </is>
      </c>
      <c r="H59" s="2" t="inlineStr">
        <is>
          <t>Зиннуров Ильнур</t>
        </is>
      </c>
      <c r="J59" s="3" t="inlineStr">
        <is>
          <t>2026SS</t>
        </is>
      </c>
      <c r="K59" s="3" t="n">
        <v>94403</v>
      </c>
      <c r="L59" s="3" t="n">
        <v>7240</v>
      </c>
      <c r="M59" s="3" t="n">
        <v>238</v>
      </c>
      <c r="N59" s="4">
        <f>IFERROR(L59/K59,0)</f>
        <v/>
      </c>
      <c r="O59" s="4">
        <f>IFERROR(M59/L59,0)</f>
        <v/>
      </c>
      <c r="P59" t="n">
        <v>313</v>
      </c>
      <c r="Q59" s="5" t="n">
        <v>1</v>
      </c>
      <c r="R59" s="7" t="n">
        <v>1</v>
      </c>
      <c r="S59">
        <f>IF(OR(N59&lt;$T$1*0.5,O59&lt;$U$1*0.5),"код для проверки","нормальный код")</f>
        <v/>
      </c>
      <c r="T59">
        <f>IF(N59&lt;$T$1*0.5,"Низшая четверть",IF(N59&lt;$T$1,"Вторая четверть","Больше половины"))</f>
        <v/>
      </c>
      <c r="U59">
        <f>IF(O59&lt;$U$1*0.5,"Низшая четверть",IF(O59&lt;$U$1,"Вторая четверть","Больше половины"))</f>
        <v/>
      </c>
      <c r="V59">
        <f>IF(OR(N59&lt;SUMIFS(L:L,R:R,1,E:E,E59)/SUMIFS(K:K,R:R,1,E:E,E59)*0.5,O59&lt;SUMIFS(M:M,R:R,1,E:E,E59)/SUMIFS(L:L,R:R,1,E:E,E59)*0.5),"код для проверки","нормальный код")</f>
        <v/>
      </c>
      <c r="W59">
        <f>IF(N59&lt;SUMIFS(L:L,R:R,1,E:E,E59)/SUMIFS(K:K,R:R,1,E:E,E59)*0.5,"Низшая четверть",IF(N59&lt;SUMIFS(L:L,R:R,1,E:E,E59)/SUMIFS(K:K,R:R,1,E:E,E59),"Вторая четверть","Больше половины"))</f>
        <v/>
      </c>
      <c r="X59">
        <f>IF(O59&lt;SUMIFS(M:M,R:R,1,E:E,E59)/SUMIFS(L:L,R:R,1,E:E,E59)*0.5,"Низшая четверть",IF(O59&lt;SUMIFS(M:M,R:R,1,E:E,E59)/SUMIFS(L:L,R:R,1,E:E,E59),"Вторая четверть","Больше половины"))</f>
        <v/>
      </c>
      <c r="Y59" t="n">
        <v>16</v>
      </c>
    </row>
    <row r="60">
      <c r="A60" s="1" t="inlineStr">
        <is>
          <t>18200110</t>
        </is>
      </c>
      <c r="B60" s="2" t="inlineStr">
        <is>
          <t>765953867</t>
        </is>
      </c>
      <c r="C60" s="3" t="inlineStr">
        <is>
          <t>Одежда для детей</t>
        </is>
      </c>
      <c r="D60" s="2" t="inlineStr">
        <is>
          <t>Джинсы детские для мальчиков</t>
        </is>
      </c>
      <c r="E60" s="3" t="inlineStr">
        <is>
          <t>182 Джинсы детские для мальчиков</t>
        </is>
      </c>
      <c r="F60" s="2" t="inlineStr">
        <is>
          <t>всесезонный</t>
        </is>
      </c>
      <c r="G60" s="3" t="inlineStr">
        <is>
          <t>kari</t>
        </is>
      </c>
      <c r="H60" s="2" t="inlineStr">
        <is>
          <t>Зиннуров Ильнур</t>
        </is>
      </c>
      <c r="J60" s="3" t="inlineStr">
        <is>
          <t>2026SS</t>
        </is>
      </c>
      <c r="K60" s="3" t="n">
        <v>94128</v>
      </c>
      <c r="L60" s="3" t="n">
        <v>3582</v>
      </c>
      <c r="M60" s="3" t="n">
        <v>116</v>
      </c>
      <c r="N60" s="4">
        <f>IFERROR(L60/K60,0)</f>
        <v/>
      </c>
      <c r="O60" s="4">
        <f>IFERROR(M60/L60,0)</f>
        <v/>
      </c>
      <c r="P60" t="n">
        <v>1998</v>
      </c>
      <c r="Q60" s="5" t="n">
        <v>0.875</v>
      </c>
      <c r="R60" s="7" t="n">
        <v>1</v>
      </c>
      <c r="S60">
        <f>IF(OR(N60&lt;$T$1*0.5,O60&lt;$U$1*0.5),"код для проверки","нормальный код")</f>
        <v/>
      </c>
      <c r="T60">
        <f>IF(N60&lt;$T$1*0.5,"Низшая четверть",IF(N60&lt;$T$1,"Вторая четверть","Больше половины"))</f>
        <v/>
      </c>
      <c r="U60">
        <f>IF(O60&lt;$U$1*0.5,"Низшая четверть",IF(O60&lt;$U$1,"Вторая четверть","Больше половины"))</f>
        <v/>
      </c>
      <c r="V60">
        <f>IF(OR(N60&lt;SUMIFS(L:L,R:R,1,E:E,E60)/SUMIFS(K:K,R:R,1,E:E,E60)*0.5,O60&lt;SUMIFS(M:M,R:R,1,E:E,E60)/SUMIFS(L:L,R:R,1,E:E,E60)*0.5),"код для проверки","нормальный код")</f>
        <v/>
      </c>
      <c r="W60">
        <f>IF(N60&lt;SUMIFS(L:L,R:R,1,E:E,E60)/SUMIFS(K:K,R:R,1,E:E,E60)*0.5,"Низшая четверть",IF(N60&lt;SUMIFS(L:L,R:R,1,E:E,E60)/SUMIFS(K:K,R:R,1,E:E,E60),"Вторая четверть","Больше половины"))</f>
        <v/>
      </c>
      <c r="X60">
        <f>IF(O60&lt;SUMIFS(M:M,R:R,1,E:E,E60)/SUMIFS(L:L,R:R,1,E:E,E60)*0.5,"Низшая четверть",IF(O60&lt;SUMIFS(M:M,R:R,1,E:E,E60)/SUMIFS(L:L,R:R,1,E:E,E60),"Вторая четверть","Больше половины"))</f>
        <v/>
      </c>
      <c r="Y60" t="n">
        <v>17</v>
      </c>
    </row>
    <row r="61">
      <c r="A61" s="1" t="inlineStr">
        <is>
          <t>18200240</t>
        </is>
      </c>
      <c r="B61" s="2" t="inlineStr">
        <is>
          <t>859381308</t>
        </is>
      </c>
      <c r="C61" s="3" t="inlineStr">
        <is>
          <t>Одежда для детей</t>
        </is>
      </c>
      <c r="D61" s="2" t="inlineStr">
        <is>
          <t>Джинсы детские для мальчиков</t>
        </is>
      </c>
      <c r="E61" s="3" t="inlineStr">
        <is>
          <t>182 Джинсы детские для мальчиков</t>
        </is>
      </c>
      <c r="F61" s="2" t="inlineStr">
        <is>
          <t>всесезонный</t>
        </is>
      </c>
      <c r="G61" s="3" t="inlineStr">
        <is>
          <t>kari</t>
        </is>
      </c>
      <c r="H61" s="2" t="inlineStr">
        <is>
          <t>Зиннуров Ильнур</t>
        </is>
      </c>
      <c r="J61" s="3" t="inlineStr">
        <is>
          <t>2026SS</t>
        </is>
      </c>
      <c r="K61" s="3" t="n">
        <v>91092</v>
      </c>
      <c r="L61" s="3" t="n">
        <v>3464</v>
      </c>
      <c r="M61" s="3" t="n">
        <v>286</v>
      </c>
      <c r="N61" s="4">
        <f>IFERROR(L61/K61,0)</f>
        <v/>
      </c>
      <c r="O61" s="4">
        <f>IFERROR(M61/L61,0)</f>
        <v/>
      </c>
      <c r="P61" t="n">
        <v>540</v>
      </c>
      <c r="Q61" s="5" t="n">
        <v>1</v>
      </c>
      <c r="R61" s="7" t="n">
        <v>1</v>
      </c>
      <c r="S61">
        <f>IF(OR(N61&lt;$T$1*0.5,O61&lt;$U$1*0.5),"код для проверки","нормальный код")</f>
        <v/>
      </c>
      <c r="T61">
        <f>IF(N61&lt;$T$1*0.5,"Низшая четверть",IF(N61&lt;$T$1,"Вторая четверть","Больше половины"))</f>
        <v/>
      </c>
      <c r="U61">
        <f>IF(O61&lt;$U$1*0.5,"Низшая четверть",IF(O61&lt;$U$1,"Вторая четверть","Больше половины"))</f>
        <v/>
      </c>
      <c r="V61">
        <f>IF(OR(N61&lt;SUMIFS(L:L,R:R,1,E:E,E61)/SUMIFS(K:K,R:R,1,E:E,E61)*0.5,O61&lt;SUMIFS(M:M,R:R,1,E:E,E61)/SUMIFS(L:L,R:R,1,E:E,E61)*0.5),"код для проверки","нормальный код")</f>
        <v/>
      </c>
      <c r="W61">
        <f>IF(N61&lt;SUMIFS(L:L,R:R,1,E:E,E61)/SUMIFS(K:K,R:R,1,E:E,E61)*0.5,"Низшая четверть",IF(N61&lt;SUMIFS(L:L,R:R,1,E:E,E61)/SUMIFS(K:K,R:R,1,E:E,E61),"Вторая четверть","Больше половины"))</f>
        <v/>
      </c>
      <c r="X61">
        <f>IF(O61&lt;SUMIFS(M:M,R:R,1,E:E,E61)/SUMIFS(L:L,R:R,1,E:E,E61)*0.5,"Низшая четверть",IF(O61&lt;SUMIFS(M:M,R:R,1,E:E,E61)/SUMIFS(L:L,R:R,1,E:E,E61),"Вторая четверть","Больше половины"))</f>
        <v/>
      </c>
      <c r="Y61" t="n">
        <v>12</v>
      </c>
    </row>
    <row r="62">
      <c r="A62" s="1" t="inlineStr">
        <is>
          <t>14408950</t>
        </is>
      </c>
      <c r="B62" s="2" t="inlineStr">
        <is>
          <t>355550927</t>
        </is>
      </c>
      <c r="C62" s="3" t="inlineStr">
        <is>
          <t>Одежда и аксессуары</t>
        </is>
      </c>
      <c r="D62" s="2" t="inlineStr">
        <is>
          <t>Шарфы женские</t>
        </is>
      </c>
      <c r="E62" s="3" t="inlineStr">
        <is>
          <t>144 Шарф летний женский</t>
        </is>
      </c>
      <c r="F62" s="2" t="inlineStr">
        <is>
          <t>весна, лето</t>
        </is>
      </c>
      <c r="G62" s="3" t="inlineStr">
        <is>
          <t>kari</t>
        </is>
      </c>
      <c r="H62" s="2" t="inlineStr">
        <is>
          <t>Никонорова Алина</t>
        </is>
      </c>
      <c r="J62" s="3" t="inlineStr">
        <is>
          <t>2026SS</t>
        </is>
      </c>
      <c r="K62" s="3" t="n">
        <v>90128</v>
      </c>
      <c r="L62" s="3" t="n">
        <v>11278</v>
      </c>
      <c r="M62" s="3" t="n">
        <v>94</v>
      </c>
      <c r="N62" s="4">
        <f>IFERROR(L62/K62,0)</f>
        <v/>
      </c>
      <c r="O62" s="4">
        <f>IFERROR(M62/L62,0)</f>
        <v/>
      </c>
      <c r="P62" t="n">
        <v>543</v>
      </c>
      <c r="Q62" s="5" t="n">
        <v>1</v>
      </c>
      <c r="R62" s="7" t="n">
        <v>1</v>
      </c>
      <c r="S62">
        <f>IF(OR(N62&lt;$T$1*0.5,O62&lt;$U$1*0.5),"код для проверки","нормальный код")</f>
        <v/>
      </c>
      <c r="T62">
        <f>IF(N62&lt;$T$1*0.5,"Низшая четверть",IF(N62&lt;$T$1,"Вторая четверть","Больше половины"))</f>
        <v/>
      </c>
      <c r="U62">
        <f>IF(O62&lt;$U$1*0.5,"Низшая четверть",IF(O62&lt;$U$1,"Вторая четверть","Больше половины"))</f>
        <v/>
      </c>
      <c r="V62">
        <f>IF(OR(N62&lt;SUMIFS(L:L,R:R,1,E:E,E62)/SUMIFS(K:K,R:R,1,E:E,E62)*0.5,O62&lt;SUMIFS(M:M,R:R,1,E:E,E62)/SUMIFS(L:L,R:R,1,E:E,E62)*0.5),"код для проверки","нормальный код")</f>
        <v/>
      </c>
      <c r="W62">
        <f>IF(N62&lt;SUMIFS(L:L,R:R,1,E:E,E62)/SUMIFS(K:K,R:R,1,E:E,E62)*0.5,"Низшая четверть",IF(N62&lt;SUMIFS(L:L,R:R,1,E:E,E62)/SUMIFS(K:K,R:R,1,E:E,E62),"Вторая четверть","Больше половины"))</f>
        <v/>
      </c>
      <c r="X62">
        <f>IF(O62&lt;SUMIFS(M:M,R:R,1,E:E,E62)/SUMIFS(L:L,R:R,1,E:E,E62)*0.5,"Низшая четверть",IF(O62&lt;SUMIFS(M:M,R:R,1,E:E,E62)/SUMIFS(L:L,R:R,1,E:E,E62),"Вторая четверть","Больше половины"))</f>
        <v/>
      </c>
      <c r="Y62" t="n">
        <v>13</v>
      </c>
    </row>
    <row r="63">
      <c r="A63" s="1" t="inlineStr">
        <is>
          <t>14400080</t>
        </is>
      </c>
      <c r="B63" s="2" t="inlineStr">
        <is>
          <t>722467594</t>
        </is>
      </c>
      <c r="C63" s="3" t="inlineStr">
        <is>
          <t>Одежда и аксессуары</t>
        </is>
      </c>
      <c r="D63" s="2" t="inlineStr">
        <is>
          <t>Шарфы женские</t>
        </is>
      </c>
      <c r="E63" s="3" t="inlineStr">
        <is>
          <t>144 Шарф летний женский</t>
        </is>
      </c>
      <c r="F63" s="2" t="inlineStr">
        <is>
          <t>весна, лето</t>
        </is>
      </c>
      <c r="G63" s="3" t="inlineStr">
        <is>
          <t>kari</t>
        </is>
      </c>
      <c r="H63" s="2" t="inlineStr">
        <is>
          <t>Никонорова Алина</t>
        </is>
      </c>
      <c r="J63" s="3" t="inlineStr">
        <is>
          <t>2026SS</t>
        </is>
      </c>
      <c r="K63" s="3" t="n">
        <v>89501</v>
      </c>
      <c r="L63" s="3" t="n">
        <v>15312</v>
      </c>
      <c r="M63" s="3" t="n">
        <v>325</v>
      </c>
      <c r="N63" s="4">
        <f>IFERROR(L63/K63,0)</f>
        <v/>
      </c>
      <c r="O63" s="4">
        <f>IFERROR(M63/L63,0)</f>
        <v/>
      </c>
      <c r="P63" t="n">
        <v>355</v>
      </c>
      <c r="Q63" s="5" t="n">
        <v>1</v>
      </c>
      <c r="R63" s="7" t="n">
        <v>1</v>
      </c>
      <c r="S63">
        <f>IF(OR(N63&lt;$T$1*0.5,O63&lt;$U$1*0.5),"код для проверки","нормальный код")</f>
        <v/>
      </c>
      <c r="T63">
        <f>IF(N63&lt;$T$1*0.5,"Низшая четверть",IF(N63&lt;$T$1,"Вторая четверть","Больше половины"))</f>
        <v/>
      </c>
      <c r="U63">
        <f>IF(O63&lt;$U$1*0.5,"Низшая четверть",IF(O63&lt;$U$1,"Вторая четверть","Больше половины"))</f>
        <v/>
      </c>
      <c r="V63">
        <f>IF(OR(N63&lt;SUMIFS(L:L,R:R,1,E:E,E63)/SUMIFS(K:K,R:R,1,E:E,E63)*0.5,O63&lt;SUMIFS(M:M,R:R,1,E:E,E63)/SUMIFS(L:L,R:R,1,E:E,E63)*0.5),"код для проверки","нормальный код")</f>
        <v/>
      </c>
      <c r="W63">
        <f>IF(N63&lt;SUMIFS(L:L,R:R,1,E:E,E63)/SUMIFS(K:K,R:R,1,E:E,E63)*0.5,"Низшая четверть",IF(N63&lt;SUMIFS(L:L,R:R,1,E:E,E63)/SUMIFS(K:K,R:R,1,E:E,E63),"Вторая четверть","Больше половины"))</f>
        <v/>
      </c>
      <c r="X63">
        <f>IF(O63&lt;SUMIFS(M:M,R:R,1,E:E,E63)/SUMIFS(L:L,R:R,1,E:E,E63)*0.5,"Низшая четверть",IF(O63&lt;SUMIFS(M:M,R:R,1,E:E,E63)/SUMIFS(L:L,R:R,1,E:E,E63),"Вторая четверть","Больше половины"))</f>
        <v/>
      </c>
      <c r="Y63" t="n">
        <v>12</v>
      </c>
    </row>
    <row r="64">
      <c r="A64" s="1" t="inlineStr">
        <is>
          <t>23200040</t>
        </is>
      </c>
      <c r="B64" s="2" t="inlineStr">
        <is>
          <t>694287450</t>
        </is>
      </c>
      <c r="C64" s="3" t="inlineStr">
        <is>
          <t>Одежда для детей</t>
        </is>
      </c>
      <c r="D64" s="2" t="inlineStr">
        <is>
          <t>Нижнее белье детское для мальчиков</t>
        </is>
      </c>
      <c r="E64" s="3" t="inlineStr">
        <is>
          <t>232 Пижама детская для мальчиков</t>
        </is>
      </c>
      <c r="F64" s="2" t="inlineStr">
        <is>
          <t>всесезонный</t>
        </is>
      </c>
      <c r="G64" s="3" t="inlineStr">
        <is>
          <t>Kari KIDS</t>
        </is>
      </c>
      <c r="H64" s="2" t="inlineStr">
        <is>
          <t>Зиннуров Ильнур</t>
        </is>
      </c>
      <c r="J64" s="3" t="inlineStr">
        <is>
          <t>2026SS</t>
        </is>
      </c>
      <c r="K64" s="3" t="n">
        <v>89229</v>
      </c>
      <c r="L64" s="3" t="n">
        <v>4148</v>
      </c>
      <c r="M64" s="3" t="n">
        <v>22</v>
      </c>
      <c r="N64" s="4">
        <f>IFERROR(L64/K64,0)</f>
        <v/>
      </c>
      <c r="O64" s="4">
        <f>IFERROR(M64/L64,0)</f>
        <v/>
      </c>
      <c r="P64" t="n">
        <v>179</v>
      </c>
      <c r="Q64" s="5" t="n">
        <v>0.8</v>
      </c>
      <c r="R64" s="7" t="n">
        <v>1</v>
      </c>
      <c r="S64">
        <f>IF(OR(N64&lt;$T$1*0.5,O64&lt;$U$1*0.5),"код для проверки","нормальный код")</f>
        <v/>
      </c>
      <c r="T64">
        <f>IF(N64&lt;$T$1*0.5,"Низшая четверть",IF(N64&lt;$T$1,"Вторая четверть","Больше половины"))</f>
        <v/>
      </c>
      <c r="U64">
        <f>IF(O64&lt;$U$1*0.5,"Низшая четверть",IF(O64&lt;$U$1,"Вторая четверть","Больше половины"))</f>
        <v/>
      </c>
      <c r="V64">
        <f>IF(OR(N64&lt;SUMIFS(L:L,R:R,1,E:E,E64)/SUMIFS(K:K,R:R,1,E:E,E64)*0.5,O64&lt;SUMIFS(M:M,R:R,1,E:E,E64)/SUMIFS(L:L,R:R,1,E:E,E64)*0.5),"код для проверки","нормальный код")</f>
        <v/>
      </c>
      <c r="W64">
        <f>IF(N64&lt;SUMIFS(L:L,R:R,1,E:E,E64)/SUMIFS(K:K,R:R,1,E:E,E64)*0.5,"Низшая четверть",IF(N64&lt;SUMIFS(L:L,R:R,1,E:E,E64)/SUMIFS(K:K,R:R,1,E:E,E64),"Вторая четверть","Больше половины"))</f>
        <v/>
      </c>
      <c r="X64">
        <f>IF(O64&lt;SUMIFS(M:M,R:R,1,E:E,E64)/SUMIFS(L:L,R:R,1,E:E,E64)*0.5,"Низшая четверть",IF(O64&lt;SUMIFS(M:M,R:R,1,E:E,E64)/SUMIFS(L:L,R:R,1,E:E,E64),"Вторая четверть","Больше половины"))</f>
        <v/>
      </c>
      <c r="Y64" t="n">
        <v>27</v>
      </c>
    </row>
    <row r="65">
      <c r="A65" s="1" t="inlineStr">
        <is>
          <t>95200100</t>
        </is>
      </c>
      <c r="B65" s="2" t="inlineStr">
        <is>
          <t>762222700</t>
        </is>
      </c>
      <c r="C65" s="3" t="inlineStr">
        <is>
          <t>Одежда для детей</t>
        </is>
      </c>
      <c r="D65" s="2" t="inlineStr">
        <is>
          <t>Верхняя одежда детская для мальчиков</t>
        </is>
      </c>
      <c r="E65" s="3" t="inlineStr">
        <is>
          <t>952 Ветровка детская для мальчиков</t>
        </is>
      </c>
      <c r="F65" s="2" t="inlineStr">
        <is>
          <t>демисезонный</t>
        </is>
      </c>
      <c r="G65" s="3" t="inlineStr">
        <is>
          <t>Kari KIDS</t>
        </is>
      </c>
      <c r="H65" s="2" t="inlineStr">
        <is>
          <t>Зиннуров Ильнур</t>
        </is>
      </c>
      <c r="J65" s="3" t="inlineStr">
        <is>
          <t>2026SS</t>
        </is>
      </c>
      <c r="K65" s="3" t="n">
        <v>89027</v>
      </c>
      <c r="L65" s="3" t="n">
        <v>6553</v>
      </c>
      <c r="M65" s="3" t="n">
        <v>103</v>
      </c>
      <c r="N65" s="4">
        <f>IFERROR(L65/K65,0)</f>
        <v/>
      </c>
      <c r="O65" s="4">
        <f>IFERROR(M65/L65,0)</f>
        <v/>
      </c>
      <c r="P65" t="n">
        <v>776</v>
      </c>
      <c r="Q65" s="5" t="n">
        <v>1</v>
      </c>
      <c r="R65" s="7" t="n">
        <v>1</v>
      </c>
      <c r="S65">
        <f>IF(OR(N65&lt;$T$1*0.5,O65&lt;$U$1*0.5),"код для проверки","нормальный код")</f>
        <v/>
      </c>
      <c r="T65">
        <f>IF(N65&lt;$T$1*0.5,"Низшая четверть",IF(N65&lt;$T$1,"Вторая четверть","Больше половины"))</f>
        <v/>
      </c>
      <c r="U65">
        <f>IF(O65&lt;$U$1*0.5,"Низшая четверть",IF(O65&lt;$U$1,"Вторая четверть","Больше половины"))</f>
        <v/>
      </c>
      <c r="V65">
        <f>IF(OR(N65&lt;SUMIFS(L:L,R:R,1,E:E,E65)/SUMIFS(K:K,R:R,1,E:E,E65)*0.5,O65&lt;SUMIFS(M:M,R:R,1,E:E,E65)/SUMIFS(L:L,R:R,1,E:E,E65)*0.5),"код для проверки","нормальный код")</f>
        <v/>
      </c>
      <c r="W65">
        <f>IF(N65&lt;SUMIFS(L:L,R:R,1,E:E,E65)/SUMIFS(K:K,R:R,1,E:E,E65)*0.5,"Низшая четверть",IF(N65&lt;SUMIFS(L:L,R:R,1,E:E,E65)/SUMIFS(K:K,R:R,1,E:E,E65),"Вторая четверть","Больше половины"))</f>
        <v/>
      </c>
      <c r="X65">
        <f>IF(O65&lt;SUMIFS(M:M,R:R,1,E:E,E65)/SUMIFS(L:L,R:R,1,E:E,E65)*0.5,"Низшая четверть",IF(O65&lt;SUMIFS(M:M,R:R,1,E:E,E65)/SUMIFS(L:L,R:R,1,E:E,E65),"Вторая четверть","Больше половины"))</f>
        <v/>
      </c>
      <c r="Y65" t="n">
        <v>18</v>
      </c>
    </row>
    <row r="66">
      <c r="A66" s="1" t="inlineStr">
        <is>
          <t>95400170</t>
        </is>
      </c>
      <c r="B66" s="2" t="inlineStr">
        <is>
          <t>762222707</t>
        </is>
      </c>
      <c r="C66" s="3" t="inlineStr">
        <is>
          <t>Одежда для детей</t>
        </is>
      </c>
      <c r="D66" s="2" t="inlineStr">
        <is>
          <t>Верхняя детская одежда для девочек</t>
        </is>
      </c>
      <c r="E66" s="3" t="inlineStr">
        <is>
          <t>954 Ветровка детская для девочек</t>
        </is>
      </c>
      <c r="F66" s="2" t="inlineStr">
        <is>
          <t>демисезонный</t>
        </is>
      </c>
      <c r="G66" s="3" t="inlineStr">
        <is>
          <t>Kari KIDS</t>
        </is>
      </c>
      <c r="H66" s="2" t="inlineStr">
        <is>
          <t>Зиннуров Ильнур</t>
        </is>
      </c>
      <c r="J66" s="3" t="inlineStr">
        <is>
          <t>2026SS</t>
        </is>
      </c>
      <c r="K66" s="3" t="n">
        <v>86961</v>
      </c>
      <c r="L66" s="3" t="n">
        <v>6896</v>
      </c>
      <c r="M66" s="3" t="n">
        <v>89</v>
      </c>
      <c r="N66" s="4">
        <f>IFERROR(L66/K66,0)</f>
        <v/>
      </c>
      <c r="O66" s="4">
        <f>IFERROR(M66/L66,0)</f>
        <v/>
      </c>
      <c r="P66" t="n">
        <v>808</v>
      </c>
      <c r="Q66" s="5" t="n">
        <v>1</v>
      </c>
      <c r="R66" s="7" t="n">
        <v>1</v>
      </c>
      <c r="S66">
        <f>IF(OR(N66&lt;$T$1*0.5,O66&lt;$U$1*0.5),"код для проверки","нормальный код")</f>
        <v/>
      </c>
      <c r="T66">
        <f>IF(N66&lt;$T$1*0.5,"Низшая четверть",IF(N66&lt;$T$1,"Вторая четверть","Больше половины"))</f>
        <v/>
      </c>
      <c r="U66">
        <f>IF(O66&lt;$U$1*0.5,"Низшая четверть",IF(O66&lt;$U$1,"Вторая четверть","Больше половины"))</f>
        <v/>
      </c>
      <c r="V66">
        <f>IF(OR(N66&lt;SUMIFS(L:L,R:R,1,E:E,E66)/SUMIFS(K:K,R:R,1,E:E,E66)*0.5,O66&lt;SUMIFS(M:M,R:R,1,E:E,E66)/SUMIFS(L:L,R:R,1,E:E,E66)*0.5),"код для проверки","нормальный код")</f>
        <v/>
      </c>
      <c r="W66">
        <f>IF(N66&lt;SUMIFS(L:L,R:R,1,E:E,E66)/SUMIFS(K:K,R:R,1,E:E,E66)*0.5,"Низшая четверть",IF(N66&lt;SUMIFS(L:L,R:R,1,E:E,E66)/SUMIFS(K:K,R:R,1,E:E,E66),"Вторая четверть","Больше половины"))</f>
        <v/>
      </c>
      <c r="X66">
        <f>IF(O66&lt;SUMIFS(M:M,R:R,1,E:E,E66)/SUMIFS(L:L,R:R,1,E:E,E66)*0.5,"Низшая четверть",IF(O66&lt;SUMIFS(M:M,R:R,1,E:E,E66)/SUMIFS(L:L,R:R,1,E:E,E66),"Вторая четверть","Больше половины"))</f>
        <v/>
      </c>
      <c r="Y66" t="n">
        <v>7</v>
      </c>
    </row>
    <row r="67">
      <c r="A67" s="1" t="inlineStr">
        <is>
          <t>310001Z0</t>
        </is>
      </c>
      <c r="B67" s="2" t="inlineStr">
        <is>
          <t>884287691</t>
        </is>
      </c>
      <c r="C67" s="3" t="inlineStr">
        <is>
          <t>Одежда для детей</t>
        </is>
      </c>
      <c r="D67" s="2" t="inlineStr">
        <is>
          <t>Футболки, майки, рубашки детские для мальчиков</t>
        </is>
      </c>
      <c r="E67" s="3" t="inlineStr">
        <is>
          <t>310 Футболка детская для мальчиков</t>
        </is>
      </c>
      <c r="F67" s="2" t="inlineStr">
        <is>
          <t>всесезонный</t>
        </is>
      </c>
      <c r="G67" s="3" t="inlineStr">
        <is>
          <t>Kari KIDS</t>
        </is>
      </c>
      <c r="H67" s="2" t="inlineStr">
        <is>
          <t>Зиннуров Ильнур</t>
        </is>
      </c>
      <c r="J67" s="3" t="inlineStr">
        <is>
          <t>2026SS</t>
        </is>
      </c>
      <c r="K67" s="3" t="n">
        <v>86810</v>
      </c>
      <c r="L67" s="3" t="n">
        <v>4747</v>
      </c>
      <c r="M67" s="3" t="n">
        <v>169</v>
      </c>
      <c r="N67" s="4">
        <f>IFERROR(L67/K67,0)</f>
        <v/>
      </c>
      <c r="O67" s="4">
        <f>IFERROR(M67/L67,0)</f>
        <v/>
      </c>
      <c r="P67" t="n">
        <v>1389</v>
      </c>
      <c r="Q67" s="5" t="n">
        <v>1</v>
      </c>
      <c r="R67" s="7" t="n">
        <v>1</v>
      </c>
      <c r="S67">
        <f>IF(OR(N67&lt;$T$1*0.5,O67&lt;$U$1*0.5),"код для проверки","нормальный код")</f>
        <v/>
      </c>
      <c r="T67">
        <f>IF(N67&lt;$T$1*0.5,"Низшая четверть",IF(N67&lt;$T$1,"Вторая четверть","Больше половины"))</f>
        <v/>
      </c>
      <c r="U67">
        <f>IF(O67&lt;$U$1*0.5,"Низшая четверть",IF(O67&lt;$U$1,"Вторая четверть","Больше половины"))</f>
        <v/>
      </c>
      <c r="V67">
        <f>IF(OR(N67&lt;SUMIFS(L:L,R:R,1,E:E,E67)/SUMIFS(K:K,R:R,1,E:E,E67)*0.5,O67&lt;SUMIFS(M:M,R:R,1,E:E,E67)/SUMIFS(L:L,R:R,1,E:E,E67)*0.5),"код для проверки","нормальный код")</f>
        <v/>
      </c>
      <c r="W67">
        <f>IF(N67&lt;SUMIFS(L:L,R:R,1,E:E,E67)/SUMIFS(K:K,R:R,1,E:E,E67)*0.5,"Низшая четверть",IF(N67&lt;SUMIFS(L:L,R:R,1,E:E,E67)/SUMIFS(K:K,R:R,1,E:E,E67),"Вторая четверть","Больше половины"))</f>
        <v/>
      </c>
      <c r="X67">
        <f>IF(O67&lt;SUMIFS(M:M,R:R,1,E:E,E67)/SUMIFS(L:L,R:R,1,E:E,E67)*0.5,"Низшая четверть",IF(O67&lt;SUMIFS(M:M,R:R,1,E:E,E67)/SUMIFS(L:L,R:R,1,E:E,E67),"Вторая четверть","Больше половины"))</f>
        <v/>
      </c>
      <c r="Y67" t="n">
        <v>12</v>
      </c>
    </row>
    <row r="68">
      <c r="A68" s="1" t="inlineStr">
        <is>
          <t>310000F0</t>
        </is>
      </c>
      <c r="B68" s="2" t="inlineStr">
        <is>
          <t>699629697</t>
        </is>
      </c>
      <c r="C68" s="3" t="inlineStr">
        <is>
          <t>Одежда для детей</t>
        </is>
      </c>
      <c r="D68" s="2" t="inlineStr">
        <is>
          <t>Футболки, майки, рубашки детские для мальчиков</t>
        </is>
      </c>
      <c r="E68" s="3" t="inlineStr">
        <is>
          <t>310 Футболка детская для мальчиков</t>
        </is>
      </c>
      <c r="F68" s="2" t="inlineStr">
        <is>
          <t>всесезонный</t>
        </is>
      </c>
      <c r="G68" s="3" t="inlineStr">
        <is>
          <t>kari</t>
        </is>
      </c>
      <c r="H68" s="2" t="inlineStr">
        <is>
          <t>Зиннуров Ильнур</t>
        </is>
      </c>
      <c r="J68" s="3" t="inlineStr">
        <is>
          <t>2026SS</t>
        </is>
      </c>
      <c r="K68" s="3" t="n">
        <v>85891</v>
      </c>
      <c r="L68" s="3" t="n">
        <v>4767</v>
      </c>
      <c r="M68" s="3" t="n">
        <v>94</v>
      </c>
      <c r="N68" s="4">
        <f>IFERROR(L68/K68,0)</f>
        <v/>
      </c>
      <c r="O68" s="4">
        <f>IFERROR(M68/L68,0)</f>
        <v/>
      </c>
      <c r="P68" t="n">
        <v>679</v>
      </c>
      <c r="Q68" s="5" t="n">
        <v>1</v>
      </c>
      <c r="R68" s="7" t="n">
        <v>1</v>
      </c>
      <c r="S68">
        <f>IF(OR(N68&lt;$T$1*0.5,O68&lt;$U$1*0.5),"код для проверки","нормальный код")</f>
        <v/>
      </c>
      <c r="T68">
        <f>IF(N68&lt;$T$1*0.5,"Низшая четверть",IF(N68&lt;$T$1,"Вторая четверть","Больше половины"))</f>
        <v/>
      </c>
      <c r="U68">
        <f>IF(O68&lt;$U$1*0.5,"Низшая четверть",IF(O68&lt;$U$1,"Вторая четверть","Больше половины"))</f>
        <v/>
      </c>
      <c r="V68">
        <f>IF(OR(N68&lt;SUMIFS(L:L,R:R,1,E:E,E68)/SUMIFS(K:K,R:R,1,E:E,E68)*0.5,O68&lt;SUMIFS(M:M,R:R,1,E:E,E68)/SUMIFS(L:L,R:R,1,E:E,E68)*0.5),"код для проверки","нормальный код")</f>
        <v/>
      </c>
      <c r="W68">
        <f>IF(N68&lt;SUMIFS(L:L,R:R,1,E:E,E68)/SUMIFS(K:K,R:R,1,E:E,E68)*0.5,"Низшая четверть",IF(N68&lt;SUMIFS(L:L,R:R,1,E:E,E68)/SUMIFS(K:K,R:R,1,E:E,E68),"Вторая четверть","Больше половины"))</f>
        <v/>
      </c>
      <c r="X68">
        <f>IF(O68&lt;SUMIFS(M:M,R:R,1,E:E,E68)/SUMIFS(L:L,R:R,1,E:E,E68)*0.5,"Низшая четверть",IF(O68&lt;SUMIFS(M:M,R:R,1,E:E,E68)/SUMIFS(L:L,R:R,1,E:E,E68),"Вторая четверть","Больше половины"))</f>
        <v/>
      </c>
      <c r="Y68" t="n">
        <v>16</v>
      </c>
    </row>
    <row r="69">
      <c r="A69" s="1" t="inlineStr">
        <is>
          <t>16806000</t>
        </is>
      </c>
      <c r="B69" s="2" t="inlineStr">
        <is>
          <t>8349662</t>
        </is>
      </c>
      <c r="C69" s="3" t="inlineStr">
        <is>
          <t>Одежда и аксессуары</t>
        </is>
      </c>
      <c r="D69" s="2" t="inlineStr">
        <is>
          <t>Головные уборы женские</t>
        </is>
      </c>
      <c r="E69" s="3" t="inlineStr">
        <is>
          <t>168 Шляпа женская летняя</t>
        </is>
      </c>
      <c r="F69" s="2" t="inlineStr">
        <is>
          <t>лето</t>
        </is>
      </c>
      <c r="G69" s="3" t="inlineStr">
        <is>
          <t>kari</t>
        </is>
      </c>
      <c r="H69" s="2" t="inlineStr">
        <is>
          <t>Никонорова Алина</t>
        </is>
      </c>
      <c r="J69" s="3" t="inlineStr">
        <is>
          <t>2026SS</t>
        </is>
      </c>
      <c r="K69" s="3" t="n">
        <v>85766</v>
      </c>
      <c r="L69" s="3" t="n">
        <v>6813</v>
      </c>
      <c r="M69" s="3" t="n">
        <v>135</v>
      </c>
      <c r="N69" s="4">
        <f>IFERROR(L69/K69,0)</f>
        <v/>
      </c>
      <c r="O69" s="4">
        <f>IFERROR(M69/L69,0)</f>
        <v/>
      </c>
      <c r="P69" t="n">
        <v>529</v>
      </c>
      <c r="Q69" s="5" t="n">
        <v>1</v>
      </c>
      <c r="R69" s="7" t="n">
        <v>1</v>
      </c>
      <c r="S69">
        <f>IF(OR(N69&lt;$T$1*0.5,O69&lt;$U$1*0.5),"код для проверки","нормальный код")</f>
        <v/>
      </c>
      <c r="T69">
        <f>IF(N69&lt;$T$1*0.5,"Низшая четверть",IF(N69&lt;$T$1,"Вторая четверть","Больше половины"))</f>
        <v/>
      </c>
      <c r="U69">
        <f>IF(O69&lt;$U$1*0.5,"Низшая четверть",IF(O69&lt;$U$1,"Вторая четверть","Больше половины"))</f>
        <v/>
      </c>
      <c r="V69">
        <f>IF(OR(N69&lt;SUMIFS(L:L,R:R,1,E:E,E69)/SUMIFS(K:K,R:R,1,E:E,E69)*0.5,O69&lt;SUMIFS(M:M,R:R,1,E:E,E69)/SUMIFS(L:L,R:R,1,E:E,E69)*0.5),"код для проверки","нормальный код")</f>
        <v/>
      </c>
      <c r="W69">
        <f>IF(N69&lt;SUMIFS(L:L,R:R,1,E:E,E69)/SUMIFS(K:K,R:R,1,E:E,E69)*0.5,"Низшая четверть",IF(N69&lt;SUMIFS(L:L,R:R,1,E:E,E69)/SUMIFS(K:K,R:R,1,E:E,E69),"Вторая четверть","Больше половины"))</f>
        <v/>
      </c>
      <c r="X69">
        <f>IF(O69&lt;SUMIFS(M:M,R:R,1,E:E,E69)/SUMIFS(L:L,R:R,1,E:E,E69)*0.5,"Низшая четверть",IF(O69&lt;SUMIFS(M:M,R:R,1,E:E,E69)/SUMIFS(L:L,R:R,1,E:E,E69),"Вторая четверть","Больше половины"))</f>
        <v/>
      </c>
      <c r="Y69" t="n">
        <v>15</v>
      </c>
    </row>
    <row r="70">
      <c r="A70" s="1" t="inlineStr">
        <is>
          <t>18100280</t>
        </is>
      </c>
      <c r="B70" s="2" t="inlineStr">
        <is>
          <t>710160948</t>
        </is>
      </c>
      <c r="C70" s="3" t="inlineStr">
        <is>
          <t>Одежда для детей</t>
        </is>
      </c>
      <c r="D70" s="2" t="inlineStr">
        <is>
          <t>Джинсы детские для девочек</t>
        </is>
      </c>
      <c r="E70" s="3" t="inlineStr">
        <is>
          <t>181 Джинсы детские для девочек</t>
        </is>
      </c>
      <c r="F70" s="2" t="inlineStr">
        <is>
          <t>всесезонный</t>
        </is>
      </c>
      <c r="G70" s="3" t="inlineStr">
        <is>
          <t>kari</t>
        </is>
      </c>
      <c r="H70" s="2" t="inlineStr">
        <is>
          <t>Зиннуров Ильнур</t>
        </is>
      </c>
      <c r="J70" s="3" t="inlineStr">
        <is>
          <t>2026SS</t>
        </is>
      </c>
      <c r="K70" s="3" t="n">
        <v>85191</v>
      </c>
      <c r="L70" s="3" t="n">
        <v>5172</v>
      </c>
      <c r="M70" s="3" t="n">
        <v>118</v>
      </c>
      <c r="N70" s="4">
        <f>IFERROR(L70/K70,0)</f>
        <v/>
      </c>
      <c r="O70" s="4">
        <f>IFERROR(M70/L70,0)</f>
        <v/>
      </c>
      <c r="P70" t="n">
        <v>217</v>
      </c>
      <c r="Q70" s="5" t="n">
        <v>1</v>
      </c>
      <c r="R70" s="7" t="n">
        <v>1</v>
      </c>
      <c r="S70">
        <f>IF(OR(N70&lt;$T$1*0.5,O70&lt;$U$1*0.5),"код для проверки","нормальный код")</f>
        <v/>
      </c>
      <c r="T70">
        <f>IF(N70&lt;$T$1*0.5,"Низшая четверть",IF(N70&lt;$T$1,"Вторая четверть","Больше половины"))</f>
        <v/>
      </c>
      <c r="U70">
        <f>IF(O70&lt;$U$1*0.5,"Низшая четверть",IF(O70&lt;$U$1,"Вторая четверть","Больше половины"))</f>
        <v/>
      </c>
      <c r="V70">
        <f>IF(OR(N70&lt;SUMIFS(L:L,R:R,1,E:E,E70)/SUMIFS(K:K,R:R,1,E:E,E70)*0.5,O70&lt;SUMIFS(M:M,R:R,1,E:E,E70)/SUMIFS(L:L,R:R,1,E:E,E70)*0.5),"код для проверки","нормальный код")</f>
        <v/>
      </c>
      <c r="W70">
        <f>IF(N70&lt;SUMIFS(L:L,R:R,1,E:E,E70)/SUMIFS(K:K,R:R,1,E:E,E70)*0.5,"Низшая четверть",IF(N70&lt;SUMIFS(L:L,R:R,1,E:E,E70)/SUMIFS(K:K,R:R,1,E:E,E70),"Вторая четверть","Больше половины"))</f>
        <v/>
      </c>
      <c r="X70">
        <f>IF(O70&lt;SUMIFS(M:M,R:R,1,E:E,E70)/SUMIFS(L:L,R:R,1,E:E,E70)*0.5,"Низшая четверть",IF(O70&lt;SUMIFS(M:M,R:R,1,E:E,E70)/SUMIFS(L:L,R:R,1,E:E,E70),"Вторая четверть","Больше половины"))</f>
        <v/>
      </c>
      <c r="Y70" t="n">
        <v>26</v>
      </c>
    </row>
    <row r="71">
      <c r="A71" s="1" t="inlineStr">
        <is>
          <t>y4900040</t>
        </is>
      </c>
      <c r="B71" s="2" t="inlineStr">
        <is>
          <t>800772221</t>
        </is>
      </c>
      <c r="C71" s="3" t="inlineStr">
        <is>
          <t>Одежда для детей</t>
        </is>
      </c>
      <c r="D71" s="2" t="inlineStr">
        <is>
          <t>Спортивная одежда детская для девочек</t>
        </is>
      </c>
      <c r="E71" s="3" t="inlineStr">
        <is>
          <t>y49 Комплект летней одежды для девочки</t>
        </is>
      </c>
      <c r="F71" s="2" t="inlineStr">
        <is>
          <t>весна, лето</t>
        </is>
      </c>
      <c r="G71" s="3" t="inlineStr">
        <is>
          <t>Kari KIDS</t>
        </is>
      </c>
      <c r="H71" s="2" t="inlineStr">
        <is>
          <t>Зиннуров Ильнур</t>
        </is>
      </c>
      <c r="J71" s="3" t="inlineStr">
        <is>
          <t>2026SS</t>
        </is>
      </c>
      <c r="K71" s="3" t="n">
        <v>84474</v>
      </c>
      <c r="L71" s="3" t="n">
        <v>9178</v>
      </c>
      <c r="M71" s="3" t="n">
        <v>149</v>
      </c>
      <c r="N71" s="4">
        <f>IFERROR(L71/K71,0)</f>
        <v/>
      </c>
      <c r="O71" s="4">
        <f>IFERROR(M71/L71,0)</f>
        <v/>
      </c>
      <c r="P71" t="n">
        <v>444</v>
      </c>
      <c r="Q71" s="5" t="n">
        <v>1</v>
      </c>
      <c r="R71" s="7" t="n">
        <v>1</v>
      </c>
      <c r="S71">
        <f>IF(OR(N71&lt;$T$1*0.5,O71&lt;$U$1*0.5),"код для проверки","нормальный код")</f>
        <v/>
      </c>
      <c r="T71">
        <f>IF(N71&lt;$T$1*0.5,"Низшая четверть",IF(N71&lt;$T$1,"Вторая четверть","Больше половины"))</f>
        <v/>
      </c>
      <c r="U71">
        <f>IF(O71&lt;$U$1*0.5,"Низшая четверть",IF(O71&lt;$U$1,"Вторая четверть","Больше половины"))</f>
        <v/>
      </c>
      <c r="V71">
        <f>IF(OR(N71&lt;SUMIFS(L:L,R:R,1,E:E,E71)/SUMIFS(K:K,R:R,1,E:E,E71)*0.5,O71&lt;SUMIFS(M:M,R:R,1,E:E,E71)/SUMIFS(L:L,R:R,1,E:E,E71)*0.5),"код для проверки","нормальный код")</f>
        <v/>
      </c>
      <c r="W71">
        <f>IF(N71&lt;SUMIFS(L:L,R:R,1,E:E,E71)/SUMIFS(K:K,R:R,1,E:E,E71)*0.5,"Низшая четверть",IF(N71&lt;SUMIFS(L:L,R:R,1,E:E,E71)/SUMIFS(K:K,R:R,1,E:E,E71),"Вторая четверть","Больше половины"))</f>
        <v/>
      </c>
      <c r="X71">
        <f>IF(O71&lt;SUMIFS(M:M,R:R,1,E:E,E71)/SUMIFS(L:L,R:R,1,E:E,E71)*0.5,"Низшая четверть",IF(O71&lt;SUMIFS(M:M,R:R,1,E:E,E71)/SUMIFS(L:L,R:R,1,E:E,E71),"Вторая четверть","Больше половины"))</f>
        <v/>
      </c>
      <c r="Y71" t="n">
        <v>25</v>
      </c>
    </row>
    <row r="72">
      <c r="A72" s="1" t="inlineStr">
        <is>
          <t>a6000060</t>
        </is>
      </c>
      <c r="B72" s="2" t="inlineStr">
        <is>
          <t>723105258</t>
        </is>
      </c>
      <c r="C72" s="3" t="inlineStr">
        <is>
          <t>Одежда для детей</t>
        </is>
      </c>
      <c r="D72" s="2" t="inlineStr">
        <is>
          <t>Платья, майки, футболки детские для девочек</t>
        </is>
      </c>
      <c r="E72" s="3" t="inlineStr">
        <is>
          <t>a60 Футболка детская для девочек</t>
        </is>
      </c>
      <c r="F72" s="2" t="inlineStr">
        <is>
          <t>всесезонный</t>
        </is>
      </c>
      <c r="G72" s="3" t="inlineStr">
        <is>
          <t>Kari KIDS</t>
        </is>
      </c>
      <c r="H72" s="2" t="inlineStr">
        <is>
          <t>Зиннуров Ильнур</t>
        </is>
      </c>
      <c r="J72" s="3" t="inlineStr">
        <is>
          <t>2026SS</t>
        </is>
      </c>
      <c r="K72" s="3" t="n">
        <v>83021</v>
      </c>
      <c r="L72" s="3" t="n">
        <v>8575</v>
      </c>
      <c r="M72" s="3" t="n">
        <v>116</v>
      </c>
      <c r="N72" s="4">
        <f>IFERROR(L72/K72,0)</f>
        <v/>
      </c>
      <c r="O72" s="4">
        <f>IFERROR(M72/L72,0)</f>
        <v/>
      </c>
      <c r="P72" t="n">
        <v>1338</v>
      </c>
      <c r="Q72" s="5" t="n">
        <v>1</v>
      </c>
      <c r="R72" s="7" t="n">
        <v>1</v>
      </c>
      <c r="S72">
        <f>IF(OR(N72&lt;$T$1*0.5,O72&lt;$U$1*0.5),"код для проверки","нормальный код")</f>
        <v/>
      </c>
      <c r="T72">
        <f>IF(N72&lt;$T$1*0.5,"Низшая четверть",IF(N72&lt;$T$1,"Вторая четверть","Больше половины"))</f>
        <v/>
      </c>
      <c r="U72">
        <f>IF(O72&lt;$U$1*0.5,"Низшая четверть",IF(O72&lt;$U$1,"Вторая четверть","Больше половины"))</f>
        <v/>
      </c>
      <c r="V72">
        <f>IF(OR(N72&lt;SUMIFS(L:L,R:R,1,E:E,E72)/SUMIFS(K:K,R:R,1,E:E,E72)*0.5,O72&lt;SUMIFS(M:M,R:R,1,E:E,E72)/SUMIFS(L:L,R:R,1,E:E,E72)*0.5),"код для проверки","нормальный код")</f>
        <v/>
      </c>
      <c r="W72">
        <f>IF(N72&lt;SUMIFS(L:L,R:R,1,E:E,E72)/SUMIFS(K:K,R:R,1,E:E,E72)*0.5,"Низшая четверть",IF(N72&lt;SUMIFS(L:L,R:R,1,E:E,E72)/SUMIFS(K:K,R:R,1,E:E,E72),"Вторая четверть","Больше половины"))</f>
        <v/>
      </c>
      <c r="X72">
        <f>IF(O72&lt;SUMIFS(M:M,R:R,1,E:E,E72)/SUMIFS(L:L,R:R,1,E:E,E72)*0.5,"Низшая четверть",IF(O72&lt;SUMIFS(M:M,R:R,1,E:E,E72)/SUMIFS(L:L,R:R,1,E:E,E72),"Вторая четверть","Больше половины"))</f>
        <v/>
      </c>
      <c r="Y72" t="n">
        <v>6</v>
      </c>
    </row>
    <row r="73">
      <c r="A73" s="1" t="inlineStr">
        <is>
          <t>87700070</t>
        </is>
      </c>
      <c r="B73" s="2" t="inlineStr">
        <is>
          <t>866469011</t>
        </is>
      </c>
      <c r="C73" s="3" t="inlineStr">
        <is>
          <t>Одежда для детей</t>
        </is>
      </c>
      <c r="D73" s="2" t="inlineStr">
        <is>
          <t>Верхняя одежда детская для мальчиков</t>
        </is>
      </c>
      <c r="E73" s="3" t="inlineStr">
        <is>
          <t>877 Жилет утепленный детский для мальчиков</t>
        </is>
      </c>
      <c r="F73" s="2" t="inlineStr">
        <is>
          <t>демисезонный</t>
        </is>
      </c>
      <c r="G73" s="3" t="inlineStr">
        <is>
          <t>Kari KIDS</t>
        </is>
      </c>
      <c r="H73" s="2" t="inlineStr">
        <is>
          <t>Зиннуров Ильнур</t>
        </is>
      </c>
      <c r="J73" s="3" t="inlineStr">
        <is>
          <t>2026SS</t>
        </is>
      </c>
      <c r="K73" s="3" t="n">
        <v>81548</v>
      </c>
      <c r="L73" s="3" t="n">
        <v>4489</v>
      </c>
      <c r="M73" s="3" t="n">
        <v>67</v>
      </c>
      <c r="N73" s="4">
        <f>IFERROR(L73/K73,0)</f>
        <v/>
      </c>
      <c r="O73" s="4">
        <f>IFERROR(M73/L73,0)</f>
        <v/>
      </c>
      <c r="P73" t="n">
        <v>460</v>
      </c>
      <c r="Q73" s="5" t="n">
        <v>1</v>
      </c>
      <c r="R73" s="7" t="n">
        <v>1</v>
      </c>
      <c r="S73">
        <f>IF(OR(N73&lt;$T$1*0.5,O73&lt;$U$1*0.5),"код для проверки","нормальный код")</f>
        <v/>
      </c>
      <c r="T73">
        <f>IF(N73&lt;$T$1*0.5,"Низшая четверть",IF(N73&lt;$T$1,"Вторая четверть","Больше половины"))</f>
        <v/>
      </c>
      <c r="U73">
        <f>IF(O73&lt;$U$1*0.5,"Низшая четверть",IF(O73&lt;$U$1,"Вторая четверть","Больше половины"))</f>
        <v/>
      </c>
      <c r="V73">
        <f>IF(OR(N73&lt;SUMIFS(L:L,R:R,1,E:E,E73)/SUMIFS(K:K,R:R,1,E:E,E73)*0.5,O73&lt;SUMIFS(M:M,R:R,1,E:E,E73)/SUMIFS(L:L,R:R,1,E:E,E73)*0.5),"код для проверки","нормальный код")</f>
        <v/>
      </c>
      <c r="W73">
        <f>IF(N73&lt;SUMIFS(L:L,R:R,1,E:E,E73)/SUMIFS(K:K,R:R,1,E:E,E73)*0.5,"Низшая четверть",IF(N73&lt;SUMIFS(L:L,R:R,1,E:E,E73)/SUMIFS(K:K,R:R,1,E:E,E73),"Вторая четверть","Больше половины"))</f>
        <v/>
      </c>
      <c r="X73">
        <f>IF(O73&lt;SUMIFS(M:M,R:R,1,E:E,E73)/SUMIFS(L:L,R:R,1,E:E,E73)*0.5,"Низшая четверть",IF(O73&lt;SUMIFS(M:M,R:R,1,E:E,E73)/SUMIFS(L:L,R:R,1,E:E,E73),"Вторая четверть","Больше половины"))</f>
        <v/>
      </c>
      <c r="Y73" t="n">
        <v>24</v>
      </c>
    </row>
    <row r="74">
      <c r="A74" s="1" t="inlineStr">
        <is>
          <t>88600050</t>
        </is>
      </c>
      <c r="B74" s="2" t="inlineStr">
        <is>
          <t>790337431</t>
        </is>
      </c>
      <c r="C74" s="3" t="inlineStr">
        <is>
          <t>Одежда для детей</t>
        </is>
      </c>
      <c r="D74" s="2" t="inlineStr">
        <is>
          <t>Верхняя детская одежда для девочек</t>
        </is>
      </c>
      <c r="E74" s="3" t="inlineStr">
        <is>
          <t>886 Жилет утепленный детский для девочек</t>
        </is>
      </c>
      <c r="F74" s="2" t="inlineStr">
        <is>
          <t>демисезонный</t>
        </is>
      </c>
      <c r="G74" s="3" t="inlineStr">
        <is>
          <t>kari</t>
        </is>
      </c>
      <c r="H74" s="2" t="inlineStr">
        <is>
          <t>Зиннуров Ильнур</t>
        </is>
      </c>
      <c r="J74" s="3" t="inlineStr">
        <is>
          <t>2026SS</t>
        </is>
      </c>
      <c r="K74" s="3" t="n">
        <v>81026</v>
      </c>
      <c r="L74" s="3" t="n">
        <v>8066</v>
      </c>
      <c r="M74" s="3" t="n">
        <v>123</v>
      </c>
      <c r="N74" s="4">
        <f>IFERROR(L74/K74,0)</f>
        <v/>
      </c>
      <c r="O74" s="4">
        <f>IFERROR(M74/L74,0)</f>
        <v/>
      </c>
      <c r="P74" t="n">
        <v>232</v>
      </c>
      <c r="Q74" s="5" t="n">
        <v>1</v>
      </c>
      <c r="R74" s="7" t="n">
        <v>1</v>
      </c>
      <c r="S74">
        <f>IF(OR(N74&lt;$T$1*0.5,O74&lt;$U$1*0.5),"код для проверки","нормальный код")</f>
        <v/>
      </c>
      <c r="T74">
        <f>IF(N74&lt;$T$1*0.5,"Низшая четверть",IF(N74&lt;$T$1,"Вторая четверть","Больше половины"))</f>
        <v/>
      </c>
      <c r="U74">
        <f>IF(O74&lt;$U$1*0.5,"Низшая четверть",IF(O74&lt;$U$1,"Вторая четверть","Больше половины"))</f>
        <v/>
      </c>
      <c r="V74">
        <f>IF(OR(N74&lt;SUMIFS(L:L,R:R,1,E:E,E74)/SUMIFS(K:K,R:R,1,E:E,E74)*0.5,O74&lt;SUMIFS(M:M,R:R,1,E:E,E74)/SUMIFS(L:L,R:R,1,E:E,E74)*0.5),"код для проверки","нормальный код")</f>
        <v/>
      </c>
      <c r="W74">
        <f>IF(N74&lt;SUMIFS(L:L,R:R,1,E:E,E74)/SUMIFS(K:K,R:R,1,E:E,E74)*0.5,"Низшая четверть",IF(N74&lt;SUMIFS(L:L,R:R,1,E:E,E74)/SUMIFS(K:K,R:R,1,E:E,E74),"Вторая четверть","Больше половины"))</f>
        <v/>
      </c>
      <c r="X74">
        <f>IF(O74&lt;SUMIFS(M:M,R:R,1,E:E,E74)/SUMIFS(L:L,R:R,1,E:E,E74)*0.5,"Низшая четверть",IF(O74&lt;SUMIFS(M:M,R:R,1,E:E,E74)/SUMIFS(L:L,R:R,1,E:E,E74),"Вторая четверть","Больше половины"))</f>
        <v/>
      </c>
      <c r="Y74" t="n">
        <v>24</v>
      </c>
    </row>
    <row r="75">
      <c r="A75" s="1" t="inlineStr">
        <is>
          <t>30200340</t>
        </is>
      </c>
      <c r="B75" s="2" t="inlineStr">
        <is>
          <t>788608523</t>
        </is>
      </c>
      <c r="C75" s="3" t="inlineStr">
        <is>
          <t>Одежда для детей</t>
        </is>
      </c>
      <c r="D75" s="2" t="inlineStr">
        <is>
          <t>Платья, майки, футболки детские для девочек</t>
        </is>
      </c>
      <c r="E75" s="3" t="inlineStr">
        <is>
          <t>302 Юбка детская для девочек</t>
        </is>
      </c>
      <c r="F75" s="2" t="inlineStr">
        <is>
          <t>всесезонный</t>
        </is>
      </c>
      <c r="G75" s="3" t="inlineStr">
        <is>
          <t>kari</t>
        </is>
      </c>
      <c r="H75" s="2" t="inlineStr">
        <is>
          <t>Зиннуров Ильнур</t>
        </is>
      </c>
      <c r="J75" s="3" t="inlineStr">
        <is>
          <t>2026SS</t>
        </is>
      </c>
      <c r="K75" s="3" t="n">
        <v>80101</v>
      </c>
      <c r="L75" s="3" t="n">
        <v>7035</v>
      </c>
      <c r="M75" s="3" t="n">
        <v>246</v>
      </c>
      <c r="N75" s="4">
        <f>IFERROR(L75/K75,0)</f>
        <v/>
      </c>
      <c r="O75" s="4">
        <f>IFERROR(M75/L75,0)</f>
        <v/>
      </c>
      <c r="P75" t="n">
        <v>260</v>
      </c>
      <c r="Q75" s="5" t="n">
        <v>1</v>
      </c>
      <c r="R75" s="7" t="n">
        <v>1</v>
      </c>
      <c r="S75">
        <f>IF(OR(N75&lt;$T$1*0.5,O75&lt;$U$1*0.5),"код для проверки","нормальный код")</f>
        <v/>
      </c>
      <c r="T75">
        <f>IF(N75&lt;$T$1*0.5,"Низшая четверть",IF(N75&lt;$T$1,"Вторая четверть","Больше половины"))</f>
        <v/>
      </c>
      <c r="U75">
        <f>IF(O75&lt;$U$1*0.5,"Низшая четверть",IF(O75&lt;$U$1,"Вторая четверть","Больше половины"))</f>
        <v/>
      </c>
      <c r="V75">
        <f>IF(OR(N75&lt;SUMIFS(L:L,R:R,1,E:E,E75)/SUMIFS(K:K,R:R,1,E:E,E75)*0.5,O75&lt;SUMIFS(M:M,R:R,1,E:E,E75)/SUMIFS(L:L,R:R,1,E:E,E75)*0.5),"код для проверки","нормальный код")</f>
        <v/>
      </c>
      <c r="W75">
        <f>IF(N75&lt;SUMIFS(L:L,R:R,1,E:E,E75)/SUMIFS(K:K,R:R,1,E:E,E75)*0.5,"Низшая четверть",IF(N75&lt;SUMIFS(L:L,R:R,1,E:E,E75)/SUMIFS(K:K,R:R,1,E:E,E75),"Вторая четверть","Больше половины"))</f>
        <v/>
      </c>
      <c r="X75">
        <f>IF(O75&lt;SUMIFS(M:M,R:R,1,E:E,E75)/SUMIFS(L:L,R:R,1,E:E,E75)*0.5,"Низшая четверть",IF(O75&lt;SUMIFS(M:M,R:R,1,E:E,E75)/SUMIFS(L:L,R:R,1,E:E,E75),"Вторая четверть","Больше половины"))</f>
        <v/>
      </c>
      <c r="Y75" t="n">
        <v>17</v>
      </c>
    </row>
    <row r="76">
      <c r="A76" s="1" t="inlineStr">
        <is>
          <t>18200080</t>
        </is>
      </c>
      <c r="B76" s="2" t="inlineStr">
        <is>
          <t>762057059</t>
        </is>
      </c>
      <c r="C76" s="3" t="inlineStr">
        <is>
          <t>Одежда для детей</t>
        </is>
      </c>
      <c r="D76" s="2" t="inlineStr">
        <is>
          <t>Джинсы детские для мальчиков</t>
        </is>
      </c>
      <c r="E76" s="3" t="inlineStr">
        <is>
          <t>182 Джинсы детские для мальчиков</t>
        </is>
      </c>
      <c r="F76" s="2" t="inlineStr">
        <is>
          <t>всесезонный</t>
        </is>
      </c>
      <c r="G76" s="3" t="inlineStr">
        <is>
          <t>Kari KIDS</t>
        </is>
      </c>
      <c r="H76" s="2" t="inlineStr">
        <is>
          <t>Зиннуров Ильнур</t>
        </is>
      </c>
      <c r="J76" s="3" t="inlineStr">
        <is>
          <t>2026SS</t>
        </is>
      </c>
      <c r="K76" s="3" t="n">
        <v>79310</v>
      </c>
      <c r="L76" s="3" t="n">
        <v>6352</v>
      </c>
      <c r="M76" s="3" t="n">
        <v>197</v>
      </c>
      <c r="N76" s="4">
        <f>IFERROR(L76/K76,0)</f>
        <v/>
      </c>
      <c r="O76" s="4">
        <f>IFERROR(M76/L76,0)</f>
        <v/>
      </c>
      <c r="P76" t="n">
        <v>520</v>
      </c>
      <c r="Q76" s="5" t="n">
        <v>1</v>
      </c>
      <c r="R76" s="7" t="n">
        <v>1</v>
      </c>
      <c r="S76">
        <f>IF(OR(N76&lt;$T$1*0.5,O76&lt;$U$1*0.5),"код для проверки","нормальный код")</f>
        <v/>
      </c>
      <c r="T76">
        <f>IF(N76&lt;$T$1*0.5,"Низшая четверть",IF(N76&lt;$T$1,"Вторая четверть","Больше половины"))</f>
        <v/>
      </c>
      <c r="U76">
        <f>IF(O76&lt;$U$1*0.5,"Низшая четверть",IF(O76&lt;$U$1,"Вторая четверть","Больше половины"))</f>
        <v/>
      </c>
      <c r="V76">
        <f>IF(OR(N76&lt;SUMIFS(L:L,R:R,1,E:E,E76)/SUMIFS(K:K,R:R,1,E:E,E76)*0.5,O76&lt;SUMIFS(M:M,R:R,1,E:E,E76)/SUMIFS(L:L,R:R,1,E:E,E76)*0.5),"код для проверки","нормальный код")</f>
        <v/>
      </c>
      <c r="W76">
        <f>IF(N76&lt;SUMIFS(L:L,R:R,1,E:E,E76)/SUMIFS(K:K,R:R,1,E:E,E76)*0.5,"Низшая четверть",IF(N76&lt;SUMIFS(L:L,R:R,1,E:E,E76)/SUMIFS(K:K,R:R,1,E:E,E76),"Вторая четверть","Больше половины"))</f>
        <v/>
      </c>
      <c r="X76">
        <f>IF(O76&lt;SUMIFS(M:M,R:R,1,E:E,E76)/SUMIFS(L:L,R:R,1,E:E,E76)*0.5,"Низшая четверть",IF(O76&lt;SUMIFS(M:M,R:R,1,E:E,E76)/SUMIFS(L:L,R:R,1,E:E,E76),"Вторая четверть","Больше половины"))</f>
        <v/>
      </c>
      <c r="Y76" t="n">
        <v>13</v>
      </c>
    </row>
    <row r="77">
      <c r="A77" s="1" t="inlineStr">
        <is>
          <t>30200260</t>
        </is>
      </c>
      <c r="B77" s="2" t="inlineStr">
        <is>
          <t>788608453</t>
        </is>
      </c>
      <c r="C77" s="3" t="inlineStr">
        <is>
          <t>Одежда для детей</t>
        </is>
      </c>
      <c r="D77" s="2" t="inlineStr">
        <is>
          <t>Платья, майки, футболки детские для девочек</t>
        </is>
      </c>
      <c r="E77" s="3" t="inlineStr">
        <is>
          <t>302 Юбка детская для девочек</t>
        </is>
      </c>
      <c r="F77" s="2" t="inlineStr">
        <is>
          <t>всесезонный</t>
        </is>
      </c>
      <c r="G77" s="3" t="inlineStr">
        <is>
          <t>Kari KIDS</t>
        </is>
      </c>
      <c r="H77" s="2" t="inlineStr">
        <is>
          <t>Зиннуров Ильнур</t>
        </is>
      </c>
      <c r="J77" s="3" t="inlineStr">
        <is>
          <t>2026SS</t>
        </is>
      </c>
      <c r="K77" s="3" t="n">
        <v>77808</v>
      </c>
      <c r="L77" s="3" t="n">
        <v>4493</v>
      </c>
      <c r="M77" s="3" t="n">
        <v>132</v>
      </c>
      <c r="N77" s="4">
        <f>IFERROR(L77/K77,0)</f>
        <v/>
      </c>
      <c r="O77" s="4">
        <f>IFERROR(M77/L77,0)</f>
        <v/>
      </c>
      <c r="P77" t="n">
        <v>561</v>
      </c>
      <c r="Q77" s="5" t="n">
        <v>1</v>
      </c>
      <c r="R77" s="7" t="n">
        <v>1</v>
      </c>
      <c r="S77">
        <f>IF(OR(N77&lt;$T$1*0.5,O77&lt;$U$1*0.5),"код для проверки","нормальный код")</f>
        <v/>
      </c>
      <c r="T77">
        <f>IF(N77&lt;$T$1*0.5,"Низшая четверть",IF(N77&lt;$T$1,"Вторая четверть","Больше половины"))</f>
        <v/>
      </c>
      <c r="U77">
        <f>IF(O77&lt;$U$1*0.5,"Низшая четверть",IF(O77&lt;$U$1,"Вторая четверть","Больше половины"))</f>
        <v/>
      </c>
      <c r="V77">
        <f>IF(OR(N77&lt;SUMIFS(L:L,R:R,1,E:E,E77)/SUMIFS(K:K,R:R,1,E:E,E77)*0.5,O77&lt;SUMIFS(M:M,R:R,1,E:E,E77)/SUMIFS(L:L,R:R,1,E:E,E77)*0.5),"код для проверки","нормальный код")</f>
        <v/>
      </c>
      <c r="W77">
        <f>IF(N77&lt;SUMIFS(L:L,R:R,1,E:E,E77)/SUMIFS(K:K,R:R,1,E:E,E77)*0.5,"Низшая четверть",IF(N77&lt;SUMIFS(L:L,R:R,1,E:E,E77)/SUMIFS(K:K,R:R,1,E:E,E77),"Вторая четверть","Больше половины"))</f>
        <v/>
      </c>
      <c r="X77">
        <f>IF(O77&lt;SUMIFS(M:M,R:R,1,E:E,E77)/SUMIFS(L:L,R:R,1,E:E,E77)*0.5,"Низшая четверть",IF(O77&lt;SUMIFS(M:M,R:R,1,E:E,E77)/SUMIFS(L:L,R:R,1,E:E,E77),"Вторая четверть","Больше половины"))</f>
        <v/>
      </c>
      <c r="Y77" t="n">
        <v>19</v>
      </c>
    </row>
    <row r="78">
      <c r="A78" s="1" t="inlineStr">
        <is>
          <t>14408990</t>
        </is>
      </c>
      <c r="B78" s="2" t="inlineStr">
        <is>
          <t>355550883</t>
        </is>
      </c>
      <c r="C78" s="3" t="inlineStr">
        <is>
          <t>Одежда и аксессуары</t>
        </is>
      </c>
      <c r="D78" s="2" t="inlineStr">
        <is>
          <t>Шарфы женские</t>
        </is>
      </c>
      <c r="E78" s="3" t="inlineStr">
        <is>
          <t>144 Шарф летний женский</t>
        </is>
      </c>
      <c r="F78" s="2" t="inlineStr">
        <is>
          <t>весна, лето</t>
        </is>
      </c>
      <c r="G78" s="3" t="inlineStr">
        <is>
          <t>kari</t>
        </is>
      </c>
      <c r="H78" s="2" t="inlineStr">
        <is>
          <t>Никонорова Алина</t>
        </is>
      </c>
      <c r="J78" s="3" t="inlineStr">
        <is>
          <t>2026SS</t>
        </is>
      </c>
      <c r="K78" s="3" t="n">
        <v>77411</v>
      </c>
      <c r="L78" s="3" t="n">
        <v>13094</v>
      </c>
      <c r="M78" s="3" t="n">
        <v>178</v>
      </c>
      <c r="N78" s="4">
        <f>IFERROR(L78/K78,0)</f>
        <v/>
      </c>
      <c r="O78" s="4">
        <f>IFERROR(M78/L78,0)</f>
        <v/>
      </c>
      <c r="P78" t="n">
        <v>527</v>
      </c>
      <c r="Q78" s="5" t="n">
        <v>1</v>
      </c>
      <c r="R78" s="7" t="n">
        <v>1</v>
      </c>
      <c r="S78">
        <f>IF(OR(N78&lt;$T$1*0.5,O78&lt;$U$1*0.5),"код для проверки","нормальный код")</f>
        <v/>
      </c>
      <c r="T78">
        <f>IF(N78&lt;$T$1*0.5,"Низшая четверть",IF(N78&lt;$T$1,"Вторая четверть","Больше половины"))</f>
        <v/>
      </c>
      <c r="U78">
        <f>IF(O78&lt;$U$1*0.5,"Низшая четверть",IF(O78&lt;$U$1,"Вторая четверть","Больше половины"))</f>
        <v/>
      </c>
      <c r="V78">
        <f>IF(OR(N78&lt;SUMIFS(L:L,R:R,1,E:E,E78)/SUMIFS(K:K,R:R,1,E:E,E78)*0.5,O78&lt;SUMIFS(M:M,R:R,1,E:E,E78)/SUMIFS(L:L,R:R,1,E:E,E78)*0.5),"код для проверки","нормальный код")</f>
        <v/>
      </c>
      <c r="W78">
        <f>IF(N78&lt;SUMIFS(L:L,R:R,1,E:E,E78)/SUMIFS(K:K,R:R,1,E:E,E78)*0.5,"Низшая четверть",IF(N78&lt;SUMIFS(L:L,R:R,1,E:E,E78)/SUMIFS(K:K,R:R,1,E:E,E78),"Вторая четверть","Больше половины"))</f>
        <v/>
      </c>
      <c r="X78">
        <f>IF(O78&lt;SUMIFS(M:M,R:R,1,E:E,E78)/SUMIFS(L:L,R:R,1,E:E,E78)*0.5,"Низшая четверть",IF(O78&lt;SUMIFS(M:M,R:R,1,E:E,E78)/SUMIFS(L:L,R:R,1,E:E,E78),"Вторая четверть","Больше половины"))</f>
        <v/>
      </c>
      <c r="Y78" t="n">
        <v>9</v>
      </c>
    </row>
    <row r="79">
      <c r="A79" s="1" t="inlineStr">
        <is>
          <t>19800090</t>
        </is>
      </c>
      <c r="B79" s="2" t="inlineStr">
        <is>
          <t>734343267</t>
        </is>
      </c>
      <c r="C79" s="3" t="inlineStr">
        <is>
          <t>Одежда и аксессуары</t>
        </is>
      </c>
      <c r="D79" s="2" t="inlineStr">
        <is>
          <t>Майки и платья женские</t>
        </is>
      </c>
      <c r="E79" s="3" t="inlineStr">
        <is>
          <t>198 Топ женский</t>
        </is>
      </c>
      <c r="F79" s="2" t="inlineStr">
        <is>
          <t>лето</t>
        </is>
      </c>
      <c r="G79" s="3" t="inlineStr">
        <is>
          <t>kari</t>
        </is>
      </c>
      <c r="H79" s="2" t="inlineStr">
        <is>
          <t>Зиннуров Ильнур</t>
        </is>
      </c>
      <c r="J79" s="3" t="inlineStr">
        <is>
          <t>2026SS</t>
        </is>
      </c>
      <c r="K79" s="3" t="n">
        <v>75976</v>
      </c>
      <c r="L79" s="3" t="n">
        <v>4987</v>
      </c>
      <c r="M79" s="3" t="n">
        <v>492</v>
      </c>
      <c r="N79" s="4">
        <f>IFERROR(L79/K79,0)</f>
        <v/>
      </c>
      <c r="O79" s="4">
        <f>IFERROR(M79/L79,0)</f>
        <v/>
      </c>
      <c r="P79" t="n">
        <v>2793</v>
      </c>
      <c r="Q79" s="5" t="n">
        <v>1</v>
      </c>
      <c r="R79" s="7" t="n">
        <v>1</v>
      </c>
      <c r="S79">
        <f>IF(OR(N79&lt;$T$1*0.5,O79&lt;$U$1*0.5),"код для проверки","нормальный код")</f>
        <v/>
      </c>
      <c r="T79">
        <f>IF(N79&lt;$T$1*0.5,"Низшая четверть",IF(N79&lt;$T$1,"Вторая четверть","Больше половины"))</f>
        <v/>
      </c>
      <c r="U79">
        <f>IF(O79&lt;$U$1*0.5,"Низшая четверть",IF(O79&lt;$U$1,"Вторая четверть","Больше половины"))</f>
        <v/>
      </c>
      <c r="V79">
        <f>IF(OR(N79&lt;SUMIFS(L:L,R:R,1,E:E,E79)/SUMIFS(K:K,R:R,1,E:E,E79)*0.5,O79&lt;SUMIFS(M:M,R:R,1,E:E,E79)/SUMIFS(L:L,R:R,1,E:E,E79)*0.5),"код для проверки","нормальный код")</f>
        <v/>
      </c>
      <c r="W79">
        <f>IF(N79&lt;SUMIFS(L:L,R:R,1,E:E,E79)/SUMIFS(K:K,R:R,1,E:E,E79)*0.5,"Низшая четверть",IF(N79&lt;SUMIFS(L:L,R:R,1,E:E,E79)/SUMIFS(K:K,R:R,1,E:E,E79),"Вторая четверть","Больше половины"))</f>
        <v/>
      </c>
      <c r="X79">
        <f>IF(O79&lt;SUMIFS(M:M,R:R,1,E:E,E79)/SUMIFS(L:L,R:R,1,E:E,E79)*0.5,"Низшая четверть",IF(O79&lt;SUMIFS(M:M,R:R,1,E:E,E79)/SUMIFS(L:L,R:R,1,E:E,E79),"Вторая четверть","Больше половины"))</f>
        <v/>
      </c>
      <c r="Y79" t="n">
        <v>18</v>
      </c>
    </row>
    <row r="80">
      <c r="A80" s="1" t="inlineStr">
        <is>
          <t>30400030</t>
        </is>
      </c>
      <c r="B80" s="2" t="inlineStr">
        <is>
          <t>734171265</t>
        </is>
      </c>
      <c r="C80" s="3" t="inlineStr">
        <is>
          <t>Одежда и аксессуары</t>
        </is>
      </c>
      <c r="D80" s="2" t="inlineStr">
        <is>
          <t>Майки и платья женские</t>
        </is>
      </c>
      <c r="E80" s="3" t="inlineStr">
        <is>
          <t>304 Юбка женская</t>
        </is>
      </c>
      <c r="F80" s="2" t="inlineStr">
        <is>
          <t>всесезонный</t>
        </is>
      </c>
      <c r="G80" s="3" t="inlineStr">
        <is>
          <t>kari</t>
        </is>
      </c>
      <c r="H80" s="2" t="inlineStr">
        <is>
          <t>Зиннуров Ильнур</t>
        </is>
      </c>
      <c r="J80" s="3" t="inlineStr">
        <is>
          <t>2026SS</t>
        </is>
      </c>
      <c r="K80" s="3" t="n">
        <v>75882</v>
      </c>
      <c r="L80" s="3" t="n">
        <v>3437</v>
      </c>
      <c r="M80" s="3" t="n">
        <v>201</v>
      </c>
      <c r="N80" s="4">
        <f>IFERROR(L80/K80,0)</f>
        <v/>
      </c>
      <c r="O80" s="4">
        <f>IFERROR(M80/L80,0)</f>
        <v/>
      </c>
      <c r="P80" t="n">
        <v>443</v>
      </c>
      <c r="Q80" s="5" t="n">
        <v>1</v>
      </c>
      <c r="R80" s="7" t="n">
        <v>1</v>
      </c>
      <c r="S80">
        <f>IF(OR(N80&lt;$T$1*0.5,O80&lt;$U$1*0.5),"код для проверки","нормальный код")</f>
        <v/>
      </c>
      <c r="T80">
        <f>IF(N80&lt;$T$1*0.5,"Низшая четверть",IF(N80&lt;$T$1,"Вторая четверть","Больше половины"))</f>
        <v/>
      </c>
      <c r="U80">
        <f>IF(O80&lt;$U$1*0.5,"Низшая четверть",IF(O80&lt;$U$1,"Вторая четверть","Больше половины"))</f>
        <v/>
      </c>
      <c r="V80">
        <f>IF(OR(N80&lt;SUMIFS(L:L,R:R,1,E:E,E80)/SUMIFS(K:K,R:R,1,E:E,E80)*0.5,O80&lt;SUMIFS(M:M,R:R,1,E:E,E80)/SUMIFS(L:L,R:R,1,E:E,E80)*0.5),"код для проверки","нормальный код")</f>
        <v/>
      </c>
      <c r="W80">
        <f>IF(N80&lt;SUMIFS(L:L,R:R,1,E:E,E80)/SUMIFS(K:K,R:R,1,E:E,E80)*0.5,"Низшая четверть",IF(N80&lt;SUMIFS(L:L,R:R,1,E:E,E80)/SUMIFS(K:K,R:R,1,E:E,E80),"Вторая четверть","Больше половины"))</f>
        <v/>
      </c>
      <c r="X80">
        <f>IF(O80&lt;SUMIFS(M:M,R:R,1,E:E,E80)/SUMIFS(L:L,R:R,1,E:E,E80)*0.5,"Низшая четверть",IF(O80&lt;SUMIFS(M:M,R:R,1,E:E,E80)/SUMIFS(L:L,R:R,1,E:E,E80),"Вторая четверть","Больше половины"))</f>
        <v/>
      </c>
      <c r="Y80" t="n">
        <v>25</v>
      </c>
    </row>
    <row r="81">
      <c r="A81" s="1" t="inlineStr">
        <is>
          <t>96600060</t>
        </is>
      </c>
      <c r="B81" s="2" t="inlineStr">
        <is>
          <t>788748502</t>
        </is>
      </c>
      <c r="C81" s="3" t="inlineStr">
        <is>
          <t>Одежда для детей</t>
        </is>
      </c>
      <c r="D81" s="2" t="inlineStr">
        <is>
          <t>Платья, майки, футболки детские для девочек</t>
        </is>
      </c>
      <c r="E81" s="3" t="inlineStr">
        <is>
          <t>966 Сарафан джинсовый детский для девочек</t>
        </is>
      </c>
      <c r="F81" s="2" t="inlineStr">
        <is>
          <t>весна, лето</t>
        </is>
      </c>
      <c r="G81" s="3" t="inlineStr">
        <is>
          <t>Kari KIDS</t>
        </is>
      </c>
      <c r="H81" s="2" t="inlineStr">
        <is>
          <t>Зиннуров Ильнур</t>
        </is>
      </c>
      <c r="J81" s="3" t="inlineStr">
        <is>
          <t>2026SS</t>
        </is>
      </c>
      <c r="K81" s="3" t="n">
        <v>75432</v>
      </c>
      <c r="L81" s="3" t="n">
        <v>3849</v>
      </c>
      <c r="M81" s="3" t="n">
        <v>72</v>
      </c>
      <c r="N81" s="4">
        <f>IFERROR(L81/K81,0)</f>
        <v/>
      </c>
      <c r="O81" s="4">
        <f>IFERROR(M81/L81,0)</f>
        <v/>
      </c>
      <c r="P81" t="n">
        <v>767</v>
      </c>
      <c r="Q81" s="5" t="n">
        <v>1</v>
      </c>
      <c r="R81" s="7" t="n">
        <v>1</v>
      </c>
      <c r="S81">
        <f>IF(OR(N81&lt;$T$1*0.5,O81&lt;$U$1*0.5),"код для проверки","нормальный код")</f>
        <v/>
      </c>
      <c r="T81">
        <f>IF(N81&lt;$T$1*0.5,"Низшая четверть",IF(N81&lt;$T$1,"Вторая четверть","Больше половины"))</f>
        <v/>
      </c>
      <c r="U81">
        <f>IF(O81&lt;$U$1*0.5,"Низшая четверть",IF(O81&lt;$U$1,"Вторая четверть","Больше половины"))</f>
        <v/>
      </c>
      <c r="V81">
        <f>IF(OR(N81&lt;SUMIFS(L:L,R:R,1,E:E,E81)/SUMIFS(K:K,R:R,1,E:E,E81)*0.5,O81&lt;SUMIFS(M:M,R:R,1,E:E,E81)/SUMIFS(L:L,R:R,1,E:E,E81)*0.5),"код для проверки","нормальный код")</f>
        <v/>
      </c>
      <c r="W81">
        <f>IF(N81&lt;SUMIFS(L:L,R:R,1,E:E,E81)/SUMIFS(K:K,R:R,1,E:E,E81)*0.5,"Низшая четверть",IF(N81&lt;SUMIFS(L:L,R:R,1,E:E,E81)/SUMIFS(K:K,R:R,1,E:E,E81),"Вторая четверть","Больше половины"))</f>
        <v/>
      </c>
      <c r="X81">
        <f>IF(O81&lt;SUMIFS(M:M,R:R,1,E:E,E81)/SUMIFS(L:L,R:R,1,E:E,E81)*0.5,"Низшая четверть",IF(O81&lt;SUMIFS(M:M,R:R,1,E:E,E81)/SUMIFS(L:L,R:R,1,E:E,E81),"Вторая четверть","Больше половины"))</f>
        <v/>
      </c>
      <c r="Y81" t="n">
        <v>16</v>
      </c>
    </row>
    <row r="82">
      <c r="A82" s="1" t="inlineStr">
        <is>
          <t>14400010</t>
        </is>
      </c>
      <c r="B82" s="2" t="inlineStr">
        <is>
          <t>756100290</t>
        </is>
      </c>
      <c r="C82" s="3" t="inlineStr">
        <is>
          <t>Одежда и аксессуары</t>
        </is>
      </c>
      <c r="D82" s="2" t="inlineStr">
        <is>
          <t>Шарфы женские</t>
        </is>
      </c>
      <c r="E82" s="3" t="inlineStr">
        <is>
          <t>144 Шарф летний женский</t>
        </is>
      </c>
      <c r="F82" s="2" t="inlineStr">
        <is>
          <t>весна, лето</t>
        </is>
      </c>
      <c r="G82" s="3" t="inlineStr">
        <is>
          <t>kari</t>
        </is>
      </c>
      <c r="H82" s="2" t="inlineStr">
        <is>
          <t>Никонорова Алина</t>
        </is>
      </c>
      <c r="J82" s="3" t="inlineStr">
        <is>
          <t>2026SS</t>
        </is>
      </c>
      <c r="K82" s="3" t="n">
        <v>75212</v>
      </c>
      <c r="L82" s="3" t="n">
        <v>11297</v>
      </c>
      <c r="M82" s="3" t="n">
        <v>59</v>
      </c>
      <c r="N82" s="4">
        <f>IFERROR(L82/K82,0)</f>
        <v/>
      </c>
      <c r="O82" s="4">
        <f>IFERROR(M82/L82,0)</f>
        <v/>
      </c>
      <c r="P82" t="n">
        <v>499</v>
      </c>
      <c r="Q82" s="5" t="n">
        <v>1</v>
      </c>
      <c r="R82" s="7" t="n">
        <v>1</v>
      </c>
      <c r="S82">
        <f>IF(OR(N82&lt;$T$1*0.5,O82&lt;$U$1*0.5),"код для проверки","нормальный код")</f>
        <v/>
      </c>
      <c r="T82">
        <f>IF(N82&lt;$T$1*0.5,"Низшая четверть",IF(N82&lt;$T$1,"Вторая четверть","Больше половины"))</f>
        <v/>
      </c>
      <c r="U82">
        <f>IF(O82&lt;$U$1*0.5,"Низшая четверть",IF(O82&lt;$U$1,"Вторая четверть","Больше половины"))</f>
        <v/>
      </c>
      <c r="V82">
        <f>IF(OR(N82&lt;SUMIFS(L:L,R:R,1,E:E,E82)/SUMIFS(K:K,R:R,1,E:E,E82)*0.5,O82&lt;SUMIFS(M:M,R:R,1,E:E,E82)/SUMIFS(L:L,R:R,1,E:E,E82)*0.5),"код для проверки","нормальный код")</f>
        <v/>
      </c>
      <c r="W82">
        <f>IF(N82&lt;SUMIFS(L:L,R:R,1,E:E,E82)/SUMIFS(K:K,R:R,1,E:E,E82)*0.5,"Низшая четверть",IF(N82&lt;SUMIFS(L:L,R:R,1,E:E,E82)/SUMIFS(K:K,R:R,1,E:E,E82),"Вторая четверть","Больше половины"))</f>
        <v/>
      </c>
      <c r="X82">
        <f>IF(O82&lt;SUMIFS(M:M,R:R,1,E:E,E82)/SUMIFS(L:L,R:R,1,E:E,E82)*0.5,"Низшая четверть",IF(O82&lt;SUMIFS(M:M,R:R,1,E:E,E82)/SUMIFS(L:L,R:R,1,E:E,E82),"Вторая четверть","Больше половины"))</f>
        <v/>
      </c>
      <c r="Y82" t="n">
        <v>11</v>
      </c>
    </row>
    <row r="83">
      <c r="A83" s="1" t="inlineStr">
        <is>
          <t>09400360</t>
        </is>
      </c>
      <c r="B83" s="2" t="inlineStr">
        <is>
          <t>711802610</t>
        </is>
      </c>
      <c r="C83" s="3" t="inlineStr">
        <is>
          <t>Одежда и аксессуары</t>
        </is>
      </c>
      <c r="D83" s="2" t="inlineStr">
        <is>
          <t>Купальники женские</t>
        </is>
      </c>
      <c r="E83" s="3" t="inlineStr">
        <is>
          <t>094 Купальник</t>
        </is>
      </c>
      <c r="F83" s="2" t="inlineStr">
        <is>
          <t>лето</t>
        </is>
      </c>
      <c r="G83" s="3" t="inlineStr">
        <is>
          <t>kari</t>
        </is>
      </c>
      <c r="H83" s="2" t="inlineStr">
        <is>
          <t>Никонорова Алина</t>
        </is>
      </c>
      <c r="J83" s="3" t="inlineStr">
        <is>
          <t>2026SS</t>
        </is>
      </c>
      <c r="K83" s="3" t="n">
        <v>73990</v>
      </c>
      <c r="L83" s="3" t="n">
        <v>9488</v>
      </c>
      <c r="M83" s="3" t="n">
        <v>256</v>
      </c>
      <c r="N83" s="4">
        <f>IFERROR(L83/K83,0)</f>
        <v/>
      </c>
      <c r="O83" s="4">
        <f>IFERROR(M83/L83,0)</f>
        <v/>
      </c>
      <c r="P83" t="n">
        <v>3945</v>
      </c>
      <c r="Q83" s="5" t="n">
        <v>0.7777777777777778</v>
      </c>
      <c r="R83" s="7" t="n">
        <v>1</v>
      </c>
      <c r="S83">
        <f>IF(OR(N83&lt;$T$1*0.5,O83&lt;$U$1*0.5),"код для проверки","нормальный код")</f>
        <v/>
      </c>
      <c r="T83">
        <f>IF(N83&lt;$T$1*0.5,"Низшая четверть",IF(N83&lt;$T$1,"Вторая четверть","Больше половины"))</f>
        <v/>
      </c>
      <c r="U83">
        <f>IF(O83&lt;$U$1*0.5,"Низшая четверть",IF(O83&lt;$U$1,"Вторая четверть","Больше половины"))</f>
        <v/>
      </c>
      <c r="V83">
        <f>IF(OR(N83&lt;SUMIFS(L:L,R:R,1,E:E,E83)/SUMIFS(K:K,R:R,1,E:E,E83)*0.5,O83&lt;SUMIFS(M:M,R:R,1,E:E,E83)/SUMIFS(L:L,R:R,1,E:E,E83)*0.5),"код для проверки","нормальный код")</f>
        <v/>
      </c>
      <c r="W83">
        <f>IF(N83&lt;SUMIFS(L:L,R:R,1,E:E,E83)/SUMIFS(K:K,R:R,1,E:E,E83)*0.5,"Низшая четверть",IF(N83&lt;SUMIFS(L:L,R:R,1,E:E,E83)/SUMIFS(K:K,R:R,1,E:E,E83),"Вторая четверть","Больше половины"))</f>
        <v/>
      </c>
      <c r="X83">
        <f>IF(O83&lt;SUMIFS(M:M,R:R,1,E:E,E83)/SUMIFS(L:L,R:R,1,E:E,E83)*0.5,"Низшая четверть",IF(O83&lt;SUMIFS(M:M,R:R,1,E:E,E83)/SUMIFS(L:L,R:R,1,E:E,E83),"Вторая четверть","Больше половины"))</f>
        <v/>
      </c>
      <c r="Y83" t="n">
        <v>22</v>
      </c>
    </row>
    <row r="84">
      <c r="A84" s="1" t="inlineStr">
        <is>
          <t>18100120</t>
        </is>
      </c>
      <c r="B84" s="2" t="inlineStr">
        <is>
          <t>762057101</t>
        </is>
      </c>
      <c r="C84" s="3" t="inlineStr">
        <is>
          <t>Одежда для детей</t>
        </is>
      </c>
      <c r="D84" s="2" t="inlineStr">
        <is>
          <t>Джинсы детские для девочек</t>
        </is>
      </c>
      <c r="E84" s="3" t="inlineStr">
        <is>
          <t>181 Джинсы детские для девочек</t>
        </is>
      </c>
      <c r="F84" s="2" t="inlineStr">
        <is>
          <t>всесезонный</t>
        </is>
      </c>
      <c r="G84" s="3" t="inlineStr">
        <is>
          <t>Kari KIDS</t>
        </is>
      </c>
      <c r="H84" s="2" t="inlineStr">
        <is>
          <t>Зиннуров Ильнур</t>
        </is>
      </c>
      <c r="J84" s="3" t="inlineStr">
        <is>
          <t>2026SS</t>
        </is>
      </c>
      <c r="K84" s="3" t="n">
        <v>73073</v>
      </c>
      <c r="L84" s="3" t="n">
        <v>7750</v>
      </c>
      <c r="M84" s="3" t="n">
        <v>185</v>
      </c>
      <c r="N84" s="4">
        <f>IFERROR(L84/K84,0)</f>
        <v/>
      </c>
      <c r="O84" s="4">
        <f>IFERROR(M84/L84,0)</f>
        <v/>
      </c>
      <c r="P84" t="n">
        <v>486</v>
      </c>
      <c r="Q84" s="5" t="n">
        <v>1</v>
      </c>
      <c r="R84" s="7" t="n">
        <v>1</v>
      </c>
      <c r="S84">
        <f>IF(OR(N84&lt;$T$1*0.5,O84&lt;$U$1*0.5),"код для проверки","нормальный код")</f>
        <v/>
      </c>
      <c r="T84">
        <f>IF(N84&lt;$T$1*0.5,"Низшая четверть",IF(N84&lt;$T$1,"Вторая четверть","Больше половины"))</f>
        <v/>
      </c>
      <c r="U84">
        <f>IF(O84&lt;$U$1*0.5,"Низшая четверть",IF(O84&lt;$U$1,"Вторая четверть","Больше половины"))</f>
        <v/>
      </c>
      <c r="V84">
        <f>IF(OR(N84&lt;SUMIFS(L:L,R:R,1,E:E,E84)/SUMIFS(K:K,R:R,1,E:E,E84)*0.5,O84&lt;SUMIFS(M:M,R:R,1,E:E,E84)/SUMIFS(L:L,R:R,1,E:E,E84)*0.5),"код для проверки","нормальный код")</f>
        <v/>
      </c>
      <c r="W84">
        <f>IF(N84&lt;SUMIFS(L:L,R:R,1,E:E,E84)/SUMIFS(K:K,R:R,1,E:E,E84)*0.5,"Низшая четверть",IF(N84&lt;SUMIFS(L:L,R:R,1,E:E,E84)/SUMIFS(K:K,R:R,1,E:E,E84),"Вторая четверть","Больше половины"))</f>
        <v/>
      </c>
      <c r="X84">
        <f>IF(O84&lt;SUMIFS(M:M,R:R,1,E:E,E84)/SUMIFS(L:L,R:R,1,E:E,E84)*0.5,"Низшая четверть",IF(O84&lt;SUMIFS(M:M,R:R,1,E:E,E84)/SUMIFS(L:L,R:R,1,E:E,E84),"Вторая четверть","Больше половины"))</f>
        <v/>
      </c>
      <c r="Y84" t="n">
        <v>11</v>
      </c>
    </row>
    <row r="85">
      <c r="A85" s="1" t="inlineStr">
        <is>
          <t>18400180</t>
        </is>
      </c>
      <c r="B85" s="2" t="inlineStr">
        <is>
          <t>754451673</t>
        </is>
      </c>
      <c r="C85" s="3" t="inlineStr">
        <is>
          <t>Одежда и аксессуары</t>
        </is>
      </c>
      <c r="D85" s="2" t="inlineStr">
        <is>
          <t>Майки и платья женские</t>
        </is>
      </c>
      <c r="E85" s="3" t="inlineStr">
        <is>
          <t>184 Женская футболка</t>
        </is>
      </c>
      <c r="F85" s="2" t="inlineStr">
        <is>
          <t>всесезонный</t>
        </is>
      </c>
      <c r="G85" s="3" t="inlineStr">
        <is>
          <t>kari</t>
        </is>
      </c>
      <c r="H85" s="2" t="inlineStr">
        <is>
          <t>Зиннуров Ильнур</t>
        </is>
      </c>
      <c r="J85" s="3" t="inlineStr">
        <is>
          <t>2026SS</t>
        </is>
      </c>
      <c r="K85" s="3" t="n">
        <v>72707</v>
      </c>
      <c r="L85" s="3" t="n">
        <v>4568</v>
      </c>
      <c r="M85" s="3" t="n">
        <v>118</v>
      </c>
      <c r="N85" s="4">
        <f>IFERROR(L85/K85,0)</f>
        <v/>
      </c>
      <c r="O85" s="4">
        <f>IFERROR(M85/L85,0)</f>
        <v/>
      </c>
      <c r="P85" t="n">
        <v>340</v>
      </c>
      <c r="Q85" s="5" t="n">
        <v>1</v>
      </c>
      <c r="R85" s="7" t="n">
        <v>1</v>
      </c>
      <c r="S85">
        <f>IF(OR(N85&lt;$T$1*0.5,O85&lt;$U$1*0.5),"код для проверки","нормальный код")</f>
        <v/>
      </c>
      <c r="T85">
        <f>IF(N85&lt;$T$1*0.5,"Низшая четверть",IF(N85&lt;$T$1,"Вторая четверть","Больше половины"))</f>
        <v/>
      </c>
      <c r="U85">
        <f>IF(O85&lt;$U$1*0.5,"Низшая четверть",IF(O85&lt;$U$1,"Вторая четверть","Больше половины"))</f>
        <v/>
      </c>
      <c r="V85">
        <f>IF(OR(N85&lt;SUMIFS(L:L,R:R,1,E:E,E85)/SUMIFS(K:K,R:R,1,E:E,E85)*0.5,O85&lt;SUMIFS(M:M,R:R,1,E:E,E85)/SUMIFS(L:L,R:R,1,E:E,E85)*0.5),"код для проверки","нормальный код")</f>
        <v/>
      </c>
      <c r="W85">
        <f>IF(N85&lt;SUMIFS(L:L,R:R,1,E:E,E85)/SUMIFS(K:K,R:R,1,E:E,E85)*0.5,"Низшая четверть",IF(N85&lt;SUMIFS(L:L,R:R,1,E:E,E85)/SUMIFS(K:K,R:R,1,E:E,E85),"Вторая четверть","Больше половины"))</f>
        <v/>
      </c>
      <c r="X85">
        <f>IF(O85&lt;SUMIFS(M:M,R:R,1,E:E,E85)/SUMIFS(L:L,R:R,1,E:E,E85)*0.5,"Низшая четверть",IF(O85&lt;SUMIFS(M:M,R:R,1,E:E,E85)/SUMIFS(L:L,R:R,1,E:E,E85),"Вторая четверть","Больше половины"))</f>
        <v/>
      </c>
      <c r="Y85" t="n">
        <v>12</v>
      </c>
    </row>
    <row r="86">
      <c r="A86" s="1" t="inlineStr">
        <is>
          <t>44800080</t>
        </is>
      </c>
      <c r="B86" s="2" t="inlineStr">
        <is>
          <t>783834096</t>
        </is>
      </c>
      <c r="C86" s="3" t="inlineStr">
        <is>
          <t>Одежда для детей</t>
        </is>
      </c>
      <c r="D86" s="2" t="inlineStr">
        <is>
          <t>Брюки детские для девочек</t>
        </is>
      </c>
      <c r="E86" s="3" t="inlineStr">
        <is>
          <t>448 Брюки спортивные утепленные для девочек</t>
        </is>
      </c>
      <c r="F86" s="2" t="inlineStr">
        <is>
          <t>весна, осень, зима</t>
        </is>
      </c>
      <c r="G86" s="3" t="inlineStr">
        <is>
          <t>Kari KIDS</t>
        </is>
      </c>
      <c r="H86" s="2" t="inlineStr">
        <is>
          <t>Зиннуров Ильнур</t>
        </is>
      </c>
      <c r="J86" s="3" t="inlineStr">
        <is>
          <t>2026SS</t>
        </is>
      </c>
      <c r="K86" s="3" t="n">
        <v>72578</v>
      </c>
      <c r="L86" s="3" t="n">
        <v>4145</v>
      </c>
      <c r="M86" s="3" t="n">
        <v>92</v>
      </c>
      <c r="N86" s="4">
        <f>IFERROR(L86/K86,0)</f>
        <v/>
      </c>
      <c r="O86" s="4">
        <f>IFERROR(M86/L86,0)</f>
        <v/>
      </c>
      <c r="P86" t="n">
        <v>627</v>
      </c>
      <c r="Q86" s="5" t="n">
        <v>1</v>
      </c>
      <c r="R86" s="7" t="n">
        <v>1</v>
      </c>
      <c r="S86">
        <f>IF(OR(N86&lt;$T$1*0.5,O86&lt;$U$1*0.5),"код для проверки","нормальный код")</f>
        <v/>
      </c>
      <c r="T86">
        <f>IF(N86&lt;$T$1*0.5,"Низшая четверть",IF(N86&lt;$T$1,"Вторая четверть","Больше половины"))</f>
        <v/>
      </c>
      <c r="U86">
        <f>IF(O86&lt;$U$1*0.5,"Низшая четверть",IF(O86&lt;$U$1,"Вторая четверть","Больше половины"))</f>
        <v/>
      </c>
      <c r="V86">
        <f>IF(OR(N86&lt;SUMIFS(L:L,R:R,1,E:E,E86)/SUMIFS(K:K,R:R,1,E:E,E86)*0.5,O86&lt;SUMIFS(M:M,R:R,1,E:E,E86)/SUMIFS(L:L,R:R,1,E:E,E86)*0.5),"код для проверки","нормальный код")</f>
        <v/>
      </c>
      <c r="W86">
        <f>IF(N86&lt;SUMIFS(L:L,R:R,1,E:E,E86)/SUMIFS(K:K,R:R,1,E:E,E86)*0.5,"Низшая четверть",IF(N86&lt;SUMIFS(L:L,R:R,1,E:E,E86)/SUMIFS(K:K,R:R,1,E:E,E86),"Вторая четверть","Больше половины"))</f>
        <v/>
      </c>
      <c r="X86">
        <f>IF(O86&lt;SUMIFS(M:M,R:R,1,E:E,E86)/SUMIFS(L:L,R:R,1,E:E,E86)*0.5,"Низшая четверть",IF(O86&lt;SUMIFS(M:M,R:R,1,E:E,E86)/SUMIFS(L:L,R:R,1,E:E,E86),"Вторая четверть","Больше половины"))</f>
        <v/>
      </c>
      <c r="Y86" t="n">
        <v>10</v>
      </c>
    </row>
    <row r="87">
      <c r="A87" s="1" t="inlineStr">
        <is>
          <t>44800050</t>
        </is>
      </c>
      <c r="B87" s="2" t="inlineStr">
        <is>
          <t>710462737</t>
        </is>
      </c>
      <c r="C87" s="3" t="inlineStr">
        <is>
          <t>Одежда для детей</t>
        </is>
      </c>
      <c r="D87" s="2" t="inlineStr">
        <is>
          <t>Брюки детские для девочек</t>
        </is>
      </c>
      <c r="E87" s="3" t="inlineStr">
        <is>
          <t>448 Брюки спортивные утепленные для девочек</t>
        </is>
      </c>
      <c r="F87" s="2" t="inlineStr">
        <is>
          <t>весна, осень, зима</t>
        </is>
      </c>
      <c r="G87" s="3" t="inlineStr">
        <is>
          <t>Kari KIDS</t>
        </is>
      </c>
      <c r="H87" s="2" t="inlineStr">
        <is>
          <t>Зиннуров Ильнур</t>
        </is>
      </c>
      <c r="J87" s="3" t="inlineStr">
        <is>
          <t>2026SS</t>
        </is>
      </c>
      <c r="K87" s="3" t="n">
        <v>71731</v>
      </c>
      <c r="L87" s="3" t="n">
        <v>4519</v>
      </c>
      <c r="M87" s="3" t="n">
        <v>60</v>
      </c>
      <c r="N87" s="4">
        <f>IFERROR(L87/K87,0)</f>
        <v/>
      </c>
      <c r="O87" s="4">
        <f>IFERROR(M87/L87,0)</f>
        <v/>
      </c>
      <c r="P87" t="n">
        <v>688</v>
      </c>
      <c r="Q87" s="5" t="n">
        <v>1</v>
      </c>
      <c r="R87" s="7" t="n">
        <v>1</v>
      </c>
      <c r="S87">
        <f>IF(OR(N87&lt;$T$1*0.5,O87&lt;$U$1*0.5),"код для проверки","нормальный код")</f>
        <v/>
      </c>
      <c r="T87">
        <f>IF(N87&lt;$T$1*0.5,"Низшая четверть",IF(N87&lt;$T$1,"Вторая четверть","Больше половины"))</f>
        <v/>
      </c>
      <c r="U87">
        <f>IF(O87&lt;$U$1*0.5,"Низшая четверть",IF(O87&lt;$U$1,"Вторая четверть","Больше половины"))</f>
        <v/>
      </c>
      <c r="V87">
        <f>IF(OR(N87&lt;SUMIFS(L:L,R:R,1,E:E,E87)/SUMIFS(K:K,R:R,1,E:E,E87)*0.5,O87&lt;SUMIFS(M:M,R:R,1,E:E,E87)/SUMIFS(L:L,R:R,1,E:E,E87)*0.5),"код для проверки","нормальный код")</f>
        <v/>
      </c>
      <c r="W87">
        <f>IF(N87&lt;SUMIFS(L:L,R:R,1,E:E,E87)/SUMIFS(K:K,R:R,1,E:E,E87)*0.5,"Низшая четверть",IF(N87&lt;SUMIFS(L:L,R:R,1,E:E,E87)/SUMIFS(K:K,R:R,1,E:E,E87),"Вторая четверть","Больше половины"))</f>
        <v/>
      </c>
      <c r="X87">
        <f>IF(O87&lt;SUMIFS(M:M,R:R,1,E:E,E87)/SUMIFS(L:L,R:R,1,E:E,E87)*0.5,"Низшая четверть",IF(O87&lt;SUMIFS(M:M,R:R,1,E:E,E87)/SUMIFS(L:L,R:R,1,E:E,E87),"Вторая четверть","Больше половины"))</f>
        <v/>
      </c>
      <c r="Y87" t="n">
        <v>18</v>
      </c>
    </row>
    <row r="88">
      <c r="A88" s="1" t="inlineStr">
        <is>
          <t>18100240</t>
        </is>
      </c>
      <c r="B88" s="2" t="inlineStr">
        <is>
          <t>879308886</t>
        </is>
      </c>
      <c r="C88" s="3" t="inlineStr">
        <is>
          <t>Одежда для детей</t>
        </is>
      </c>
      <c r="D88" s="2" t="inlineStr">
        <is>
          <t>Джинсы детские для девочек</t>
        </is>
      </c>
      <c r="E88" s="3" t="inlineStr">
        <is>
          <t>181 Джинсы детские для девочек</t>
        </is>
      </c>
      <c r="F88" s="2" t="inlineStr">
        <is>
          <t>всесезонный</t>
        </is>
      </c>
      <c r="G88" s="3" t="inlineStr">
        <is>
          <t>kari</t>
        </is>
      </c>
      <c r="H88" s="2" t="inlineStr">
        <is>
          <t>Зиннуров Ильнур</t>
        </is>
      </c>
      <c r="J88" s="3" t="inlineStr">
        <is>
          <t>2026SS</t>
        </is>
      </c>
      <c r="K88" s="3" t="n">
        <v>71339</v>
      </c>
      <c r="L88" s="3" t="n">
        <v>3987</v>
      </c>
      <c r="M88" s="3" t="n">
        <v>199</v>
      </c>
      <c r="N88" s="4">
        <f>IFERROR(L88/K88,0)</f>
        <v/>
      </c>
      <c r="O88" s="4">
        <f>IFERROR(M88/L88,0)</f>
        <v/>
      </c>
      <c r="P88" t="n">
        <v>607</v>
      </c>
      <c r="Q88" s="5" t="n">
        <v>0.875</v>
      </c>
      <c r="R88" s="7" t="n">
        <v>1</v>
      </c>
      <c r="S88">
        <f>IF(OR(N88&lt;$T$1*0.5,O88&lt;$U$1*0.5),"код для проверки","нормальный код")</f>
        <v/>
      </c>
      <c r="T88">
        <f>IF(N88&lt;$T$1*0.5,"Низшая четверть",IF(N88&lt;$T$1,"Вторая четверть","Больше половины"))</f>
        <v/>
      </c>
      <c r="U88">
        <f>IF(O88&lt;$U$1*0.5,"Низшая четверть",IF(O88&lt;$U$1,"Вторая четверть","Больше половины"))</f>
        <v/>
      </c>
      <c r="V88">
        <f>IF(OR(N88&lt;SUMIFS(L:L,R:R,1,E:E,E88)/SUMIFS(K:K,R:R,1,E:E,E88)*0.5,O88&lt;SUMIFS(M:M,R:R,1,E:E,E88)/SUMIFS(L:L,R:R,1,E:E,E88)*0.5),"код для проверки","нормальный код")</f>
        <v/>
      </c>
      <c r="W88">
        <f>IF(N88&lt;SUMIFS(L:L,R:R,1,E:E,E88)/SUMIFS(K:K,R:R,1,E:E,E88)*0.5,"Низшая четверть",IF(N88&lt;SUMIFS(L:L,R:R,1,E:E,E88)/SUMIFS(K:K,R:R,1,E:E,E88),"Вторая четверть","Больше половины"))</f>
        <v/>
      </c>
      <c r="X88">
        <f>IF(O88&lt;SUMIFS(M:M,R:R,1,E:E,E88)/SUMIFS(L:L,R:R,1,E:E,E88)*0.5,"Низшая четверть",IF(O88&lt;SUMIFS(M:M,R:R,1,E:E,E88)/SUMIFS(L:L,R:R,1,E:E,E88),"Вторая четверть","Больше половины"))</f>
        <v/>
      </c>
      <c r="Y88" t="n">
        <v>16</v>
      </c>
    </row>
    <row r="89">
      <c r="A89" s="1" t="inlineStr">
        <is>
          <t>95400160</t>
        </is>
      </c>
      <c r="B89" s="2" t="inlineStr">
        <is>
          <t>786399404</t>
        </is>
      </c>
      <c r="C89" s="3" t="inlineStr">
        <is>
          <t>Одежда для детей</t>
        </is>
      </c>
      <c r="D89" s="2" t="inlineStr">
        <is>
          <t>Верхняя детская одежда для девочек</t>
        </is>
      </c>
      <c r="E89" s="3" t="inlineStr">
        <is>
          <t>954 Ветровка детская для девочек</t>
        </is>
      </c>
      <c r="F89" s="2" t="inlineStr">
        <is>
          <t>демисезонный</t>
        </is>
      </c>
      <c r="G89" s="3" t="inlineStr">
        <is>
          <t>Kari KIDS</t>
        </is>
      </c>
      <c r="H89" s="2" t="inlineStr">
        <is>
          <t>Зиннуров Ильнур</t>
        </is>
      </c>
      <c r="J89" s="3" t="inlineStr">
        <is>
          <t>2026SS</t>
        </is>
      </c>
      <c r="K89" s="3" t="n">
        <v>71006</v>
      </c>
      <c r="L89" s="3" t="n">
        <v>7775</v>
      </c>
      <c r="M89" s="3" t="n">
        <v>119</v>
      </c>
      <c r="N89" s="4">
        <f>IFERROR(L89/K89,0)</f>
        <v/>
      </c>
      <c r="O89" s="4">
        <f>IFERROR(M89/L89,0)</f>
        <v/>
      </c>
      <c r="P89" t="n">
        <v>444</v>
      </c>
      <c r="Q89" s="5" t="n">
        <v>1</v>
      </c>
      <c r="R89" s="7" t="n">
        <v>1</v>
      </c>
      <c r="S89">
        <f>IF(OR(N89&lt;$T$1*0.5,O89&lt;$U$1*0.5),"код для проверки","нормальный код")</f>
        <v/>
      </c>
      <c r="T89">
        <f>IF(N89&lt;$T$1*0.5,"Низшая четверть",IF(N89&lt;$T$1,"Вторая четверть","Больше половины"))</f>
        <v/>
      </c>
      <c r="U89">
        <f>IF(O89&lt;$U$1*0.5,"Низшая четверть",IF(O89&lt;$U$1,"Вторая четверть","Больше половины"))</f>
        <v/>
      </c>
      <c r="V89">
        <f>IF(OR(N89&lt;SUMIFS(L:L,R:R,1,E:E,E89)/SUMIFS(K:K,R:R,1,E:E,E89)*0.5,O89&lt;SUMIFS(M:M,R:R,1,E:E,E89)/SUMIFS(L:L,R:R,1,E:E,E89)*0.5),"код для проверки","нормальный код")</f>
        <v/>
      </c>
      <c r="W89">
        <f>IF(N89&lt;SUMIFS(L:L,R:R,1,E:E,E89)/SUMIFS(K:K,R:R,1,E:E,E89)*0.5,"Низшая четверть",IF(N89&lt;SUMIFS(L:L,R:R,1,E:E,E89)/SUMIFS(K:K,R:R,1,E:E,E89),"Вторая четверть","Больше половины"))</f>
        <v/>
      </c>
      <c r="X89">
        <f>IF(O89&lt;SUMIFS(M:M,R:R,1,E:E,E89)/SUMIFS(L:L,R:R,1,E:E,E89)*0.5,"Низшая четверть",IF(O89&lt;SUMIFS(M:M,R:R,1,E:E,E89)/SUMIFS(L:L,R:R,1,E:E,E89),"Вторая четверть","Больше половины"))</f>
        <v/>
      </c>
      <c r="Y89" t="n">
        <v>7</v>
      </c>
    </row>
    <row r="90">
      <c r="A90" s="1" t="inlineStr">
        <is>
          <t>19800080</t>
        </is>
      </c>
      <c r="B90" s="2" t="inlineStr">
        <is>
          <t>734343266</t>
        </is>
      </c>
      <c r="C90" s="3" t="inlineStr">
        <is>
          <t>Одежда и аксессуары</t>
        </is>
      </c>
      <c r="D90" s="2" t="inlineStr">
        <is>
          <t>Майки и платья женские</t>
        </is>
      </c>
      <c r="E90" s="3" t="inlineStr">
        <is>
          <t>198 Топ женский</t>
        </is>
      </c>
      <c r="F90" s="2" t="inlineStr">
        <is>
          <t>лето</t>
        </is>
      </c>
      <c r="G90" s="3" t="inlineStr">
        <is>
          <t>kari</t>
        </is>
      </c>
      <c r="H90" s="2" t="inlineStr">
        <is>
          <t>Зиннуров Ильнур</t>
        </is>
      </c>
      <c r="J90" s="3" t="inlineStr">
        <is>
          <t>2026SS</t>
        </is>
      </c>
      <c r="K90" s="3" t="n">
        <v>70425</v>
      </c>
      <c r="L90" s="3" t="n">
        <v>4274</v>
      </c>
      <c r="M90" s="3" t="n">
        <v>314</v>
      </c>
      <c r="N90" s="4">
        <f>IFERROR(L90/K90,0)</f>
        <v/>
      </c>
      <c r="O90" s="4">
        <f>IFERROR(M90/L90,0)</f>
        <v/>
      </c>
      <c r="P90" t="n">
        <v>1884</v>
      </c>
      <c r="Q90" s="5" t="n">
        <v>1</v>
      </c>
      <c r="R90" s="7" t="n">
        <v>1</v>
      </c>
      <c r="S90">
        <f>IF(OR(N90&lt;$T$1*0.5,O90&lt;$U$1*0.5),"код для проверки","нормальный код")</f>
        <v/>
      </c>
      <c r="T90">
        <f>IF(N90&lt;$T$1*0.5,"Низшая четверть",IF(N90&lt;$T$1,"Вторая четверть","Больше половины"))</f>
        <v/>
      </c>
      <c r="U90">
        <f>IF(O90&lt;$U$1*0.5,"Низшая четверть",IF(O90&lt;$U$1,"Вторая четверть","Больше половины"))</f>
        <v/>
      </c>
      <c r="V90">
        <f>IF(OR(N90&lt;SUMIFS(L:L,R:R,1,E:E,E90)/SUMIFS(K:K,R:R,1,E:E,E90)*0.5,O90&lt;SUMIFS(M:M,R:R,1,E:E,E90)/SUMIFS(L:L,R:R,1,E:E,E90)*0.5),"код для проверки","нормальный код")</f>
        <v/>
      </c>
      <c r="W90">
        <f>IF(N90&lt;SUMIFS(L:L,R:R,1,E:E,E90)/SUMIFS(K:K,R:R,1,E:E,E90)*0.5,"Низшая четверть",IF(N90&lt;SUMIFS(L:L,R:R,1,E:E,E90)/SUMIFS(K:K,R:R,1,E:E,E90),"Вторая четверть","Больше половины"))</f>
        <v/>
      </c>
      <c r="X90">
        <f>IF(O90&lt;SUMIFS(M:M,R:R,1,E:E,E90)/SUMIFS(L:L,R:R,1,E:E,E90)*0.5,"Низшая четверть",IF(O90&lt;SUMIFS(M:M,R:R,1,E:E,E90)/SUMIFS(L:L,R:R,1,E:E,E90),"Вторая четверть","Больше половины"))</f>
        <v/>
      </c>
      <c r="Y90" t="n">
        <v>14</v>
      </c>
    </row>
    <row r="91">
      <c r="A91" s="1" t="inlineStr">
        <is>
          <t>18200190</t>
        </is>
      </c>
      <c r="B91" s="2" t="inlineStr">
        <is>
          <t>762057048</t>
        </is>
      </c>
      <c r="C91" s="3" t="inlineStr">
        <is>
          <t>Одежда для детей</t>
        </is>
      </c>
      <c r="D91" s="2" t="inlineStr">
        <is>
          <t>Джинсы детские для мальчиков</t>
        </is>
      </c>
      <c r="E91" s="3" t="inlineStr">
        <is>
          <t>182 Джинсы детские для мальчиков</t>
        </is>
      </c>
      <c r="F91" s="2" t="inlineStr">
        <is>
          <t>всесезонный</t>
        </is>
      </c>
      <c r="G91" s="3" t="inlineStr">
        <is>
          <t>Kari KIDS</t>
        </is>
      </c>
      <c r="H91" s="2" t="inlineStr">
        <is>
          <t>Зиннуров Ильнур</t>
        </is>
      </c>
      <c r="J91" s="3" t="inlineStr">
        <is>
          <t>2026SS</t>
        </is>
      </c>
      <c r="K91" s="3" t="n">
        <v>70220</v>
      </c>
      <c r="L91" s="3" t="n">
        <v>6221</v>
      </c>
      <c r="M91" s="3" t="n">
        <v>212</v>
      </c>
      <c r="N91" s="4">
        <f>IFERROR(L91/K91,0)</f>
        <v/>
      </c>
      <c r="O91" s="4">
        <f>IFERROR(M91/L91,0)</f>
        <v/>
      </c>
      <c r="P91" t="n">
        <v>401</v>
      </c>
      <c r="Q91" s="5" t="n">
        <v>1</v>
      </c>
      <c r="R91" s="7" t="n">
        <v>1</v>
      </c>
      <c r="S91">
        <f>IF(OR(N91&lt;$T$1*0.5,O91&lt;$U$1*0.5),"код для проверки","нормальный код")</f>
        <v/>
      </c>
      <c r="T91">
        <f>IF(N91&lt;$T$1*0.5,"Низшая четверть",IF(N91&lt;$T$1,"Вторая четверть","Больше половины"))</f>
        <v/>
      </c>
      <c r="U91">
        <f>IF(O91&lt;$U$1*0.5,"Низшая четверть",IF(O91&lt;$U$1,"Вторая четверть","Больше половины"))</f>
        <v/>
      </c>
      <c r="V91">
        <f>IF(OR(N91&lt;SUMIFS(L:L,R:R,1,E:E,E91)/SUMIFS(K:K,R:R,1,E:E,E91)*0.5,O91&lt;SUMIFS(M:M,R:R,1,E:E,E91)/SUMIFS(L:L,R:R,1,E:E,E91)*0.5),"код для проверки","нормальный код")</f>
        <v/>
      </c>
      <c r="W91">
        <f>IF(N91&lt;SUMIFS(L:L,R:R,1,E:E,E91)/SUMIFS(K:K,R:R,1,E:E,E91)*0.5,"Низшая четверть",IF(N91&lt;SUMIFS(L:L,R:R,1,E:E,E91)/SUMIFS(K:K,R:R,1,E:E,E91),"Вторая четверть","Больше половины"))</f>
        <v/>
      </c>
      <c r="X91">
        <f>IF(O91&lt;SUMIFS(M:M,R:R,1,E:E,E91)/SUMIFS(L:L,R:R,1,E:E,E91)*0.5,"Низшая четверть",IF(O91&lt;SUMIFS(M:M,R:R,1,E:E,E91)/SUMIFS(L:L,R:R,1,E:E,E91),"Вторая четверть","Больше половины"))</f>
        <v/>
      </c>
      <c r="Y91" t="n">
        <v>25</v>
      </c>
    </row>
    <row r="92">
      <c r="A92" s="1" t="inlineStr">
        <is>
          <t>14400000</t>
        </is>
      </c>
      <c r="B92" s="2" t="inlineStr">
        <is>
          <t>756100281</t>
        </is>
      </c>
      <c r="C92" s="3" t="inlineStr">
        <is>
          <t>Одежда и аксессуары</t>
        </is>
      </c>
      <c r="D92" s="2" t="inlineStr">
        <is>
          <t>Шарфы женские</t>
        </is>
      </c>
      <c r="E92" s="3" t="inlineStr">
        <is>
          <t>144 Шарф летний женский</t>
        </is>
      </c>
      <c r="F92" s="2" t="inlineStr">
        <is>
          <t>весна, лето</t>
        </is>
      </c>
      <c r="G92" s="3" t="inlineStr">
        <is>
          <t>kari</t>
        </is>
      </c>
      <c r="H92" s="2" t="inlineStr">
        <is>
          <t>Никонорова Алина</t>
        </is>
      </c>
      <c r="J92" s="3" t="inlineStr">
        <is>
          <t>2026SS</t>
        </is>
      </c>
      <c r="K92" s="3" t="n">
        <v>69227</v>
      </c>
      <c r="L92" s="3" t="n">
        <v>10472</v>
      </c>
      <c r="M92" s="3" t="n">
        <v>62</v>
      </c>
      <c r="N92" s="4">
        <f>IFERROR(L92/K92,0)</f>
        <v/>
      </c>
      <c r="O92" s="4">
        <f>IFERROR(M92/L92,0)</f>
        <v/>
      </c>
      <c r="P92" t="n">
        <v>560</v>
      </c>
      <c r="Q92" s="5" t="n">
        <v>1</v>
      </c>
      <c r="R92" s="7" t="n">
        <v>1</v>
      </c>
      <c r="S92">
        <f>IF(OR(N92&lt;$T$1*0.5,O92&lt;$U$1*0.5),"код для проверки","нормальный код")</f>
        <v/>
      </c>
      <c r="T92">
        <f>IF(N92&lt;$T$1*0.5,"Низшая четверть",IF(N92&lt;$T$1,"Вторая четверть","Больше половины"))</f>
        <v/>
      </c>
      <c r="U92">
        <f>IF(O92&lt;$U$1*0.5,"Низшая четверть",IF(O92&lt;$U$1,"Вторая четверть","Больше половины"))</f>
        <v/>
      </c>
      <c r="V92">
        <f>IF(OR(N92&lt;SUMIFS(L:L,R:R,1,E:E,E92)/SUMIFS(K:K,R:R,1,E:E,E92)*0.5,O92&lt;SUMIFS(M:M,R:R,1,E:E,E92)/SUMIFS(L:L,R:R,1,E:E,E92)*0.5),"код для проверки","нормальный код")</f>
        <v/>
      </c>
      <c r="W92">
        <f>IF(N92&lt;SUMIFS(L:L,R:R,1,E:E,E92)/SUMIFS(K:K,R:R,1,E:E,E92)*0.5,"Низшая четверть",IF(N92&lt;SUMIFS(L:L,R:R,1,E:E,E92)/SUMIFS(K:K,R:R,1,E:E,E92),"Вторая четверть","Больше половины"))</f>
        <v/>
      </c>
      <c r="X92">
        <f>IF(O92&lt;SUMIFS(M:M,R:R,1,E:E,E92)/SUMIFS(L:L,R:R,1,E:E,E92)*0.5,"Низшая четверть",IF(O92&lt;SUMIFS(M:M,R:R,1,E:E,E92)/SUMIFS(L:L,R:R,1,E:E,E92),"Вторая четверть","Больше половины"))</f>
        <v/>
      </c>
      <c r="Y92" t="n">
        <v>12</v>
      </c>
    </row>
    <row r="93">
      <c r="A93" s="1" t="inlineStr">
        <is>
          <t>14400020</t>
        </is>
      </c>
      <c r="B93" s="2" t="inlineStr">
        <is>
          <t>722467590</t>
        </is>
      </c>
      <c r="C93" s="3" t="inlineStr">
        <is>
          <t>Одежда и аксессуары</t>
        </is>
      </c>
      <c r="D93" s="2" t="inlineStr">
        <is>
          <t>Шарфы женские</t>
        </is>
      </c>
      <c r="E93" s="3" t="inlineStr">
        <is>
          <t>144 Шарф летний женский</t>
        </is>
      </c>
      <c r="F93" s="2" t="inlineStr">
        <is>
          <t>весна, лето</t>
        </is>
      </c>
      <c r="G93" s="3" t="inlineStr">
        <is>
          <t>kari</t>
        </is>
      </c>
      <c r="H93" s="2" t="inlineStr">
        <is>
          <t>Никонорова Алина</t>
        </is>
      </c>
      <c r="J93" s="3" t="inlineStr">
        <is>
          <t>2026SS</t>
        </is>
      </c>
      <c r="K93" s="3" t="n">
        <v>67939</v>
      </c>
      <c r="L93" s="3" t="n">
        <v>13269</v>
      </c>
      <c r="M93" s="3" t="n">
        <v>51</v>
      </c>
      <c r="N93" s="4">
        <f>IFERROR(L93/K93,0)</f>
        <v/>
      </c>
      <c r="O93" s="4">
        <f>IFERROR(M93/L93,0)</f>
        <v/>
      </c>
      <c r="P93" t="n">
        <v>553</v>
      </c>
      <c r="Q93" s="5" t="n">
        <v>1</v>
      </c>
      <c r="R93" s="7" t="n">
        <v>1</v>
      </c>
      <c r="S93">
        <f>IF(OR(N93&lt;$T$1*0.5,O93&lt;$U$1*0.5),"код для проверки","нормальный код")</f>
        <v/>
      </c>
      <c r="T93">
        <f>IF(N93&lt;$T$1*0.5,"Низшая четверть",IF(N93&lt;$T$1,"Вторая четверть","Больше половины"))</f>
        <v/>
      </c>
      <c r="U93">
        <f>IF(O93&lt;$U$1*0.5,"Низшая четверть",IF(O93&lt;$U$1,"Вторая четверть","Больше половины"))</f>
        <v/>
      </c>
      <c r="V93">
        <f>IF(OR(N93&lt;SUMIFS(L:L,R:R,1,E:E,E93)/SUMIFS(K:K,R:R,1,E:E,E93)*0.5,O93&lt;SUMIFS(M:M,R:R,1,E:E,E93)/SUMIFS(L:L,R:R,1,E:E,E93)*0.5),"код для проверки","нормальный код")</f>
        <v/>
      </c>
      <c r="W93">
        <f>IF(N93&lt;SUMIFS(L:L,R:R,1,E:E,E93)/SUMIFS(K:K,R:R,1,E:E,E93)*0.5,"Низшая четверть",IF(N93&lt;SUMIFS(L:L,R:R,1,E:E,E93)/SUMIFS(K:K,R:R,1,E:E,E93),"Вторая четверть","Больше половины"))</f>
        <v/>
      </c>
      <c r="X93">
        <f>IF(O93&lt;SUMIFS(M:M,R:R,1,E:E,E93)/SUMIFS(L:L,R:R,1,E:E,E93)*0.5,"Низшая четверть",IF(O93&lt;SUMIFS(M:M,R:R,1,E:E,E93)/SUMIFS(L:L,R:R,1,E:E,E93),"Вторая четверть","Больше половины"))</f>
        <v/>
      </c>
      <c r="Y93" t="n">
        <v>11</v>
      </c>
    </row>
    <row r="94">
      <c r="A94" s="1" t="inlineStr">
        <is>
          <t>14400090</t>
        </is>
      </c>
      <c r="B94" s="2" t="inlineStr">
        <is>
          <t>721048844</t>
        </is>
      </c>
      <c r="C94" s="3" t="inlineStr">
        <is>
          <t>Одежда и аксессуары</t>
        </is>
      </c>
      <c r="D94" s="2" t="inlineStr">
        <is>
          <t>Шарфы женские</t>
        </is>
      </c>
      <c r="E94" s="3" t="inlineStr">
        <is>
          <t>144 Шарф летний женский</t>
        </is>
      </c>
      <c r="F94" s="2" t="inlineStr">
        <is>
          <t>весна, лето</t>
        </is>
      </c>
      <c r="G94" s="3" t="inlineStr">
        <is>
          <t>kari</t>
        </is>
      </c>
      <c r="H94" s="2" t="inlineStr">
        <is>
          <t>Никонорова Алина</t>
        </is>
      </c>
      <c r="J94" s="3" t="inlineStr">
        <is>
          <t>2026SS</t>
        </is>
      </c>
      <c r="K94" s="3" t="n">
        <v>67446</v>
      </c>
      <c r="L94" s="3" t="n">
        <v>13138</v>
      </c>
      <c r="M94" s="3" t="n">
        <v>219</v>
      </c>
      <c r="N94" s="4">
        <f>IFERROR(L94/K94,0)</f>
        <v/>
      </c>
      <c r="O94" s="4">
        <f>IFERROR(M94/L94,0)</f>
        <v/>
      </c>
      <c r="P94" t="n">
        <v>336</v>
      </c>
      <c r="Q94" s="5" t="n">
        <v>1</v>
      </c>
      <c r="R94" s="7" t="n">
        <v>1</v>
      </c>
      <c r="S94">
        <f>IF(OR(N94&lt;$T$1*0.5,O94&lt;$U$1*0.5),"код для проверки","нормальный код")</f>
        <v/>
      </c>
      <c r="T94">
        <f>IF(N94&lt;$T$1*0.5,"Низшая четверть",IF(N94&lt;$T$1,"Вторая четверть","Больше половины"))</f>
        <v/>
      </c>
      <c r="U94">
        <f>IF(O94&lt;$U$1*0.5,"Низшая четверть",IF(O94&lt;$U$1,"Вторая четверть","Больше половины"))</f>
        <v/>
      </c>
      <c r="V94">
        <f>IF(OR(N94&lt;SUMIFS(L:L,R:R,1,E:E,E94)/SUMIFS(K:K,R:R,1,E:E,E94)*0.5,O94&lt;SUMIFS(M:M,R:R,1,E:E,E94)/SUMIFS(L:L,R:R,1,E:E,E94)*0.5),"код для проверки","нормальный код")</f>
        <v/>
      </c>
      <c r="W94">
        <f>IF(N94&lt;SUMIFS(L:L,R:R,1,E:E,E94)/SUMIFS(K:K,R:R,1,E:E,E94)*0.5,"Низшая четверть",IF(N94&lt;SUMIFS(L:L,R:R,1,E:E,E94)/SUMIFS(K:K,R:R,1,E:E,E94),"Вторая четверть","Больше половины"))</f>
        <v/>
      </c>
      <c r="X94">
        <f>IF(O94&lt;SUMIFS(M:M,R:R,1,E:E,E94)/SUMIFS(L:L,R:R,1,E:E,E94)*0.5,"Низшая четверть",IF(O94&lt;SUMIFS(M:M,R:R,1,E:E,E94)/SUMIFS(L:L,R:R,1,E:E,E94),"Вторая четверть","Больше половины"))</f>
        <v/>
      </c>
      <c r="Y94" t="n">
        <v>13</v>
      </c>
    </row>
    <row r="95">
      <c r="A95" s="1" t="inlineStr">
        <is>
          <t>y5600000</t>
        </is>
      </c>
      <c r="B95" s="2" t="inlineStr">
        <is>
          <t>790859931</t>
        </is>
      </c>
      <c r="C95" s="3" t="inlineStr">
        <is>
          <t>Одежда для детей</t>
        </is>
      </c>
      <c r="D95" s="2" t="inlineStr">
        <is>
          <t>Верхняя детская одежда для девочек</t>
        </is>
      </c>
      <c r="E95" s="3" t="inlineStr">
        <is>
          <t>y56 Куртка для девочек облегченная</t>
        </is>
      </c>
      <c r="F95" s="2" t="inlineStr">
        <is>
          <t>демисезонный</t>
        </is>
      </c>
      <c r="G95" s="3" t="inlineStr">
        <is>
          <t>Kari KIDS</t>
        </is>
      </c>
      <c r="H95" s="2" t="inlineStr">
        <is>
          <t>Зиннуров Ильнур</t>
        </is>
      </c>
      <c r="J95" s="3" t="inlineStr">
        <is>
          <t>2026SS</t>
        </is>
      </c>
      <c r="K95" s="3" t="n">
        <v>66819</v>
      </c>
      <c r="L95" s="3" t="n">
        <v>4415</v>
      </c>
      <c r="M95" s="3" t="n">
        <v>53</v>
      </c>
      <c r="N95" s="4">
        <f>IFERROR(L95/K95,0)</f>
        <v/>
      </c>
      <c r="O95" s="4">
        <f>IFERROR(M95/L95,0)</f>
        <v/>
      </c>
      <c r="P95" t="n">
        <v>243</v>
      </c>
      <c r="Q95" s="5" t="n">
        <v>1</v>
      </c>
      <c r="R95" s="7" t="n">
        <v>1</v>
      </c>
      <c r="S95">
        <f>IF(OR(N95&lt;$T$1*0.5,O95&lt;$U$1*0.5),"код для проверки","нормальный код")</f>
        <v/>
      </c>
      <c r="T95">
        <f>IF(N95&lt;$T$1*0.5,"Низшая четверть",IF(N95&lt;$T$1,"Вторая четверть","Больше половины"))</f>
        <v/>
      </c>
      <c r="U95">
        <f>IF(O95&lt;$U$1*0.5,"Низшая четверть",IF(O95&lt;$U$1,"Вторая четверть","Больше половины"))</f>
        <v/>
      </c>
      <c r="V95">
        <f>IF(OR(N95&lt;SUMIFS(L:L,R:R,1,E:E,E95)/SUMIFS(K:K,R:R,1,E:E,E95)*0.5,O95&lt;SUMIFS(M:M,R:R,1,E:E,E95)/SUMIFS(L:L,R:R,1,E:E,E95)*0.5),"код для проверки","нормальный код")</f>
        <v/>
      </c>
      <c r="W95">
        <f>IF(N95&lt;SUMIFS(L:L,R:R,1,E:E,E95)/SUMIFS(K:K,R:R,1,E:E,E95)*0.5,"Низшая четверть",IF(N95&lt;SUMIFS(L:L,R:R,1,E:E,E95)/SUMIFS(K:K,R:R,1,E:E,E95),"Вторая четверть","Больше половины"))</f>
        <v/>
      </c>
      <c r="X95">
        <f>IF(O95&lt;SUMIFS(M:M,R:R,1,E:E,E95)/SUMIFS(L:L,R:R,1,E:E,E95)*0.5,"Низшая четверть",IF(O95&lt;SUMIFS(M:M,R:R,1,E:E,E95)/SUMIFS(L:L,R:R,1,E:E,E95),"Вторая четверть","Больше половины"))</f>
        <v/>
      </c>
      <c r="Y95" t="n">
        <v>14</v>
      </c>
    </row>
    <row r="96">
      <c r="A96" s="1" t="inlineStr">
        <is>
          <t>19800140</t>
        </is>
      </c>
      <c r="B96" s="2" t="inlineStr">
        <is>
          <t>755027399</t>
        </is>
      </c>
      <c r="C96" s="3" t="inlineStr">
        <is>
          <t>Одежда и аксессуары</t>
        </is>
      </c>
      <c r="D96" s="2" t="inlineStr">
        <is>
          <t>Майки и платья женские</t>
        </is>
      </c>
      <c r="E96" s="3" t="inlineStr">
        <is>
          <t>198 Топ женский</t>
        </is>
      </c>
      <c r="F96" s="2" t="inlineStr">
        <is>
          <t>лето</t>
        </is>
      </c>
      <c r="G96" s="3" t="inlineStr">
        <is>
          <t>kari</t>
        </is>
      </c>
      <c r="H96" s="2" t="inlineStr">
        <is>
          <t>Зиннуров Ильнур</t>
        </is>
      </c>
      <c r="J96" s="3" t="inlineStr">
        <is>
          <t>2026SS</t>
        </is>
      </c>
      <c r="K96" s="3" t="n">
        <v>63011</v>
      </c>
      <c r="L96" s="3" t="n">
        <v>2311</v>
      </c>
      <c r="M96" s="3" t="n">
        <v>42</v>
      </c>
      <c r="N96" s="4">
        <f>IFERROR(L96/K96,0)</f>
        <v/>
      </c>
      <c r="O96" s="4">
        <f>IFERROR(M96/L96,0)</f>
        <v/>
      </c>
      <c r="P96" t="n">
        <v>256</v>
      </c>
      <c r="Q96" s="5" t="n">
        <v>1</v>
      </c>
      <c r="R96" s="7" t="n">
        <v>1</v>
      </c>
      <c r="S96">
        <f>IF(OR(N96&lt;$T$1*0.5,O96&lt;$U$1*0.5),"код для проверки","нормальный код")</f>
        <v/>
      </c>
      <c r="T96">
        <f>IF(N96&lt;$T$1*0.5,"Низшая четверть",IF(N96&lt;$T$1,"Вторая четверть","Больше половины"))</f>
        <v/>
      </c>
      <c r="U96">
        <f>IF(O96&lt;$U$1*0.5,"Низшая четверть",IF(O96&lt;$U$1,"Вторая четверть","Больше половины"))</f>
        <v/>
      </c>
      <c r="V96">
        <f>IF(OR(N96&lt;SUMIFS(L:L,R:R,1,E:E,E96)/SUMIFS(K:K,R:R,1,E:E,E96)*0.5,O96&lt;SUMIFS(M:M,R:R,1,E:E,E96)/SUMIFS(L:L,R:R,1,E:E,E96)*0.5),"код для проверки","нормальный код")</f>
        <v/>
      </c>
      <c r="W96">
        <f>IF(N96&lt;SUMIFS(L:L,R:R,1,E:E,E96)/SUMIFS(K:K,R:R,1,E:E,E96)*0.5,"Низшая четверть",IF(N96&lt;SUMIFS(L:L,R:R,1,E:E,E96)/SUMIFS(K:K,R:R,1,E:E,E96),"Вторая четверть","Больше половины"))</f>
        <v/>
      </c>
      <c r="X96">
        <f>IF(O96&lt;SUMIFS(M:M,R:R,1,E:E,E96)/SUMIFS(L:L,R:R,1,E:E,E96)*0.5,"Низшая четверть",IF(O96&lt;SUMIFS(M:M,R:R,1,E:E,E96)/SUMIFS(L:L,R:R,1,E:E,E96),"Вторая четверть","Больше половины"))</f>
        <v/>
      </c>
      <c r="Y96" t="n">
        <v>12</v>
      </c>
    </row>
    <row r="97">
      <c r="A97" s="1" t="inlineStr">
        <is>
          <t>89000120</t>
        </is>
      </c>
      <c r="B97" s="2" t="inlineStr">
        <is>
          <t>770505917</t>
        </is>
      </c>
      <c r="C97" s="3" t="inlineStr">
        <is>
          <t>Одежда для детей</t>
        </is>
      </c>
      <c r="D97" s="2" t="inlineStr">
        <is>
          <t>Одежда для новорожденных</t>
        </is>
      </c>
      <c r="E97" s="3" t="inlineStr">
        <is>
          <t>890 Платье для маленькой девочки</t>
        </is>
      </c>
      <c r="F97" s="2" t="inlineStr">
        <is>
          <t>всесезонный</t>
        </is>
      </c>
      <c r="G97" s="3" t="inlineStr">
        <is>
          <t>Kari baby</t>
        </is>
      </c>
      <c r="H97" s="2" t="inlineStr">
        <is>
          <t>Зиннуров Ильнур</t>
        </is>
      </c>
      <c r="J97" s="3" t="inlineStr">
        <is>
          <t>2026SS</t>
        </is>
      </c>
      <c r="K97" s="3" t="n">
        <v>62104</v>
      </c>
      <c r="L97" s="3" t="n">
        <v>4287</v>
      </c>
      <c r="M97" s="3" t="n">
        <v>59</v>
      </c>
      <c r="N97" s="4">
        <f>IFERROR(L97/K97,0)</f>
        <v/>
      </c>
      <c r="O97" s="4">
        <f>IFERROR(M97/L97,0)</f>
        <v/>
      </c>
      <c r="P97" t="n">
        <v>388</v>
      </c>
      <c r="Q97" s="5" t="n">
        <v>1</v>
      </c>
      <c r="R97" s="7" t="n">
        <v>1</v>
      </c>
      <c r="S97">
        <f>IF(OR(N97&lt;$T$1*0.5,O97&lt;$U$1*0.5),"код для проверки","нормальный код")</f>
        <v/>
      </c>
      <c r="T97">
        <f>IF(N97&lt;$T$1*0.5,"Низшая четверть",IF(N97&lt;$T$1,"Вторая четверть","Больше половины"))</f>
        <v/>
      </c>
      <c r="U97">
        <f>IF(O97&lt;$U$1*0.5,"Низшая четверть",IF(O97&lt;$U$1,"Вторая четверть","Больше половины"))</f>
        <v/>
      </c>
      <c r="V97">
        <f>IF(OR(N97&lt;SUMIFS(L:L,R:R,1,E:E,E97)/SUMIFS(K:K,R:R,1,E:E,E97)*0.5,O97&lt;SUMIFS(M:M,R:R,1,E:E,E97)/SUMIFS(L:L,R:R,1,E:E,E97)*0.5),"код для проверки","нормальный код")</f>
        <v/>
      </c>
      <c r="W97">
        <f>IF(N97&lt;SUMIFS(L:L,R:R,1,E:E,E97)/SUMIFS(K:K,R:R,1,E:E,E97)*0.5,"Низшая четверть",IF(N97&lt;SUMIFS(L:L,R:R,1,E:E,E97)/SUMIFS(K:K,R:R,1,E:E,E97),"Вторая четверть","Больше половины"))</f>
        <v/>
      </c>
      <c r="X97">
        <f>IF(O97&lt;SUMIFS(M:M,R:R,1,E:E,E97)/SUMIFS(L:L,R:R,1,E:E,E97)*0.5,"Низшая четверть",IF(O97&lt;SUMIFS(M:M,R:R,1,E:E,E97)/SUMIFS(L:L,R:R,1,E:E,E97),"Вторая четверть","Больше половины"))</f>
        <v/>
      </c>
      <c r="Y97" t="n">
        <v>21</v>
      </c>
    </row>
    <row r="98">
      <c r="A98" s="1" t="inlineStr">
        <is>
          <t>88600060</t>
        </is>
      </c>
      <c r="B98" s="2" t="inlineStr">
        <is>
          <t>866468989</t>
        </is>
      </c>
      <c r="C98" s="3" t="inlineStr">
        <is>
          <t>Одежда для детей</t>
        </is>
      </c>
      <c r="D98" s="2" t="inlineStr">
        <is>
          <t>Верхняя детская одежда для девочек</t>
        </is>
      </c>
      <c r="E98" s="3" t="inlineStr">
        <is>
          <t>886 Жилет утепленный детский для девочек</t>
        </is>
      </c>
      <c r="F98" s="2" t="inlineStr">
        <is>
          <t>демисезонный</t>
        </is>
      </c>
      <c r="G98" s="3" t="inlineStr">
        <is>
          <t>Kari KIDS</t>
        </is>
      </c>
      <c r="H98" s="2" t="inlineStr">
        <is>
          <t>Зиннуров Ильнур</t>
        </is>
      </c>
      <c r="J98" s="3" t="inlineStr">
        <is>
          <t>2026SS</t>
        </is>
      </c>
      <c r="K98" s="3" t="n">
        <v>60685</v>
      </c>
      <c r="L98" s="3" t="n">
        <v>2266</v>
      </c>
      <c r="M98" s="3" t="n">
        <v>55</v>
      </c>
      <c r="N98" s="4">
        <f>IFERROR(L98/K98,0)</f>
        <v/>
      </c>
      <c r="O98" s="4">
        <f>IFERROR(M98/L98,0)</f>
        <v/>
      </c>
      <c r="P98" t="n">
        <v>686</v>
      </c>
      <c r="Q98" s="5" t="n">
        <v>1</v>
      </c>
      <c r="R98" s="7" t="n">
        <v>1</v>
      </c>
      <c r="S98">
        <f>IF(OR(N98&lt;$T$1*0.5,O98&lt;$U$1*0.5),"код для проверки","нормальный код")</f>
        <v/>
      </c>
      <c r="T98">
        <f>IF(N98&lt;$T$1*0.5,"Низшая четверть",IF(N98&lt;$T$1,"Вторая четверть","Больше половины"))</f>
        <v/>
      </c>
      <c r="U98">
        <f>IF(O98&lt;$U$1*0.5,"Низшая четверть",IF(O98&lt;$U$1,"Вторая четверть","Больше половины"))</f>
        <v/>
      </c>
      <c r="V98">
        <f>IF(OR(N98&lt;SUMIFS(L:L,R:R,1,E:E,E98)/SUMIFS(K:K,R:R,1,E:E,E98)*0.5,O98&lt;SUMIFS(M:M,R:R,1,E:E,E98)/SUMIFS(L:L,R:R,1,E:E,E98)*0.5),"код для проверки","нормальный код")</f>
        <v/>
      </c>
      <c r="W98">
        <f>IF(N98&lt;SUMIFS(L:L,R:R,1,E:E,E98)/SUMIFS(K:K,R:R,1,E:E,E98)*0.5,"Низшая четверть",IF(N98&lt;SUMIFS(L:L,R:R,1,E:E,E98)/SUMIFS(K:K,R:R,1,E:E,E98),"Вторая четверть","Больше половины"))</f>
        <v/>
      </c>
      <c r="X98">
        <f>IF(O98&lt;SUMIFS(M:M,R:R,1,E:E,E98)/SUMIFS(L:L,R:R,1,E:E,E98)*0.5,"Низшая четверть",IF(O98&lt;SUMIFS(M:M,R:R,1,E:E,E98)/SUMIFS(L:L,R:R,1,E:E,E98),"Вторая четверть","Больше половины"))</f>
        <v/>
      </c>
      <c r="Y98" t="n">
        <v>20</v>
      </c>
    </row>
    <row r="99">
      <c r="A99" s="1" t="inlineStr">
        <is>
          <t>144080H0</t>
        </is>
      </c>
      <c r="B99" s="2" t="inlineStr">
        <is>
          <t>355550903</t>
        </is>
      </c>
      <c r="C99" s="3" t="inlineStr">
        <is>
          <t>Одежда и аксессуары</t>
        </is>
      </c>
      <c r="D99" s="2" t="inlineStr">
        <is>
          <t>Шарфы женские</t>
        </is>
      </c>
      <c r="E99" s="3" t="inlineStr">
        <is>
          <t>144 Шарф летний женский</t>
        </is>
      </c>
      <c r="F99" s="2" t="inlineStr">
        <is>
          <t>весна, лето</t>
        </is>
      </c>
      <c r="G99" s="3" t="inlineStr">
        <is>
          <t>kari</t>
        </is>
      </c>
      <c r="H99" s="2" t="inlineStr">
        <is>
          <t>Никонорова Алина</t>
        </is>
      </c>
      <c r="J99" s="3" t="inlineStr">
        <is>
          <t>2026SS</t>
        </is>
      </c>
      <c r="K99" s="3" t="n">
        <v>60083</v>
      </c>
      <c r="L99" s="3" t="n">
        <v>12053</v>
      </c>
      <c r="M99" s="3" t="n">
        <v>243</v>
      </c>
      <c r="N99" s="4">
        <f>IFERROR(L99/K99,0)</f>
        <v/>
      </c>
      <c r="O99" s="4">
        <f>IFERROR(M99/L99,0)</f>
        <v/>
      </c>
      <c r="P99" t="n">
        <v>342</v>
      </c>
      <c r="Q99" s="5" t="n">
        <v>1</v>
      </c>
      <c r="R99" s="7" t="n">
        <v>1</v>
      </c>
      <c r="S99">
        <f>IF(OR(N99&lt;$T$1*0.5,O99&lt;$U$1*0.5),"код для проверки","нормальный код")</f>
        <v/>
      </c>
      <c r="T99">
        <f>IF(N99&lt;$T$1*0.5,"Низшая четверть",IF(N99&lt;$T$1,"Вторая четверть","Больше половины"))</f>
        <v/>
      </c>
      <c r="U99">
        <f>IF(O99&lt;$U$1*0.5,"Низшая четверть",IF(O99&lt;$U$1,"Вторая четверть","Больше половины"))</f>
        <v/>
      </c>
      <c r="V99">
        <f>IF(OR(N99&lt;SUMIFS(L:L,R:R,1,E:E,E99)/SUMIFS(K:K,R:R,1,E:E,E99)*0.5,O99&lt;SUMIFS(M:M,R:R,1,E:E,E99)/SUMIFS(L:L,R:R,1,E:E,E99)*0.5),"код для проверки","нормальный код")</f>
        <v/>
      </c>
      <c r="W99">
        <f>IF(N99&lt;SUMIFS(L:L,R:R,1,E:E,E99)/SUMIFS(K:K,R:R,1,E:E,E99)*0.5,"Низшая четверть",IF(N99&lt;SUMIFS(L:L,R:R,1,E:E,E99)/SUMIFS(K:K,R:R,1,E:E,E99),"Вторая четверть","Больше половины"))</f>
        <v/>
      </c>
      <c r="X99">
        <f>IF(O99&lt;SUMIFS(M:M,R:R,1,E:E,E99)/SUMIFS(L:L,R:R,1,E:E,E99)*0.5,"Низшая четверть",IF(O99&lt;SUMIFS(M:M,R:R,1,E:E,E99)/SUMIFS(L:L,R:R,1,E:E,E99),"Вторая четверть","Больше половины"))</f>
        <v/>
      </c>
      <c r="Y99" t="n">
        <v>15</v>
      </c>
    </row>
    <row r="100">
      <c r="A100" s="1" t="inlineStr">
        <is>
          <t>30200320</t>
        </is>
      </c>
      <c r="B100" s="2" t="inlineStr">
        <is>
          <t>716072268</t>
        </is>
      </c>
      <c r="C100" s="3" t="inlineStr">
        <is>
          <t>Одежда для детей</t>
        </is>
      </c>
      <c r="D100" s="2" t="inlineStr">
        <is>
          <t>Платья, майки, футболки детские для девочек</t>
        </is>
      </c>
      <c r="E100" s="3" t="inlineStr">
        <is>
          <t>302 Юбка детская для девочек</t>
        </is>
      </c>
      <c r="F100" s="2" t="inlineStr">
        <is>
          <t>всесезонный</t>
        </is>
      </c>
      <c r="G100" s="3" t="inlineStr">
        <is>
          <t>Kari KIDS</t>
        </is>
      </c>
      <c r="H100" s="2" t="inlineStr">
        <is>
          <t>Зиннуров Ильнур</t>
        </is>
      </c>
      <c r="J100" s="3" t="inlineStr">
        <is>
          <t>2026SS</t>
        </is>
      </c>
      <c r="K100" s="3" t="n">
        <v>59787</v>
      </c>
      <c r="L100" s="3" t="n">
        <v>3660</v>
      </c>
      <c r="M100" s="3" t="n">
        <v>89</v>
      </c>
      <c r="N100" s="4">
        <f>IFERROR(L100/K100,0)</f>
        <v/>
      </c>
      <c r="O100" s="4">
        <f>IFERROR(M100/L100,0)</f>
        <v/>
      </c>
      <c r="P100" t="n">
        <v>440</v>
      </c>
      <c r="Q100" s="5" t="n">
        <v>1</v>
      </c>
      <c r="R100" s="7" t="n">
        <v>1</v>
      </c>
      <c r="S100">
        <f>IF(OR(N100&lt;$T$1*0.5,O100&lt;$U$1*0.5),"код для проверки","нормальный код")</f>
        <v/>
      </c>
      <c r="T100">
        <f>IF(N100&lt;$T$1*0.5,"Низшая четверть",IF(N100&lt;$T$1,"Вторая четверть","Больше половины"))</f>
        <v/>
      </c>
      <c r="U100">
        <f>IF(O100&lt;$U$1*0.5,"Низшая четверть",IF(O100&lt;$U$1,"Вторая четверть","Больше половины"))</f>
        <v/>
      </c>
      <c r="V100">
        <f>IF(OR(N100&lt;SUMIFS(L:L,R:R,1,E:E,E100)/SUMIFS(K:K,R:R,1,E:E,E100)*0.5,O100&lt;SUMIFS(M:M,R:R,1,E:E,E100)/SUMIFS(L:L,R:R,1,E:E,E100)*0.5),"код для проверки","нормальный код")</f>
        <v/>
      </c>
      <c r="W100">
        <f>IF(N100&lt;SUMIFS(L:L,R:R,1,E:E,E100)/SUMIFS(K:K,R:R,1,E:E,E100)*0.5,"Низшая четверть",IF(N100&lt;SUMIFS(L:L,R:R,1,E:E,E100)/SUMIFS(K:K,R:R,1,E:E,E100),"Вторая четверть","Больше половины"))</f>
        <v/>
      </c>
      <c r="X100">
        <f>IF(O100&lt;SUMIFS(M:M,R:R,1,E:E,E100)/SUMIFS(L:L,R:R,1,E:E,E100)*0.5,"Низшая четверть",IF(O100&lt;SUMIFS(M:M,R:R,1,E:E,E100)/SUMIFS(L:L,R:R,1,E:E,E100),"Вторая четверть","Больше половины"))</f>
        <v/>
      </c>
      <c r="Y100" t="n">
        <v>19</v>
      </c>
    </row>
    <row r="101">
      <c r="A101" s="1" t="inlineStr">
        <is>
          <t>14400030</t>
        </is>
      </c>
      <c r="B101" s="2" t="inlineStr">
        <is>
          <t>721052284</t>
        </is>
      </c>
      <c r="C101" s="3" t="inlineStr">
        <is>
          <t>Одежда и аксессуары</t>
        </is>
      </c>
      <c r="D101" s="2" t="inlineStr">
        <is>
          <t>Шарфы женские</t>
        </is>
      </c>
      <c r="E101" s="3" t="inlineStr">
        <is>
          <t>144 Шарф летний женский</t>
        </is>
      </c>
      <c r="F101" s="2" t="inlineStr">
        <is>
          <t>весна, лето</t>
        </is>
      </c>
      <c r="G101" s="3" t="inlineStr">
        <is>
          <t>kari</t>
        </is>
      </c>
      <c r="H101" s="2" t="inlineStr">
        <is>
          <t>Никонорова Алина</t>
        </is>
      </c>
      <c r="J101" s="3" t="inlineStr">
        <is>
          <t>2026SS</t>
        </is>
      </c>
      <c r="K101" s="3" t="n">
        <v>59698</v>
      </c>
      <c r="L101" s="3" t="n">
        <v>12161</v>
      </c>
      <c r="M101" s="3" t="n">
        <v>46</v>
      </c>
      <c r="N101" s="4">
        <f>IFERROR(L101/K101,0)</f>
        <v/>
      </c>
      <c r="O101" s="4">
        <f>IFERROR(M101/L101,0)</f>
        <v/>
      </c>
      <c r="P101" t="n">
        <v>461</v>
      </c>
      <c r="Q101" s="5" t="n">
        <v>1</v>
      </c>
      <c r="R101" s="7" t="n">
        <v>1</v>
      </c>
      <c r="S101">
        <f>IF(OR(N101&lt;$T$1*0.5,O101&lt;$U$1*0.5),"код для проверки","нормальный код")</f>
        <v/>
      </c>
      <c r="T101">
        <f>IF(N101&lt;$T$1*0.5,"Низшая четверть",IF(N101&lt;$T$1,"Вторая четверть","Больше половины"))</f>
        <v/>
      </c>
      <c r="U101">
        <f>IF(O101&lt;$U$1*0.5,"Низшая четверть",IF(O101&lt;$U$1,"Вторая четверть","Больше половины"))</f>
        <v/>
      </c>
      <c r="V101">
        <f>IF(OR(N101&lt;SUMIFS(L:L,R:R,1,E:E,E101)/SUMIFS(K:K,R:R,1,E:E,E101)*0.5,O101&lt;SUMIFS(M:M,R:R,1,E:E,E101)/SUMIFS(L:L,R:R,1,E:E,E101)*0.5),"код для проверки","нормальный код")</f>
        <v/>
      </c>
      <c r="W101">
        <f>IF(N101&lt;SUMIFS(L:L,R:R,1,E:E,E101)/SUMIFS(K:K,R:R,1,E:E,E101)*0.5,"Низшая четверть",IF(N101&lt;SUMIFS(L:L,R:R,1,E:E,E101)/SUMIFS(K:K,R:R,1,E:E,E101),"Вторая четверть","Больше половины"))</f>
        <v/>
      </c>
      <c r="X101">
        <f>IF(O101&lt;SUMIFS(M:M,R:R,1,E:E,E101)/SUMIFS(L:L,R:R,1,E:E,E101)*0.5,"Низшая четверть",IF(O101&lt;SUMIFS(M:M,R:R,1,E:E,E101)/SUMIFS(L:L,R:R,1,E:E,E101),"Вторая четверть","Больше половины"))</f>
        <v/>
      </c>
      <c r="Y101" t="n">
        <v>14</v>
      </c>
    </row>
    <row r="102">
      <c r="A102" s="1" t="inlineStr">
        <is>
          <t>96100070</t>
        </is>
      </c>
      <c r="B102" s="2" t="inlineStr">
        <is>
          <t>727087106</t>
        </is>
      </c>
      <c r="C102" s="3" t="inlineStr">
        <is>
          <t>Одежда для детей</t>
        </is>
      </c>
      <c r="D102" s="2" t="inlineStr">
        <is>
          <t>Одежда для новорожденных</t>
        </is>
      </c>
      <c r="E102" s="3" t="inlineStr">
        <is>
          <t>961 Комплект летней одежды для маленькой девочки</t>
        </is>
      </c>
      <c r="F102" s="2" t="inlineStr">
        <is>
          <t>весна, лето</t>
        </is>
      </c>
      <c r="G102" s="3" t="inlineStr">
        <is>
          <t>Kari baby</t>
        </is>
      </c>
      <c r="H102" s="2" t="inlineStr">
        <is>
          <t>Зиннуров Ильнур</t>
        </is>
      </c>
      <c r="J102" s="3" t="inlineStr">
        <is>
          <t>2026SS</t>
        </is>
      </c>
      <c r="K102" s="3" t="n">
        <v>59647</v>
      </c>
      <c r="L102" s="3" t="n">
        <v>5847</v>
      </c>
      <c r="M102" s="3" t="n">
        <v>75</v>
      </c>
      <c r="N102" s="4">
        <f>IFERROR(L102/K102,0)</f>
        <v/>
      </c>
      <c r="O102" s="4">
        <f>IFERROR(M102/L102,0)</f>
        <v/>
      </c>
      <c r="P102" t="n">
        <v>690</v>
      </c>
      <c r="Q102" s="5" t="n">
        <v>1</v>
      </c>
      <c r="R102" s="7" t="n">
        <v>1</v>
      </c>
      <c r="S102">
        <f>IF(OR(N102&lt;$T$1*0.5,O102&lt;$U$1*0.5),"код для проверки","нормальный код")</f>
        <v/>
      </c>
      <c r="T102">
        <f>IF(N102&lt;$T$1*0.5,"Низшая четверть",IF(N102&lt;$T$1,"Вторая четверть","Больше половины"))</f>
        <v/>
      </c>
      <c r="U102">
        <f>IF(O102&lt;$U$1*0.5,"Низшая четверть",IF(O102&lt;$U$1,"Вторая четверть","Больше половины"))</f>
        <v/>
      </c>
      <c r="V102">
        <f>IF(OR(N102&lt;SUMIFS(L:L,R:R,1,E:E,E102)/SUMIFS(K:K,R:R,1,E:E,E102)*0.5,O102&lt;SUMIFS(M:M,R:R,1,E:E,E102)/SUMIFS(L:L,R:R,1,E:E,E102)*0.5),"код для проверки","нормальный код")</f>
        <v/>
      </c>
      <c r="W102">
        <f>IF(N102&lt;SUMIFS(L:L,R:R,1,E:E,E102)/SUMIFS(K:K,R:R,1,E:E,E102)*0.5,"Низшая четверть",IF(N102&lt;SUMIFS(L:L,R:R,1,E:E,E102)/SUMIFS(K:K,R:R,1,E:E,E102),"Вторая четверть","Больше половины"))</f>
        <v/>
      </c>
      <c r="X102">
        <f>IF(O102&lt;SUMIFS(M:M,R:R,1,E:E,E102)/SUMIFS(L:L,R:R,1,E:E,E102)*0.5,"Низшая четверть",IF(O102&lt;SUMIFS(M:M,R:R,1,E:E,E102)/SUMIFS(L:L,R:R,1,E:E,E102),"Вторая четверть","Больше половины"))</f>
        <v/>
      </c>
      <c r="Y102" t="n">
        <v>23</v>
      </c>
    </row>
    <row r="103">
      <c r="A103" s="1" t="inlineStr">
        <is>
          <t>18200100</t>
        </is>
      </c>
      <c r="B103" s="2" t="inlineStr">
        <is>
          <t>762057011</t>
        </is>
      </c>
      <c r="C103" s="3" t="inlineStr">
        <is>
          <t>Одежда для детей</t>
        </is>
      </c>
      <c r="D103" s="2" t="inlineStr">
        <is>
          <t>Джинсы детские для мальчиков</t>
        </is>
      </c>
      <c r="E103" s="3" t="inlineStr">
        <is>
          <t>182 Джинсы детские для мальчиков</t>
        </is>
      </c>
      <c r="F103" s="2" t="inlineStr">
        <is>
          <t>всесезонный</t>
        </is>
      </c>
      <c r="G103" s="3" t="inlineStr">
        <is>
          <t>Kari KIDS</t>
        </is>
      </c>
      <c r="H103" s="2" t="inlineStr">
        <is>
          <t>Зиннуров Ильнур</t>
        </is>
      </c>
      <c r="J103" s="3" t="inlineStr">
        <is>
          <t>2026SS</t>
        </is>
      </c>
      <c r="K103" s="3" t="n">
        <v>57941</v>
      </c>
      <c r="L103" s="3" t="n">
        <v>4708</v>
      </c>
      <c r="M103" s="3" t="n">
        <v>150</v>
      </c>
      <c r="N103" s="4">
        <f>IFERROR(L103/K103,0)</f>
        <v/>
      </c>
      <c r="O103" s="4">
        <f>IFERROR(M103/L103,0)</f>
        <v/>
      </c>
      <c r="P103" t="n">
        <v>138</v>
      </c>
      <c r="Q103" s="5" t="n">
        <v>1</v>
      </c>
      <c r="R103" s="7" t="n">
        <v>1</v>
      </c>
      <c r="S103">
        <f>IF(OR(N103&lt;$T$1*0.5,O103&lt;$U$1*0.5),"код для проверки","нормальный код")</f>
        <v/>
      </c>
      <c r="T103">
        <f>IF(N103&lt;$T$1*0.5,"Низшая четверть",IF(N103&lt;$T$1,"Вторая четверть","Больше половины"))</f>
        <v/>
      </c>
      <c r="U103">
        <f>IF(O103&lt;$U$1*0.5,"Низшая четверть",IF(O103&lt;$U$1,"Вторая четверть","Больше половины"))</f>
        <v/>
      </c>
      <c r="V103">
        <f>IF(OR(N103&lt;SUMIFS(L:L,R:R,1,E:E,E103)/SUMIFS(K:K,R:R,1,E:E,E103)*0.5,O103&lt;SUMIFS(M:M,R:R,1,E:E,E103)/SUMIFS(L:L,R:R,1,E:E,E103)*0.5),"код для проверки","нормальный код")</f>
        <v/>
      </c>
      <c r="W103">
        <f>IF(N103&lt;SUMIFS(L:L,R:R,1,E:E,E103)/SUMIFS(K:K,R:R,1,E:E,E103)*0.5,"Низшая четверть",IF(N103&lt;SUMIFS(L:L,R:R,1,E:E,E103)/SUMIFS(K:K,R:R,1,E:E,E103),"Вторая четверть","Больше половины"))</f>
        <v/>
      </c>
      <c r="X103">
        <f>IF(O103&lt;SUMIFS(M:M,R:R,1,E:E,E103)/SUMIFS(L:L,R:R,1,E:E,E103)*0.5,"Низшая четверть",IF(O103&lt;SUMIFS(M:M,R:R,1,E:E,E103)/SUMIFS(L:L,R:R,1,E:E,E103),"Вторая четверть","Больше половины"))</f>
        <v/>
      </c>
      <c r="Y103" t="n">
        <v>17</v>
      </c>
    </row>
    <row r="104">
      <c r="A104" s="1" t="inlineStr">
        <is>
          <t>18100160</t>
        </is>
      </c>
      <c r="B104" s="2" t="inlineStr">
        <is>
          <t>710160904</t>
        </is>
      </c>
      <c r="C104" s="3" t="inlineStr">
        <is>
          <t>Одежда для детей</t>
        </is>
      </c>
      <c r="D104" s="2" t="inlineStr">
        <is>
          <t>Джинсы детские для девочек</t>
        </is>
      </c>
      <c r="E104" s="3" t="inlineStr">
        <is>
          <t>181 Джинсы детские для девочек</t>
        </is>
      </c>
      <c r="F104" s="2" t="inlineStr">
        <is>
          <t>всесезонный</t>
        </is>
      </c>
      <c r="G104" s="3" t="inlineStr">
        <is>
          <t>kari</t>
        </is>
      </c>
      <c r="H104" s="2" t="inlineStr">
        <is>
          <t>Зиннуров Ильнур</t>
        </is>
      </c>
      <c r="J104" s="3" t="inlineStr">
        <is>
          <t>2026SS</t>
        </is>
      </c>
      <c r="K104" s="3" t="n">
        <v>57603</v>
      </c>
      <c r="L104" s="3" t="n">
        <v>4123</v>
      </c>
      <c r="M104" s="3" t="n">
        <v>75</v>
      </c>
      <c r="N104" s="4">
        <f>IFERROR(L104/K104,0)</f>
        <v/>
      </c>
      <c r="O104" s="4">
        <f>IFERROR(M104/L104,0)</f>
        <v/>
      </c>
      <c r="P104" t="n">
        <v>401</v>
      </c>
      <c r="Q104" s="5" t="n">
        <v>1</v>
      </c>
      <c r="R104" s="7" t="n">
        <v>1</v>
      </c>
      <c r="S104">
        <f>IF(OR(N104&lt;$T$1*0.5,O104&lt;$U$1*0.5),"код для проверки","нормальный код")</f>
        <v/>
      </c>
      <c r="T104">
        <f>IF(N104&lt;$T$1*0.5,"Низшая четверть",IF(N104&lt;$T$1,"Вторая четверть","Больше половины"))</f>
        <v/>
      </c>
      <c r="U104">
        <f>IF(O104&lt;$U$1*0.5,"Низшая четверть",IF(O104&lt;$U$1,"Вторая четверть","Больше половины"))</f>
        <v/>
      </c>
      <c r="V104">
        <f>IF(OR(N104&lt;SUMIFS(L:L,R:R,1,E:E,E104)/SUMIFS(K:K,R:R,1,E:E,E104)*0.5,O104&lt;SUMIFS(M:M,R:R,1,E:E,E104)/SUMIFS(L:L,R:R,1,E:E,E104)*0.5),"код для проверки","нормальный код")</f>
        <v/>
      </c>
      <c r="W104">
        <f>IF(N104&lt;SUMIFS(L:L,R:R,1,E:E,E104)/SUMIFS(K:K,R:R,1,E:E,E104)*0.5,"Низшая четверть",IF(N104&lt;SUMIFS(L:L,R:R,1,E:E,E104)/SUMIFS(K:K,R:R,1,E:E,E104),"Вторая четверть","Больше половины"))</f>
        <v/>
      </c>
      <c r="X104">
        <f>IF(O104&lt;SUMIFS(M:M,R:R,1,E:E,E104)/SUMIFS(L:L,R:R,1,E:E,E104)*0.5,"Низшая четверть",IF(O104&lt;SUMIFS(M:M,R:R,1,E:E,E104)/SUMIFS(L:L,R:R,1,E:E,E104),"Вторая четверть","Больше половины"))</f>
        <v/>
      </c>
      <c r="Y104" t="n">
        <v>22</v>
      </c>
    </row>
    <row r="105">
      <c r="A105" s="1" t="inlineStr">
        <is>
          <t>094000N0</t>
        </is>
      </c>
      <c r="B105" s="2" t="inlineStr">
        <is>
          <t>710287477</t>
        </is>
      </c>
      <c r="C105" s="3" t="inlineStr">
        <is>
          <t>Одежда и аксессуары</t>
        </is>
      </c>
      <c r="D105" s="2" t="inlineStr">
        <is>
          <t>Купальники женские</t>
        </is>
      </c>
      <c r="E105" s="3" t="inlineStr">
        <is>
          <t>094 Купальник</t>
        </is>
      </c>
      <c r="F105" s="2" t="inlineStr">
        <is>
          <t>лето</t>
        </is>
      </c>
      <c r="G105" s="3" t="inlineStr">
        <is>
          <t>kari</t>
        </is>
      </c>
      <c r="H105" s="2" t="inlineStr">
        <is>
          <t>Никонорова Алина</t>
        </is>
      </c>
      <c r="J105" s="3" t="inlineStr">
        <is>
          <t>2026SS</t>
        </is>
      </c>
      <c r="K105" s="3" t="n">
        <v>57232</v>
      </c>
      <c r="L105" s="3" t="n">
        <v>4997</v>
      </c>
      <c r="M105" s="3" t="n">
        <v>59</v>
      </c>
      <c r="N105" s="4">
        <f>IFERROR(L105/K105,0)</f>
        <v/>
      </c>
      <c r="O105" s="4">
        <f>IFERROR(M105/L105,0)</f>
        <v/>
      </c>
      <c r="P105" t="n">
        <v>5706</v>
      </c>
      <c r="Q105" s="5" t="n">
        <v>0.5555555555555556</v>
      </c>
      <c r="R105" s="7" t="n">
        <v>1</v>
      </c>
      <c r="S105">
        <f>IF(OR(N105&lt;$T$1*0.5,O105&lt;$U$1*0.5),"код для проверки","нормальный код")</f>
        <v/>
      </c>
      <c r="T105">
        <f>IF(N105&lt;$T$1*0.5,"Низшая четверть",IF(N105&lt;$T$1,"Вторая четверть","Больше половины"))</f>
        <v/>
      </c>
      <c r="U105">
        <f>IF(O105&lt;$U$1*0.5,"Низшая четверть",IF(O105&lt;$U$1,"Вторая четверть","Больше половины"))</f>
        <v/>
      </c>
      <c r="V105">
        <f>IF(OR(N105&lt;SUMIFS(L:L,R:R,1,E:E,E105)/SUMIFS(K:K,R:R,1,E:E,E105)*0.5,O105&lt;SUMIFS(M:M,R:R,1,E:E,E105)/SUMIFS(L:L,R:R,1,E:E,E105)*0.5),"код для проверки","нормальный код")</f>
        <v/>
      </c>
      <c r="W105">
        <f>IF(N105&lt;SUMIFS(L:L,R:R,1,E:E,E105)/SUMIFS(K:K,R:R,1,E:E,E105)*0.5,"Низшая четверть",IF(N105&lt;SUMIFS(L:L,R:R,1,E:E,E105)/SUMIFS(K:K,R:R,1,E:E,E105),"Вторая четверть","Больше половины"))</f>
        <v/>
      </c>
      <c r="X105">
        <f>IF(O105&lt;SUMIFS(M:M,R:R,1,E:E,E105)/SUMIFS(L:L,R:R,1,E:E,E105)*0.5,"Низшая четверть",IF(O105&lt;SUMIFS(M:M,R:R,1,E:E,E105)/SUMIFS(L:L,R:R,1,E:E,E105),"Вторая четверть","Больше половины"))</f>
        <v/>
      </c>
      <c r="Y105" t="n">
        <v>17</v>
      </c>
    </row>
    <row r="106">
      <c r="A106" s="1" t="inlineStr">
        <is>
          <t>19600070</t>
        </is>
      </c>
      <c r="B106" s="2" t="inlineStr">
        <is>
          <t>768078855</t>
        </is>
      </c>
      <c r="C106" s="3" t="inlineStr">
        <is>
          <t>Одежда и аксессуары</t>
        </is>
      </c>
      <c r="D106" s="2" t="inlineStr">
        <is>
          <t>Майки и платья женские</t>
        </is>
      </c>
      <c r="E106" s="3" t="inlineStr">
        <is>
          <t>196 Майка женская</t>
        </is>
      </c>
      <c r="F106" s="2" t="inlineStr">
        <is>
          <t>всесезонный</t>
        </is>
      </c>
      <c r="G106" s="3" t="inlineStr">
        <is>
          <t>kari</t>
        </is>
      </c>
      <c r="H106" s="2" t="inlineStr">
        <is>
          <t>Зиннуров Ильнур</t>
        </is>
      </c>
      <c r="J106" s="3" t="inlineStr">
        <is>
          <t>2026SS</t>
        </is>
      </c>
      <c r="K106" s="3" t="n">
        <v>57193</v>
      </c>
      <c r="L106" s="3" t="n">
        <v>1437</v>
      </c>
      <c r="M106" s="3" t="n">
        <v>110</v>
      </c>
      <c r="N106" s="4">
        <f>IFERROR(L106/K106,0)</f>
        <v/>
      </c>
      <c r="O106" s="4">
        <f>IFERROR(M106/L106,0)</f>
        <v/>
      </c>
      <c r="P106" t="n">
        <v>1017</v>
      </c>
      <c r="Q106" s="5" t="n">
        <v>1</v>
      </c>
      <c r="R106" s="7" t="n">
        <v>1</v>
      </c>
      <c r="S106">
        <f>IF(OR(N106&lt;$T$1*0.5,O106&lt;$U$1*0.5),"код для проверки","нормальный код")</f>
        <v/>
      </c>
      <c r="T106">
        <f>IF(N106&lt;$T$1*0.5,"Низшая четверть",IF(N106&lt;$T$1,"Вторая четверть","Больше половины"))</f>
        <v/>
      </c>
      <c r="U106">
        <f>IF(O106&lt;$U$1*0.5,"Низшая четверть",IF(O106&lt;$U$1,"Вторая четверть","Больше половины"))</f>
        <v/>
      </c>
      <c r="V106">
        <f>IF(OR(N106&lt;SUMIFS(L:L,R:R,1,E:E,E106)/SUMIFS(K:K,R:R,1,E:E,E106)*0.5,O106&lt;SUMIFS(M:M,R:R,1,E:E,E106)/SUMIFS(L:L,R:R,1,E:E,E106)*0.5),"код для проверки","нормальный код")</f>
        <v/>
      </c>
      <c r="W106">
        <f>IF(N106&lt;SUMIFS(L:L,R:R,1,E:E,E106)/SUMIFS(K:K,R:R,1,E:E,E106)*0.5,"Низшая четверть",IF(N106&lt;SUMIFS(L:L,R:R,1,E:E,E106)/SUMIFS(K:K,R:R,1,E:E,E106),"Вторая четверть","Больше половины"))</f>
        <v/>
      </c>
      <c r="X106">
        <f>IF(O106&lt;SUMIFS(M:M,R:R,1,E:E,E106)/SUMIFS(L:L,R:R,1,E:E,E106)*0.5,"Низшая четверть",IF(O106&lt;SUMIFS(M:M,R:R,1,E:E,E106)/SUMIFS(L:L,R:R,1,E:E,E106),"Вторая четверть","Больше половины"))</f>
        <v/>
      </c>
      <c r="Y106" t="n">
        <v>19</v>
      </c>
    </row>
    <row r="107">
      <c r="A107" s="1" t="inlineStr">
        <is>
          <t>a6000020</t>
        </is>
      </c>
      <c r="B107" s="2" t="inlineStr">
        <is>
          <t>879308848</t>
        </is>
      </c>
      <c r="C107" s="3" t="inlineStr">
        <is>
          <t>Одежда для детей</t>
        </is>
      </c>
      <c r="D107" s="2" t="inlineStr">
        <is>
          <t>Платья, майки, футболки детские для девочек</t>
        </is>
      </c>
      <c r="E107" s="3" t="inlineStr">
        <is>
          <t>a60 Футболка детская для девочек</t>
        </is>
      </c>
      <c r="F107" s="2" t="inlineStr">
        <is>
          <t>всесезонный</t>
        </is>
      </c>
      <c r="G107" s="3" t="inlineStr">
        <is>
          <t>Kari KIDS</t>
        </is>
      </c>
      <c r="H107" s="2" t="inlineStr">
        <is>
          <t>Зиннуров Ильнур</t>
        </is>
      </c>
      <c r="J107" s="3" t="inlineStr">
        <is>
          <t>2026SS</t>
        </is>
      </c>
      <c r="K107" s="3" t="n">
        <v>55633</v>
      </c>
      <c r="L107" s="3" t="n">
        <v>2629</v>
      </c>
      <c r="M107" s="3" t="n">
        <v>41</v>
      </c>
      <c r="N107" s="4">
        <f>IFERROR(L107/K107,0)</f>
        <v/>
      </c>
      <c r="O107" s="4">
        <f>IFERROR(M107/L107,0)</f>
        <v/>
      </c>
      <c r="P107" t="n">
        <v>487</v>
      </c>
      <c r="Q107" s="5" t="n">
        <v>1</v>
      </c>
      <c r="R107" s="7" t="n">
        <v>1</v>
      </c>
      <c r="S107">
        <f>IF(OR(N107&lt;$T$1*0.5,O107&lt;$U$1*0.5),"код для проверки","нормальный код")</f>
        <v/>
      </c>
      <c r="T107">
        <f>IF(N107&lt;$T$1*0.5,"Низшая четверть",IF(N107&lt;$T$1,"Вторая четверть","Больше половины"))</f>
        <v/>
      </c>
      <c r="U107">
        <f>IF(O107&lt;$U$1*0.5,"Низшая четверть",IF(O107&lt;$U$1,"Вторая четверть","Больше половины"))</f>
        <v/>
      </c>
      <c r="V107">
        <f>IF(OR(N107&lt;SUMIFS(L:L,R:R,1,E:E,E107)/SUMIFS(K:K,R:R,1,E:E,E107)*0.5,O107&lt;SUMIFS(M:M,R:R,1,E:E,E107)/SUMIFS(L:L,R:R,1,E:E,E107)*0.5),"код для проверки","нормальный код")</f>
        <v/>
      </c>
      <c r="W107">
        <f>IF(N107&lt;SUMIFS(L:L,R:R,1,E:E,E107)/SUMIFS(K:K,R:R,1,E:E,E107)*0.5,"Низшая четверть",IF(N107&lt;SUMIFS(L:L,R:R,1,E:E,E107)/SUMIFS(K:K,R:R,1,E:E,E107),"Вторая четверть","Больше половины"))</f>
        <v/>
      </c>
      <c r="X107">
        <f>IF(O107&lt;SUMIFS(M:M,R:R,1,E:E,E107)/SUMIFS(L:L,R:R,1,E:E,E107)*0.5,"Низшая четверть",IF(O107&lt;SUMIFS(M:M,R:R,1,E:E,E107)/SUMIFS(L:L,R:R,1,E:E,E107),"Вторая четверть","Больше половины"))</f>
        <v/>
      </c>
      <c r="Y107" t="n">
        <v>13</v>
      </c>
    </row>
    <row r="108">
      <c r="A108" s="1" t="inlineStr">
        <is>
          <t>14400100</t>
        </is>
      </c>
      <c r="B108" s="2" t="inlineStr">
        <is>
          <t>759892073</t>
        </is>
      </c>
      <c r="C108" s="3" t="inlineStr">
        <is>
          <t>Одежда и аксессуары</t>
        </is>
      </c>
      <c r="D108" s="2" t="inlineStr">
        <is>
          <t>Шарфы женские</t>
        </is>
      </c>
      <c r="E108" s="3" t="inlineStr">
        <is>
          <t>144 Шарф летний женский</t>
        </is>
      </c>
      <c r="F108" s="2" t="inlineStr">
        <is>
          <t>весна, лето</t>
        </is>
      </c>
      <c r="G108" s="3" t="inlineStr">
        <is>
          <t>kari</t>
        </is>
      </c>
      <c r="H108" s="2" t="inlineStr">
        <is>
          <t>Никонорова Алина</t>
        </is>
      </c>
      <c r="J108" s="3" t="inlineStr">
        <is>
          <t>2026SS</t>
        </is>
      </c>
      <c r="K108" s="3" t="n">
        <v>55267</v>
      </c>
      <c r="L108" s="3" t="n">
        <v>12661</v>
      </c>
      <c r="M108" s="3" t="n">
        <v>205</v>
      </c>
      <c r="N108" s="4">
        <f>IFERROR(L108/K108,0)</f>
        <v/>
      </c>
      <c r="O108" s="4">
        <f>IFERROR(M108/L108,0)</f>
        <v/>
      </c>
      <c r="P108" t="n">
        <v>487</v>
      </c>
      <c r="Q108" s="5" t="n">
        <v>1</v>
      </c>
      <c r="R108" s="7" t="n">
        <v>1</v>
      </c>
      <c r="S108">
        <f>IF(OR(N108&lt;$T$1*0.5,O108&lt;$U$1*0.5),"код для проверки","нормальный код")</f>
        <v/>
      </c>
      <c r="T108">
        <f>IF(N108&lt;$T$1*0.5,"Низшая четверть",IF(N108&lt;$T$1,"Вторая четверть","Больше половины"))</f>
        <v/>
      </c>
      <c r="U108">
        <f>IF(O108&lt;$U$1*0.5,"Низшая четверть",IF(O108&lt;$U$1,"Вторая четверть","Больше половины"))</f>
        <v/>
      </c>
      <c r="V108">
        <f>IF(OR(N108&lt;SUMIFS(L:L,R:R,1,E:E,E108)/SUMIFS(K:K,R:R,1,E:E,E108)*0.5,O108&lt;SUMIFS(M:M,R:R,1,E:E,E108)/SUMIFS(L:L,R:R,1,E:E,E108)*0.5),"код для проверки","нормальный код")</f>
        <v/>
      </c>
      <c r="W108">
        <f>IF(N108&lt;SUMIFS(L:L,R:R,1,E:E,E108)/SUMIFS(K:K,R:R,1,E:E,E108)*0.5,"Низшая четверть",IF(N108&lt;SUMIFS(L:L,R:R,1,E:E,E108)/SUMIFS(K:K,R:R,1,E:E,E108),"Вторая четверть","Больше половины"))</f>
        <v/>
      </c>
      <c r="X108">
        <f>IF(O108&lt;SUMIFS(M:M,R:R,1,E:E,E108)/SUMIFS(L:L,R:R,1,E:E,E108)*0.5,"Низшая четверть",IF(O108&lt;SUMIFS(M:M,R:R,1,E:E,E108)/SUMIFS(L:L,R:R,1,E:E,E108),"Вторая четверть","Больше половины"))</f>
        <v/>
      </c>
      <c r="Y108" t="n">
        <v>13</v>
      </c>
    </row>
    <row r="109">
      <c r="A109" s="1" t="inlineStr">
        <is>
          <t>19408260</t>
        </is>
      </c>
      <c r="B109" s="2" t="inlineStr">
        <is>
          <t>341720184</t>
        </is>
      </c>
      <c r="C109" s="3" t="inlineStr">
        <is>
          <t>Одежда для детей</t>
        </is>
      </c>
      <c r="D109" s="2" t="inlineStr">
        <is>
          <t>Брюки детские для девочек</t>
        </is>
      </c>
      <c r="E109" s="3" t="inlineStr">
        <is>
          <t>194 Шорты детские для девочек</t>
        </is>
      </c>
      <c r="F109" s="2" t="inlineStr">
        <is>
          <t>лето</t>
        </is>
      </c>
      <c r="G109" s="3" t="inlineStr">
        <is>
          <t>kari</t>
        </is>
      </c>
      <c r="H109" s="2" t="inlineStr">
        <is>
          <t>Зиннуров Ильнур</t>
        </is>
      </c>
      <c r="J109" s="3" t="inlineStr">
        <is>
          <t>2026SS</t>
        </is>
      </c>
      <c r="K109" s="3" t="n">
        <v>55197</v>
      </c>
      <c r="L109" s="3" t="n">
        <v>3157</v>
      </c>
      <c r="M109" s="3" t="n">
        <v>121</v>
      </c>
      <c r="N109" s="4">
        <f>IFERROR(L109/K109,0)</f>
        <v/>
      </c>
      <c r="O109" s="4">
        <f>IFERROR(M109/L109,0)</f>
        <v/>
      </c>
      <c r="P109" t="n">
        <v>1950</v>
      </c>
      <c r="Q109" s="5" t="n">
        <v>1</v>
      </c>
      <c r="R109" s="7" t="n">
        <v>1</v>
      </c>
      <c r="S109">
        <f>IF(OR(N109&lt;$T$1*0.5,O109&lt;$U$1*0.5),"код для проверки","нормальный код")</f>
        <v/>
      </c>
      <c r="T109">
        <f>IF(N109&lt;$T$1*0.5,"Низшая четверть",IF(N109&lt;$T$1,"Вторая четверть","Больше половины"))</f>
        <v/>
      </c>
      <c r="U109">
        <f>IF(O109&lt;$U$1*0.5,"Низшая четверть",IF(O109&lt;$U$1,"Вторая четверть","Больше половины"))</f>
        <v/>
      </c>
      <c r="V109">
        <f>IF(OR(N109&lt;SUMIFS(L:L,R:R,1,E:E,E109)/SUMIFS(K:K,R:R,1,E:E,E109)*0.5,O109&lt;SUMIFS(M:M,R:R,1,E:E,E109)/SUMIFS(L:L,R:R,1,E:E,E109)*0.5),"код для проверки","нормальный код")</f>
        <v/>
      </c>
      <c r="W109">
        <f>IF(N109&lt;SUMIFS(L:L,R:R,1,E:E,E109)/SUMIFS(K:K,R:R,1,E:E,E109)*0.5,"Низшая четверть",IF(N109&lt;SUMIFS(L:L,R:R,1,E:E,E109)/SUMIFS(K:K,R:R,1,E:E,E109),"Вторая четверть","Больше половины"))</f>
        <v/>
      </c>
      <c r="X109">
        <f>IF(O109&lt;SUMIFS(M:M,R:R,1,E:E,E109)/SUMIFS(L:L,R:R,1,E:E,E109)*0.5,"Низшая четверть",IF(O109&lt;SUMIFS(M:M,R:R,1,E:E,E109)/SUMIFS(L:L,R:R,1,E:E,E109),"Вторая четверть","Больше половины"))</f>
        <v/>
      </c>
      <c r="Y109" t="n">
        <v>19</v>
      </c>
    </row>
    <row r="110">
      <c r="A110" s="1" t="inlineStr">
        <is>
          <t>19600120</t>
        </is>
      </c>
      <c r="B110" s="2" t="inlineStr">
        <is>
          <t>734337886</t>
        </is>
      </c>
      <c r="C110" s="3" t="inlineStr">
        <is>
          <t>Одежда и аксессуары</t>
        </is>
      </c>
      <c r="D110" s="2" t="inlineStr">
        <is>
          <t>Майки и платья женские</t>
        </is>
      </c>
      <c r="E110" s="3" t="inlineStr">
        <is>
          <t>196 Майка женская</t>
        </is>
      </c>
      <c r="F110" s="2" t="inlineStr">
        <is>
          <t>всесезонный</t>
        </is>
      </c>
      <c r="G110" s="3" t="inlineStr">
        <is>
          <t>kari</t>
        </is>
      </c>
      <c r="H110" s="2" t="inlineStr">
        <is>
          <t>Зиннуров Ильнур</t>
        </is>
      </c>
      <c r="J110" s="3" t="inlineStr">
        <is>
          <t>2026SS</t>
        </is>
      </c>
      <c r="K110" s="3" t="n">
        <v>54991</v>
      </c>
      <c r="L110" s="3" t="n">
        <v>3465</v>
      </c>
      <c r="M110" s="3" t="n">
        <v>217</v>
      </c>
      <c r="N110" s="4">
        <f>IFERROR(L110/K110,0)</f>
        <v/>
      </c>
      <c r="O110" s="4">
        <f>IFERROR(M110/L110,0)</f>
        <v/>
      </c>
      <c r="P110" t="n">
        <v>591</v>
      </c>
      <c r="Q110" s="5" t="n">
        <v>1</v>
      </c>
      <c r="R110" s="7" t="n">
        <v>1</v>
      </c>
      <c r="S110">
        <f>IF(OR(N110&lt;$T$1*0.5,O110&lt;$U$1*0.5),"код для проверки","нормальный код")</f>
        <v/>
      </c>
      <c r="T110">
        <f>IF(N110&lt;$T$1*0.5,"Низшая четверть",IF(N110&lt;$T$1,"Вторая четверть","Больше половины"))</f>
        <v/>
      </c>
      <c r="U110">
        <f>IF(O110&lt;$U$1*0.5,"Низшая четверть",IF(O110&lt;$U$1,"Вторая четверть","Больше половины"))</f>
        <v/>
      </c>
      <c r="V110">
        <f>IF(OR(N110&lt;SUMIFS(L:L,R:R,1,E:E,E110)/SUMIFS(K:K,R:R,1,E:E,E110)*0.5,O110&lt;SUMIFS(M:M,R:R,1,E:E,E110)/SUMIFS(L:L,R:R,1,E:E,E110)*0.5),"код для проверки","нормальный код")</f>
        <v/>
      </c>
      <c r="W110">
        <f>IF(N110&lt;SUMIFS(L:L,R:R,1,E:E,E110)/SUMIFS(K:K,R:R,1,E:E,E110)*0.5,"Низшая четверть",IF(N110&lt;SUMIFS(L:L,R:R,1,E:E,E110)/SUMIFS(K:K,R:R,1,E:E,E110),"Вторая четверть","Больше половины"))</f>
        <v/>
      </c>
      <c r="X110">
        <f>IF(O110&lt;SUMIFS(M:M,R:R,1,E:E,E110)/SUMIFS(L:L,R:R,1,E:E,E110)*0.5,"Низшая четверть",IF(O110&lt;SUMIFS(M:M,R:R,1,E:E,E110)/SUMIFS(L:L,R:R,1,E:E,E110),"Вторая четверть","Больше половины"))</f>
        <v/>
      </c>
      <c r="Y110" t="n">
        <v>23</v>
      </c>
    </row>
    <row r="111">
      <c r="A111" s="1" t="inlineStr">
        <is>
          <t>88600100</t>
        </is>
      </c>
      <c r="B111" s="2" t="inlineStr">
        <is>
          <t>790337433</t>
        </is>
      </c>
      <c r="C111" s="3" t="inlineStr">
        <is>
          <t>Одежда для детей</t>
        </is>
      </c>
      <c r="D111" s="2" t="inlineStr">
        <is>
          <t>Верхняя детская одежда для девочек</t>
        </is>
      </c>
      <c r="E111" s="3" t="inlineStr">
        <is>
          <t>886 Жилет утепленный детский для девочек</t>
        </is>
      </c>
      <c r="F111" s="2" t="inlineStr">
        <is>
          <t>демисезонный</t>
        </is>
      </c>
      <c r="G111" s="3" t="inlineStr">
        <is>
          <t>kari</t>
        </is>
      </c>
      <c r="H111" s="2" t="inlineStr">
        <is>
          <t>Зиннуров Ильнур</t>
        </is>
      </c>
      <c r="J111" s="3" t="inlineStr">
        <is>
          <t>2026SS</t>
        </is>
      </c>
      <c r="K111" s="3" t="n">
        <v>54741</v>
      </c>
      <c r="L111" s="3" t="n">
        <v>3614</v>
      </c>
      <c r="M111" s="3" t="n">
        <v>51</v>
      </c>
      <c r="N111" s="4">
        <f>IFERROR(L111/K111,0)</f>
        <v/>
      </c>
      <c r="O111" s="4">
        <f>IFERROR(M111/L111,0)</f>
        <v/>
      </c>
      <c r="P111" t="n">
        <v>633</v>
      </c>
      <c r="Q111" s="5" t="n">
        <v>1</v>
      </c>
      <c r="R111" s="7" t="n">
        <v>1</v>
      </c>
      <c r="S111">
        <f>IF(OR(N111&lt;$T$1*0.5,O111&lt;$U$1*0.5),"код для проверки","нормальный код")</f>
        <v/>
      </c>
      <c r="T111">
        <f>IF(N111&lt;$T$1*0.5,"Низшая четверть",IF(N111&lt;$T$1,"Вторая четверть","Больше половины"))</f>
        <v/>
      </c>
      <c r="U111">
        <f>IF(O111&lt;$U$1*0.5,"Низшая четверть",IF(O111&lt;$U$1,"Вторая четверть","Больше половины"))</f>
        <v/>
      </c>
      <c r="V111">
        <f>IF(OR(N111&lt;SUMIFS(L:L,R:R,1,E:E,E111)/SUMIFS(K:K,R:R,1,E:E,E111)*0.5,O111&lt;SUMIFS(M:M,R:R,1,E:E,E111)/SUMIFS(L:L,R:R,1,E:E,E111)*0.5),"код для проверки","нормальный код")</f>
        <v/>
      </c>
      <c r="W111">
        <f>IF(N111&lt;SUMIFS(L:L,R:R,1,E:E,E111)/SUMIFS(K:K,R:R,1,E:E,E111)*0.5,"Низшая четверть",IF(N111&lt;SUMIFS(L:L,R:R,1,E:E,E111)/SUMIFS(K:K,R:R,1,E:E,E111),"Вторая четверть","Больше половины"))</f>
        <v/>
      </c>
      <c r="X111">
        <f>IF(O111&lt;SUMIFS(M:M,R:R,1,E:E,E111)/SUMIFS(L:L,R:R,1,E:E,E111)*0.5,"Низшая четверть",IF(O111&lt;SUMIFS(M:M,R:R,1,E:E,E111)/SUMIFS(L:L,R:R,1,E:E,E111),"Вторая четверть","Больше половины"))</f>
        <v/>
      </c>
      <c r="Y111" t="n">
        <v>17</v>
      </c>
    </row>
    <row r="112">
      <c r="A112" s="1" t="inlineStr">
        <is>
          <t>18304030</t>
        </is>
      </c>
      <c r="B112" s="2" t="inlineStr">
        <is>
          <t>161375482</t>
        </is>
      </c>
      <c r="C112" s="3" t="inlineStr">
        <is>
          <t>Одежда и аксессуары</t>
        </is>
      </c>
      <c r="D112" s="2" t="inlineStr">
        <is>
          <t>Спортивная одежда для мужчин</t>
        </is>
      </c>
      <c r="E112" s="3" t="inlineStr">
        <is>
          <t>y97 Футболка мужская</t>
        </is>
      </c>
      <c r="F112" s="2" t="inlineStr">
        <is>
          <t>всесезонный</t>
        </is>
      </c>
      <c r="G112" s="3" t="inlineStr">
        <is>
          <t>kari</t>
        </is>
      </c>
      <c r="H112" s="2" t="inlineStr">
        <is>
          <t>Зиннуров Ильнур</t>
        </is>
      </c>
      <c r="J112" s="3" t="inlineStr">
        <is>
          <t>2026SS</t>
        </is>
      </c>
      <c r="K112" s="3" t="n">
        <v>53807</v>
      </c>
      <c r="L112" s="3" t="n">
        <v>2625</v>
      </c>
      <c r="M112" s="3" t="n">
        <v>104</v>
      </c>
      <c r="N112" s="4">
        <f>IFERROR(L112/K112,0)</f>
        <v/>
      </c>
      <c r="O112" s="4">
        <f>IFERROR(M112/L112,0)</f>
        <v/>
      </c>
      <c r="P112" t="n">
        <v>453</v>
      </c>
      <c r="Q112" s="5" t="n">
        <v>1</v>
      </c>
      <c r="R112" s="7" t="n">
        <v>1</v>
      </c>
      <c r="S112">
        <f>IF(OR(N112&lt;$T$1*0.5,O112&lt;$U$1*0.5),"код для проверки","нормальный код")</f>
        <v/>
      </c>
      <c r="T112">
        <f>IF(N112&lt;$T$1*0.5,"Низшая четверть",IF(N112&lt;$T$1,"Вторая четверть","Больше половины"))</f>
        <v/>
      </c>
      <c r="U112">
        <f>IF(O112&lt;$U$1*0.5,"Низшая четверть",IF(O112&lt;$U$1,"Вторая четверть","Больше половины"))</f>
        <v/>
      </c>
      <c r="V112">
        <f>IF(OR(N112&lt;SUMIFS(L:L,R:R,1,E:E,E112)/SUMIFS(K:K,R:R,1,E:E,E112)*0.5,O112&lt;SUMIFS(M:M,R:R,1,E:E,E112)/SUMIFS(L:L,R:R,1,E:E,E112)*0.5),"код для проверки","нормальный код")</f>
        <v/>
      </c>
      <c r="W112">
        <f>IF(N112&lt;SUMIFS(L:L,R:R,1,E:E,E112)/SUMIFS(K:K,R:R,1,E:E,E112)*0.5,"Низшая четверть",IF(N112&lt;SUMIFS(L:L,R:R,1,E:E,E112)/SUMIFS(K:K,R:R,1,E:E,E112),"Вторая четверть","Больше половины"))</f>
        <v/>
      </c>
      <c r="X112">
        <f>IF(O112&lt;SUMIFS(M:M,R:R,1,E:E,E112)/SUMIFS(L:L,R:R,1,E:E,E112)*0.5,"Низшая четверть",IF(O112&lt;SUMIFS(M:M,R:R,1,E:E,E112)/SUMIFS(L:L,R:R,1,E:E,E112),"Вторая четверть","Больше половины"))</f>
        <v/>
      </c>
      <c r="Y112" t="n">
        <v>11</v>
      </c>
    </row>
    <row r="113">
      <c r="A113" s="1" t="inlineStr">
        <is>
          <t>95400200</t>
        </is>
      </c>
      <c r="B113" s="2" t="inlineStr">
        <is>
          <t>762222717</t>
        </is>
      </c>
      <c r="C113" s="3" t="inlineStr">
        <is>
          <t>Одежда для детей</t>
        </is>
      </c>
      <c r="D113" s="2" t="inlineStr">
        <is>
          <t>Верхняя детская одежда для девочек</t>
        </is>
      </c>
      <c r="E113" s="3" t="inlineStr">
        <is>
          <t>954 Ветровка детская для девочек</t>
        </is>
      </c>
      <c r="F113" s="2" t="inlineStr">
        <is>
          <t>демисезонный</t>
        </is>
      </c>
      <c r="G113" s="3" t="inlineStr">
        <is>
          <t>kari</t>
        </is>
      </c>
      <c r="H113" s="2" t="inlineStr">
        <is>
          <t>Зиннуров Ильнур</t>
        </is>
      </c>
      <c r="J113" s="3" t="inlineStr">
        <is>
          <t>2026SS</t>
        </is>
      </c>
      <c r="K113" s="3" t="n">
        <v>53453</v>
      </c>
      <c r="L113" s="3" t="n">
        <v>3802</v>
      </c>
      <c r="M113" s="3" t="n">
        <v>82</v>
      </c>
      <c r="N113" s="4">
        <f>IFERROR(L113/K113,0)</f>
        <v/>
      </c>
      <c r="O113" s="4">
        <f>IFERROR(M113/L113,0)</f>
        <v/>
      </c>
      <c r="P113" t="n">
        <v>428</v>
      </c>
      <c r="Q113" s="5" t="n">
        <v>1</v>
      </c>
      <c r="R113" s="7" t="n">
        <v>1</v>
      </c>
      <c r="S113">
        <f>IF(OR(N113&lt;$T$1*0.5,O113&lt;$U$1*0.5),"код для проверки","нормальный код")</f>
        <v/>
      </c>
      <c r="T113">
        <f>IF(N113&lt;$T$1*0.5,"Низшая четверть",IF(N113&lt;$T$1,"Вторая четверть","Больше половины"))</f>
        <v/>
      </c>
      <c r="U113">
        <f>IF(O113&lt;$U$1*0.5,"Низшая четверть",IF(O113&lt;$U$1,"Вторая четверть","Больше половины"))</f>
        <v/>
      </c>
      <c r="V113">
        <f>IF(OR(N113&lt;SUMIFS(L:L,R:R,1,E:E,E113)/SUMIFS(K:K,R:R,1,E:E,E113)*0.5,O113&lt;SUMIFS(M:M,R:R,1,E:E,E113)/SUMIFS(L:L,R:R,1,E:E,E113)*0.5),"код для проверки","нормальный код")</f>
        <v/>
      </c>
      <c r="W113">
        <f>IF(N113&lt;SUMIFS(L:L,R:R,1,E:E,E113)/SUMIFS(K:K,R:R,1,E:E,E113)*0.5,"Низшая четверть",IF(N113&lt;SUMIFS(L:L,R:R,1,E:E,E113)/SUMIFS(K:K,R:R,1,E:E,E113),"Вторая четверть","Больше половины"))</f>
        <v/>
      </c>
      <c r="X113">
        <f>IF(O113&lt;SUMIFS(M:M,R:R,1,E:E,E113)/SUMIFS(L:L,R:R,1,E:E,E113)*0.5,"Низшая четверть",IF(O113&lt;SUMIFS(M:M,R:R,1,E:E,E113)/SUMIFS(L:L,R:R,1,E:E,E113),"Вторая четверть","Больше половины"))</f>
        <v/>
      </c>
      <c r="Y113" t="n">
        <v>22</v>
      </c>
    </row>
    <row r="114">
      <c r="A114" s="1" t="inlineStr">
        <is>
          <t>310080F0</t>
        </is>
      </c>
      <c r="B114" s="2" t="inlineStr">
        <is>
          <t>296541523</t>
        </is>
      </c>
      <c r="C114" s="3" t="inlineStr">
        <is>
          <t>Одежда для детей</t>
        </is>
      </c>
      <c r="D114" s="2" t="inlineStr">
        <is>
          <t>Футболки, майки, рубашки детские для мальчиков</t>
        </is>
      </c>
      <c r="E114" s="3" t="inlineStr">
        <is>
          <t>310 Футболка детская для мальчиков</t>
        </is>
      </c>
      <c r="F114" s="2" t="inlineStr">
        <is>
          <t>всесезонный</t>
        </is>
      </c>
      <c r="G114" s="3" t="inlineStr">
        <is>
          <t>kari</t>
        </is>
      </c>
      <c r="H114" s="2" t="inlineStr">
        <is>
          <t>Зиннуров Ильнур</t>
        </is>
      </c>
      <c r="J114" s="3" t="inlineStr">
        <is>
          <t>2026SS</t>
        </is>
      </c>
      <c r="K114" s="3" t="n">
        <v>52991</v>
      </c>
      <c r="L114" s="3" t="n">
        <v>5499</v>
      </c>
      <c r="M114" s="3" t="n">
        <v>85</v>
      </c>
      <c r="N114" s="4">
        <f>IFERROR(L114/K114,0)</f>
        <v/>
      </c>
      <c r="O114" s="4">
        <f>IFERROR(M114/L114,0)</f>
        <v/>
      </c>
      <c r="P114" t="n">
        <v>119</v>
      </c>
      <c r="Q114" s="5" t="n">
        <v>1</v>
      </c>
      <c r="R114" s="7" t="n">
        <v>1</v>
      </c>
      <c r="S114">
        <f>IF(OR(N114&lt;$T$1*0.5,O114&lt;$U$1*0.5),"код для проверки","нормальный код")</f>
        <v/>
      </c>
      <c r="T114">
        <f>IF(N114&lt;$T$1*0.5,"Низшая четверть",IF(N114&lt;$T$1,"Вторая четверть","Больше половины"))</f>
        <v/>
      </c>
      <c r="U114">
        <f>IF(O114&lt;$U$1*0.5,"Низшая четверть",IF(O114&lt;$U$1,"Вторая четверть","Больше половины"))</f>
        <v/>
      </c>
      <c r="V114">
        <f>IF(OR(N114&lt;SUMIFS(L:L,R:R,1,E:E,E114)/SUMIFS(K:K,R:R,1,E:E,E114)*0.5,O114&lt;SUMIFS(M:M,R:R,1,E:E,E114)/SUMIFS(L:L,R:R,1,E:E,E114)*0.5),"код для проверки","нормальный код")</f>
        <v/>
      </c>
      <c r="W114">
        <f>IF(N114&lt;SUMIFS(L:L,R:R,1,E:E,E114)/SUMIFS(K:K,R:R,1,E:E,E114)*0.5,"Низшая четверть",IF(N114&lt;SUMIFS(L:L,R:R,1,E:E,E114)/SUMIFS(K:K,R:R,1,E:E,E114),"Вторая четверть","Больше половины"))</f>
        <v/>
      </c>
      <c r="X114">
        <f>IF(O114&lt;SUMIFS(M:M,R:R,1,E:E,E114)/SUMIFS(L:L,R:R,1,E:E,E114)*0.5,"Низшая четверть",IF(O114&lt;SUMIFS(M:M,R:R,1,E:E,E114)/SUMIFS(L:L,R:R,1,E:E,E114),"Вторая четверть","Больше половины"))</f>
        <v/>
      </c>
      <c r="Y114" t="n">
        <v>9</v>
      </c>
    </row>
    <row r="115">
      <c r="A115" s="1" t="inlineStr">
        <is>
          <t>19800070</t>
        </is>
      </c>
      <c r="B115" s="2" t="inlineStr">
        <is>
          <t>770830749</t>
        </is>
      </c>
      <c r="C115" s="3" t="inlineStr">
        <is>
          <t>Одежда и аксессуары</t>
        </is>
      </c>
      <c r="D115" s="2" t="inlineStr">
        <is>
          <t>Майки и платья женские</t>
        </is>
      </c>
      <c r="E115" s="3" t="inlineStr">
        <is>
          <t>198 Топ женский</t>
        </is>
      </c>
      <c r="F115" s="2" t="inlineStr">
        <is>
          <t>лето</t>
        </is>
      </c>
      <c r="G115" s="3" t="inlineStr">
        <is>
          <t>kari</t>
        </is>
      </c>
      <c r="H115" s="2" t="inlineStr">
        <is>
          <t>Зиннуров Ильнур</t>
        </is>
      </c>
      <c r="J115" s="3" t="inlineStr">
        <is>
          <t>2026SS</t>
        </is>
      </c>
      <c r="K115" s="3" t="n">
        <v>52832</v>
      </c>
      <c r="L115" s="3" t="n">
        <v>3862</v>
      </c>
      <c r="M115" s="3" t="n">
        <v>153</v>
      </c>
      <c r="N115" s="4">
        <f>IFERROR(L115/K115,0)</f>
        <v/>
      </c>
      <c r="O115" s="4">
        <f>IFERROR(M115/L115,0)</f>
        <v/>
      </c>
      <c r="P115" t="n">
        <v>634</v>
      </c>
      <c r="Q115" s="5" t="n">
        <v>1</v>
      </c>
      <c r="R115" s="7" t="n">
        <v>1</v>
      </c>
      <c r="S115">
        <f>IF(OR(N115&lt;$T$1*0.5,O115&lt;$U$1*0.5),"код для проверки","нормальный код")</f>
        <v/>
      </c>
      <c r="T115">
        <f>IF(N115&lt;$T$1*0.5,"Низшая четверть",IF(N115&lt;$T$1,"Вторая четверть","Больше половины"))</f>
        <v/>
      </c>
      <c r="U115">
        <f>IF(O115&lt;$U$1*0.5,"Низшая четверть",IF(O115&lt;$U$1,"Вторая четверть","Больше половины"))</f>
        <v/>
      </c>
      <c r="V115">
        <f>IF(OR(N115&lt;SUMIFS(L:L,R:R,1,E:E,E115)/SUMIFS(K:K,R:R,1,E:E,E115)*0.5,O115&lt;SUMIFS(M:M,R:R,1,E:E,E115)/SUMIFS(L:L,R:R,1,E:E,E115)*0.5),"код для проверки","нормальный код")</f>
        <v/>
      </c>
      <c r="W115">
        <f>IF(N115&lt;SUMIFS(L:L,R:R,1,E:E,E115)/SUMIFS(K:K,R:R,1,E:E,E115)*0.5,"Низшая четверть",IF(N115&lt;SUMIFS(L:L,R:R,1,E:E,E115)/SUMIFS(K:K,R:R,1,E:E,E115),"Вторая четверть","Больше половины"))</f>
        <v/>
      </c>
      <c r="X115">
        <f>IF(O115&lt;SUMIFS(M:M,R:R,1,E:E,E115)/SUMIFS(L:L,R:R,1,E:E,E115)*0.5,"Низшая четверть",IF(O115&lt;SUMIFS(M:M,R:R,1,E:E,E115)/SUMIFS(L:L,R:R,1,E:E,E115),"Вторая четверть","Больше половины"))</f>
        <v/>
      </c>
      <c r="Y115" t="n">
        <v>13</v>
      </c>
    </row>
    <row r="116">
      <c r="A116" s="1" t="inlineStr">
        <is>
          <t>h1800030</t>
        </is>
      </c>
      <c r="B116" s="2" t="inlineStr">
        <is>
          <t>732910208</t>
        </is>
      </c>
      <c r="C116" s="3" t="inlineStr">
        <is>
          <t>Одежда и аксессуары</t>
        </is>
      </c>
      <c r="D116" s="2" t="inlineStr">
        <is>
          <t>Спортивная одежда для женщин</t>
        </is>
      </c>
      <c r="E116" s="3" t="inlineStr">
        <is>
          <t>h28 Брюки спортивные женские</t>
        </is>
      </c>
      <c r="F116" s="2" t="inlineStr">
        <is>
          <t>всесезонный</t>
        </is>
      </c>
      <c r="G116" s="3" t="inlineStr">
        <is>
          <t>kari</t>
        </is>
      </c>
      <c r="H116" s="2" t="inlineStr">
        <is>
          <t>Зиннуров Ильнур</t>
        </is>
      </c>
      <c r="J116" s="3" t="inlineStr">
        <is>
          <t>2026SS</t>
        </is>
      </c>
      <c r="K116" s="3" t="n">
        <v>52706</v>
      </c>
      <c r="L116" s="3" t="n">
        <v>3877</v>
      </c>
      <c r="M116" s="3" t="n">
        <v>152</v>
      </c>
      <c r="N116" s="4">
        <f>IFERROR(L116/K116,0)</f>
        <v/>
      </c>
      <c r="O116" s="4">
        <f>IFERROR(M116/L116,0)</f>
        <v/>
      </c>
      <c r="P116" t="n">
        <v>16</v>
      </c>
      <c r="Q116" s="5" t="n">
        <v>1</v>
      </c>
      <c r="R116" s="7" t="n">
        <v>1</v>
      </c>
      <c r="S116">
        <f>IF(OR(N116&lt;$T$1*0.5,O116&lt;$U$1*0.5),"код для проверки","нормальный код")</f>
        <v/>
      </c>
      <c r="T116">
        <f>IF(N116&lt;$T$1*0.5,"Низшая четверть",IF(N116&lt;$T$1,"Вторая четверть","Больше половины"))</f>
        <v/>
      </c>
      <c r="U116">
        <f>IF(O116&lt;$U$1*0.5,"Низшая четверть",IF(O116&lt;$U$1,"Вторая четверть","Больше половины"))</f>
        <v/>
      </c>
      <c r="V116">
        <f>IF(OR(N116&lt;SUMIFS(L:L,R:R,1,E:E,E116)/SUMIFS(K:K,R:R,1,E:E,E116)*0.5,O116&lt;SUMIFS(M:M,R:R,1,E:E,E116)/SUMIFS(L:L,R:R,1,E:E,E116)*0.5),"код для проверки","нормальный код")</f>
        <v/>
      </c>
      <c r="W116">
        <f>IF(N116&lt;SUMIFS(L:L,R:R,1,E:E,E116)/SUMIFS(K:K,R:R,1,E:E,E116)*0.5,"Низшая четверть",IF(N116&lt;SUMIFS(L:L,R:R,1,E:E,E116)/SUMIFS(K:K,R:R,1,E:E,E116),"Вторая четверть","Больше половины"))</f>
        <v/>
      </c>
      <c r="X116">
        <f>IF(O116&lt;SUMIFS(M:M,R:R,1,E:E,E116)/SUMIFS(L:L,R:R,1,E:E,E116)*0.5,"Низшая четверть",IF(O116&lt;SUMIFS(M:M,R:R,1,E:E,E116)/SUMIFS(L:L,R:R,1,E:E,E116),"Вторая четверть","Больше половины"))</f>
        <v/>
      </c>
      <c r="Y116" t="n">
        <v>23</v>
      </c>
    </row>
    <row r="117">
      <c r="A117" s="1" t="inlineStr">
        <is>
          <t>95200080</t>
        </is>
      </c>
      <c r="B117" s="2" t="inlineStr">
        <is>
          <t>786399441</t>
        </is>
      </c>
      <c r="C117" s="3" t="inlineStr">
        <is>
          <t>Одежда для детей</t>
        </is>
      </c>
      <c r="D117" s="2" t="inlineStr">
        <is>
          <t>Верхняя одежда детская для мальчиков</t>
        </is>
      </c>
      <c r="E117" s="3" t="inlineStr">
        <is>
          <t>952 Ветровка детская для мальчиков</t>
        </is>
      </c>
      <c r="F117" s="2" t="inlineStr">
        <is>
          <t>демисезонный</t>
        </is>
      </c>
      <c r="G117" s="3" t="inlineStr">
        <is>
          <t>Kari KIDS</t>
        </is>
      </c>
      <c r="H117" s="2" t="inlineStr">
        <is>
          <t>Зиннуров Ильнур</t>
        </is>
      </c>
      <c r="J117" s="3" t="inlineStr">
        <is>
          <t>2026SS</t>
        </is>
      </c>
      <c r="K117" s="3" t="n">
        <v>52536</v>
      </c>
      <c r="L117" s="3" t="n">
        <v>4204</v>
      </c>
      <c r="M117" s="3" t="n">
        <v>44</v>
      </c>
      <c r="N117" s="4">
        <f>IFERROR(L117/K117,0)</f>
        <v/>
      </c>
      <c r="O117" s="4">
        <f>IFERROR(M117/L117,0)</f>
        <v/>
      </c>
      <c r="P117" t="n">
        <v>585</v>
      </c>
      <c r="Q117" s="5" t="n">
        <v>1</v>
      </c>
      <c r="R117" s="7" t="n">
        <v>1</v>
      </c>
      <c r="S117">
        <f>IF(OR(N117&lt;$T$1*0.5,O117&lt;$U$1*0.5),"код для проверки","нормальный код")</f>
        <v/>
      </c>
      <c r="T117">
        <f>IF(N117&lt;$T$1*0.5,"Низшая четверть",IF(N117&lt;$T$1,"Вторая четверть","Больше половины"))</f>
        <v/>
      </c>
      <c r="U117">
        <f>IF(O117&lt;$U$1*0.5,"Низшая четверть",IF(O117&lt;$U$1,"Вторая четверть","Больше половины"))</f>
        <v/>
      </c>
      <c r="V117">
        <f>IF(OR(N117&lt;SUMIFS(L:L,R:R,1,E:E,E117)/SUMIFS(K:K,R:R,1,E:E,E117)*0.5,O117&lt;SUMIFS(M:M,R:R,1,E:E,E117)/SUMIFS(L:L,R:R,1,E:E,E117)*0.5),"код для проверки","нормальный код")</f>
        <v/>
      </c>
      <c r="W117">
        <f>IF(N117&lt;SUMIFS(L:L,R:R,1,E:E,E117)/SUMIFS(K:K,R:R,1,E:E,E117)*0.5,"Низшая четверть",IF(N117&lt;SUMIFS(L:L,R:R,1,E:E,E117)/SUMIFS(K:K,R:R,1,E:E,E117),"Вторая четверть","Больше половины"))</f>
        <v/>
      </c>
      <c r="X117">
        <f>IF(O117&lt;SUMIFS(M:M,R:R,1,E:E,E117)/SUMIFS(L:L,R:R,1,E:E,E117)*0.5,"Низшая четверть",IF(O117&lt;SUMIFS(M:M,R:R,1,E:E,E117)/SUMIFS(L:L,R:R,1,E:E,E117),"Вторая четверть","Больше половины"))</f>
        <v/>
      </c>
      <c r="Y117" t="n">
        <v>17</v>
      </c>
    </row>
    <row r="118">
      <c r="A118" s="1" t="inlineStr">
        <is>
          <t>y5700000</t>
        </is>
      </c>
      <c r="B118" s="2" t="inlineStr">
        <is>
          <t>781307142</t>
        </is>
      </c>
      <c r="C118" s="3" t="inlineStr">
        <is>
          <t>Одежда для детей</t>
        </is>
      </c>
      <c r="D118" s="2" t="inlineStr">
        <is>
          <t>Верхняя одежда детская для мальчиков</t>
        </is>
      </c>
      <c r="E118" s="3" t="inlineStr">
        <is>
          <t>y57 Куртка для мальчиков облегченная</t>
        </is>
      </c>
      <c r="F118" s="2" t="inlineStr">
        <is>
          <t>демисезонный</t>
        </is>
      </c>
      <c r="G118" s="3" t="inlineStr">
        <is>
          <t>Kari KIDS</t>
        </is>
      </c>
      <c r="H118" s="2" t="inlineStr">
        <is>
          <t>Зиннуров Ильнур</t>
        </is>
      </c>
      <c r="J118" s="3" t="inlineStr">
        <is>
          <t>2026SS</t>
        </is>
      </c>
      <c r="K118" s="3" t="n">
        <v>51957</v>
      </c>
      <c r="L118" s="3" t="n">
        <v>3003</v>
      </c>
      <c r="M118" s="3" t="n">
        <v>32</v>
      </c>
      <c r="N118" s="4">
        <f>IFERROR(L118/K118,0)</f>
        <v/>
      </c>
      <c r="O118" s="4">
        <f>IFERROR(M118/L118,0)</f>
        <v/>
      </c>
      <c r="P118" t="n">
        <v>266</v>
      </c>
      <c r="Q118" s="5" t="n">
        <v>1</v>
      </c>
      <c r="R118" s="7" t="n">
        <v>1</v>
      </c>
      <c r="S118">
        <f>IF(OR(N118&lt;$T$1*0.5,O118&lt;$U$1*0.5),"код для проверки","нормальный код")</f>
        <v/>
      </c>
      <c r="T118">
        <f>IF(N118&lt;$T$1*0.5,"Низшая четверть",IF(N118&lt;$T$1,"Вторая четверть","Больше половины"))</f>
        <v/>
      </c>
      <c r="U118">
        <f>IF(O118&lt;$U$1*0.5,"Низшая четверть",IF(O118&lt;$U$1,"Вторая четверть","Больше половины"))</f>
        <v/>
      </c>
      <c r="V118">
        <f>IF(OR(N118&lt;SUMIFS(L:L,R:R,1,E:E,E118)/SUMIFS(K:K,R:R,1,E:E,E118)*0.5,O118&lt;SUMIFS(M:M,R:R,1,E:E,E118)/SUMIFS(L:L,R:R,1,E:E,E118)*0.5),"код для проверки","нормальный код")</f>
        <v/>
      </c>
      <c r="W118">
        <f>IF(N118&lt;SUMIFS(L:L,R:R,1,E:E,E118)/SUMIFS(K:K,R:R,1,E:E,E118)*0.5,"Низшая четверть",IF(N118&lt;SUMIFS(L:L,R:R,1,E:E,E118)/SUMIFS(K:K,R:R,1,E:E,E118),"Вторая четверть","Больше половины"))</f>
        <v/>
      </c>
      <c r="X118">
        <f>IF(O118&lt;SUMIFS(M:M,R:R,1,E:E,E118)/SUMIFS(L:L,R:R,1,E:E,E118)*0.5,"Низшая четверть",IF(O118&lt;SUMIFS(M:M,R:R,1,E:E,E118)/SUMIFS(L:L,R:R,1,E:E,E118),"Вторая четверть","Больше половины"))</f>
        <v/>
      </c>
      <c r="Y118" t="n">
        <v>22</v>
      </c>
    </row>
    <row r="119">
      <c r="A119" s="1" t="inlineStr">
        <is>
          <t>87708070</t>
        </is>
      </c>
      <c r="B119" s="2" t="inlineStr">
        <is>
          <t>316075920</t>
        </is>
      </c>
      <c r="C119" s="3" t="inlineStr">
        <is>
          <t>Одежда для детей</t>
        </is>
      </c>
      <c r="D119" s="2" t="inlineStr">
        <is>
          <t>Верхняя одежда детская для мальчиков</t>
        </is>
      </c>
      <c r="E119" s="3" t="inlineStr">
        <is>
          <t>877 Жилет утепленный детский для мальчиков</t>
        </is>
      </c>
      <c r="F119" s="2" t="inlineStr">
        <is>
          <t>демисезонный</t>
        </is>
      </c>
      <c r="G119" s="3" t="inlineStr">
        <is>
          <t>Kari KIDS</t>
        </is>
      </c>
      <c r="H119" s="2" t="inlineStr">
        <is>
          <t>Зиннуров Ильнур</t>
        </is>
      </c>
      <c r="J119" s="3" t="inlineStr">
        <is>
          <t>2026SS</t>
        </is>
      </c>
      <c r="K119" s="3" t="n">
        <v>51956</v>
      </c>
      <c r="L119" s="3" t="n">
        <v>4019</v>
      </c>
      <c r="M119" s="3" t="n">
        <v>144</v>
      </c>
      <c r="N119" s="4">
        <f>IFERROR(L119/K119,0)</f>
        <v/>
      </c>
      <c r="O119" s="4">
        <f>IFERROR(M119/L119,0)</f>
        <v/>
      </c>
      <c r="P119" t="n">
        <v>357</v>
      </c>
      <c r="Q119" s="5" t="n">
        <v>1</v>
      </c>
      <c r="R119" s="7" t="n">
        <v>1</v>
      </c>
      <c r="S119">
        <f>IF(OR(N119&lt;$T$1*0.5,O119&lt;$U$1*0.5),"код для проверки","нормальный код")</f>
        <v/>
      </c>
      <c r="T119">
        <f>IF(N119&lt;$T$1*0.5,"Низшая четверть",IF(N119&lt;$T$1,"Вторая четверть","Больше половины"))</f>
        <v/>
      </c>
      <c r="U119">
        <f>IF(O119&lt;$U$1*0.5,"Низшая четверть",IF(O119&lt;$U$1,"Вторая четверть","Больше половины"))</f>
        <v/>
      </c>
      <c r="V119">
        <f>IF(OR(N119&lt;SUMIFS(L:L,R:R,1,E:E,E119)/SUMIFS(K:K,R:R,1,E:E,E119)*0.5,O119&lt;SUMIFS(M:M,R:R,1,E:E,E119)/SUMIFS(L:L,R:R,1,E:E,E119)*0.5),"код для проверки","нормальный код")</f>
        <v/>
      </c>
      <c r="W119">
        <f>IF(N119&lt;SUMIFS(L:L,R:R,1,E:E,E119)/SUMIFS(K:K,R:R,1,E:E,E119)*0.5,"Низшая четверть",IF(N119&lt;SUMIFS(L:L,R:R,1,E:E,E119)/SUMIFS(K:K,R:R,1,E:E,E119),"Вторая четверть","Больше половины"))</f>
        <v/>
      </c>
      <c r="X119">
        <f>IF(O119&lt;SUMIFS(M:M,R:R,1,E:E,E119)/SUMIFS(L:L,R:R,1,E:E,E119)*0.5,"Низшая четверть",IF(O119&lt;SUMIFS(M:M,R:R,1,E:E,E119)/SUMIFS(L:L,R:R,1,E:E,E119),"Вторая четверть","Больше половины"))</f>
        <v/>
      </c>
      <c r="Y119" t="n">
        <v>15</v>
      </c>
    </row>
    <row r="120">
      <c r="A120" s="1" t="inlineStr">
        <is>
          <t>96700040</t>
        </is>
      </c>
      <c r="B120" s="2" t="inlineStr">
        <is>
          <t>709611826</t>
        </is>
      </c>
      <c r="C120" s="3" t="inlineStr">
        <is>
          <t>Одежда для детей</t>
        </is>
      </c>
      <c r="D120" s="2" t="inlineStr">
        <is>
          <t>Верхняя детская одежда для девочек</t>
        </is>
      </c>
      <c r="E120" s="3" t="inlineStr">
        <is>
          <t>967 Куртка джинсовая для девочки</t>
        </is>
      </c>
      <c r="F120" s="2" t="inlineStr">
        <is>
          <t>весна, лето, осень</t>
        </is>
      </c>
      <c r="G120" s="3" t="inlineStr">
        <is>
          <t>Kari KIDS</t>
        </is>
      </c>
      <c r="H120" s="2" t="inlineStr">
        <is>
          <t>Зиннуров Ильнур</t>
        </is>
      </c>
      <c r="J120" s="3" t="inlineStr">
        <is>
          <t>2026SS</t>
        </is>
      </c>
      <c r="K120" s="3" t="n">
        <v>51798</v>
      </c>
      <c r="L120" s="3" t="n">
        <v>4438</v>
      </c>
      <c r="M120" s="3" t="n">
        <v>75</v>
      </c>
      <c r="N120" s="4">
        <f>IFERROR(L120/K120,0)</f>
        <v/>
      </c>
      <c r="O120" s="4">
        <f>IFERROR(M120/L120,0)</f>
        <v/>
      </c>
      <c r="P120" t="n">
        <v>205</v>
      </c>
      <c r="Q120" s="5" t="n">
        <v>1</v>
      </c>
      <c r="R120" s="7" t="n">
        <v>1</v>
      </c>
      <c r="S120">
        <f>IF(OR(N120&lt;$T$1*0.5,O120&lt;$U$1*0.5),"код для проверки","нормальный код")</f>
        <v/>
      </c>
      <c r="T120">
        <f>IF(N120&lt;$T$1*0.5,"Низшая четверть",IF(N120&lt;$T$1,"Вторая четверть","Больше половины"))</f>
        <v/>
      </c>
      <c r="U120">
        <f>IF(O120&lt;$U$1*0.5,"Низшая четверть",IF(O120&lt;$U$1,"Вторая четверть","Больше половины"))</f>
        <v/>
      </c>
      <c r="V120">
        <f>IF(OR(N120&lt;SUMIFS(L:L,R:R,1,E:E,E120)/SUMIFS(K:K,R:R,1,E:E,E120)*0.5,O120&lt;SUMIFS(M:M,R:R,1,E:E,E120)/SUMIFS(L:L,R:R,1,E:E,E120)*0.5),"код для проверки","нормальный код")</f>
        <v/>
      </c>
      <c r="W120">
        <f>IF(N120&lt;SUMIFS(L:L,R:R,1,E:E,E120)/SUMIFS(K:K,R:R,1,E:E,E120)*0.5,"Низшая четверть",IF(N120&lt;SUMIFS(L:L,R:R,1,E:E,E120)/SUMIFS(K:K,R:R,1,E:E,E120),"Вторая четверть","Больше половины"))</f>
        <v/>
      </c>
      <c r="X120">
        <f>IF(O120&lt;SUMIFS(M:M,R:R,1,E:E,E120)/SUMIFS(L:L,R:R,1,E:E,E120)*0.5,"Низшая четверть",IF(O120&lt;SUMIFS(M:M,R:R,1,E:E,E120)/SUMIFS(L:L,R:R,1,E:E,E120),"Вторая четверть","Больше половины"))</f>
        <v/>
      </c>
      <c r="Y120" t="n">
        <v>16</v>
      </c>
    </row>
    <row r="121">
      <c r="A121" s="1" t="inlineStr">
        <is>
          <t>310000N0</t>
        </is>
      </c>
      <c r="B121" s="2" t="inlineStr">
        <is>
          <t>706058162</t>
        </is>
      </c>
      <c r="C121" s="3" t="inlineStr">
        <is>
          <t>Одежда для детей</t>
        </is>
      </c>
      <c r="D121" s="2" t="inlineStr">
        <is>
          <t>Футболки, майки, рубашки детские для мальчиков</t>
        </is>
      </c>
      <c r="E121" s="3" t="inlineStr">
        <is>
          <t>310 Футболка детская для мальчиков</t>
        </is>
      </c>
      <c r="F121" s="2" t="inlineStr">
        <is>
          <t>всесезонный</t>
        </is>
      </c>
      <c r="G121" s="3" t="inlineStr">
        <is>
          <t>Kari KIDS</t>
        </is>
      </c>
      <c r="H121" s="2" t="inlineStr">
        <is>
          <t>Зиннуров Ильнур</t>
        </is>
      </c>
      <c r="J121" s="3" t="inlineStr">
        <is>
          <t>2026SS</t>
        </is>
      </c>
      <c r="K121" s="3" t="n">
        <v>51787</v>
      </c>
      <c r="L121" s="3" t="n">
        <v>2754</v>
      </c>
      <c r="M121" s="3" t="n">
        <v>34</v>
      </c>
      <c r="N121" s="4">
        <f>IFERROR(L121/K121,0)</f>
        <v/>
      </c>
      <c r="O121" s="4">
        <f>IFERROR(M121/L121,0)</f>
        <v/>
      </c>
      <c r="P121" t="n">
        <v>697</v>
      </c>
      <c r="Q121" s="5" t="n">
        <v>1</v>
      </c>
      <c r="R121" s="7" t="n">
        <v>1</v>
      </c>
      <c r="S121">
        <f>IF(OR(N121&lt;$T$1*0.5,O121&lt;$U$1*0.5),"код для проверки","нормальный код")</f>
        <v/>
      </c>
      <c r="T121">
        <f>IF(N121&lt;$T$1*0.5,"Низшая четверть",IF(N121&lt;$T$1,"Вторая четверть","Больше половины"))</f>
        <v/>
      </c>
      <c r="U121">
        <f>IF(O121&lt;$U$1*0.5,"Низшая четверть",IF(O121&lt;$U$1,"Вторая четверть","Больше половины"))</f>
        <v/>
      </c>
      <c r="V121">
        <f>IF(OR(N121&lt;SUMIFS(L:L,R:R,1,E:E,E121)/SUMIFS(K:K,R:R,1,E:E,E121)*0.5,O121&lt;SUMIFS(M:M,R:R,1,E:E,E121)/SUMIFS(L:L,R:R,1,E:E,E121)*0.5),"код для проверки","нормальный код")</f>
        <v/>
      </c>
      <c r="W121">
        <f>IF(N121&lt;SUMIFS(L:L,R:R,1,E:E,E121)/SUMIFS(K:K,R:R,1,E:E,E121)*0.5,"Низшая четверть",IF(N121&lt;SUMIFS(L:L,R:R,1,E:E,E121)/SUMIFS(K:K,R:R,1,E:E,E121),"Вторая четверть","Больше половины"))</f>
        <v/>
      </c>
      <c r="X121">
        <f>IF(O121&lt;SUMIFS(M:M,R:R,1,E:E,E121)/SUMIFS(L:L,R:R,1,E:E,E121)*0.5,"Низшая четверть",IF(O121&lt;SUMIFS(M:M,R:R,1,E:E,E121)/SUMIFS(L:L,R:R,1,E:E,E121),"Вторая четверть","Больше половины"))</f>
        <v/>
      </c>
      <c r="Y121" t="n">
        <v>19</v>
      </c>
    </row>
    <row r="122">
      <c r="A122" s="1" t="inlineStr">
        <is>
          <t>11000070</t>
        </is>
      </c>
      <c r="B122" s="2" t="inlineStr">
        <is>
          <t>707522638</t>
        </is>
      </c>
      <c r="C122" s="3" t="inlineStr">
        <is>
          <t>Одежда и аксессуары</t>
        </is>
      </c>
      <c r="D122" s="2" t="inlineStr">
        <is>
          <t>Шарфы женские</t>
        </is>
      </c>
      <c r="E122" s="3" t="inlineStr">
        <is>
          <t>110 Платок женский</t>
        </is>
      </c>
      <c r="F122" s="2" t="inlineStr">
        <is>
          <t>демисезонный</t>
        </is>
      </c>
      <c r="G122" s="3" t="inlineStr">
        <is>
          <t>kari</t>
        </is>
      </c>
      <c r="H122" s="2" t="inlineStr">
        <is>
          <t>Никонорова Алина</t>
        </is>
      </c>
      <c r="J122" s="3" t="inlineStr">
        <is>
          <t>2026SS</t>
        </is>
      </c>
      <c r="K122" s="3" t="n">
        <v>51366</v>
      </c>
      <c r="L122" s="3" t="n">
        <v>3656</v>
      </c>
      <c r="M122" s="3" t="n">
        <v>62</v>
      </c>
      <c r="N122" s="4">
        <f>IFERROR(L122/K122,0)</f>
        <v/>
      </c>
      <c r="O122" s="4">
        <f>IFERROR(M122/L122,0)</f>
        <v/>
      </c>
      <c r="P122" t="n">
        <v>702</v>
      </c>
      <c r="Q122" s="5" t="n">
        <v>1</v>
      </c>
      <c r="R122" s="7" t="n">
        <v>1</v>
      </c>
      <c r="S122">
        <f>IF(OR(N122&lt;$T$1*0.5,O122&lt;$U$1*0.5),"код для проверки","нормальный код")</f>
        <v/>
      </c>
      <c r="T122">
        <f>IF(N122&lt;$T$1*0.5,"Низшая четверть",IF(N122&lt;$T$1,"Вторая четверть","Больше половины"))</f>
        <v/>
      </c>
      <c r="U122">
        <f>IF(O122&lt;$U$1*0.5,"Низшая четверть",IF(O122&lt;$U$1,"Вторая четверть","Больше половины"))</f>
        <v/>
      </c>
      <c r="V122">
        <f>IF(OR(N122&lt;SUMIFS(L:L,R:R,1,E:E,E122)/SUMIFS(K:K,R:R,1,E:E,E122)*0.5,O122&lt;SUMIFS(M:M,R:R,1,E:E,E122)/SUMIFS(L:L,R:R,1,E:E,E122)*0.5),"код для проверки","нормальный код")</f>
        <v/>
      </c>
      <c r="W122">
        <f>IF(N122&lt;SUMIFS(L:L,R:R,1,E:E,E122)/SUMIFS(K:K,R:R,1,E:E,E122)*0.5,"Низшая четверть",IF(N122&lt;SUMIFS(L:L,R:R,1,E:E,E122)/SUMIFS(K:K,R:R,1,E:E,E122),"Вторая четверть","Больше половины"))</f>
        <v/>
      </c>
      <c r="X122">
        <f>IF(O122&lt;SUMIFS(M:M,R:R,1,E:E,E122)/SUMIFS(L:L,R:R,1,E:E,E122)*0.5,"Низшая четверть",IF(O122&lt;SUMIFS(M:M,R:R,1,E:E,E122)/SUMIFS(L:L,R:R,1,E:E,E122),"Вторая четверть","Больше половины"))</f>
        <v/>
      </c>
      <c r="Y122" t="n">
        <v>13</v>
      </c>
    </row>
    <row r="123">
      <c r="A123" s="1" t="inlineStr">
        <is>
          <t>56700060</t>
        </is>
      </c>
      <c r="B123" s="2" t="inlineStr">
        <is>
          <t>766639208</t>
        </is>
      </c>
      <c r="C123" s="3" t="inlineStr">
        <is>
          <t>Одежда для детей</t>
        </is>
      </c>
      <c r="D123" s="2" t="inlineStr">
        <is>
          <t>Одежда для новорожденных</t>
        </is>
      </c>
      <c r="E123" s="3" t="inlineStr">
        <is>
          <t>567 Боди с длинным рукавом для девочек</t>
        </is>
      </c>
      <c r="F123" s="2" t="inlineStr">
        <is>
          <t>всесезонный</t>
        </is>
      </c>
      <c r="G123" s="3" t="inlineStr">
        <is>
          <t>Kari baby</t>
        </is>
      </c>
      <c r="H123" s="2" t="inlineStr">
        <is>
          <t>Зиннуров Ильнур</t>
        </is>
      </c>
      <c r="J123" s="3" t="inlineStr">
        <is>
          <t>2026SS</t>
        </is>
      </c>
      <c r="K123" s="3" t="n">
        <v>51174</v>
      </c>
      <c r="L123" s="3" t="n">
        <v>3920</v>
      </c>
      <c r="M123" s="3" t="n">
        <v>69</v>
      </c>
      <c r="N123" s="4">
        <f>IFERROR(L123/K123,0)</f>
        <v/>
      </c>
      <c r="O123" s="4">
        <f>IFERROR(M123/L123,0)</f>
        <v/>
      </c>
      <c r="P123" t="n">
        <v>400</v>
      </c>
      <c r="Q123" s="5" t="n">
        <v>1</v>
      </c>
      <c r="R123" s="7" t="n">
        <v>1</v>
      </c>
      <c r="S123">
        <f>IF(OR(N123&lt;$T$1*0.5,O123&lt;$U$1*0.5),"код для проверки","нормальный код")</f>
        <v/>
      </c>
      <c r="T123">
        <f>IF(N123&lt;$T$1*0.5,"Низшая четверть",IF(N123&lt;$T$1,"Вторая четверть","Больше половины"))</f>
        <v/>
      </c>
      <c r="U123">
        <f>IF(O123&lt;$U$1*0.5,"Низшая четверть",IF(O123&lt;$U$1,"Вторая четверть","Больше половины"))</f>
        <v/>
      </c>
      <c r="V123">
        <f>IF(OR(N123&lt;SUMIFS(L:L,R:R,1,E:E,E123)/SUMIFS(K:K,R:R,1,E:E,E123)*0.5,O123&lt;SUMIFS(M:M,R:R,1,E:E,E123)/SUMIFS(L:L,R:R,1,E:E,E123)*0.5),"код для проверки","нормальный код")</f>
        <v/>
      </c>
      <c r="W123">
        <f>IF(N123&lt;SUMIFS(L:L,R:R,1,E:E,E123)/SUMIFS(K:K,R:R,1,E:E,E123)*0.5,"Низшая четверть",IF(N123&lt;SUMIFS(L:L,R:R,1,E:E,E123)/SUMIFS(K:K,R:R,1,E:E,E123),"Вторая четверть","Больше половины"))</f>
        <v/>
      </c>
      <c r="X123">
        <f>IF(O123&lt;SUMIFS(M:M,R:R,1,E:E,E123)/SUMIFS(L:L,R:R,1,E:E,E123)*0.5,"Низшая четверть",IF(O123&lt;SUMIFS(M:M,R:R,1,E:E,E123)/SUMIFS(L:L,R:R,1,E:E,E123),"Вторая четверть","Больше половины"))</f>
        <v/>
      </c>
      <c r="Y123" t="n">
        <v>28</v>
      </c>
    </row>
    <row r="124">
      <c r="A124" s="1" t="inlineStr">
        <is>
          <t>144080C0</t>
        </is>
      </c>
      <c r="B124" s="2" t="inlineStr">
        <is>
          <t>355550873</t>
        </is>
      </c>
      <c r="C124" s="3" t="inlineStr">
        <is>
          <t>Одежда и аксессуары</t>
        </is>
      </c>
      <c r="D124" s="2" t="inlineStr">
        <is>
          <t>Шарфы женские</t>
        </is>
      </c>
      <c r="E124" s="3" t="inlineStr">
        <is>
          <t>144 Шарф летний женский</t>
        </is>
      </c>
      <c r="F124" s="2" t="inlineStr">
        <is>
          <t>весна, лето</t>
        </is>
      </c>
      <c r="G124" s="3" t="inlineStr">
        <is>
          <t>kari</t>
        </is>
      </c>
      <c r="H124" s="2" t="inlineStr">
        <is>
          <t>Никонорова Алина</t>
        </is>
      </c>
      <c r="J124" s="3" t="inlineStr">
        <is>
          <t>2026SS</t>
        </is>
      </c>
      <c r="K124" s="3" t="n">
        <v>51002</v>
      </c>
      <c r="L124" s="3" t="n">
        <v>9176</v>
      </c>
      <c r="M124" s="3" t="n">
        <v>200</v>
      </c>
      <c r="N124" s="4">
        <f>IFERROR(L124/K124,0)</f>
        <v/>
      </c>
      <c r="O124" s="4">
        <f>IFERROR(M124/L124,0)</f>
        <v/>
      </c>
      <c r="P124" t="n">
        <v>388</v>
      </c>
      <c r="Q124" s="5" t="n">
        <v>1</v>
      </c>
      <c r="R124" s="7" t="n">
        <v>1</v>
      </c>
      <c r="S124">
        <f>IF(OR(N124&lt;$T$1*0.5,O124&lt;$U$1*0.5),"код для проверки","нормальный код")</f>
        <v/>
      </c>
      <c r="T124">
        <f>IF(N124&lt;$T$1*0.5,"Низшая четверть",IF(N124&lt;$T$1,"Вторая четверть","Больше половины"))</f>
        <v/>
      </c>
      <c r="U124">
        <f>IF(O124&lt;$U$1*0.5,"Низшая четверть",IF(O124&lt;$U$1,"Вторая четверть","Больше половины"))</f>
        <v/>
      </c>
      <c r="V124">
        <f>IF(OR(N124&lt;SUMIFS(L:L,R:R,1,E:E,E124)/SUMIFS(K:K,R:R,1,E:E,E124)*0.5,O124&lt;SUMIFS(M:M,R:R,1,E:E,E124)/SUMIFS(L:L,R:R,1,E:E,E124)*0.5),"код для проверки","нормальный код")</f>
        <v/>
      </c>
      <c r="W124">
        <f>IF(N124&lt;SUMIFS(L:L,R:R,1,E:E,E124)/SUMIFS(K:K,R:R,1,E:E,E124)*0.5,"Низшая четверть",IF(N124&lt;SUMIFS(L:L,R:R,1,E:E,E124)/SUMIFS(K:K,R:R,1,E:E,E124),"Вторая четверть","Больше половины"))</f>
        <v/>
      </c>
      <c r="X124">
        <f>IF(O124&lt;SUMIFS(M:M,R:R,1,E:E,E124)/SUMIFS(L:L,R:R,1,E:E,E124)*0.5,"Низшая четверть",IF(O124&lt;SUMIFS(M:M,R:R,1,E:E,E124)/SUMIFS(L:L,R:R,1,E:E,E124),"Вторая четверть","Больше половины"))</f>
        <v/>
      </c>
      <c r="Y124" t="n">
        <v>16</v>
      </c>
    </row>
    <row r="125">
      <c r="A125" s="1" t="inlineStr">
        <is>
          <t>18200160</t>
        </is>
      </c>
      <c r="B125" s="2" t="inlineStr">
        <is>
          <t>762057033</t>
        </is>
      </c>
      <c r="C125" s="3" t="inlineStr">
        <is>
          <t>Одежда для детей</t>
        </is>
      </c>
      <c r="D125" s="2" t="inlineStr">
        <is>
          <t>Джинсы детские для мальчиков</t>
        </is>
      </c>
      <c r="E125" s="3" t="inlineStr">
        <is>
          <t>182 Джинсы детские для мальчиков</t>
        </is>
      </c>
      <c r="F125" s="2" t="inlineStr">
        <is>
          <t>всесезонный</t>
        </is>
      </c>
      <c r="G125" s="3" t="inlineStr">
        <is>
          <t>kari</t>
        </is>
      </c>
      <c r="H125" s="2" t="inlineStr">
        <is>
          <t>Зиннуров Ильнур</t>
        </is>
      </c>
      <c r="J125" s="3" t="inlineStr">
        <is>
          <t>2026SS</t>
        </is>
      </c>
      <c r="K125" s="3" t="n">
        <v>49857</v>
      </c>
      <c r="L125" s="3" t="n">
        <v>1696</v>
      </c>
      <c r="M125" s="3" t="n">
        <v>83</v>
      </c>
      <c r="N125" s="4">
        <f>IFERROR(L125/K125,0)</f>
        <v/>
      </c>
      <c r="O125" s="4">
        <f>IFERROR(M125/L125,0)</f>
        <v/>
      </c>
      <c r="P125" t="n">
        <v>573</v>
      </c>
      <c r="Q125" s="5" t="n">
        <v>1</v>
      </c>
      <c r="R125" s="7" t="n">
        <v>1</v>
      </c>
      <c r="S125">
        <f>IF(OR(N125&lt;$T$1*0.5,O125&lt;$U$1*0.5),"код для проверки","нормальный код")</f>
        <v/>
      </c>
      <c r="T125">
        <f>IF(N125&lt;$T$1*0.5,"Низшая четверть",IF(N125&lt;$T$1,"Вторая четверть","Больше половины"))</f>
        <v/>
      </c>
      <c r="U125">
        <f>IF(O125&lt;$U$1*0.5,"Низшая четверть",IF(O125&lt;$U$1,"Вторая четверть","Больше половины"))</f>
        <v/>
      </c>
      <c r="V125">
        <f>IF(OR(N125&lt;SUMIFS(L:L,R:R,1,E:E,E125)/SUMIFS(K:K,R:R,1,E:E,E125)*0.5,O125&lt;SUMIFS(M:M,R:R,1,E:E,E125)/SUMIFS(L:L,R:R,1,E:E,E125)*0.5),"код для проверки","нормальный код")</f>
        <v/>
      </c>
      <c r="W125">
        <f>IF(N125&lt;SUMIFS(L:L,R:R,1,E:E,E125)/SUMIFS(K:K,R:R,1,E:E,E125)*0.5,"Низшая четверть",IF(N125&lt;SUMIFS(L:L,R:R,1,E:E,E125)/SUMIFS(K:K,R:R,1,E:E,E125),"Вторая четверть","Больше половины"))</f>
        <v/>
      </c>
      <c r="X125">
        <f>IF(O125&lt;SUMIFS(M:M,R:R,1,E:E,E125)/SUMIFS(L:L,R:R,1,E:E,E125)*0.5,"Низшая четверть",IF(O125&lt;SUMIFS(M:M,R:R,1,E:E,E125)/SUMIFS(L:L,R:R,1,E:E,E125),"Вторая четверть","Больше половины"))</f>
        <v/>
      </c>
      <c r="Y125" t="n">
        <v>19</v>
      </c>
    </row>
    <row r="126">
      <c r="A126" s="1" t="inlineStr">
        <is>
          <t>30700030</t>
        </is>
      </c>
      <c r="B126" s="2" t="inlineStr">
        <is>
          <t>722902284</t>
        </is>
      </c>
      <c r="C126" s="3" t="inlineStr">
        <is>
          <t>Одежда для детей</t>
        </is>
      </c>
      <c r="D126" s="2" t="inlineStr">
        <is>
          <t>Платья, майки, футболки детские для девочек</t>
        </is>
      </c>
      <c r="E126" s="3" t="inlineStr">
        <is>
          <t>307 Блузка детская для девочек</t>
        </is>
      </c>
      <c r="F126" s="2" t="inlineStr">
        <is>
          <t>всесезонный</t>
        </is>
      </c>
      <c r="G126" s="3" t="inlineStr">
        <is>
          <t>kari</t>
        </is>
      </c>
      <c r="H126" s="2" t="inlineStr">
        <is>
          <t>Зиннуров Ильнур</t>
        </is>
      </c>
      <c r="J126" s="3" t="inlineStr">
        <is>
          <t>2026SS</t>
        </is>
      </c>
      <c r="K126" s="3" t="n">
        <v>48510</v>
      </c>
      <c r="L126" s="3" t="n">
        <v>2491</v>
      </c>
      <c r="M126" s="3" t="n">
        <v>188</v>
      </c>
      <c r="N126" s="4">
        <f>IFERROR(L126/K126,0)</f>
        <v/>
      </c>
      <c r="O126" s="4">
        <f>IFERROR(M126/L126,0)</f>
        <v/>
      </c>
      <c r="P126" t="n">
        <v>618</v>
      </c>
      <c r="Q126" s="5" t="n">
        <v>1</v>
      </c>
      <c r="R126" s="7" t="n">
        <v>1</v>
      </c>
      <c r="S126">
        <f>IF(OR(N126&lt;$T$1*0.5,O126&lt;$U$1*0.5),"код для проверки","нормальный код")</f>
        <v/>
      </c>
      <c r="T126">
        <f>IF(N126&lt;$T$1*0.5,"Низшая четверть",IF(N126&lt;$T$1,"Вторая четверть","Больше половины"))</f>
        <v/>
      </c>
      <c r="U126">
        <f>IF(O126&lt;$U$1*0.5,"Низшая четверть",IF(O126&lt;$U$1,"Вторая четверть","Больше половины"))</f>
        <v/>
      </c>
      <c r="V126">
        <f>IF(OR(N126&lt;SUMIFS(L:L,R:R,1,E:E,E126)/SUMIFS(K:K,R:R,1,E:E,E126)*0.5,O126&lt;SUMIFS(M:M,R:R,1,E:E,E126)/SUMIFS(L:L,R:R,1,E:E,E126)*0.5),"код для проверки","нормальный код")</f>
        <v/>
      </c>
      <c r="W126">
        <f>IF(N126&lt;SUMIFS(L:L,R:R,1,E:E,E126)/SUMIFS(K:K,R:R,1,E:E,E126)*0.5,"Низшая четверть",IF(N126&lt;SUMIFS(L:L,R:R,1,E:E,E126)/SUMIFS(K:K,R:R,1,E:E,E126),"Вторая четверть","Больше половины"))</f>
        <v/>
      </c>
      <c r="X126">
        <f>IF(O126&lt;SUMIFS(M:M,R:R,1,E:E,E126)/SUMIFS(L:L,R:R,1,E:E,E126)*0.5,"Низшая четверть",IF(O126&lt;SUMIFS(M:M,R:R,1,E:E,E126)/SUMIFS(L:L,R:R,1,E:E,E126),"Вторая четверть","Больше половины"))</f>
        <v/>
      </c>
      <c r="Y126" t="n">
        <v>18</v>
      </c>
    </row>
    <row r="127">
      <c r="A127" s="1" t="inlineStr">
        <is>
          <t>18200150</t>
        </is>
      </c>
      <c r="B127" s="2" t="inlineStr">
        <is>
          <t>762057080</t>
        </is>
      </c>
      <c r="C127" s="3" t="inlineStr">
        <is>
          <t>Одежда для детей</t>
        </is>
      </c>
      <c r="D127" s="2" t="inlineStr">
        <is>
          <t>Джинсы детские для мальчиков</t>
        </is>
      </c>
      <c r="E127" s="3" t="inlineStr">
        <is>
          <t>182 Джинсы детские для мальчиков</t>
        </is>
      </c>
      <c r="F127" s="2" t="inlineStr">
        <is>
          <t>всесезонный</t>
        </is>
      </c>
      <c r="G127" s="3" t="inlineStr">
        <is>
          <t>Kari KIDS</t>
        </is>
      </c>
      <c r="H127" s="2" t="inlineStr">
        <is>
          <t>Зиннуров Ильнур</t>
        </is>
      </c>
      <c r="J127" s="3" t="inlineStr">
        <is>
          <t>2026SS</t>
        </is>
      </c>
      <c r="K127" s="3" t="n">
        <v>48406</v>
      </c>
      <c r="L127" s="3" t="n">
        <v>2000</v>
      </c>
      <c r="M127" s="3" t="n">
        <v>117</v>
      </c>
      <c r="N127" s="4">
        <f>IFERROR(L127/K127,0)</f>
        <v/>
      </c>
      <c r="O127" s="4">
        <f>IFERROR(M127/L127,0)</f>
        <v/>
      </c>
      <c r="P127" t="n">
        <v>510</v>
      </c>
      <c r="Q127" s="5" t="n">
        <v>1</v>
      </c>
      <c r="R127" s="7" t="n">
        <v>1</v>
      </c>
      <c r="S127">
        <f>IF(OR(N127&lt;$T$1*0.5,O127&lt;$U$1*0.5),"код для проверки","нормальный код")</f>
        <v/>
      </c>
      <c r="T127">
        <f>IF(N127&lt;$T$1*0.5,"Низшая четверть",IF(N127&lt;$T$1,"Вторая четверть","Больше половины"))</f>
        <v/>
      </c>
      <c r="U127">
        <f>IF(O127&lt;$U$1*0.5,"Низшая четверть",IF(O127&lt;$U$1,"Вторая четверть","Больше половины"))</f>
        <v/>
      </c>
      <c r="V127">
        <f>IF(OR(N127&lt;SUMIFS(L:L,R:R,1,E:E,E127)/SUMIFS(K:K,R:R,1,E:E,E127)*0.5,O127&lt;SUMIFS(M:M,R:R,1,E:E,E127)/SUMIFS(L:L,R:R,1,E:E,E127)*0.5),"код для проверки","нормальный код")</f>
        <v/>
      </c>
      <c r="W127">
        <f>IF(N127&lt;SUMIFS(L:L,R:R,1,E:E,E127)/SUMIFS(K:K,R:R,1,E:E,E127)*0.5,"Низшая четверть",IF(N127&lt;SUMIFS(L:L,R:R,1,E:E,E127)/SUMIFS(K:K,R:R,1,E:E,E127),"Вторая четверть","Больше половины"))</f>
        <v/>
      </c>
      <c r="X127">
        <f>IF(O127&lt;SUMIFS(M:M,R:R,1,E:E,E127)/SUMIFS(L:L,R:R,1,E:E,E127)*0.5,"Низшая четверть",IF(O127&lt;SUMIFS(M:M,R:R,1,E:E,E127)/SUMIFS(L:L,R:R,1,E:E,E127),"Вторая четверть","Больше половины"))</f>
        <v/>
      </c>
      <c r="Y127" t="n">
        <v>17</v>
      </c>
    </row>
    <row r="128">
      <c r="A128" s="1" t="inlineStr">
        <is>
          <t>19108000</t>
        </is>
      </c>
      <c r="B128" s="2" t="inlineStr">
        <is>
          <t>316541615</t>
        </is>
      </c>
      <c r="C128" s="3" t="inlineStr">
        <is>
          <t>Одежда для детей</t>
        </is>
      </c>
      <c r="D128" s="2" t="inlineStr">
        <is>
          <t>Спортивная одежда детская для девочек</t>
        </is>
      </c>
      <c r="E128" s="3" t="inlineStr">
        <is>
          <t>191 Спортивный костюм детский для девочек</t>
        </is>
      </c>
      <c r="F128" s="2" t="inlineStr">
        <is>
          <t>всесезонный</t>
        </is>
      </c>
      <c r="G128" s="3" t="inlineStr">
        <is>
          <t>kari</t>
        </is>
      </c>
      <c r="H128" s="2" t="inlineStr">
        <is>
          <t>Зиннуров Ильнур</t>
        </is>
      </c>
      <c r="J128" s="3" t="inlineStr">
        <is>
          <t>2026SS</t>
        </is>
      </c>
      <c r="K128" s="3" t="n">
        <v>48364</v>
      </c>
      <c r="L128" s="3" t="n">
        <v>4623</v>
      </c>
      <c r="M128" s="3" t="n">
        <v>147</v>
      </c>
      <c r="N128" s="4">
        <f>IFERROR(L128/K128,0)</f>
        <v/>
      </c>
      <c r="O128" s="4">
        <f>IFERROR(M128/L128,0)</f>
        <v/>
      </c>
      <c r="P128" t="n">
        <v>595</v>
      </c>
      <c r="Q128" s="5" t="n">
        <v>1</v>
      </c>
      <c r="R128" s="7" t="n">
        <v>1</v>
      </c>
      <c r="S128">
        <f>IF(OR(N128&lt;$T$1*0.5,O128&lt;$U$1*0.5),"код для проверки","нормальный код")</f>
        <v/>
      </c>
      <c r="T128">
        <f>IF(N128&lt;$T$1*0.5,"Низшая четверть",IF(N128&lt;$T$1,"Вторая четверть","Больше половины"))</f>
        <v/>
      </c>
      <c r="U128">
        <f>IF(O128&lt;$U$1*0.5,"Низшая четверть",IF(O128&lt;$U$1,"Вторая четверть","Больше половины"))</f>
        <v/>
      </c>
      <c r="V128">
        <f>IF(OR(N128&lt;SUMIFS(L:L,R:R,1,E:E,E128)/SUMIFS(K:K,R:R,1,E:E,E128)*0.5,O128&lt;SUMIFS(M:M,R:R,1,E:E,E128)/SUMIFS(L:L,R:R,1,E:E,E128)*0.5),"код для проверки","нормальный код")</f>
        <v/>
      </c>
      <c r="W128">
        <f>IF(N128&lt;SUMIFS(L:L,R:R,1,E:E,E128)/SUMIFS(K:K,R:R,1,E:E,E128)*0.5,"Низшая четверть",IF(N128&lt;SUMIFS(L:L,R:R,1,E:E,E128)/SUMIFS(K:K,R:R,1,E:E,E128),"Вторая четверть","Больше половины"))</f>
        <v/>
      </c>
      <c r="X128">
        <f>IF(O128&lt;SUMIFS(M:M,R:R,1,E:E,E128)/SUMIFS(L:L,R:R,1,E:E,E128)*0.5,"Низшая четверть",IF(O128&lt;SUMIFS(M:M,R:R,1,E:E,E128)/SUMIFS(L:L,R:R,1,E:E,E128),"Вторая четверть","Больше половины"))</f>
        <v/>
      </c>
      <c r="Y128" t="n">
        <v>6</v>
      </c>
    </row>
    <row r="129">
      <c r="A129" s="1" t="inlineStr">
        <is>
          <t>43500170</t>
        </is>
      </c>
      <c r="B129" s="2" t="inlineStr">
        <is>
          <t>769002320</t>
        </is>
      </c>
      <c r="C129" s="3" t="inlineStr">
        <is>
          <t>Одежда для детей</t>
        </is>
      </c>
      <c r="D129" s="2" t="inlineStr">
        <is>
          <t>Брюки детские для мальчиков</t>
        </is>
      </c>
      <c r="E129" s="3" t="inlineStr">
        <is>
          <t>435 Брюки спортивные утепленные для мальчиков</t>
        </is>
      </c>
      <c r="F129" s="2" t="inlineStr">
        <is>
          <t>весна, осень, зима</t>
        </is>
      </c>
      <c r="G129" s="3" t="inlineStr">
        <is>
          <t>kari</t>
        </is>
      </c>
      <c r="H129" s="2" t="inlineStr">
        <is>
          <t>Зиннуров Ильнур</t>
        </is>
      </c>
      <c r="J129" s="3" t="inlineStr">
        <is>
          <t>2026SS</t>
        </is>
      </c>
      <c r="K129" s="3" t="n">
        <v>47936</v>
      </c>
      <c r="L129" s="3" t="n">
        <v>2535</v>
      </c>
      <c r="M129" s="3" t="n">
        <v>88</v>
      </c>
      <c r="N129" s="4">
        <f>IFERROR(L129/K129,0)</f>
        <v/>
      </c>
      <c r="O129" s="4">
        <f>IFERROR(M129/L129,0)</f>
        <v/>
      </c>
      <c r="P129" t="n">
        <v>516</v>
      </c>
      <c r="Q129" s="5" t="n">
        <v>1</v>
      </c>
      <c r="R129" s="7" t="n">
        <v>1</v>
      </c>
      <c r="S129">
        <f>IF(OR(N129&lt;$T$1*0.5,O129&lt;$U$1*0.5),"код для проверки","нормальный код")</f>
        <v/>
      </c>
      <c r="T129">
        <f>IF(N129&lt;$T$1*0.5,"Низшая четверть",IF(N129&lt;$T$1,"Вторая четверть","Больше половины"))</f>
        <v/>
      </c>
      <c r="U129">
        <f>IF(O129&lt;$U$1*0.5,"Низшая четверть",IF(O129&lt;$U$1,"Вторая четверть","Больше половины"))</f>
        <v/>
      </c>
      <c r="V129">
        <f>IF(OR(N129&lt;SUMIFS(L:L,R:R,1,E:E,E129)/SUMIFS(K:K,R:R,1,E:E,E129)*0.5,O129&lt;SUMIFS(M:M,R:R,1,E:E,E129)/SUMIFS(L:L,R:R,1,E:E,E129)*0.5),"код для проверки","нормальный код")</f>
        <v/>
      </c>
      <c r="W129">
        <f>IF(N129&lt;SUMIFS(L:L,R:R,1,E:E,E129)/SUMIFS(K:K,R:R,1,E:E,E129)*0.5,"Низшая четверть",IF(N129&lt;SUMIFS(L:L,R:R,1,E:E,E129)/SUMIFS(K:K,R:R,1,E:E,E129),"Вторая четверть","Больше половины"))</f>
        <v/>
      </c>
      <c r="X129">
        <f>IF(O129&lt;SUMIFS(M:M,R:R,1,E:E,E129)/SUMIFS(L:L,R:R,1,E:E,E129)*0.5,"Низшая четверть",IF(O129&lt;SUMIFS(M:M,R:R,1,E:E,E129)/SUMIFS(L:L,R:R,1,E:E,E129),"Вторая четверть","Больше половины"))</f>
        <v/>
      </c>
      <c r="Y129" t="n">
        <v>19</v>
      </c>
    </row>
    <row r="130">
      <c r="A130" s="1" t="inlineStr">
        <is>
          <t>y9708270</t>
        </is>
      </c>
      <c r="B130" s="2" t="inlineStr">
        <is>
          <t>321683759</t>
        </is>
      </c>
      <c r="C130" s="3" t="inlineStr">
        <is>
          <t>Одежда и аксессуары</t>
        </is>
      </c>
      <c r="D130" s="2" t="inlineStr">
        <is>
          <t>Футболки, рубашки мужские</t>
        </is>
      </c>
      <c r="E130" s="3" t="inlineStr">
        <is>
          <t>h10 Футболка мужская</t>
        </is>
      </c>
      <c r="F130" s="2" t="inlineStr">
        <is>
          <t>всесезонный</t>
        </is>
      </c>
      <c r="G130" s="3" t="inlineStr">
        <is>
          <t>kari</t>
        </is>
      </c>
      <c r="H130" s="2" t="inlineStr">
        <is>
          <t>Зиннуров Ильнур</t>
        </is>
      </c>
      <c r="J130" s="3" t="inlineStr">
        <is>
          <t>2026SS</t>
        </is>
      </c>
      <c r="K130" s="3" t="n">
        <v>47276</v>
      </c>
      <c r="L130" s="3" t="n">
        <v>4552</v>
      </c>
      <c r="M130" s="3" t="n">
        <v>199</v>
      </c>
      <c r="N130" s="4">
        <f>IFERROR(L130/K130,0)</f>
        <v/>
      </c>
      <c r="O130" s="4">
        <f>IFERROR(M130/L130,0)</f>
        <v/>
      </c>
      <c r="P130" t="n">
        <v>68</v>
      </c>
      <c r="Q130" s="5" t="n">
        <v>1</v>
      </c>
      <c r="R130" s="7" t="n">
        <v>1</v>
      </c>
      <c r="S130">
        <f>IF(OR(N130&lt;$T$1*0.5,O130&lt;$U$1*0.5),"код для проверки","нормальный код")</f>
        <v/>
      </c>
      <c r="T130">
        <f>IF(N130&lt;$T$1*0.5,"Низшая четверть",IF(N130&lt;$T$1,"Вторая четверть","Больше половины"))</f>
        <v/>
      </c>
      <c r="U130">
        <f>IF(O130&lt;$U$1*0.5,"Низшая четверть",IF(O130&lt;$U$1,"Вторая четверть","Больше половины"))</f>
        <v/>
      </c>
      <c r="V130">
        <f>IF(OR(N130&lt;SUMIFS(L:L,R:R,1,E:E,E130)/SUMIFS(K:K,R:R,1,E:E,E130)*0.5,O130&lt;SUMIFS(M:M,R:R,1,E:E,E130)/SUMIFS(L:L,R:R,1,E:E,E130)*0.5),"код для проверки","нормальный код")</f>
        <v/>
      </c>
      <c r="W130">
        <f>IF(N130&lt;SUMIFS(L:L,R:R,1,E:E,E130)/SUMIFS(K:K,R:R,1,E:E,E130)*0.5,"Низшая четверть",IF(N130&lt;SUMIFS(L:L,R:R,1,E:E,E130)/SUMIFS(K:K,R:R,1,E:E,E130),"Вторая четверть","Больше половины"))</f>
        <v/>
      </c>
      <c r="X130">
        <f>IF(O130&lt;SUMIFS(M:M,R:R,1,E:E,E130)/SUMIFS(L:L,R:R,1,E:E,E130)*0.5,"Низшая четверть",IF(O130&lt;SUMIFS(M:M,R:R,1,E:E,E130)/SUMIFS(L:L,R:R,1,E:E,E130),"Вторая четверть","Больше половины"))</f>
        <v/>
      </c>
      <c r="Y130" t="n">
        <v>10</v>
      </c>
    </row>
    <row r="131">
      <c r="A131" s="1" t="inlineStr">
        <is>
          <t>43500140</t>
        </is>
      </c>
      <c r="B131" s="2" t="inlineStr">
        <is>
          <t>698694672</t>
        </is>
      </c>
      <c r="C131" s="3" t="inlineStr">
        <is>
          <t>Одежда для детей</t>
        </is>
      </c>
      <c r="D131" s="2" t="inlineStr">
        <is>
          <t>Брюки детские для мальчиков</t>
        </is>
      </c>
      <c r="E131" s="3" t="inlineStr">
        <is>
          <t>435 Брюки спортивные утепленные для мальчиков</t>
        </is>
      </c>
      <c r="F131" s="2" t="inlineStr">
        <is>
          <t>весна, осень, зима</t>
        </is>
      </c>
      <c r="G131" s="3" t="inlineStr">
        <is>
          <t>Kari KIDS</t>
        </is>
      </c>
      <c r="H131" s="2" t="inlineStr">
        <is>
          <t>Зиннуров Ильнур</t>
        </is>
      </c>
      <c r="J131" s="3" t="inlineStr">
        <is>
          <t>2026SS</t>
        </is>
      </c>
      <c r="K131" s="3" t="n">
        <v>47168</v>
      </c>
      <c r="L131" s="3" t="n">
        <v>3874</v>
      </c>
      <c r="M131" s="3" t="n">
        <v>57</v>
      </c>
      <c r="N131" s="4">
        <f>IFERROR(L131/K131,0)</f>
        <v/>
      </c>
      <c r="O131" s="4">
        <f>IFERROR(M131/L131,0)</f>
        <v/>
      </c>
      <c r="P131" t="n">
        <v>307</v>
      </c>
      <c r="Q131" s="5" t="n">
        <v>1</v>
      </c>
      <c r="R131" s="7" t="n">
        <v>1</v>
      </c>
      <c r="S131">
        <f>IF(OR(N131&lt;$T$1*0.5,O131&lt;$U$1*0.5),"код для проверки","нормальный код")</f>
        <v/>
      </c>
      <c r="T131">
        <f>IF(N131&lt;$T$1*0.5,"Низшая четверть",IF(N131&lt;$T$1,"Вторая четверть","Больше половины"))</f>
        <v/>
      </c>
      <c r="U131">
        <f>IF(O131&lt;$U$1*0.5,"Низшая четверть",IF(O131&lt;$U$1,"Вторая четверть","Больше половины"))</f>
        <v/>
      </c>
      <c r="V131">
        <f>IF(OR(N131&lt;SUMIFS(L:L,R:R,1,E:E,E131)/SUMIFS(K:K,R:R,1,E:E,E131)*0.5,O131&lt;SUMIFS(M:M,R:R,1,E:E,E131)/SUMIFS(L:L,R:R,1,E:E,E131)*0.5),"код для проверки","нормальный код")</f>
        <v/>
      </c>
      <c r="W131">
        <f>IF(N131&lt;SUMIFS(L:L,R:R,1,E:E,E131)/SUMIFS(K:K,R:R,1,E:E,E131)*0.5,"Низшая четверть",IF(N131&lt;SUMIFS(L:L,R:R,1,E:E,E131)/SUMIFS(K:K,R:R,1,E:E,E131),"Вторая четверть","Больше половины"))</f>
        <v/>
      </c>
      <c r="X131">
        <f>IF(O131&lt;SUMIFS(M:M,R:R,1,E:E,E131)/SUMIFS(L:L,R:R,1,E:E,E131)*0.5,"Низшая четверть",IF(O131&lt;SUMIFS(M:M,R:R,1,E:E,E131)/SUMIFS(L:L,R:R,1,E:E,E131),"Вторая четверть","Больше половины"))</f>
        <v/>
      </c>
      <c r="Y131" t="n">
        <v>10</v>
      </c>
    </row>
    <row r="132">
      <c r="A132" s="1" t="inlineStr">
        <is>
          <t>18100230</t>
        </is>
      </c>
      <c r="B132" s="2" t="inlineStr">
        <is>
          <t>710160919</t>
        </is>
      </c>
      <c r="C132" s="3" t="inlineStr">
        <is>
          <t>Одежда для детей</t>
        </is>
      </c>
      <c r="D132" s="2" t="inlineStr">
        <is>
          <t>Джинсы детские для девочек</t>
        </is>
      </c>
      <c r="E132" s="3" t="inlineStr">
        <is>
          <t>181 Джинсы детские для девочек</t>
        </is>
      </c>
      <c r="F132" s="2" t="inlineStr">
        <is>
          <t>всесезонный</t>
        </is>
      </c>
      <c r="G132" s="3" t="inlineStr">
        <is>
          <t>Kari KIDS</t>
        </is>
      </c>
      <c r="H132" s="2" t="inlineStr">
        <is>
          <t>Зиннуров Ильнур</t>
        </is>
      </c>
      <c r="J132" s="3" t="inlineStr">
        <is>
          <t>2026SS</t>
        </is>
      </c>
      <c r="K132" s="3" t="n">
        <v>46605</v>
      </c>
      <c r="L132" s="3" t="n">
        <v>3128</v>
      </c>
      <c r="M132" s="3" t="n">
        <v>27</v>
      </c>
      <c r="N132" s="4">
        <f>IFERROR(L132/K132,0)</f>
        <v/>
      </c>
      <c r="O132" s="4">
        <f>IFERROR(M132/L132,0)</f>
        <v/>
      </c>
      <c r="P132" t="n">
        <v>379</v>
      </c>
      <c r="Q132" s="5" t="n">
        <v>1</v>
      </c>
      <c r="R132" s="7" t="n">
        <v>1</v>
      </c>
      <c r="S132">
        <f>IF(OR(N132&lt;$T$1*0.5,O132&lt;$U$1*0.5),"код для проверки","нормальный код")</f>
        <v/>
      </c>
      <c r="T132">
        <f>IF(N132&lt;$T$1*0.5,"Низшая четверть",IF(N132&lt;$T$1,"Вторая четверть","Больше половины"))</f>
        <v/>
      </c>
      <c r="U132">
        <f>IF(O132&lt;$U$1*0.5,"Низшая четверть",IF(O132&lt;$U$1,"Вторая четверть","Больше половины"))</f>
        <v/>
      </c>
      <c r="V132">
        <f>IF(OR(N132&lt;SUMIFS(L:L,R:R,1,E:E,E132)/SUMIFS(K:K,R:R,1,E:E,E132)*0.5,O132&lt;SUMIFS(M:M,R:R,1,E:E,E132)/SUMIFS(L:L,R:R,1,E:E,E132)*0.5),"код для проверки","нормальный код")</f>
        <v/>
      </c>
      <c r="W132">
        <f>IF(N132&lt;SUMIFS(L:L,R:R,1,E:E,E132)/SUMIFS(K:K,R:R,1,E:E,E132)*0.5,"Низшая четверть",IF(N132&lt;SUMIFS(L:L,R:R,1,E:E,E132)/SUMIFS(K:K,R:R,1,E:E,E132),"Вторая четверть","Больше половины"))</f>
        <v/>
      </c>
      <c r="X132">
        <f>IF(O132&lt;SUMIFS(M:M,R:R,1,E:E,E132)/SUMIFS(L:L,R:R,1,E:E,E132)*0.5,"Низшая четверть",IF(O132&lt;SUMIFS(M:M,R:R,1,E:E,E132)/SUMIFS(L:L,R:R,1,E:E,E132),"Вторая четверть","Больше половины"))</f>
        <v/>
      </c>
      <c r="Y132" t="n">
        <v>19</v>
      </c>
    </row>
    <row r="133">
      <c r="A133" s="1" t="inlineStr">
        <is>
          <t>a8500010</t>
        </is>
      </c>
      <c r="B133" s="2" t="inlineStr">
        <is>
          <t>879308876</t>
        </is>
      </c>
      <c r="C133" s="3" t="inlineStr">
        <is>
          <t>Одежда для детей</t>
        </is>
      </c>
      <c r="D133" s="2" t="inlineStr">
        <is>
          <t>Свитера детские для девочек</t>
        </is>
      </c>
      <c r="E133" s="3" t="inlineStr">
        <is>
          <t>a85 Толстовка-бомбер утепленная для девочек</t>
        </is>
      </c>
      <c r="F133" s="2" t="inlineStr">
        <is>
          <t>весна, осень, зима</t>
        </is>
      </c>
      <c r="G133" s="3" t="inlineStr">
        <is>
          <t>kari</t>
        </is>
      </c>
      <c r="H133" s="2" t="inlineStr">
        <is>
          <t>Зиннуров Ильнур</t>
        </is>
      </c>
      <c r="J133" s="3" t="inlineStr">
        <is>
          <t>2026SS</t>
        </is>
      </c>
      <c r="K133" s="3" t="n">
        <v>46362</v>
      </c>
      <c r="L133" s="3" t="n">
        <v>3513</v>
      </c>
      <c r="M133" s="3" t="n">
        <v>65</v>
      </c>
      <c r="N133" s="4">
        <f>IFERROR(L133/K133,0)</f>
        <v/>
      </c>
      <c r="O133" s="4">
        <f>IFERROR(M133/L133,0)</f>
        <v/>
      </c>
      <c r="P133" t="n">
        <v>129</v>
      </c>
      <c r="Q133" s="5" t="n">
        <v>1</v>
      </c>
      <c r="R133" s="7" t="n">
        <v>1</v>
      </c>
      <c r="S133">
        <f>IF(OR(N133&lt;$T$1*0.5,O133&lt;$U$1*0.5),"код для проверки","нормальный код")</f>
        <v/>
      </c>
      <c r="T133">
        <f>IF(N133&lt;$T$1*0.5,"Низшая четверть",IF(N133&lt;$T$1,"Вторая четверть","Больше половины"))</f>
        <v/>
      </c>
      <c r="U133">
        <f>IF(O133&lt;$U$1*0.5,"Низшая четверть",IF(O133&lt;$U$1,"Вторая четверть","Больше половины"))</f>
        <v/>
      </c>
      <c r="V133">
        <f>IF(OR(N133&lt;SUMIFS(L:L,R:R,1,E:E,E133)/SUMIFS(K:K,R:R,1,E:E,E133)*0.5,O133&lt;SUMIFS(M:M,R:R,1,E:E,E133)/SUMIFS(L:L,R:R,1,E:E,E133)*0.5),"код для проверки","нормальный код")</f>
        <v/>
      </c>
      <c r="W133">
        <f>IF(N133&lt;SUMIFS(L:L,R:R,1,E:E,E133)/SUMIFS(K:K,R:R,1,E:E,E133)*0.5,"Низшая четверть",IF(N133&lt;SUMIFS(L:L,R:R,1,E:E,E133)/SUMIFS(K:K,R:R,1,E:E,E133),"Вторая четверть","Больше половины"))</f>
        <v/>
      </c>
      <c r="X133">
        <f>IF(O133&lt;SUMIFS(M:M,R:R,1,E:E,E133)/SUMIFS(L:L,R:R,1,E:E,E133)*0.5,"Низшая четверть",IF(O133&lt;SUMIFS(M:M,R:R,1,E:E,E133)/SUMIFS(L:L,R:R,1,E:E,E133),"Вторая четверть","Больше половины"))</f>
        <v/>
      </c>
      <c r="Y133" t="n">
        <v>16</v>
      </c>
    </row>
    <row r="134">
      <c r="A134" s="1" t="inlineStr">
        <is>
          <t>a7900020</t>
        </is>
      </c>
      <c r="B134" s="2" t="inlineStr">
        <is>
          <t>772972378</t>
        </is>
      </c>
      <c r="C134" s="3" t="inlineStr">
        <is>
          <t>Одежда для детей</t>
        </is>
      </c>
      <c r="D134" s="2" t="inlineStr">
        <is>
          <t>Свитера детские для мальчиков</t>
        </is>
      </c>
      <c r="E134" s="3" t="inlineStr">
        <is>
          <t>a79 Толстовка-бомбер утепленная для мальчиков</t>
        </is>
      </c>
      <c r="F134" s="2" t="inlineStr">
        <is>
          <t>весна, осень, зима</t>
        </is>
      </c>
      <c r="G134" s="3" t="inlineStr">
        <is>
          <t>kari</t>
        </is>
      </c>
      <c r="H134" s="2" t="inlineStr">
        <is>
          <t>Зиннуров Ильнур</t>
        </is>
      </c>
      <c r="J134" s="3" t="inlineStr">
        <is>
          <t>2026SS</t>
        </is>
      </c>
      <c r="K134" s="3" t="n">
        <v>45986</v>
      </c>
      <c r="L134" s="3" t="n">
        <v>4221</v>
      </c>
      <c r="M134" s="3" t="n">
        <v>90</v>
      </c>
      <c r="N134" s="4">
        <f>IFERROR(L134/K134,0)</f>
        <v/>
      </c>
      <c r="O134" s="4">
        <f>IFERROR(M134/L134,0)</f>
        <v/>
      </c>
      <c r="P134" t="n">
        <v>83</v>
      </c>
      <c r="Q134" s="5" t="n">
        <v>1</v>
      </c>
      <c r="R134" s="7" t="n">
        <v>1</v>
      </c>
      <c r="S134">
        <f>IF(OR(N134&lt;$T$1*0.5,O134&lt;$U$1*0.5),"код для проверки","нормальный код")</f>
        <v/>
      </c>
      <c r="T134">
        <f>IF(N134&lt;$T$1*0.5,"Низшая четверть",IF(N134&lt;$T$1,"Вторая четверть","Больше половины"))</f>
        <v/>
      </c>
      <c r="U134">
        <f>IF(O134&lt;$U$1*0.5,"Низшая четверть",IF(O134&lt;$U$1,"Вторая четверть","Больше половины"))</f>
        <v/>
      </c>
      <c r="V134">
        <f>IF(OR(N134&lt;SUMIFS(L:L,R:R,1,E:E,E134)/SUMIFS(K:K,R:R,1,E:E,E134)*0.5,O134&lt;SUMIFS(M:M,R:R,1,E:E,E134)/SUMIFS(L:L,R:R,1,E:E,E134)*0.5),"код для проверки","нормальный код")</f>
        <v/>
      </c>
      <c r="W134">
        <f>IF(N134&lt;SUMIFS(L:L,R:R,1,E:E,E134)/SUMIFS(K:K,R:R,1,E:E,E134)*0.5,"Низшая четверть",IF(N134&lt;SUMIFS(L:L,R:R,1,E:E,E134)/SUMIFS(K:K,R:R,1,E:E,E134),"Вторая четверть","Больше половины"))</f>
        <v/>
      </c>
      <c r="X134">
        <f>IF(O134&lt;SUMIFS(M:M,R:R,1,E:E,E134)/SUMIFS(L:L,R:R,1,E:E,E134)*0.5,"Низшая четверть",IF(O134&lt;SUMIFS(M:M,R:R,1,E:E,E134)/SUMIFS(L:L,R:R,1,E:E,E134),"Вторая четверть","Больше половины"))</f>
        <v/>
      </c>
      <c r="Y134" t="n">
        <v>23</v>
      </c>
    </row>
    <row r="135">
      <c r="A135" s="1" t="inlineStr">
        <is>
          <t>39300250</t>
        </is>
      </c>
      <c r="B135" s="2" t="inlineStr">
        <is>
          <t>18788099</t>
        </is>
      </c>
      <c r="C135" s="3" t="inlineStr">
        <is>
          <t>Одежда для детей</t>
        </is>
      </c>
      <c r="D135" s="2" t="inlineStr">
        <is>
          <t>Чулочные и носочные детские изделия для девочек</t>
        </is>
      </c>
      <c r="E135" s="3" t="inlineStr">
        <is>
          <t>393 Детские легинсы</t>
        </is>
      </c>
      <c r="F135" s="2" t="inlineStr">
        <is>
          <t>всесезонный</t>
        </is>
      </c>
      <c r="G135" s="3" t="inlineStr">
        <is>
          <t>Kari KIDS</t>
        </is>
      </c>
      <c r="H135" s="2" t="inlineStr">
        <is>
          <t>Зиннуров Ильнур</t>
        </is>
      </c>
      <c r="J135" s="3" t="inlineStr">
        <is>
          <t>2026SS</t>
        </is>
      </c>
      <c r="K135" s="3" t="n">
        <v>45794</v>
      </c>
      <c r="L135" s="3" t="n">
        <v>2874</v>
      </c>
      <c r="M135" s="3" t="n">
        <v>77</v>
      </c>
      <c r="N135" s="4">
        <f>IFERROR(L135/K135,0)</f>
        <v/>
      </c>
      <c r="O135" s="4">
        <f>IFERROR(M135/L135,0)</f>
        <v/>
      </c>
      <c r="P135" t="n">
        <v>1303</v>
      </c>
      <c r="Q135" s="5" t="n">
        <v>1</v>
      </c>
      <c r="R135" s="7" t="n">
        <v>1</v>
      </c>
      <c r="S135">
        <f>IF(OR(N135&lt;$T$1*0.5,O135&lt;$U$1*0.5),"код для проверки","нормальный код")</f>
        <v/>
      </c>
      <c r="T135">
        <f>IF(N135&lt;$T$1*0.5,"Низшая четверть",IF(N135&lt;$T$1,"Вторая четверть","Больше половины"))</f>
        <v/>
      </c>
      <c r="U135">
        <f>IF(O135&lt;$U$1*0.5,"Низшая четверть",IF(O135&lt;$U$1,"Вторая четверть","Больше половины"))</f>
        <v/>
      </c>
      <c r="V135">
        <f>IF(OR(N135&lt;SUMIFS(L:L,R:R,1,E:E,E135)/SUMIFS(K:K,R:R,1,E:E,E135)*0.5,O135&lt;SUMIFS(M:M,R:R,1,E:E,E135)/SUMIFS(L:L,R:R,1,E:E,E135)*0.5),"код для проверки","нормальный код")</f>
        <v/>
      </c>
      <c r="W135">
        <f>IF(N135&lt;SUMIFS(L:L,R:R,1,E:E,E135)/SUMIFS(K:K,R:R,1,E:E,E135)*0.5,"Низшая четверть",IF(N135&lt;SUMIFS(L:L,R:R,1,E:E,E135)/SUMIFS(K:K,R:R,1,E:E,E135),"Вторая четверть","Больше половины"))</f>
        <v/>
      </c>
      <c r="X135">
        <f>IF(O135&lt;SUMIFS(M:M,R:R,1,E:E,E135)/SUMIFS(L:L,R:R,1,E:E,E135)*0.5,"Низшая четверть",IF(O135&lt;SUMIFS(M:M,R:R,1,E:E,E135)/SUMIFS(L:L,R:R,1,E:E,E135),"Вторая четверть","Больше половины"))</f>
        <v/>
      </c>
      <c r="Y135" t="n">
        <v>8</v>
      </c>
    </row>
    <row r="136">
      <c r="A136" s="1" t="inlineStr">
        <is>
          <t>30200330</t>
        </is>
      </c>
      <c r="B136" s="2" t="inlineStr">
        <is>
          <t>788608489</t>
        </is>
      </c>
      <c r="C136" s="3" t="inlineStr">
        <is>
          <t>Одежда для детей</t>
        </is>
      </c>
      <c r="D136" s="2" t="inlineStr">
        <is>
          <t>Платья, майки, футболки детские для девочек</t>
        </is>
      </c>
      <c r="E136" s="3" t="inlineStr">
        <is>
          <t>302 Юбка детская для девочек</t>
        </is>
      </c>
      <c r="F136" s="2" t="inlineStr">
        <is>
          <t>всесезонный</t>
        </is>
      </c>
      <c r="G136" s="3" t="inlineStr">
        <is>
          <t>kari</t>
        </is>
      </c>
      <c r="H136" s="2" t="inlineStr">
        <is>
          <t>Зиннуров Ильнур</t>
        </is>
      </c>
      <c r="J136" s="3" t="inlineStr">
        <is>
          <t>2026SS</t>
        </is>
      </c>
      <c r="K136" s="3" t="n">
        <v>45004</v>
      </c>
      <c r="L136" s="3" t="n">
        <v>2437</v>
      </c>
      <c r="M136" s="3" t="n">
        <v>56</v>
      </c>
      <c r="N136" s="4">
        <f>IFERROR(L136/K136,0)</f>
        <v/>
      </c>
      <c r="O136" s="4">
        <f>IFERROR(M136/L136,0)</f>
        <v/>
      </c>
      <c r="P136" t="n">
        <v>672</v>
      </c>
      <c r="Q136" s="5" t="n">
        <v>1</v>
      </c>
      <c r="R136" s="7" t="n">
        <v>1</v>
      </c>
      <c r="S136">
        <f>IF(OR(N136&lt;$T$1*0.5,O136&lt;$U$1*0.5),"код для проверки","нормальный код")</f>
        <v/>
      </c>
      <c r="T136">
        <f>IF(N136&lt;$T$1*0.5,"Низшая четверть",IF(N136&lt;$T$1,"Вторая четверть","Больше половины"))</f>
        <v/>
      </c>
      <c r="U136">
        <f>IF(O136&lt;$U$1*0.5,"Низшая четверть",IF(O136&lt;$U$1,"Вторая четверть","Больше половины"))</f>
        <v/>
      </c>
      <c r="V136">
        <f>IF(OR(N136&lt;SUMIFS(L:L,R:R,1,E:E,E136)/SUMIFS(K:K,R:R,1,E:E,E136)*0.5,O136&lt;SUMIFS(M:M,R:R,1,E:E,E136)/SUMIFS(L:L,R:R,1,E:E,E136)*0.5),"код для проверки","нормальный код")</f>
        <v/>
      </c>
      <c r="W136">
        <f>IF(N136&lt;SUMIFS(L:L,R:R,1,E:E,E136)/SUMIFS(K:K,R:R,1,E:E,E136)*0.5,"Низшая четверть",IF(N136&lt;SUMIFS(L:L,R:R,1,E:E,E136)/SUMIFS(K:K,R:R,1,E:E,E136),"Вторая четверть","Больше половины"))</f>
        <v/>
      </c>
      <c r="X136">
        <f>IF(O136&lt;SUMIFS(M:M,R:R,1,E:E,E136)/SUMIFS(L:L,R:R,1,E:E,E136)*0.5,"Низшая четверть",IF(O136&lt;SUMIFS(M:M,R:R,1,E:E,E136)/SUMIFS(L:L,R:R,1,E:E,E136),"Вторая четверть","Больше половины"))</f>
        <v/>
      </c>
      <c r="Y136" t="n">
        <v>16</v>
      </c>
    </row>
    <row r="137">
      <c r="A137" s="1" t="inlineStr">
        <is>
          <t>18108100</t>
        </is>
      </c>
      <c r="B137" s="2" t="inlineStr">
        <is>
          <t>316075984</t>
        </is>
      </c>
      <c r="C137" s="3" t="inlineStr">
        <is>
          <t>Одежда для детей</t>
        </is>
      </c>
      <c r="D137" s="2" t="inlineStr">
        <is>
          <t>Джинсы детские для девочек</t>
        </is>
      </c>
      <c r="E137" s="3" t="inlineStr">
        <is>
          <t>181 Джинсы детские для девочек</t>
        </is>
      </c>
      <c r="F137" s="2" t="inlineStr">
        <is>
          <t>всесезонный</t>
        </is>
      </c>
      <c r="G137" s="3" t="inlineStr">
        <is>
          <t>kari</t>
        </is>
      </c>
      <c r="H137" s="2" t="inlineStr">
        <is>
          <t>Зиннуров Ильнур</t>
        </is>
      </c>
      <c r="J137" s="3" t="inlineStr">
        <is>
          <t>2026SS</t>
        </is>
      </c>
      <c r="K137" s="3" t="n">
        <v>43667</v>
      </c>
      <c r="L137" s="3" t="n">
        <v>3469</v>
      </c>
      <c r="M137" s="3" t="n">
        <v>79</v>
      </c>
      <c r="N137" s="4">
        <f>IFERROR(L137/K137,0)</f>
        <v/>
      </c>
      <c r="O137" s="4">
        <f>IFERROR(M137/L137,0)</f>
        <v/>
      </c>
      <c r="P137" t="n">
        <v>1666</v>
      </c>
      <c r="Q137" s="5" t="n">
        <v>1</v>
      </c>
      <c r="R137" s="7" t="n">
        <v>1</v>
      </c>
      <c r="S137">
        <f>IF(OR(N137&lt;$T$1*0.5,O137&lt;$U$1*0.5),"код для проверки","нормальный код")</f>
        <v/>
      </c>
      <c r="T137">
        <f>IF(N137&lt;$T$1*0.5,"Низшая четверть",IF(N137&lt;$T$1,"Вторая четверть","Больше половины"))</f>
        <v/>
      </c>
      <c r="U137">
        <f>IF(O137&lt;$U$1*0.5,"Низшая четверть",IF(O137&lt;$U$1,"Вторая четверть","Больше половины"))</f>
        <v/>
      </c>
      <c r="V137">
        <f>IF(OR(N137&lt;SUMIFS(L:L,R:R,1,E:E,E137)/SUMIFS(K:K,R:R,1,E:E,E137)*0.5,O137&lt;SUMIFS(M:M,R:R,1,E:E,E137)/SUMIFS(L:L,R:R,1,E:E,E137)*0.5),"код для проверки","нормальный код")</f>
        <v/>
      </c>
      <c r="W137">
        <f>IF(N137&lt;SUMIFS(L:L,R:R,1,E:E,E137)/SUMIFS(K:K,R:R,1,E:E,E137)*0.5,"Низшая четверть",IF(N137&lt;SUMIFS(L:L,R:R,1,E:E,E137)/SUMIFS(K:K,R:R,1,E:E,E137),"Вторая четверть","Больше половины"))</f>
        <v/>
      </c>
      <c r="X137">
        <f>IF(O137&lt;SUMIFS(M:M,R:R,1,E:E,E137)/SUMIFS(L:L,R:R,1,E:E,E137)*0.5,"Низшая четверть",IF(O137&lt;SUMIFS(M:M,R:R,1,E:E,E137)/SUMIFS(L:L,R:R,1,E:E,E137),"Вторая четверть","Больше половины"))</f>
        <v/>
      </c>
      <c r="Y137" t="n">
        <v>12</v>
      </c>
    </row>
    <row r="138">
      <c r="A138" s="1" t="inlineStr">
        <is>
          <t>55300070</t>
        </is>
      </c>
      <c r="B138" s="2" t="inlineStr">
        <is>
          <t>720809019</t>
        </is>
      </c>
      <c r="C138" s="3" t="inlineStr">
        <is>
          <t>Одежда для детей</t>
        </is>
      </c>
      <c r="D138" s="2" t="inlineStr">
        <is>
          <t>Брюки детские для мальчиков</t>
        </is>
      </c>
      <c r="E138" s="3" t="inlineStr">
        <is>
          <t>553 Брюки детские для мальчиков</t>
        </is>
      </c>
      <c r="F138" s="2" t="inlineStr">
        <is>
          <t>всесезонный</t>
        </is>
      </c>
      <c r="G138" s="3" t="inlineStr">
        <is>
          <t>kari</t>
        </is>
      </c>
      <c r="H138" s="2" t="inlineStr">
        <is>
          <t>Зиннуров Ильнур</t>
        </is>
      </c>
      <c r="J138" s="3" t="inlineStr">
        <is>
          <t>2026SS</t>
        </is>
      </c>
      <c r="K138" s="3" t="n">
        <v>43354</v>
      </c>
      <c r="L138" s="3" t="n">
        <v>3099</v>
      </c>
      <c r="M138" s="3" t="n">
        <v>75</v>
      </c>
      <c r="N138" s="4">
        <f>IFERROR(L138/K138,0)</f>
        <v/>
      </c>
      <c r="O138" s="4">
        <f>IFERROR(M138/L138,0)</f>
        <v/>
      </c>
      <c r="P138" t="n">
        <v>417</v>
      </c>
      <c r="Q138" s="5" t="n">
        <v>1</v>
      </c>
      <c r="R138" s="7" t="n">
        <v>1</v>
      </c>
      <c r="S138">
        <f>IF(OR(N138&lt;$T$1*0.5,O138&lt;$U$1*0.5),"код для проверки","нормальный код")</f>
        <v/>
      </c>
      <c r="T138">
        <f>IF(N138&lt;$T$1*0.5,"Низшая четверть",IF(N138&lt;$T$1,"Вторая четверть","Больше половины"))</f>
        <v/>
      </c>
      <c r="U138">
        <f>IF(O138&lt;$U$1*0.5,"Низшая четверть",IF(O138&lt;$U$1,"Вторая четверть","Больше половины"))</f>
        <v/>
      </c>
      <c r="V138">
        <f>IF(OR(N138&lt;SUMIFS(L:L,R:R,1,E:E,E138)/SUMIFS(K:K,R:R,1,E:E,E138)*0.5,O138&lt;SUMIFS(M:M,R:R,1,E:E,E138)/SUMIFS(L:L,R:R,1,E:E,E138)*0.5),"код для проверки","нормальный код")</f>
        <v/>
      </c>
      <c r="W138">
        <f>IF(N138&lt;SUMIFS(L:L,R:R,1,E:E,E138)/SUMIFS(K:K,R:R,1,E:E,E138)*0.5,"Низшая четверть",IF(N138&lt;SUMIFS(L:L,R:R,1,E:E,E138)/SUMIFS(K:K,R:R,1,E:E,E138),"Вторая четверть","Больше половины"))</f>
        <v/>
      </c>
      <c r="X138">
        <f>IF(O138&lt;SUMIFS(M:M,R:R,1,E:E,E138)/SUMIFS(L:L,R:R,1,E:E,E138)*0.5,"Низшая четверть",IF(O138&lt;SUMIFS(M:M,R:R,1,E:E,E138)/SUMIFS(L:L,R:R,1,E:E,E138),"Вторая четверть","Больше половины"))</f>
        <v/>
      </c>
      <c r="Y138" t="n">
        <v>21</v>
      </c>
    </row>
    <row r="139">
      <c r="A139" s="1" t="inlineStr">
        <is>
          <t>144080D0</t>
        </is>
      </c>
      <c r="B139" s="2" t="inlineStr">
        <is>
          <t>355550919</t>
        </is>
      </c>
      <c r="C139" s="3" t="inlineStr">
        <is>
          <t>Одежда и аксессуары</t>
        </is>
      </c>
      <c r="D139" s="2" t="inlineStr">
        <is>
          <t>Шарфы женские</t>
        </is>
      </c>
      <c r="E139" s="3" t="inlineStr">
        <is>
          <t>144 Шарф летний женский</t>
        </is>
      </c>
      <c r="F139" s="2" t="inlineStr">
        <is>
          <t>весна, лето</t>
        </is>
      </c>
      <c r="G139" s="3" t="inlineStr">
        <is>
          <t>kari</t>
        </is>
      </c>
      <c r="H139" s="2" t="inlineStr">
        <is>
          <t>Никонорова Алина</t>
        </is>
      </c>
      <c r="J139" s="3" t="inlineStr">
        <is>
          <t>2026SS</t>
        </is>
      </c>
      <c r="K139" s="3" t="n">
        <v>42804</v>
      </c>
      <c r="L139" s="3" t="n">
        <v>11817</v>
      </c>
      <c r="M139" s="3" t="n">
        <v>133</v>
      </c>
      <c r="N139" s="4">
        <f>IFERROR(L139/K139,0)</f>
        <v/>
      </c>
      <c r="O139" s="4">
        <f>IFERROR(M139/L139,0)</f>
        <v/>
      </c>
      <c r="P139" t="n">
        <v>422</v>
      </c>
      <c r="Q139" s="5" t="n">
        <v>1</v>
      </c>
      <c r="R139" s="7" t="n">
        <v>1</v>
      </c>
      <c r="S139">
        <f>IF(OR(N139&lt;$T$1*0.5,O139&lt;$U$1*0.5),"код для проверки","нормальный код")</f>
        <v/>
      </c>
      <c r="T139">
        <f>IF(N139&lt;$T$1*0.5,"Низшая четверть",IF(N139&lt;$T$1,"Вторая четверть","Больше половины"))</f>
        <v/>
      </c>
      <c r="U139">
        <f>IF(O139&lt;$U$1*0.5,"Низшая четверть",IF(O139&lt;$U$1,"Вторая четверть","Больше половины"))</f>
        <v/>
      </c>
      <c r="V139">
        <f>IF(OR(N139&lt;SUMIFS(L:L,R:R,1,E:E,E139)/SUMIFS(K:K,R:R,1,E:E,E139)*0.5,O139&lt;SUMIFS(M:M,R:R,1,E:E,E139)/SUMIFS(L:L,R:R,1,E:E,E139)*0.5),"код для проверки","нормальный код")</f>
        <v/>
      </c>
      <c r="W139">
        <f>IF(N139&lt;SUMIFS(L:L,R:R,1,E:E,E139)/SUMIFS(K:K,R:R,1,E:E,E139)*0.5,"Низшая четверть",IF(N139&lt;SUMIFS(L:L,R:R,1,E:E,E139)/SUMIFS(K:K,R:R,1,E:E,E139),"Вторая четверть","Больше половины"))</f>
        <v/>
      </c>
      <c r="X139">
        <f>IF(O139&lt;SUMIFS(M:M,R:R,1,E:E,E139)/SUMIFS(L:L,R:R,1,E:E,E139)*0.5,"Низшая четверть",IF(O139&lt;SUMIFS(M:M,R:R,1,E:E,E139)/SUMIFS(L:L,R:R,1,E:E,E139),"Вторая четверть","Больше половины"))</f>
        <v/>
      </c>
      <c r="Y139" t="n">
        <v>16</v>
      </c>
    </row>
    <row r="140">
      <c r="A140" s="1" t="inlineStr">
        <is>
          <t>14400120</t>
        </is>
      </c>
      <c r="B140" s="2" t="inlineStr">
        <is>
          <t>759892158</t>
        </is>
      </c>
      <c r="C140" s="3" t="inlineStr">
        <is>
          <t>Одежда и аксессуары</t>
        </is>
      </c>
      <c r="D140" s="2" t="inlineStr">
        <is>
          <t>Шарфы женские</t>
        </is>
      </c>
      <c r="E140" s="3" t="inlineStr">
        <is>
          <t>144 Шарф летний женский</t>
        </is>
      </c>
      <c r="F140" s="2" t="inlineStr">
        <is>
          <t>весна, лето</t>
        </is>
      </c>
      <c r="G140" s="3" t="inlineStr">
        <is>
          <t>kari</t>
        </is>
      </c>
      <c r="H140" s="2" t="inlineStr">
        <is>
          <t>Никонорова Алина</t>
        </is>
      </c>
      <c r="J140" s="3" t="inlineStr">
        <is>
          <t>2026SS</t>
        </is>
      </c>
      <c r="K140" s="3" t="n">
        <v>42731</v>
      </c>
      <c r="L140" s="3" t="n">
        <v>13978</v>
      </c>
      <c r="M140" s="3" t="n">
        <v>181</v>
      </c>
      <c r="N140" s="4">
        <f>IFERROR(L140/K140,0)</f>
        <v/>
      </c>
      <c r="O140" s="4">
        <f>IFERROR(M140/L140,0)</f>
        <v/>
      </c>
      <c r="P140" t="n">
        <v>415</v>
      </c>
      <c r="Q140" s="5" t="n">
        <v>1</v>
      </c>
      <c r="R140" s="7" t="n">
        <v>1</v>
      </c>
      <c r="S140">
        <f>IF(OR(N140&lt;$T$1*0.5,O140&lt;$U$1*0.5),"код для проверки","нормальный код")</f>
        <v/>
      </c>
      <c r="T140">
        <f>IF(N140&lt;$T$1*0.5,"Низшая четверть",IF(N140&lt;$T$1,"Вторая четверть","Больше половины"))</f>
        <v/>
      </c>
      <c r="U140">
        <f>IF(O140&lt;$U$1*0.5,"Низшая четверть",IF(O140&lt;$U$1,"Вторая четверть","Больше половины"))</f>
        <v/>
      </c>
      <c r="V140">
        <f>IF(OR(N140&lt;SUMIFS(L:L,R:R,1,E:E,E140)/SUMIFS(K:K,R:R,1,E:E,E140)*0.5,O140&lt;SUMIFS(M:M,R:R,1,E:E,E140)/SUMIFS(L:L,R:R,1,E:E,E140)*0.5),"код для проверки","нормальный код")</f>
        <v/>
      </c>
      <c r="W140">
        <f>IF(N140&lt;SUMIFS(L:L,R:R,1,E:E,E140)/SUMIFS(K:K,R:R,1,E:E,E140)*0.5,"Низшая четверть",IF(N140&lt;SUMIFS(L:L,R:R,1,E:E,E140)/SUMIFS(K:K,R:R,1,E:E,E140),"Вторая четверть","Больше половины"))</f>
        <v/>
      </c>
      <c r="X140">
        <f>IF(O140&lt;SUMIFS(M:M,R:R,1,E:E,E140)/SUMIFS(L:L,R:R,1,E:E,E140)*0.5,"Низшая четверть",IF(O140&lt;SUMIFS(M:M,R:R,1,E:E,E140)/SUMIFS(L:L,R:R,1,E:E,E140),"Вторая четверть","Больше половины"))</f>
        <v/>
      </c>
      <c r="Y140" t="n">
        <v>15</v>
      </c>
    </row>
    <row r="141">
      <c r="A141" s="1" t="inlineStr">
        <is>
          <t>14400060</t>
        </is>
      </c>
      <c r="B141" s="2" t="inlineStr">
        <is>
          <t>722467593</t>
        </is>
      </c>
      <c r="C141" s="3" t="inlineStr">
        <is>
          <t>Одежда и аксессуары</t>
        </is>
      </c>
      <c r="D141" s="2" t="inlineStr">
        <is>
          <t>Шарфы женские</t>
        </is>
      </c>
      <c r="E141" s="3" t="inlineStr">
        <is>
          <t>144 Шарф летний женский</t>
        </is>
      </c>
      <c r="F141" s="2" t="inlineStr">
        <is>
          <t>весна, лето</t>
        </is>
      </c>
      <c r="G141" s="3" t="inlineStr">
        <is>
          <t>kari</t>
        </is>
      </c>
      <c r="H141" s="2" t="inlineStr">
        <is>
          <t>Никонорова Алина</t>
        </is>
      </c>
      <c r="J141" s="3" t="inlineStr">
        <is>
          <t>2026SS</t>
        </is>
      </c>
      <c r="K141" s="3" t="n">
        <v>42432</v>
      </c>
      <c r="L141" s="3" t="n">
        <v>17572</v>
      </c>
      <c r="M141" s="3" t="n">
        <v>133</v>
      </c>
      <c r="N141" s="4">
        <f>IFERROR(L141/K141,0)</f>
        <v/>
      </c>
      <c r="O141" s="4">
        <f>IFERROR(M141/L141,0)</f>
        <v/>
      </c>
      <c r="P141" t="n">
        <v>492</v>
      </c>
      <c r="Q141" s="5" t="n">
        <v>1</v>
      </c>
      <c r="R141" s="7" t="n">
        <v>1</v>
      </c>
      <c r="S141">
        <f>IF(OR(N141&lt;$T$1*0.5,O141&lt;$U$1*0.5),"код для проверки","нормальный код")</f>
        <v/>
      </c>
      <c r="T141">
        <f>IF(N141&lt;$T$1*0.5,"Низшая четверть",IF(N141&lt;$T$1,"Вторая четверть","Больше половины"))</f>
        <v/>
      </c>
      <c r="U141">
        <f>IF(O141&lt;$U$1*0.5,"Низшая четверть",IF(O141&lt;$U$1,"Вторая четверть","Больше половины"))</f>
        <v/>
      </c>
      <c r="V141">
        <f>IF(OR(N141&lt;SUMIFS(L:L,R:R,1,E:E,E141)/SUMIFS(K:K,R:R,1,E:E,E141)*0.5,O141&lt;SUMIFS(M:M,R:R,1,E:E,E141)/SUMIFS(L:L,R:R,1,E:E,E141)*0.5),"код для проверки","нормальный код")</f>
        <v/>
      </c>
      <c r="W141">
        <f>IF(N141&lt;SUMIFS(L:L,R:R,1,E:E,E141)/SUMIFS(K:K,R:R,1,E:E,E141)*0.5,"Низшая четверть",IF(N141&lt;SUMIFS(L:L,R:R,1,E:E,E141)/SUMIFS(K:K,R:R,1,E:E,E141),"Вторая четверть","Больше половины"))</f>
        <v/>
      </c>
      <c r="X141">
        <f>IF(O141&lt;SUMIFS(M:M,R:R,1,E:E,E141)/SUMIFS(L:L,R:R,1,E:E,E141)*0.5,"Низшая четверть",IF(O141&lt;SUMIFS(M:M,R:R,1,E:E,E141)/SUMIFS(L:L,R:R,1,E:E,E141),"Вторая четверть","Больше половины"))</f>
        <v/>
      </c>
      <c r="Y141" t="n">
        <v>12</v>
      </c>
    </row>
    <row r="142">
      <c r="A142" s="1" t="inlineStr">
        <is>
          <t>18400060</t>
        </is>
      </c>
      <c r="B142" s="2" t="inlineStr">
        <is>
          <t>766389232</t>
        </is>
      </c>
      <c r="C142" s="3" t="inlineStr">
        <is>
          <t>Одежда и аксессуары</t>
        </is>
      </c>
      <c r="D142" s="2" t="inlineStr">
        <is>
          <t>Майки и платья женские</t>
        </is>
      </c>
      <c r="E142" s="3" t="inlineStr">
        <is>
          <t>184 Женская футболка</t>
        </is>
      </c>
      <c r="F142" s="2" t="inlineStr">
        <is>
          <t>всесезонный</t>
        </is>
      </c>
      <c r="G142" s="3" t="inlineStr">
        <is>
          <t>kari</t>
        </is>
      </c>
      <c r="H142" s="2" t="inlineStr">
        <is>
          <t>Зиннуров Ильнур</t>
        </is>
      </c>
      <c r="J142" s="3" t="inlineStr">
        <is>
          <t>2026SS</t>
        </is>
      </c>
      <c r="K142" s="3" t="n">
        <v>41735</v>
      </c>
      <c r="L142" s="3" t="n">
        <v>4876</v>
      </c>
      <c r="M142" s="3" t="n">
        <v>67</v>
      </c>
      <c r="N142" s="4">
        <f>IFERROR(L142/K142,0)</f>
        <v/>
      </c>
      <c r="O142" s="4">
        <f>IFERROR(M142/L142,0)</f>
        <v/>
      </c>
      <c r="P142" t="n">
        <v>121</v>
      </c>
      <c r="Q142" s="5" t="n">
        <v>1</v>
      </c>
      <c r="R142" s="7" t="n">
        <v>1</v>
      </c>
      <c r="S142">
        <f>IF(OR(N142&lt;$T$1*0.5,O142&lt;$U$1*0.5),"код для проверки","нормальный код")</f>
        <v/>
      </c>
      <c r="T142">
        <f>IF(N142&lt;$T$1*0.5,"Низшая четверть",IF(N142&lt;$T$1,"Вторая четверть","Больше половины"))</f>
        <v/>
      </c>
      <c r="U142">
        <f>IF(O142&lt;$U$1*0.5,"Низшая четверть",IF(O142&lt;$U$1,"Вторая четверть","Больше половины"))</f>
        <v/>
      </c>
      <c r="V142">
        <f>IF(OR(N142&lt;SUMIFS(L:L,R:R,1,E:E,E142)/SUMIFS(K:K,R:R,1,E:E,E142)*0.5,O142&lt;SUMIFS(M:M,R:R,1,E:E,E142)/SUMIFS(L:L,R:R,1,E:E,E142)*0.5),"код для проверки","нормальный код")</f>
        <v/>
      </c>
      <c r="W142">
        <f>IF(N142&lt;SUMIFS(L:L,R:R,1,E:E,E142)/SUMIFS(K:K,R:R,1,E:E,E142)*0.5,"Низшая четверть",IF(N142&lt;SUMIFS(L:L,R:R,1,E:E,E142)/SUMIFS(K:K,R:R,1,E:E,E142),"Вторая четверть","Больше половины"))</f>
        <v/>
      </c>
      <c r="X142">
        <f>IF(O142&lt;SUMIFS(M:M,R:R,1,E:E,E142)/SUMIFS(L:L,R:R,1,E:E,E142)*0.5,"Низшая четверть",IF(O142&lt;SUMIFS(M:M,R:R,1,E:E,E142)/SUMIFS(L:L,R:R,1,E:E,E142),"Вторая четверть","Больше половины"))</f>
        <v/>
      </c>
      <c r="Y142" t="n">
        <v>17</v>
      </c>
    </row>
    <row r="143">
      <c r="A143" s="1" t="inlineStr">
        <is>
          <t>20100320</t>
        </is>
      </c>
      <c r="B143" s="2" t="inlineStr">
        <is>
          <t>881348977</t>
        </is>
      </c>
      <c r="C143" s="3" t="inlineStr">
        <is>
          <t>Одежда для детей</t>
        </is>
      </c>
      <c r="D143" s="2" t="inlineStr">
        <is>
          <t>Головные детские уборы для девочек</t>
        </is>
      </c>
      <c r="E143" s="3" t="inlineStr">
        <is>
          <t>201 Бейсболка детская для девочек</t>
        </is>
      </c>
      <c r="F143" s="2" t="inlineStr">
        <is>
          <t>весна, лето</t>
        </is>
      </c>
      <c r="G143" s="3" t="inlineStr">
        <is>
          <t>kari</t>
        </is>
      </c>
      <c r="H143" s="2" t="inlineStr">
        <is>
          <t>Никонорова Алина</t>
        </is>
      </c>
      <c r="J143" s="3" t="inlineStr">
        <is>
          <t>2026SS</t>
        </is>
      </c>
      <c r="K143" s="3" t="n">
        <v>41554</v>
      </c>
      <c r="L143" s="3" t="n">
        <v>3350</v>
      </c>
      <c r="M143" s="3" t="n">
        <v>134</v>
      </c>
      <c r="N143" s="4">
        <f>IFERROR(L143/K143,0)</f>
        <v/>
      </c>
      <c r="O143" s="4">
        <f>IFERROR(M143/L143,0)</f>
        <v/>
      </c>
      <c r="P143" t="n">
        <v>118</v>
      </c>
      <c r="Q143" s="5" t="n">
        <v>1</v>
      </c>
      <c r="R143" s="7" t="n">
        <v>1</v>
      </c>
      <c r="S143">
        <f>IF(OR(N143&lt;$T$1*0.5,O143&lt;$U$1*0.5),"код для проверки","нормальный код")</f>
        <v/>
      </c>
      <c r="T143">
        <f>IF(N143&lt;$T$1*0.5,"Низшая четверть",IF(N143&lt;$T$1,"Вторая четверть","Больше половины"))</f>
        <v/>
      </c>
      <c r="U143">
        <f>IF(O143&lt;$U$1*0.5,"Низшая четверть",IF(O143&lt;$U$1,"Вторая четверть","Больше половины"))</f>
        <v/>
      </c>
      <c r="V143">
        <f>IF(OR(N143&lt;SUMIFS(L:L,R:R,1,E:E,E143)/SUMIFS(K:K,R:R,1,E:E,E143)*0.5,O143&lt;SUMIFS(M:M,R:R,1,E:E,E143)/SUMIFS(L:L,R:R,1,E:E,E143)*0.5),"код для проверки","нормальный код")</f>
        <v/>
      </c>
      <c r="W143">
        <f>IF(N143&lt;SUMIFS(L:L,R:R,1,E:E,E143)/SUMIFS(K:K,R:R,1,E:E,E143)*0.5,"Низшая четверть",IF(N143&lt;SUMIFS(L:L,R:R,1,E:E,E143)/SUMIFS(K:K,R:R,1,E:E,E143),"Вторая четверть","Больше половины"))</f>
        <v/>
      </c>
      <c r="X143">
        <f>IF(O143&lt;SUMIFS(M:M,R:R,1,E:E,E143)/SUMIFS(L:L,R:R,1,E:E,E143)*0.5,"Низшая четверть",IF(O143&lt;SUMIFS(M:M,R:R,1,E:E,E143)/SUMIFS(L:L,R:R,1,E:E,E143),"Вторая четверть","Больше половины"))</f>
        <v/>
      </c>
      <c r="Y143" t="n">
        <v>9</v>
      </c>
    </row>
    <row r="144">
      <c r="A144" s="1" t="inlineStr">
        <is>
          <t>09400970</t>
        </is>
      </c>
      <c r="B144" s="2" t="inlineStr">
        <is>
          <t>773198223</t>
        </is>
      </c>
      <c r="C144" s="3" t="inlineStr">
        <is>
          <t>Одежда и аксессуары</t>
        </is>
      </c>
      <c r="D144" s="2" t="inlineStr">
        <is>
          <t>Купальники женские</t>
        </is>
      </c>
      <c r="E144" s="3" t="inlineStr">
        <is>
          <t>094 Купальник</t>
        </is>
      </c>
      <c r="F144" s="2" t="inlineStr">
        <is>
          <t>лето</t>
        </is>
      </c>
      <c r="G144" s="3" t="inlineStr">
        <is>
          <t>kari</t>
        </is>
      </c>
      <c r="H144" s="2" t="inlineStr">
        <is>
          <t>Никонорова Алина</t>
        </is>
      </c>
      <c r="J144" s="3" t="inlineStr">
        <is>
          <t>2026SS</t>
        </is>
      </c>
      <c r="K144" s="3" t="n">
        <v>41130</v>
      </c>
      <c r="L144" s="3" t="n">
        <v>16377</v>
      </c>
      <c r="M144" s="3" t="n">
        <v>226</v>
      </c>
      <c r="N144" s="4">
        <f>IFERROR(L144/K144,0)</f>
        <v/>
      </c>
      <c r="O144" s="4">
        <f>IFERROR(M144/L144,0)</f>
        <v/>
      </c>
      <c r="P144" t="n">
        <v>4012</v>
      </c>
      <c r="Q144" s="5" t="n">
        <v>0.6666666666666666</v>
      </c>
      <c r="R144" s="7" t="n">
        <v>1</v>
      </c>
      <c r="S144">
        <f>IF(OR(N144&lt;$T$1*0.5,O144&lt;$U$1*0.5),"код для проверки","нормальный код")</f>
        <v/>
      </c>
      <c r="T144">
        <f>IF(N144&lt;$T$1*0.5,"Низшая четверть",IF(N144&lt;$T$1,"Вторая четверть","Больше половины"))</f>
        <v/>
      </c>
      <c r="U144">
        <f>IF(O144&lt;$U$1*0.5,"Низшая четверть",IF(O144&lt;$U$1,"Вторая четверть","Больше половины"))</f>
        <v/>
      </c>
      <c r="V144">
        <f>IF(OR(N144&lt;SUMIFS(L:L,R:R,1,E:E,E144)/SUMIFS(K:K,R:R,1,E:E,E144)*0.5,O144&lt;SUMIFS(M:M,R:R,1,E:E,E144)/SUMIFS(L:L,R:R,1,E:E,E144)*0.5),"код для проверки","нормальный код")</f>
        <v/>
      </c>
      <c r="W144">
        <f>IF(N144&lt;SUMIFS(L:L,R:R,1,E:E,E144)/SUMIFS(K:K,R:R,1,E:E,E144)*0.5,"Низшая четверть",IF(N144&lt;SUMIFS(L:L,R:R,1,E:E,E144)/SUMIFS(K:K,R:R,1,E:E,E144),"Вторая четверть","Больше половины"))</f>
        <v/>
      </c>
      <c r="X144">
        <f>IF(O144&lt;SUMIFS(M:M,R:R,1,E:E,E144)/SUMIFS(L:L,R:R,1,E:E,E144)*0.5,"Низшая четверть",IF(O144&lt;SUMIFS(M:M,R:R,1,E:E,E144)/SUMIFS(L:L,R:R,1,E:E,E144),"Вторая четверть","Больше половины"))</f>
        <v/>
      </c>
      <c r="Y144" t="n">
        <v>25</v>
      </c>
    </row>
    <row r="145">
      <c r="A145" s="1" t="inlineStr">
        <is>
          <t>19308630</t>
        </is>
      </c>
      <c r="B145" s="2" t="inlineStr">
        <is>
          <t>341720415</t>
        </is>
      </c>
      <c r="C145" s="3" t="inlineStr">
        <is>
          <t>Одежда для детей</t>
        </is>
      </c>
      <c r="D145" s="2" t="inlineStr">
        <is>
          <t>Брюки детские для мальчиков</t>
        </is>
      </c>
      <c r="E145" s="3" t="inlineStr">
        <is>
          <t>193 Шорты детские для мальчиков</t>
        </is>
      </c>
      <c r="F145" s="2" t="inlineStr">
        <is>
          <t>лето</t>
        </is>
      </c>
      <c r="G145" s="3" t="inlineStr">
        <is>
          <t>kari</t>
        </is>
      </c>
      <c r="H145" s="2" t="inlineStr">
        <is>
          <t>Зиннуров Ильнур</t>
        </is>
      </c>
      <c r="J145" s="3" t="inlineStr">
        <is>
          <t>2026SS</t>
        </is>
      </c>
      <c r="K145" s="3" t="n">
        <v>41054</v>
      </c>
      <c r="L145" s="3" t="n">
        <v>2295</v>
      </c>
      <c r="M145" s="3" t="n">
        <v>108</v>
      </c>
      <c r="N145" s="4">
        <f>IFERROR(L145/K145,0)</f>
        <v/>
      </c>
      <c r="O145" s="4">
        <f>IFERROR(M145/L145,0)</f>
        <v/>
      </c>
      <c r="P145" t="n">
        <v>357</v>
      </c>
      <c r="Q145" s="5" t="n">
        <v>1</v>
      </c>
      <c r="R145" s="7" t="n">
        <v>1</v>
      </c>
      <c r="S145">
        <f>IF(OR(N145&lt;$T$1*0.5,O145&lt;$U$1*0.5),"код для проверки","нормальный код")</f>
        <v/>
      </c>
      <c r="T145">
        <f>IF(N145&lt;$T$1*0.5,"Низшая четверть",IF(N145&lt;$T$1,"Вторая четверть","Больше половины"))</f>
        <v/>
      </c>
      <c r="U145">
        <f>IF(O145&lt;$U$1*0.5,"Низшая четверть",IF(O145&lt;$U$1,"Вторая четверть","Больше половины"))</f>
        <v/>
      </c>
      <c r="V145">
        <f>IF(OR(N145&lt;SUMIFS(L:L,R:R,1,E:E,E145)/SUMIFS(K:K,R:R,1,E:E,E145)*0.5,O145&lt;SUMIFS(M:M,R:R,1,E:E,E145)/SUMIFS(L:L,R:R,1,E:E,E145)*0.5),"код для проверки","нормальный код")</f>
        <v/>
      </c>
      <c r="W145">
        <f>IF(N145&lt;SUMIFS(L:L,R:R,1,E:E,E145)/SUMIFS(K:K,R:R,1,E:E,E145)*0.5,"Низшая четверть",IF(N145&lt;SUMIFS(L:L,R:R,1,E:E,E145)/SUMIFS(K:K,R:R,1,E:E,E145),"Вторая четверть","Больше половины"))</f>
        <v/>
      </c>
      <c r="X145">
        <f>IF(O145&lt;SUMIFS(M:M,R:R,1,E:E,E145)/SUMIFS(L:L,R:R,1,E:E,E145)*0.5,"Низшая четверть",IF(O145&lt;SUMIFS(M:M,R:R,1,E:E,E145)/SUMIFS(L:L,R:R,1,E:E,E145),"Вторая четверть","Больше половины"))</f>
        <v/>
      </c>
      <c r="Y145" t="n">
        <v>16</v>
      </c>
    </row>
    <row r="146">
      <c r="A146" s="1" t="inlineStr">
        <is>
          <t>14400110</t>
        </is>
      </c>
      <c r="B146" s="2" t="inlineStr">
        <is>
          <t>721048828</t>
        </is>
      </c>
      <c r="C146" s="3" t="inlineStr">
        <is>
          <t>Одежда и аксессуары</t>
        </is>
      </c>
      <c r="D146" s="2" t="inlineStr">
        <is>
          <t>Шарфы женские</t>
        </is>
      </c>
      <c r="E146" s="3" t="inlineStr">
        <is>
          <t>144 Шарф летний женский</t>
        </is>
      </c>
      <c r="F146" s="2" t="inlineStr">
        <is>
          <t>весна, лето</t>
        </is>
      </c>
      <c r="G146" s="3" t="inlineStr">
        <is>
          <t>kari</t>
        </is>
      </c>
      <c r="H146" s="2" t="inlineStr">
        <is>
          <t>Никонорова Алина</t>
        </is>
      </c>
      <c r="J146" s="3" t="inlineStr">
        <is>
          <t>2026SS</t>
        </is>
      </c>
      <c r="K146" s="3" t="n">
        <v>40790</v>
      </c>
      <c r="L146" s="3" t="n">
        <v>16931</v>
      </c>
      <c r="M146" s="3" t="n">
        <v>238</v>
      </c>
      <c r="N146" s="4">
        <f>IFERROR(L146/K146,0)</f>
        <v/>
      </c>
      <c r="O146" s="4">
        <f>IFERROR(M146/L146,0)</f>
        <v/>
      </c>
      <c r="P146" t="n">
        <v>252</v>
      </c>
      <c r="Q146" s="5" t="n">
        <v>1</v>
      </c>
      <c r="R146" s="7" t="n">
        <v>1</v>
      </c>
      <c r="S146">
        <f>IF(OR(N146&lt;$T$1*0.5,O146&lt;$U$1*0.5),"код для проверки","нормальный код")</f>
        <v/>
      </c>
      <c r="T146">
        <f>IF(N146&lt;$T$1*0.5,"Низшая четверть",IF(N146&lt;$T$1,"Вторая четверть","Больше половины"))</f>
        <v/>
      </c>
      <c r="U146">
        <f>IF(O146&lt;$U$1*0.5,"Низшая четверть",IF(O146&lt;$U$1,"Вторая четверть","Больше половины"))</f>
        <v/>
      </c>
      <c r="V146">
        <f>IF(OR(N146&lt;SUMIFS(L:L,R:R,1,E:E,E146)/SUMIFS(K:K,R:R,1,E:E,E146)*0.5,O146&lt;SUMIFS(M:M,R:R,1,E:E,E146)/SUMIFS(L:L,R:R,1,E:E,E146)*0.5),"код для проверки","нормальный код")</f>
        <v/>
      </c>
      <c r="W146">
        <f>IF(N146&lt;SUMIFS(L:L,R:R,1,E:E,E146)/SUMIFS(K:K,R:R,1,E:E,E146)*0.5,"Низшая четверть",IF(N146&lt;SUMIFS(L:L,R:R,1,E:E,E146)/SUMIFS(K:K,R:R,1,E:E,E146),"Вторая четверть","Больше половины"))</f>
        <v/>
      </c>
      <c r="X146">
        <f>IF(O146&lt;SUMIFS(M:M,R:R,1,E:E,E146)/SUMIFS(L:L,R:R,1,E:E,E146)*0.5,"Низшая четверть",IF(O146&lt;SUMIFS(M:M,R:R,1,E:E,E146)/SUMIFS(L:L,R:R,1,E:E,E146),"Вторая четверть","Больше половины"))</f>
        <v/>
      </c>
      <c r="Y146" t="n">
        <v>12</v>
      </c>
    </row>
    <row r="147">
      <c r="A147" s="1" t="inlineStr">
        <is>
          <t>10908220</t>
        </is>
      </c>
      <c r="B147" s="2" t="inlineStr">
        <is>
          <t>355553638</t>
        </is>
      </c>
      <c r="C147" s="3" t="inlineStr">
        <is>
          <t>Одежда и аксессуары</t>
        </is>
      </c>
      <c r="D147" s="2" t="inlineStr">
        <is>
          <t>Шарфы женские</t>
        </is>
      </c>
      <c r="E147" s="3" t="inlineStr">
        <is>
          <t>109 Палантин женский</t>
        </is>
      </c>
      <c r="F147" s="2" t="inlineStr">
        <is>
          <t>весна, осень, зима</t>
        </is>
      </c>
      <c r="G147" s="3" t="inlineStr">
        <is>
          <t>kari</t>
        </is>
      </c>
      <c r="H147" s="2" t="inlineStr">
        <is>
          <t>Никонорова Алина</t>
        </is>
      </c>
      <c r="J147" s="3" t="inlineStr">
        <is>
          <t>2026SS</t>
        </is>
      </c>
      <c r="K147" s="3" t="n">
        <v>40674</v>
      </c>
      <c r="L147" s="3" t="n">
        <v>3069</v>
      </c>
      <c r="M147" s="3" t="n">
        <v>26</v>
      </c>
      <c r="N147" s="4">
        <f>IFERROR(L147/K147,0)</f>
        <v/>
      </c>
      <c r="O147" s="4">
        <f>IFERROR(M147/L147,0)</f>
        <v/>
      </c>
      <c r="P147" t="n">
        <v>315</v>
      </c>
      <c r="Q147" s="5" t="n">
        <v>1</v>
      </c>
      <c r="R147" s="7" t="n">
        <v>1</v>
      </c>
      <c r="S147">
        <f>IF(OR(N147&lt;$T$1*0.5,O147&lt;$U$1*0.5),"код для проверки","нормальный код")</f>
        <v/>
      </c>
      <c r="T147">
        <f>IF(N147&lt;$T$1*0.5,"Низшая четверть",IF(N147&lt;$T$1,"Вторая четверть","Больше половины"))</f>
        <v/>
      </c>
      <c r="U147">
        <f>IF(O147&lt;$U$1*0.5,"Низшая четверть",IF(O147&lt;$U$1,"Вторая четверть","Больше половины"))</f>
        <v/>
      </c>
      <c r="V147">
        <f>IF(OR(N147&lt;SUMIFS(L:L,R:R,1,E:E,E147)/SUMIFS(K:K,R:R,1,E:E,E147)*0.5,O147&lt;SUMIFS(M:M,R:R,1,E:E,E147)/SUMIFS(L:L,R:R,1,E:E,E147)*0.5),"код для проверки","нормальный код")</f>
        <v/>
      </c>
      <c r="W147">
        <f>IF(N147&lt;SUMIFS(L:L,R:R,1,E:E,E147)/SUMIFS(K:K,R:R,1,E:E,E147)*0.5,"Низшая четверть",IF(N147&lt;SUMIFS(L:L,R:R,1,E:E,E147)/SUMIFS(K:K,R:R,1,E:E,E147),"Вторая четверть","Больше половины"))</f>
        <v/>
      </c>
      <c r="X147">
        <f>IF(O147&lt;SUMIFS(M:M,R:R,1,E:E,E147)/SUMIFS(L:L,R:R,1,E:E,E147)*0.5,"Низшая четверть",IF(O147&lt;SUMIFS(M:M,R:R,1,E:E,E147)/SUMIFS(L:L,R:R,1,E:E,E147),"Вторая четверть","Больше половины"))</f>
        <v/>
      </c>
      <c r="Y147" t="n">
        <v>11</v>
      </c>
    </row>
    <row r="148">
      <c r="A148" s="1" t="inlineStr">
        <is>
          <t>144080A0</t>
        </is>
      </c>
      <c r="B148" s="2" t="inlineStr">
        <is>
          <t>355550869</t>
        </is>
      </c>
      <c r="C148" s="3" t="inlineStr">
        <is>
          <t>Одежда и аксессуары</t>
        </is>
      </c>
      <c r="D148" s="2" t="inlineStr">
        <is>
          <t>Шарфы женские</t>
        </is>
      </c>
      <c r="E148" s="3" t="inlineStr">
        <is>
          <t>144 Шарф летний женский</t>
        </is>
      </c>
      <c r="F148" s="2" t="inlineStr">
        <is>
          <t>весна, лето</t>
        </is>
      </c>
      <c r="G148" s="3" t="inlineStr">
        <is>
          <t>kari</t>
        </is>
      </c>
      <c r="H148" s="2" t="inlineStr">
        <is>
          <t>Никонорова Алина</t>
        </is>
      </c>
      <c r="J148" s="3" t="inlineStr">
        <is>
          <t>2026SS</t>
        </is>
      </c>
      <c r="K148" s="3" t="n">
        <v>40671</v>
      </c>
      <c r="L148" s="3" t="n">
        <v>10862</v>
      </c>
      <c r="M148" s="3" t="n">
        <v>153</v>
      </c>
      <c r="N148" s="4">
        <f>IFERROR(L148/K148,0)</f>
        <v/>
      </c>
      <c r="O148" s="4">
        <f>IFERROR(M148/L148,0)</f>
        <v/>
      </c>
      <c r="P148" t="n">
        <v>384</v>
      </c>
      <c r="Q148" s="5" t="n">
        <v>1</v>
      </c>
      <c r="R148" s="7" t="n">
        <v>1</v>
      </c>
      <c r="S148">
        <f>IF(OR(N148&lt;$T$1*0.5,O148&lt;$U$1*0.5),"код для проверки","нормальный код")</f>
        <v/>
      </c>
      <c r="T148">
        <f>IF(N148&lt;$T$1*0.5,"Низшая четверть",IF(N148&lt;$T$1,"Вторая четверть","Больше половины"))</f>
        <v/>
      </c>
      <c r="U148">
        <f>IF(O148&lt;$U$1*0.5,"Низшая четверть",IF(O148&lt;$U$1,"Вторая четверть","Больше половины"))</f>
        <v/>
      </c>
      <c r="V148">
        <f>IF(OR(N148&lt;SUMIFS(L:L,R:R,1,E:E,E148)/SUMIFS(K:K,R:R,1,E:E,E148)*0.5,O148&lt;SUMIFS(M:M,R:R,1,E:E,E148)/SUMIFS(L:L,R:R,1,E:E,E148)*0.5),"код для проверки","нормальный код")</f>
        <v/>
      </c>
      <c r="W148">
        <f>IF(N148&lt;SUMIFS(L:L,R:R,1,E:E,E148)/SUMIFS(K:K,R:R,1,E:E,E148)*0.5,"Низшая четверть",IF(N148&lt;SUMIFS(L:L,R:R,1,E:E,E148)/SUMIFS(K:K,R:R,1,E:E,E148),"Вторая четверть","Больше половины"))</f>
        <v/>
      </c>
      <c r="X148">
        <f>IF(O148&lt;SUMIFS(M:M,R:R,1,E:E,E148)/SUMIFS(L:L,R:R,1,E:E,E148)*0.5,"Низшая четверть",IF(O148&lt;SUMIFS(M:M,R:R,1,E:E,E148)/SUMIFS(L:L,R:R,1,E:E,E148),"Вторая четверть","Больше половины"))</f>
        <v/>
      </c>
      <c r="Y148" t="n">
        <v>14</v>
      </c>
    </row>
    <row r="149">
      <c r="A149" s="1" t="inlineStr">
        <is>
          <t>y4900050</t>
        </is>
      </c>
      <c r="B149" s="2" t="inlineStr">
        <is>
          <t>879308812</t>
        </is>
      </c>
      <c r="C149" s="3" t="inlineStr">
        <is>
          <t>Одежда для детей</t>
        </is>
      </c>
      <c r="D149" s="2" t="inlineStr">
        <is>
          <t>Спортивная одежда детская для девочек</t>
        </is>
      </c>
      <c r="E149" s="3" t="inlineStr">
        <is>
          <t>y49 Комплект летней одежды для девочки</t>
        </is>
      </c>
      <c r="F149" s="2" t="inlineStr">
        <is>
          <t>весна, лето</t>
        </is>
      </c>
      <c r="G149" s="3" t="inlineStr">
        <is>
          <t>Kari KIDS</t>
        </is>
      </c>
      <c r="H149" s="2" t="inlineStr">
        <is>
          <t>Зиннуров Ильнур</t>
        </is>
      </c>
      <c r="J149" s="3" t="inlineStr">
        <is>
          <t>2026SS</t>
        </is>
      </c>
      <c r="K149" s="3" t="n">
        <v>40532</v>
      </c>
      <c r="L149" s="3" t="n">
        <v>5366</v>
      </c>
      <c r="M149" s="3" t="n">
        <v>47</v>
      </c>
      <c r="N149" s="4">
        <f>IFERROR(L149/K149,0)</f>
        <v/>
      </c>
      <c r="O149" s="4">
        <f>IFERROR(M149/L149,0)</f>
        <v/>
      </c>
      <c r="P149" t="n">
        <v>235</v>
      </c>
      <c r="Q149" s="5" t="n">
        <v>0.8</v>
      </c>
      <c r="R149" s="7" t="n">
        <v>1</v>
      </c>
      <c r="S149">
        <f>IF(OR(N149&lt;$T$1*0.5,O149&lt;$U$1*0.5),"код для проверки","нормальный код")</f>
        <v/>
      </c>
      <c r="T149">
        <f>IF(N149&lt;$T$1*0.5,"Низшая четверть",IF(N149&lt;$T$1,"Вторая четверть","Больше половины"))</f>
        <v/>
      </c>
      <c r="U149">
        <f>IF(O149&lt;$U$1*0.5,"Низшая четверть",IF(O149&lt;$U$1,"Вторая четверть","Больше половины"))</f>
        <v/>
      </c>
      <c r="V149">
        <f>IF(OR(N149&lt;SUMIFS(L:L,R:R,1,E:E,E149)/SUMIFS(K:K,R:R,1,E:E,E149)*0.5,O149&lt;SUMIFS(M:M,R:R,1,E:E,E149)/SUMIFS(L:L,R:R,1,E:E,E149)*0.5),"код для проверки","нормальный код")</f>
        <v/>
      </c>
      <c r="W149">
        <f>IF(N149&lt;SUMIFS(L:L,R:R,1,E:E,E149)/SUMIFS(K:K,R:R,1,E:E,E149)*0.5,"Низшая четверть",IF(N149&lt;SUMIFS(L:L,R:R,1,E:E,E149)/SUMIFS(K:K,R:R,1,E:E,E149),"Вторая четверть","Больше половины"))</f>
        <v/>
      </c>
      <c r="X149">
        <f>IF(O149&lt;SUMIFS(M:M,R:R,1,E:E,E149)/SUMIFS(L:L,R:R,1,E:E,E149)*0.5,"Низшая четверть",IF(O149&lt;SUMIFS(M:M,R:R,1,E:E,E149)/SUMIFS(L:L,R:R,1,E:E,E149),"Вторая четверть","Больше половины"))</f>
        <v/>
      </c>
      <c r="Y149" t="n">
        <v>27</v>
      </c>
    </row>
    <row r="150">
      <c r="A150" s="1" t="inlineStr">
        <is>
          <t>55300110</t>
        </is>
      </c>
      <c r="B150" s="2" t="inlineStr">
        <is>
          <t>720809066</t>
        </is>
      </c>
      <c r="C150" s="3" t="inlineStr">
        <is>
          <t>Одежда для детей</t>
        </is>
      </c>
      <c r="D150" s="2" t="inlineStr">
        <is>
          <t>Брюки детские для мальчиков</t>
        </is>
      </c>
      <c r="E150" s="3" t="inlineStr">
        <is>
          <t>553 Брюки детские для мальчиков</t>
        </is>
      </c>
      <c r="F150" s="2" t="inlineStr">
        <is>
          <t>всесезонный</t>
        </is>
      </c>
      <c r="G150" s="3" t="inlineStr">
        <is>
          <t>Kari KIDS</t>
        </is>
      </c>
      <c r="H150" s="2" t="inlineStr">
        <is>
          <t>Зиннуров Ильнур</t>
        </is>
      </c>
      <c r="J150" s="3" t="inlineStr">
        <is>
          <t>2026SS</t>
        </is>
      </c>
      <c r="K150" s="3" t="n">
        <v>40417</v>
      </c>
      <c r="L150" s="3" t="n">
        <v>3305</v>
      </c>
      <c r="M150" s="3" t="n">
        <v>42</v>
      </c>
      <c r="N150" s="4">
        <f>IFERROR(L150/K150,0)</f>
        <v/>
      </c>
      <c r="O150" s="4">
        <f>IFERROR(M150/L150,0)</f>
        <v/>
      </c>
      <c r="P150" t="n">
        <v>260</v>
      </c>
      <c r="Q150" s="5" t="n">
        <v>0.8</v>
      </c>
      <c r="R150" s="7" t="n">
        <v>1</v>
      </c>
      <c r="S150">
        <f>IF(OR(N150&lt;$T$1*0.5,O150&lt;$U$1*0.5),"код для проверки","нормальный код")</f>
        <v/>
      </c>
      <c r="T150">
        <f>IF(N150&lt;$T$1*0.5,"Низшая четверть",IF(N150&lt;$T$1,"Вторая четверть","Больше половины"))</f>
        <v/>
      </c>
      <c r="U150">
        <f>IF(O150&lt;$U$1*0.5,"Низшая четверть",IF(O150&lt;$U$1,"Вторая четверть","Больше половины"))</f>
        <v/>
      </c>
      <c r="V150">
        <f>IF(OR(N150&lt;SUMIFS(L:L,R:R,1,E:E,E150)/SUMIFS(K:K,R:R,1,E:E,E150)*0.5,O150&lt;SUMIFS(M:M,R:R,1,E:E,E150)/SUMIFS(L:L,R:R,1,E:E,E150)*0.5),"код для проверки","нормальный код")</f>
        <v/>
      </c>
      <c r="W150">
        <f>IF(N150&lt;SUMIFS(L:L,R:R,1,E:E,E150)/SUMIFS(K:K,R:R,1,E:E,E150)*0.5,"Низшая четверть",IF(N150&lt;SUMIFS(L:L,R:R,1,E:E,E150)/SUMIFS(K:K,R:R,1,E:E,E150),"Вторая четверть","Больше половины"))</f>
        <v/>
      </c>
      <c r="X150">
        <f>IF(O150&lt;SUMIFS(M:M,R:R,1,E:E,E150)/SUMIFS(L:L,R:R,1,E:E,E150)*0.5,"Низшая четверть",IF(O150&lt;SUMIFS(M:M,R:R,1,E:E,E150)/SUMIFS(L:L,R:R,1,E:E,E150),"Вторая четверть","Больше половины"))</f>
        <v/>
      </c>
      <c r="Y150" t="n">
        <v>22</v>
      </c>
    </row>
    <row r="151">
      <c r="A151" s="1" t="inlineStr">
        <is>
          <t>96800050</t>
        </is>
      </c>
      <c r="B151" s="2" t="inlineStr">
        <is>
          <t>786710057</t>
        </is>
      </c>
      <c r="C151" s="3" t="inlineStr">
        <is>
          <t>Одежда для детей</t>
        </is>
      </c>
      <c r="D151" s="2" t="inlineStr">
        <is>
          <t>Верхняя одежда детская для мальчиков</t>
        </is>
      </c>
      <c r="E151" s="3" t="inlineStr">
        <is>
          <t>968 Куртка джинсовая для мальчика</t>
        </is>
      </c>
      <c r="F151" s="2" t="inlineStr">
        <is>
          <t>весна, лето, осень</t>
        </is>
      </c>
      <c r="G151" s="3" t="inlineStr">
        <is>
          <t>kari</t>
        </is>
      </c>
      <c r="H151" s="2" t="inlineStr">
        <is>
          <t>Зиннуров Ильнур</t>
        </is>
      </c>
      <c r="J151" s="3" t="inlineStr">
        <is>
          <t>2026SS</t>
        </is>
      </c>
      <c r="K151" s="3" t="n">
        <v>40173</v>
      </c>
      <c r="L151" s="3" t="n">
        <v>2634</v>
      </c>
      <c r="M151" s="3" t="n">
        <v>56</v>
      </c>
      <c r="N151" s="4">
        <f>IFERROR(L151/K151,0)</f>
        <v/>
      </c>
      <c r="O151" s="4">
        <f>IFERROR(M151/L151,0)</f>
        <v/>
      </c>
      <c r="P151" t="n">
        <v>613</v>
      </c>
      <c r="Q151" s="5" t="n">
        <v>1</v>
      </c>
      <c r="R151" s="7" t="n">
        <v>1</v>
      </c>
      <c r="S151">
        <f>IF(OR(N151&lt;$T$1*0.5,O151&lt;$U$1*0.5),"код для проверки","нормальный код")</f>
        <v/>
      </c>
      <c r="T151">
        <f>IF(N151&lt;$T$1*0.5,"Низшая четверть",IF(N151&lt;$T$1,"Вторая четверть","Больше половины"))</f>
        <v/>
      </c>
      <c r="U151">
        <f>IF(O151&lt;$U$1*0.5,"Низшая четверть",IF(O151&lt;$U$1,"Вторая четверть","Больше половины"))</f>
        <v/>
      </c>
      <c r="V151">
        <f>IF(OR(N151&lt;SUMIFS(L:L,R:R,1,E:E,E151)/SUMIFS(K:K,R:R,1,E:E,E151)*0.5,O151&lt;SUMIFS(M:M,R:R,1,E:E,E151)/SUMIFS(L:L,R:R,1,E:E,E151)*0.5),"код для проверки","нормальный код")</f>
        <v/>
      </c>
      <c r="W151">
        <f>IF(N151&lt;SUMIFS(L:L,R:R,1,E:E,E151)/SUMIFS(K:K,R:R,1,E:E,E151)*0.5,"Низшая четверть",IF(N151&lt;SUMIFS(L:L,R:R,1,E:E,E151)/SUMIFS(K:K,R:R,1,E:E,E151),"Вторая четверть","Больше половины"))</f>
        <v/>
      </c>
      <c r="X151">
        <f>IF(O151&lt;SUMIFS(M:M,R:R,1,E:E,E151)/SUMIFS(L:L,R:R,1,E:E,E151)*0.5,"Низшая четверть",IF(O151&lt;SUMIFS(M:M,R:R,1,E:E,E151)/SUMIFS(L:L,R:R,1,E:E,E151),"Вторая четверть","Больше половины"))</f>
        <v/>
      </c>
      <c r="Y151" t="n">
        <v>21</v>
      </c>
    </row>
    <row r="152">
      <c r="A152" s="1" t="inlineStr">
        <is>
          <t>094000H0</t>
        </is>
      </c>
      <c r="B152" s="2" t="inlineStr">
        <is>
          <t>773198083</t>
        </is>
      </c>
      <c r="C152" s="3" t="inlineStr">
        <is>
          <t>Одежда и аксессуары</t>
        </is>
      </c>
      <c r="D152" s="2" t="inlineStr">
        <is>
          <t>Купальники женские</t>
        </is>
      </c>
      <c r="E152" s="3" t="inlineStr">
        <is>
          <t>094 Купальник</t>
        </is>
      </c>
      <c r="F152" s="2" t="inlineStr">
        <is>
          <t>лето</t>
        </is>
      </c>
      <c r="G152" s="3" t="inlineStr">
        <is>
          <t>kari</t>
        </is>
      </c>
      <c r="H152" s="2" t="inlineStr">
        <is>
          <t>Никонорова Алина</t>
        </is>
      </c>
      <c r="J152" s="3" t="inlineStr">
        <is>
          <t>2026SS</t>
        </is>
      </c>
      <c r="K152" s="3" t="n">
        <v>40109</v>
      </c>
      <c r="L152" s="3" t="n">
        <v>5696</v>
      </c>
      <c r="M152" s="3" t="n">
        <v>106</v>
      </c>
      <c r="N152" s="4">
        <f>IFERROR(L152/K152,0)</f>
        <v/>
      </c>
      <c r="O152" s="4">
        <f>IFERROR(M152/L152,0)</f>
        <v/>
      </c>
      <c r="P152" t="n">
        <v>3722</v>
      </c>
      <c r="Q152" s="5" t="n">
        <v>0.6666666666666666</v>
      </c>
      <c r="R152" s="7" t="n">
        <v>1</v>
      </c>
      <c r="S152">
        <f>IF(OR(N152&lt;$T$1*0.5,O152&lt;$U$1*0.5),"код для проверки","нормальный код")</f>
        <v/>
      </c>
      <c r="T152">
        <f>IF(N152&lt;$T$1*0.5,"Низшая четверть",IF(N152&lt;$T$1,"Вторая четверть","Больше половины"))</f>
        <v/>
      </c>
      <c r="U152">
        <f>IF(O152&lt;$U$1*0.5,"Низшая четверть",IF(O152&lt;$U$1,"Вторая четверть","Больше половины"))</f>
        <v/>
      </c>
      <c r="V152">
        <f>IF(OR(N152&lt;SUMIFS(L:L,R:R,1,E:E,E152)/SUMIFS(K:K,R:R,1,E:E,E152)*0.5,O152&lt;SUMIFS(M:M,R:R,1,E:E,E152)/SUMIFS(L:L,R:R,1,E:E,E152)*0.5),"код для проверки","нормальный код")</f>
        <v/>
      </c>
      <c r="W152">
        <f>IF(N152&lt;SUMIFS(L:L,R:R,1,E:E,E152)/SUMIFS(K:K,R:R,1,E:E,E152)*0.5,"Низшая четверть",IF(N152&lt;SUMIFS(L:L,R:R,1,E:E,E152)/SUMIFS(K:K,R:R,1,E:E,E152),"Вторая четверть","Больше половины"))</f>
        <v/>
      </c>
      <c r="X152">
        <f>IF(O152&lt;SUMIFS(M:M,R:R,1,E:E,E152)/SUMIFS(L:L,R:R,1,E:E,E152)*0.5,"Низшая четверть",IF(O152&lt;SUMIFS(M:M,R:R,1,E:E,E152)/SUMIFS(L:L,R:R,1,E:E,E152),"Вторая четверть","Больше половины"))</f>
        <v/>
      </c>
      <c r="Y152" t="n">
        <v>20</v>
      </c>
    </row>
    <row r="153">
      <c r="A153" s="1" t="inlineStr">
        <is>
          <t>14400130</t>
        </is>
      </c>
      <c r="B153" s="2" t="inlineStr">
        <is>
          <t>759892170</t>
        </is>
      </c>
      <c r="C153" s="3" t="inlineStr">
        <is>
          <t>Одежда и аксессуары</t>
        </is>
      </c>
      <c r="D153" s="2" t="inlineStr">
        <is>
          <t>Шарфы женские</t>
        </is>
      </c>
      <c r="E153" s="3" t="inlineStr">
        <is>
          <t>144 Шарф летний женский</t>
        </is>
      </c>
      <c r="F153" s="2" t="inlineStr">
        <is>
          <t>весна, лето</t>
        </is>
      </c>
      <c r="G153" s="3" t="inlineStr">
        <is>
          <t>kari</t>
        </is>
      </c>
      <c r="H153" s="2" t="inlineStr">
        <is>
          <t>Никонорова Алина</t>
        </is>
      </c>
      <c r="J153" s="3" t="inlineStr">
        <is>
          <t>2026SS</t>
        </is>
      </c>
      <c r="K153" s="3" t="n">
        <v>39846</v>
      </c>
      <c r="L153" s="3" t="n">
        <v>13915</v>
      </c>
      <c r="M153" s="3" t="n">
        <v>195</v>
      </c>
      <c r="N153" s="4">
        <f>IFERROR(L153/K153,0)</f>
        <v/>
      </c>
      <c r="O153" s="4">
        <f>IFERROR(M153/L153,0)</f>
        <v/>
      </c>
      <c r="P153" t="n">
        <v>631</v>
      </c>
      <c r="Q153" s="5" t="n">
        <v>1</v>
      </c>
      <c r="R153" s="7" t="n">
        <v>1</v>
      </c>
      <c r="S153">
        <f>IF(OR(N153&lt;$T$1*0.5,O153&lt;$U$1*0.5),"код для проверки","нормальный код")</f>
        <v/>
      </c>
      <c r="T153">
        <f>IF(N153&lt;$T$1*0.5,"Низшая четверть",IF(N153&lt;$T$1,"Вторая четверть","Больше половины"))</f>
        <v/>
      </c>
      <c r="U153">
        <f>IF(O153&lt;$U$1*0.5,"Низшая четверть",IF(O153&lt;$U$1,"Вторая четверть","Больше половины"))</f>
        <v/>
      </c>
      <c r="V153">
        <f>IF(OR(N153&lt;SUMIFS(L:L,R:R,1,E:E,E153)/SUMIFS(K:K,R:R,1,E:E,E153)*0.5,O153&lt;SUMIFS(M:M,R:R,1,E:E,E153)/SUMIFS(L:L,R:R,1,E:E,E153)*0.5),"код для проверки","нормальный код")</f>
        <v/>
      </c>
      <c r="W153">
        <f>IF(N153&lt;SUMIFS(L:L,R:R,1,E:E,E153)/SUMIFS(K:K,R:R,1,E:E,E153)*0.5,"Низшая четверть",IF(N153&lt;SUMIFS(L:L,R:R,1,E:E,E153)/SUMIFS(K:K,R:R,1,E:E,E153),"Вторая четверть","Больше половины"))</f>
        <v/>
      </c>
      <c r="X153">
        <f>IF(O153&lt;SUMIFS(M:M,R:R,1,E:E,E153)/SUMIFS(L:L,R:R,1,E:E,E153)*0.5,"Низшая четверть",IF(O153&lt;SUMIFS(M:M,R:R,1,E:E,E153)/SUMIFS(L:L,R:R,1,E:E,E153),"Вторая четверть","Больше половины"))</f>
        <v/>
      </c>
      <c r="Y153" t="n">
        <v>12</v>
      </c>
    </row>
    <row r="154">
      <c r="A154" s="1" t="inlineStr">
        <is>
          <t>18100200</t>
        </is>
      </c>
      <c r="B154" s="2" t="inlineStr">
        <is>
          <t>762056965</t>
        </is>
      </c>
      <c r="C154" s="3" t="inlineStr">
        <is>
          <t>Одежда для детей</t>
        </is>
      </c>
      <c r="D154" s="2" t="inlineStr">
        <is>
          <t>Джинсы детские для девочек</t>
        </is>
      </c>
      <c r="E154" s="3" t="inlineStr">
        <is>
          <t>181 Джинсы детские для девочек</t>
        </is>
      </c>
      <c r="F154" s="2" t="inlineStr">
        <is>
          <t>всесезонный</t>
        </is>
      </c>
      <c r="G154" s="3" t="inlineStr">
        <is>
          <t>kari</t>
        </is>
      </c>
      <c r="H154" s="2" t="inlineStr">
        <is>
          <t>Зиннуров Ильнур</t>
        </is>
      </c>
      <c r="J154" s="3" t="inlineStr">
        <is>
          <t>2026SS</t>
        </is>
      </c>
      <c r="K154" s="3" t="n">
        <v>39812</v>
      </c>
      <c r="L154" s="3" t="n">
        <v>3583</v>
      </c>
      <c r="M154" s="3" t="n">
        <v>105</v>
      </c>
      <c r="N154" s="4">
        <f>IFERROR(L154/K154,0)</f>
        <v/>
      </c>
      <c r="O154" s="4">
        <f>IFERROR(M154/L154,0)</f>
        <v/>
      </c>
      <c r="P154" t="n">
        <v>1394</v>
      </c>
      <c r="Q154" s="5" t="n">
        <v>1</v>
      </c>
      <c r="R154" s="7" t="n">
        <v>1</v>
      </c>
      <c r="S154">
        <f>IF(OR(N154&lt;$T$1*0.5,O154&lt;$U$1*0.5),"код для проверки","нормальный код")</f>
        <v/>
      </c>
      <c r="T154">
        <f>IF(N154&lt;$T$1*0.5,"Низшая четверть",IF(N154&lt;$T$1,"Вторая четверть","Больше половины"))</f>
        <v/>
      </c>
      <c r="U154">
        <f>IF(O154&lt;$U$1*0.5,"Низшая четверть",IF(O154&lt;$U$1,"Вторая четверть","Больше половины"))</f>
        <v/>
      </c>
      <c r="V154">
        <f>IF(OR(N154&lt;SUMIFS(L:L,R:R,1,E:E,E154)/SUMIFS(K:K,R:R,1,E:E,E154)*0.5,O154&lt;SUMIFS(M:M,R:R,1,E:E,E154)/SUMIFS(L:L,R:R,1,E:E,E154)*0.5),"код для проверки","нормальный код")</f>
        <v/>
      </c>
      <c r="W154">
        <f>IF(N154&lt;SUMIFS(L:L,R:R,1,E:E,E154)/SUMIFS(K:K,R:R,1,E:E,E154)*0.5,"Низшая четверть",IF(N154&lt;SUMIFS(L:L,R:R,1,E:E,E154)/SUMIFS(K:K,R:R,1,E:E,E154),"Вторая четверть","Больше половины"))</f>
        <v/>
      </c>
      <c r="X154">
        <f>IF(O154&lt;SUMIFS(M:M,R:R,1,E:E,E154)/SUMIFS(L:L,R:R,1,E:E,E154)*0.5,"Низшая четверть",IF(O154&lt;SUMIFS(M:M,R:R,1,E:E,E154)/SUMIFS(L:L,R:R,1,E:E,E154),"Вторая четверть","Больше половины"))</f>
        <v/>
      </c>
      <c r="Y154" t="n">
        <v>16</v>
      </c>
    </row>
    <row r="155">
      <c r="A155" s="1" t="inlineStr">
        <is>
          <t>18100140</t>
        </is>
      </c>
      <c r="B155" s="2" t="inlineStr">
        <is>
          <t>788369373</t>
        </is>
      </c>
      <c r="C155" s="3" t="inlineStr">
        <is>
          <t>Одежда для детей</t>
        </is>
      </c>
      <c r="D155" s="2" t="inlineStr">
        <is>
          <t>Джинсы детские для девочек</t>
        </is>
      </c>
      <c r="E155" s="3" t="inlineStr">
        <is>
          <t>181 Джинсы детские для девочек</t>
        </is>
      </c>
      <c r="F155" s="2" t="inlineStr">
        <is>
          <t>всесезонный</t>
        </is>
      </c>
      <c r="G155" s="3" t="inlineStr">
        <is>
          <t>Kari KIDS</t>
        </is>
      </c>
      <c r="H155" s="2" t="inlineStr">
        <is>
          <t>Зиннуров Ильнур</t>
        </is>
      </c>
      <c r="J155" s="3" t="inlineStr">
        <is>
          <t>2026SS</t>
        </is>
      </c>
      <c r="K155" s="3" t="n">
        <v>39800</v>
      </c>
      <c r="L155" s="3" t="n">
        <v>2286</v>
      </c>
      <c r="M155" s="3" t="n">
        <v>69</v>
      </c>
      <c r="N155" s="4">
        <f>IFERROR(L155/K155,0)</f>
        <v/>
      </c>
      <c r="O155" s="4">
        <f>IFERROR(M155/L155,0)</f>
        <v/>
      </c>
      <c r="P155" t="n">
        <v>512</v>
      </c>
      <c r="Q155" s="5" t="n">
        <v>1</v>
      </c>
      <c r="R155" s="7" t="n">
        <v>1</v>
      </c>
      <c r="S155">
        <f>IF(OR(N155&lt;$T$1*0.5,O155&lt;$U$1*0.5),"код для проверки","нормальный код")</f>
        <v/>
      </c>
      <c r="T155">
        <f>IF(N155&lt;$T$1*0.5,"Низшая четверть",IF(N155&lt;$T$1,"Вторая четверть","Больше половины"))</f>
        <v/>
      </c>
      <c r="U155">
        <f>IF(O155&lt;$U$1*0.5,"Низшая четверть",IF(O155&lt;$U$1,"Вторая четверть","Больше половины"))</f>
        <v/>
      </c>
      <c r="V155">
        <f>IF(OR(N155&lt;SUMIFS(L:L,R:R,1,E:E,E155)/SUMIFS(K:K,R:R,1,E:E,E155)*0.5,O155&lt;SUMIFS(M:M,R:R,1,E:E,E155)/SUMIFS(L:L,R:R,1,E:E,E155)*0.5),"код для проверки","нормальный код")</f>
        <v/>
      </c>
      <c r="W155">
        <f>IF(N155&lt;SUMIFS(L:L,R:R,1,E:E,E155)/SUMIFS(K:K,R:R,1,E:E,E155)*0.5,"Низшая четверть",IF(N155&lt;SUMIFS(L:L,R:R,1,E:E,E155)/SUMIFS(K:K,R:R,1,E:E,E155),"Вторая четверть","Больше половины"))</f>
        <v/>
      </c>
      <c r="X155">
        <f>IF(O155&lt;SUMIFS(M:M,R:R,1,E:E,E155)/SUMIFS(L:L,R:R,1,E:E,E155)*0.5,"Низшая четверть",IF(O155&lt;SUMIFS(M:M,R:R,1,E:E,E155)/SUMIFS(L:L,R:R,1,E:E,E155),"Вторая четверть","Больше половины"))</f>
        <v/>
      </c>
      <c r="Y155" t="n">
        <v>18</v>
      </c>
    </row>
    <row r="156">
      <c r="A156" s="1" t="inlineStr">
        <is>
          <t>18100340</t>
        </is>
      </c>
      <c r="B156" s="2" t="inlineStr">
        <is>
          <t>788369416</t>
        </is>
      </c>
      <c r="C156" s="3" t="inlineStr">
        <is>
          <t>Одежда для детей</t>
        </is>
      </c>
      <c r="D156" s="2" t="inlineStr">
        <is>
          <t>Джинсы детские для девочек</t>
        </is>
      </c>
      <c r="E156" s="3" t="inlineStr">
        <is>
          <t>181 Джинсы детские для девочек</t>
        </is>
      </c>
      <c r="F156" s="2" t="inlineStr">
        <is>
          <t>всесезонный</t>
        </is>
      </c>
      <c r="G156" s="3" t="inlineStr">
        <is>
          <t>kari</t>
        </is>
      </c>
      <c r="H156" s="2" t="inlineStr">
        <is>
          <t>Зиннуров Ильнур</t>
        </is>
      </c>
      <c r="J156" s="3" t="inlineStr">
        <is>
          <t>2026SS</t>
        </is>
      </c>
      <c r="K156" s="3" t="n">
        <v>39037</v>
      </c>
      <c r="L156" s="3" t="n">
        <v>4141</v>
      </c>
      <c r="M156" s="3" t="n">
        <v>75</v>
      </c>
      <c r="N156" s="4">
        <f>IFERROR(L156/K156,0)</f>
        <v/>
      </c>
      <c r="O156" s="4">
        <f>IFERROR(M156/L156,0)</f>
        <v/>
      </c>
      <c r="P156" t="n">
        <v>1105</v>
      </c>
      <c r="Q156" s="5" t="n">
        <v>1</v>
      </c>
      <c r="R156" s="7" t="n">
        <v>1</v>
      </c>
      <c r="S156">
        <f>IF(OR(N156&lt;$T$1*0.5,O156&lt;$U$1*0.5),"код для проверки","нормальный код")</f>
        <v/>
      </c>
      <c r="T156">
        <f>IF(N156&lt;$T$1*0.5,"Низшая четверть",IF(N156&lt;$T$1,"Вторая четверть","Больше половины"))</f>
        <v/>
      </c>
      <c r="U156">
        <f>IF(O156&lt;$U$1*0.5,"Низшая четверть",IF(O156&lt;$U$1,"Вторая четверть","Больше половины"))</f>
        <v/>
      </c>
      <c r="V156">
        <f>IF(OR(N156&lt;SUMIFS(L:L,R:R,1,E:E,E156)/SUMIFS(K:K,R:R,1,E:E,E156)*0.5,O156&lt;SUMIFS(M:M,R:R,1,E:E,E156)/SUMIFS(L:L,R:R,1,E:E,E156)*0.5),"код для проверки","нормальный код")</f>
        <v/>
      </c>
      <c r="W156">
        <f>IF(N156&lt;SUMIFS(L:L,R:R,1,E:E,E156)/SUMIFS(K:K,R:R,1,E:E,E156)*0.5,"Низшая четверть",IF(N156&lt;SUMIFS(L:L,R:R,1,E:E,E156)/SUMIFS(K:K,R:R,1,E:E,E156),"Вторая четверть","Больше половины"))</f>
        <v/>
      </c>
      <c r="X156">
        <f>IF(O156&lt;SUMIFS(M:M,R:R,1,E:E,E156)/SUMIFS(L:L,R:R,1,E:E,E156)*0.5,"Низшая четверть",IF(O156&lt;SUMIFS(M:M,R:R,1,E:E,E156)/SUMIFS(L:L,R:R,1,E:E,E156),"Вторая четверть","Больше половины"))</f>
        <v/>
      </c>
      <c r="Y156" t="n">
        <v>28</v>
      </c>
    </row>
    <row r="157">
      <c r="A157" s="1" t="inlineStr">
        <is>
          <t>31100000</t>
        </is>
      </c>
      <c r="B157" s="2" t="inlineStr">
        <is>
          <t>754824622</t>
        </is>
      </c>
      <c r="C157" s="3" t="inlineStr">
        <is>
          <t>Одежда и аксессуары</t>
        </is>
      </c>
      <c r="D157" s="2" t="inlineStr">
        <is>
          <t>Майки и платья женские</t>
        </is>
      </c>
      <c r="E157" s="3" t="inlineStr">
        <is>
          <t>311 Рубашка женская</t>
        </is>
      </c>
      <c r="F157" s="2" t="inlineStr">
        <is>
          <t>всесезонный</t>
        </is>
      </c>
      <c r="G157" s="3" t="inlineStr">
        <is>
          <t>kari</t>
        </is>
      </c>
      <c r="H157" s="2" t="inlineStr">
        <is>
          <t>Зиннуров Ильнур</t>
        </is>
      </c>
      <c r="J157" s="3" t="inlineStr">
        <is>
          <t>2026SS</t>
        </is>
      </c>
      <c r="K157" s="3" t="n">
        <v>39008</v>
      </c>
      <c r="L157" s="3" t="n">
        <v>1352</v>
      </c>
      <c r="M157" s="3" t="n">
        <v>31</v>
      </c>
      <c r="N157" s="4">
        <f>IFERROR(L157/K157,0)</f>
        <v/>
      </c>
      <c r="O157" s="4">
        <f>IFERROR(M157/L157,0)</f>
        <v/>
      </c>
      <c r="P157" t="n">
        <v>784</v>
      </c>
      <c r="Q157" s="5" t="n">
        <v>1</v>
      </c>
      <c r="R157" s="7" t="n">
        <v>1</v>
      </c>
      <c r="S157">
        <f>IF(OR(N157&lt;$T$1*0.5,O157&lt;$U$1*0.5),"код для проверки","нормальный код")</f>
        <v/>
      </c>
      <c r="T157">
        <f>IF(N157&lt;$T$1*0.5,"Низшая четверть",IF(N157&lt;$T$1,"Вторая четверть","Больше половины"))</f>
        <v/>
      </c>
      <c r="U157">
        <f>IF(O157&lt;$U$1*0.5,"Низшая четверть",IF(O157&lt;$U$1,"Вторая четверть","Больше половины"))</f>
        <v/>
      </c>
      <c r="V157">
        <f>IF(OR(N157&lt;SUMIFS(L:L,R:R,1,E:E,E157)/SUMIFS(K:K,R:R,1,E:E,E157)*0.5,O157&lt;SUMIFS(M:M,R:R,1,E:E,E157)/SUMIFS(L:L,R:R,1,E:E,E157)*0.5),"код для проверки","нормальный код")</f>
        <v/>
      </c>
      <c r="W157">
        <f>IF(N157&lt;SUMIFS(L:L,R:R,1,E:E,E157)/SUMIFS(K:K,R:R,1,E:E,E157)*0.5,"Низшая четверть",IF(N157&lt;SUMIFS(L:L,R:R,1,E:E,E157)/SUMIFS(K:K,R:R,1,E:E,E157),"Вторая четверть","Больше половины"))</f>
        <v/>
      </c>
      <c r="X157">
        <f>IF(O157&lt;SUMIFS(M:M,R:R,1,E:E,E157)/SUMIFS(L:L,R:R,1,E:E,E157)*0.5,"Низшая четверть",IF(O157&lt;SUMIFS(M:M,R:R,1,E:E,E157)/SUMIFS(L:L,R:R,1,E:E,E157),"Вторая четверть","Больше половины"))</f>
        <v/>
      </c>
      <c r="Y157" t="n">
        <v>23</v>
      </c>
    </row>
    <row r="158">
      <c r="A158" s="1" t="inlineStr">
        <is>
          <t>16808100</t>
        </is>
      </c>
      <c r="B158" s="2" t="inlineStr">
        <is>
          <t>355550888</t>
        </is>
      </c>
      <c r="C158" s="3" t="inlineStr">
        <is>
          <t>Одежда и аксессуары</t>
        </is>
      </c>
      <c r="D158" s="2" t="inlineStr">
        <is>
          <t>Головные уборы женские</t>
        </is>
      </c>
      <c r="E158" s="3" t="inlineStr">
        <is>
          <t>168 Шляпа женская летняя</t>
        </is>
      </c>
      <c r="F158" s="2" t="inlineStr">
        <is>
          <t>лето</t>
        </is>
      </c>
      <c r="G158" s="3" t="inlineStr">
        <is>
          <t>kari</t>
        </is>
      </c>
      <c r="H158" s="2" t="inlineStr">
        <is>
          <t>Никонорова Алина</t>
        </is>
      </c>
      <c r="J158" s="3" t="inlineStr">
        <is>
          <t>2026SS</t>
        </is>
      </c>
      <c r="K158" s="3" t="n">
        <v>38858</v>
      </c>
      <c r="L158" s="3" t="n">
        <v>3360</v>
      </c>
      <c r="M158" s="3" t="n">
        <v>72</v>
      </c>
      <c r="N158" s="4">
        <f>IFERROR(L158/K158,0)</f>
        <v/>
      </c>
      <c r="O158" s="4">
        <f>IFERROR(M158/L158,0)</f>
        <v/>
      </c>
      <c r="P158" t="n">
        <v>1080</v>
      </c>
      <c r="Q158" s="5" t="n">
        <v>1</v>
      </c>
      <c r="R158" s="7" t="n">
        <v>1</v>
      </c>
      <c r="S158">
        <f>IF(OR(N158&lt;$T$1*0.5,O158&lt;$U$1*0.5),"код для проверки","нормальный код")</f>
        <v/>
      </c>
      <c r="T158">
        <f>IF(N158&lt;$T$1*0.5,"Низшая четверть",IF(N158&lt;$T$1,"Вторая четверть","Больше половины"))</f>
        <v/>
      </c>
      <c r="U158">
        <f>IF(O158&lt;$U$1*0.5,"Низшая четверть",IF(O158&lt;$U$1,"Вторая четверть","Больше половины"))</f>
        <v/>
      </c>
      <c r="V158">
        <f>IF(OR(N158&lt;SUMIFS(L:L,R:R,1,E:E,E158)/SUMIFS(K:K,R:R,1,E:E,E158)*0.5,O158&lt;SUMIFS(M:M,R:R,1,E:E,E158)/SUMIFS(L:L,R:R,1,E:E,E158)*0.5),"код для проверки","нормальный код")</f>
        <v/>
      </c>
      <c r="W158">
        <f>IF(N158&lt;SUMIFS(L:L,R:R,1,E:E,E158)/SUMIFS(K:K,R:R,1,E:E,E158)*0.5,"Низшая четверть",IF(N158&lt;SUMIFS(L:L,R:R,1,E:E,E158)/SUMIFS(K:K,R:R,1,E:E,E158),"Вторая четверть","Больше половины"))</f>
        <v/>
      </c>
      <c r="X158">
        <f>IF(O158&lt;SUMIFS(M:M,R:R,1,E:E,E158)/SUMIFS(L:L,R:R,1,E:E,E158)*0.5,"Низшая четверть",IF(O158&lt;SUMIFS(M:M,R:R,1,E:E,E158)/SUMIFS(L:L,R:R,1,E:E,E158),"Вторая четверть","Больше половины"))</f>
        <v/>
      </c>
      <c r="Y158" t="n">
        <v>14</v>
      </c>
    </row>
    <row r="159">
      <c r="A159" s="1" t="inlineStr">
        <is>
          <t>29100130</t>
        </is>
      </c>
      <c r="B159" s="2" t="inlineStr">
        <is>
          <t>698694883</t>
        </is>
      </c>
      <c r="C159" s="3" t="inlineStr">
        <is>
          <t>Одежда для детей</t>
        </is>
      </c>
      <c r="D159" s="2" t="inlineStr">
        <is>
          <t>Брюки детские для мальчиков</t>
        </is>
      </c>
      <c r="E159" s="3" t="inlineStr">
        <is>
          <t>291 Штаны детские для мальчиков</t>
        </is>
      </c>
      <c r="F159" s="2" t="inlineStr">
        <is>
          <t>всесезонный</t>
        </is>
      </c>
      <c r="G159" s="3" t="inlineStr">
        <is>
          <t>Kari KIDS</t>
        </is>
      </c>
      <c r="H159" s="2" t="inlineStr">
        <is>
          <t>Зиннуров Ильнур</t>
        </is>
      </c>
      <c r="J159" s="3" t="inlineStr">
        <is>
          <t>2026SS</t>
        </is>
      </c>
      <c r="K159" s="3" t="n">
        <v>38643</v>
      </c>
      <c r="L159" s="3" t="n">
        <v>1737</v>
      </c>
      <c r="M159" s="3" t="n">
        <v>31</v>
      </c>
      <c r="N159" s="4">
        <f>IFERROR(L159/K159,0)</f>
        <v/>
      </c>
      <c r="O159" s="4">
        <f>IFERROR(M159/L159,0)</f>
        <v/>
      </c>
      <c r="P159" t="n">
        <v>576</v>
      </c>
      <c r="Q159" s="5" t="n">
        <v>1</v>
      </c>
      <c r="R159" s="7" t="n">
        <v>1</v>
      </c>
      <c r="S159">
        <f>IF(OR(N159&lt;$T$1*0.5,O159&lt;$U$1*0.5),"код для проверки","нормальный код")</f>
        <v/>
      </c>
      <c r="T159">
        <f>IF(N159&lt;$T$1*0.5,"Низшая четверть",IF(N159&lt;$T$1,"Вторая четверть","Больше половины"))</f>
        <v/>
      </c>
      <c r="U159">
        <f>IF(O159&lt;$U$1*0.5,"Низшая четверть",IF(O159&lt;$U$1,"Вторая четверть","Больше половины"))</f>
        <v/>
      </c>
      <c r="V159">
        <f>IF(OR(N159&lt;SUMIFS(L:L,R:R,1,E:E,E159)/SUMIFS(K:K,R:R,1,E:E,E159)*0.5,O159&lt;SUMIFS(M:M,R:R,1,E:E,E159)/SUMIFS(L:L,R:R,1,E:E,E159)*0.5),"код для проверки","нормальный код")</f>
        <v/>
      </c>
      <c r="W159">
        <f>IF(N159&lt;SUMIFS(L:L,R:R,1,E:E,E159)/SUMIFS(K:K,R:R,1,E:E,E159)*0.5,"Низшая четверть",IF(N159&lt;SUMIFS(L:L,R:R,1,E:E,E159)/SUMIFS(K:K,R:R,1,E:E,E159),"Вторая четверть","Больше половины"))</f>
        <v/>
      </c>
      <c r="X159">
        <f>IF(O159&lt;SUMIFS(M:M,R:R,1,E:E,E159)/SUMIFS(L:L,R:R,1,E:E,E159)*0.5,"Низшая четверть",IF(O159&lt;SUMIFS(M:M,R:R,1,E:E,E159)/SUMIFS(L:L,R:R,1,E:E,E159),"Вторая четверть","Больше половины"))</f>
        <v/>
      </c>
      <c r="Y159" t="n">
        <v>20</v>
      </c>
    </row>
    <row r="160">
      <c r="A160" s="1" t="inlineStr">
        <is>
          <t>10908170</t>
        </is>
      </c>
      <c r="B160" s="2" t="inlineStr">
        <is>
          <t>355553501</t>
        </is>
      </c>
      <c r="C160" s="3" t="inlineStr">
        <is>
          <t>Одежда и аксессуары</t>
        </is>
      </c>
      <c r="D160" s="2" t="inlineStr">
        <is>
          <t>Шарфы женские</t>
        </is>
      </c>
      <c r="E160" s="3" t="inlineStr">
        <is>
          <t>109 Палантин женский</t>
        </is>
      </c>
      <c r="F160" s="2" t="inlineStr">
        <is>
          <t>весна, осень, зима</t>
        </is>
      </c>
      <c r="G160" s="3" t="inlineStr">
        <is>
          <t>kari</t>
        </is>
      </c>
      <c r="H160" s="2" t="inlineStr">
        <is>
          <t>Никонорова Алина</t>
        </is>
      </c>
      <c r="J160" s="3" t="inlineStr">
        <is>
          <t>2026SS</t>
        </is>
      </c>
      <c r="K160" s="3" t="n">
        <v>38576</v>
      </c>
      <c r="L160" s="3" t="n">
        <v>1871</v>
      </c>
      <c r="M160" s="3" t="n">
        <v>35</v>
      </c>
      <c r="N160" s="4">
        <f>IFERROR(L160/K160,0)</f>
        <v/>
      </c>
      <c r="O160" s="4">
        <f>IFERROR(M160/L160,0)</f>
        <v/>
      </c>
      <c r="P160" t="n">
        <v>376</v>
      </c>
      <c r="Q160" s="5" t="n">
        <v>1</v>
      </c>
      <c r="R160" s="7" t="n">
        <v>1</v>
      </c>
      <c r="S160">
        <f>IF(OR(N160&lt;$T$1*0.5,O160&lt;$U$1*0.5),"код для проверки","нормальный код")</f>
        <v/>
      </c>
      <c r="T160">
        <f>IF(N160&lt;$T$1*0.5,"Низшая четверть",IF(N160&lt;$T$1,"Вторая четверть","Больше половины"))</f>
        <v/>
      </c>
      <c r="U160">
        <f>IF(O160&lt;$U$1*0.5,"Низшая четверть",IF(O160&lt;$U$1,"Вторая четверть","Больше половины"))</f>
        <v/>
      </c>
      <c r="V160">
        <f>IF(OR(N160&lt;SUMIFS(L:L,R:R,1,E:E,E160)/SUMIFS(K:K,R:R,1,E:E,E160)*0.5,O160&lt;SUMIFS(M:M,R:R,1,E:E,E160)/SUMIFS(L:L,R:R,1,E:E,E160)*0.5),"код для проверки","нормальный код")</f>
        <v/>
      </c>
      <c r="W160">
        <f>IF(N160&lt;SUMIFS(L:L,R:R,1,E:E,E160)/SUMIFS(K:K,R:R,1,E:E,E160)*0.5,"Низшая четверть",IF(N160&lt;SUMIFS(L:L,R:R,1,E:E,E160)/SUMIFS(K:K,R:R,1,E:E,E160),"Вторая четверть","Больше половины"))</f>
        <v/>
      </c>
      <c r="X160">
        <f>IF(O160&lt;SUMIFS(M:M,R:R,1,E:E,E160)/SUMIFS(L:L,R:R,1,E:E,E160)*0.5,"Низшая четверть",IF(O160&lt;SUMIFS(M:M,R:R,1,E:E,E160)/SUMIFS(L:L,R:R,1,E:E,E160),"Вторая четверть","Больше половины"))</f>
        <v/>
      </c>
      <c r="Y160" t="n">
        <v>12</v>
      </c>
    </row>
    <row r="161">
      <c r="A161" s="1" t="inlineStr">
        <is>
          <t>31000970</t>
        </is>
      </c>
      <c r="B161" s="2" t="inlineStr">
        <is>
          <t>723105244</t>
        </is>
      </c>
      <c r="C161" s="3" t="inlineStr">
        <is>
          <t>Одежда для детей</t>
        </is>
      </c>
      <c r="D161" s="2" t="inlineStr">
        <is>
          <t>Футболки, майки, рубашки детские для мальчиков</t>
        </is>
      </c>
      <c r="E161" s="3" t="inlineStr">
        <is>
          <t>310 Футболка детская для мальчиков</t>
        </is>
      </c>
      <c r="F161" s="2" t="inlineStr">
        <is>
          <t>всесезонный</t>
        </is>
      </c>
      <c r="G161" s="3" t="inlineStr">
        <is>
          <t>kari</t>
        </is>
      </c>
      <c r="H161" s="2" t="inlineStr">
        <is>
          <t>Зиннуров Ильнур</t>
        </is>
      </c>
      <c r="J161" s="3" t="inlineStr">
        <is>
          <t>2026SS</t>
        </is>
      </c>
      <c r="K161" s="3" t="n">
        <v>38288</v>
      </c>
      <c r="L161" s="3" t="n">
        <v>2857</v>
      </c>
      <c r="M161" s="3" t="n">
        <v>52</v>
      </c>
      <c r="N161" s="4">
        <f>IFERROR(L161/K161,0)</f>
        <v/>
      </c>
      <c r="O161" s="4">
        <f>IFERROR(M161/L161,0)</f>
        <v/>
      </c>
      <c r="P161" t="n">
        <v>719</v>
      </c>
      <c r="Q161" s="5" t="n">
        <v>1</v>
      </c>
      <c r="R161" s="7" t="n">
        <v>1</v>
      </c>
      <c r="S161">
        <f>IF(OR(N161&lt;$T$1*0.5,O161&lt;$U$1*0.5),"код для проверки","нормальный код")</f>
        <v/>
      </c>
      <c r="T161">
        <f>IF(N161&lt;$T$1*0.5,"Низшая четверть",IF(N161&lt;$T$1,"Вторая четверть","Больше половины"))</f>
        <v/>
      </c>
      <c r="U161">
        <f>IF(O161&lt;$U$1*0.5,"Низшая четверть",IF(O161&lt;$U$1,"Вторая четверть","Больше половины"))</f>
        <v/>
      </c>
      <c r="V161">
        <f>IF(OR(N161&lt;SUMIFS(L:L,R:R,1,E:E,E161)/SUMIFS(K:K,R:R,1,E:E,E161)*0.5,O161&lt;SUMIFS(M:M,R:R,1,E:E,E161)/SUMIFS(L:L,R:R,1,E:E,E161)*0.5),"код для проверки","нормальный код")</f>
        <v/>
      </c>
      <c r="W161">
        <f>IF(N161&lt;SUMIFS(L:L,R:R,1,E:E,E161)/SUMIFS(K:K,R:R,1,E:E,E161)*0.5,"Низшая четверть",IF(N161&lt;SUMIFS(L:L,R:R,1,E:E,E161)/SUMIFS(K:K,R:R,1,E:E,E161),"Вторая четверть","Больше половины"))</f>
        <v/>
      </c>
      <c r="X161">
        <f>IF(O161&lt;SUMIFS(M:M,R:R,1,E:E,E161)/SUMIFS(L:L,R:R,1,E:E,E161)*0.5,"Низшая четверть",IF(O161&lt;SUMIFS(M:M,R:R,1,E:E,E161)/SUMIFS(L:L,R:R,1,E:E,E161),"Вторая четверть","Больше половины"))</f>
        <v/>
      </c>
      <c r="Y161" t="n">
        <v>17</v>
      </c>
    </row>
    <row r="162">
      <c r="A162" s="1" t="inlineStr">
        <is>
          <t>16800040</t>
        </is>
      </c>
      <c r="B162" s="2" t="inlineStr">
        <is>
          <t>732955478</t>
        </is>
      </c>
      <c r="C162" s="3" t="inlineStr">
        <is>
          <t>Одежда и аксессуары</t>
        </is>
      </c>
      <c r="D162" s="2" t="inlineStr">
        <is>
          <t>Головные уборы женские</t>
        </is>
      </c>
      <c r="E162" s="3" t="inlineStr">
        <is>
          <t>168 Шляпа женская летняя</t>
        </is>
      </c>
      <c r="F162" s="2" t="inlineStr">
        <is>
          <t>лето</t>
        </is>
      </c>
      <c r="G162" s="3" t="inlineStr">
        <is>
          <t>kari</t>
        </is>
      </c>
      <c r="H162" s="2" t="inlineStr">
        <is>
          <t>Никонорова Алина</t>
        </is>
      </c>
      <c r="J162" s="3" t="inlineStr">
        <is>
          <t>2026SS</t>
        </is>
      </c>
      <c r="K162" s="3" t="n">
        <v>38102</v>
      </c>
      <c r="L162" s="3" t="n">
        <v>2332</v>
      </c>
      <c r="M162" s="3" t="n">
        <v>46</v>
      </c>
      <c r="N162" s="4">
        <f>IFERROR(L162/K162,0)</f>
        <v/>
      </c>
      <c r="O162" s="4">
        <f>IFERROR(M162/L162,0)</f>
        <v/>
      </c>
      <c r="P162" t="n">
        <v>582</v>
      </c>
      <c r="Q162" s="5" t="n">
        <v>1</v>
      </c>
      <c r="R162" s="7" t="n">
        <v>1</v>
      </c>
      <c r="S162">
        <f>IF(OR(N162&lt;$T$1*0.5,O162&lt;$U$1*0.5),"код для проверки","нормальный код")</f>
        <v/>
      </c>
      <c r="T162">
        <f>IF(N162&lt;$T$1*0.5,"Низшая четверть",IF(N162&lt;$T$1,"Вторая четверть","Больше половины"))</f>
        <v/>
      </c>
      <c r="U162">
        <f>IF(O162&lt;$U$1*0.5,"Низшая четверть",IF(O162&lt;$U$1,"Вторая четверть","Больше половины"))</f>
        <v/>
      </c>
      <c r="V162">
        <f>IF(OR(N162&lt;SUMIFS(L:L,R:R,1,E:E,E162)/SUMIFS(K:K,R:R,1,E:E,E162)*0.5,O162&lt;SUMIFS(M:M,R:R,1,E:E,E162)/SUMIFS(L:L,R:R,1,E:E,E162)*0.5),"код для проверки","нормальный код")</f>
        <v/>
      </c>
      <c r="W162">
        <f>IF(N162&lt;SUMIFS(L:L,R:R,1,E:E,E162)/SUMIFS(K:K,R:R,1,E:E,E162)*0.5,"Низшая четверть",IF(N162&lt;SUMIFS(L:L,R:R,1,E:E,E162)/SUMIFS(K:K,R:R,1,E:E,E162),"Вторая четверть","Больше половины"))</f>
        <v/>
      </c>
      <c r="X162">
        <f>IF(O162&lt;SUMIFS(M:M,R:R,1,E:E,E162)/SUMIFS(L:L,R:R,1,E:E,E162)*0.5,"Низшая четверть",IF(O162&lt;SUMIFS(M:M,R:R,1,E:E,E162)/SUMIFS(L:L,R:R,1,E:E,E162),"Вторая четверть","Больше половины"))</f>
        <v/>
      </c>
      <c r="Y162" t="n">
        <v>17</v>
      </c>
    </row>
    <row r="163">
      <c r="A163" s="1" t="inlineStr">
        <is>
          <t>94400080</t>
        </is>
      </c>
      <c r="B163" s="2" t="inlineStr">
        <is>
          <t>773138725</t>
        </is>
      </c>
      <c r="C163" s="3" t="inlineStr">
        <is>
          <t>Одежда для детей</t>
        </is>
      </c>
      <c r="D163" s="2" t="inlineStr">
        <is>
          <t>Одежда для новорожденных</t>
        </is>
      </c>
      <c r="E163" s="3" t="inlineStr">
        <is>
          <t>944 Комплект одежды для маленькой девочки</t>
        </is>
      </c>
      <c r="F163" s="2" t="inlineStr">
        <is>
          <t>всесезонный</t>
        </is>
      </c>
      <c r="G163" s="3" t="inlineStr">
        <is>
          <t>Kari baby</t>
        </is>
      </c>
      <c r="H163" s="2" t="inlineStr">
        <is>
          <t>Зиннуров Ильнур</t>
        </is>
      </c>
      <c r="J163" s="3" t="inlineStr">
        <is>
          <t>2026SS</t>
        </is>
      </c>
      <c r="K163" s="3" t="n">
        <v>37977</v>
      </c>
      <c r="L163" s="3" t="n">
        <v>3875</v>
      </c>
      <c r="M163" s="3" t="n">
        <v>49</v>
      </c>
      <c r="N163" s="4">
        <f>IFERROR(L163/K163,0)</f>
        <v/>
      </c>
      <c r="O163" s="4">
        <f>IFERROR(M163/L163,0)</f>
        <v/>
      </c>
      <c r="P163" t="n">
        <v>557</v>
      </c>
      <c r="Q163" s="5" t="n">
        <v>1</v>
      </c>
      <c r="R163" s="7" t="n">
        <v>1</v>
      </c>
      <c r="S163">
        <f>IF(OR(N163&lt;$T$1*0.5,O163&lt;$U$1*0.5),"код для проверки","нормальный код")</f>
        <v/>
      </c>
      <c r="T163">
        <f>IF(N163&lt;$T$1*0.5,"Низшая четверть",IF(N163&lt;$T$1,"Вторая четверть","Больше половины"))</f>
        <v/>
      </c>
      <c r="U163">
        <f>IF(O163&lt;$U$1*0.5,"Низшая четверть",IF(O163&lt;$U$1,"Вторая четверть","Больше половины"))</f>
        <v/>
      </c>
      <c r="V163">
        <f>IF(OR(N163&lt;SUMIFS(L:L,R:R,1,E:E,E163)/SUMIFS(K:K,R:R,1,E:E,E163)*0.5,O163&lt;SUMIFS(M:M,R:R,1,E:E,E163)/SUMIFS(L:L,R:R,1,E:E,E163)*0.5),"код для проверки","нормальный код")</f>
        <v/>
      </c>
      <c r="W163">
        <f>IF(N163&lt;SUMIFS(L:L,R:R,1,E:E,E163)/SUMIFS(K:K,R:R,1,E:E,E163)*0.5,"Низшая четверть",IF(N163&lt;SUMIFS(L:L,R:R,1,E:E,E163)/SUMIFS(K:K,R:R,1,E:E,E163),"Вторая четверть","Больше половины"))</f>
        <v/>
      </c>
      <c r="X163">
        <f>IF(O163&lt;SUMIFS(M:M,R:R,1,E:E,E163)/SUMIFS(L:L,R:R,1,E:E,E163)*0.5,"Низшая четверть",IF(O163&lt;SUMIFS(M:M,R:R,1,E:E,E163)/SUMIFS(L:L,R:R,1,E:E,E163),"Вторая четверть","Больше половины"))</f>
        <v/>
      </c>
      <c r="Y163" t="n">
        <v>25</v>
      </c>
    </row>
    <row r="164">
      <c r="A164" s="1" t="inlineStr">
        <is>
          <t>20100280</t>
        </is>
      </c>
      <c r="B164" s="2" t="inlineStr">
        <is>
          <t>881347499</t>
        </is>
      </c>
      <c r="C164" s="3" t="inlineStr">
        <is>
          <t>Одежда для детей</t>
        </is>
      </c>
      <c r="D164" s="2" t="inlineStr">
        <is>
          <t>Головные детские уборы для девочек</t>
        </is>
      </c>
      <c r="E164" s="3" t="inlineStr">
        <is>
          <t>201 Бейсболка детская для девочек</t>
        </is>
      </c>
      <c r="F164" s="2" t="inlineStr">
        <is>
          <t>весна, лето</t>
        </is>
      </c>
      <c r="G164" s="3" t="inlineStr">
        <is>
          <t>kari</t>
        </is>
      </c>
      <c r="H164" s="2" t="inlineStr">
        <is>
          <t>Никонорова Алина</t>
        </is>
      </c>
      <c r="J164" s="3" t="inlineStr">
        <is>
          <t>2026SS</t>
        </is>
      </c>
      <c r="K164" s="3" t="n">
        <v>37679</v>
      </c>
      <c r="L164" s="3" t="n">
        <v>2300</v>
      </c>
      <c r="M164" s="3" t="n">
        <v>56</v>
      </c>
      <c r="N164" s="4">
        <f>IFERROR(L164/K164,0)</f>
        <v/>
      </c>
      <c r="O164" s="4">
        <f>IFERROR(M164/L164,0)</f>
        <v/>
      </c>
      <c r="P164" t="n">
        <v>466</v>
      </c>
      <c r="Q164" s="5" t="n">
        <v>1</v>
      </c>
      <c r="R164" s="7" t="n">
        <v>1</v>
      </c>
      <c r="S164">
        <f>IF(OR(N164&lt;$T$1*0.5,O164&lt;$U$1*0.5),"код для проверки","нормальный код")</f>
        <v/>
      </c>
      <c r="T164">
        <f>IF(N164&lt;$T$1*0.5,"Низшая четверть",IF(N164&lt;$T$1,"Вторая четверть","Больше половины"))</f>
        <v/>
      </c>
      <c r="U164">
        <f>IF(O164&lt;$U$1*0.5,"Низшая четверть",IF(O164&lt;$U$1,"Вторая четверть","Больше половины"))</f>
        <v/>
      </c>
      <c r="V164">
        <f>IF(OR(N164&lt;SUMIFS(L:L,R:R,1,E:E,E164)/SUMIFS(K:K,R:R,1,E:E,E164)*0.5,O164&lt;SUMIFS(M:M,R:R,1,E:E,E164)/SUMIFS(L:L,R:R,1,E:E,E164)*0.5),"код для проверки","нормальный код")</f>
        <v/>
      </c>
      <c r="W164">
        <f>IF(N164&lt;SUMIFS(L:L,R:R,1,E:E,E164)/SUMIFS(K:K,R:R,1,E:E,E164)*0.5,"Низшая четверть",IF(N164&lt;SUMIFS(L:L,R:R,1,E:E,E164)/SUMIFS(K:K,R:R,1,E:E,E164),"Вторая четверть","Больше половины"))</f>
        <v/>
      </c>
      <c r="X164">
        <f>IF(O164&lt;SUMIFS(M:M,R:R,1,E:E,E164)/SUMIFS(L:L,R:R,1,E:E,E164)*0.5,"Низшая четверть",IF(O164&lt;SUMIFS(M:M,R:R,1,E:E,E164)/SUMIFS(L:L,R:R,1,E:E,E164),"Вторая четверть","Больше половины"))</f>
        <v/>
      </c>
      <c r="Y164" t="n">
        <v>8</v>
      </c>
    </row>
    <row r="165">
      <c r="A165" s="1" t="inlineStr">
        <is>
          <t>18108140</t>
        </is>
      </c>
      <c r="B165" s="2" t="inlineStr">
        <is>
          <t>325157109</t>
        </is>
      </c>
      <c r="C165" s="3" t="inlineStr">
        <is>
          <t>Одежда для детей</t>
        </is>
      </c>
      <c r="D165" s="2" t="inlineStr">
        <is>
          <t>Джинсы детские для девочек</t>
        </is>
      </c>
      <c r="E165" s="3" t="inlineStr">
        <is>
          <t>181 Джинсы детские для девочек</t>
        </is>
      </c>
      <c r="F165" s="2" t="inlineStr">
        <is>
          <t>всесезонный</t>
        </is>
      </c>
      <c r="G165" s="3" t="inlineStr">
        <is>
          <t>kari</t>
        </is>
      </c>
      <c r="H165" s="2" t="inlineStr">
        <is>
          <t>Зиннуров Ильнур</t>
        </is>
      </c>
      <c r="J165" s="3" t="inlineStr">
        <is>
          <t>2026SS</t>
        </is>
      </c>
      <c r="K165" s="3" t="n">
        <v>37630</v>
      </c>
      <c r="L165" s="3" t="n">
        <v>2516</v>
      </c>
      <c r="M165" s="3" t="n">
        <v>59</v>
      </c>
      <c r="N165" s="4">
        <f>IFERROR(L165/K165,0)</f>
        <v/>
      </c>
      <c r="O165" s="4">
        <f>IFERROR(M165/L165,0)</f>
        <v/>
      </c>
      <c r="P165" t="n">
        <v>415</v>
      </c>
      <c r="Q165" s="5" t="n">
        <v>1</v>
      </c>
      <c r="R165" s="7" t="n">
        <v>1</v>
      </c>
      <c r="S165">
        <f>IF(OR(N165&lt;$T$1*0.5,O165&lt;$U$1*0.5),"код для проверки","нормальный код")</f>
        <v/>
      </c>
      <c r="T165">
        <f>IF(N165&lt;$T$1*0.5,"Низшая четверть",IF(N165&lt;$T$1,"Вторая четверть","Больше половины"))</f>
        <v/>
      </c>
      <c r="U165">
        <f>IF(O165&lt;$U$1*0.5,"Низшая четверть",IF(O165&lt;$U$1,"Вторая четверть","Больше половины"))</f>
        <v/>
      </c>
      <c r="V165">
        <f>IF(OR(N165&lt;SUMIFS(L:L,R:R,1,E:E,E165)/SUMIFS(K:K,R:R,1,E:E,E165)*0.5,O165&lt;SUMIFS(M:M,R:R,1,E:E,E165)/SUMIFS(L:L,R:R,1,E:E,E165)*0.5),"код для проверки","нормальный код")</f>
        <v/>
      </c>
      <c r="W165">
        <f>IF(N165&lt;SUMIFS(L:L,R:R,1,E:E,E165)/SUMIFS(K:K,R:R,1,E:E,E165)*0.5,"Низшая четверть",IF(N165&lt;SUMIFS(L:L,R:R,1,E:E,E165)/SUMIFS(K:K,R:R,1,E:E,E165),"Вторая четверть","Больше половины"))</f>
        <v/>
      </c>
      <c r="X165">
        <f>IF(O165&lt;SUMIFS(M:M,R:R,1,E:E,E165)/SUMIFS(L:L,R:R,1,E:E,E165)*0.5,"Низшая четверть",IF(O165&lt;SUMIFS(M:M,R:R,1,E:E,E165)/SUMIFS(L:L,R:R,1,E:E,E165),"Вторая четверть","Больше половины"))</f>
        <v/>
      </c>
      <c r="Y165" t="n">
        <v>21</v>
      </c>
    </row>
    <row r="166">
      <c r="A166" s="1" t="inlineStr">
        <is>
          <t>18408130</t>
        </is>
      </c>
      <c r="B166" s="2" t="inlineStr">
        <is>
          <t>341720414</t>
        </is>
      </c>
      <c r="C166" s="3" t="inlineStr">
        <is>
          <t>Одежда и аксессуары</t>
        </is>
      </c>
      <c r="D166" s="2" t="inlineStr">
        <is>
          <t>Майки и платья женские</t>
        </is>
      </c>
      <c r="E166" s="3" t="inlineStr">
        <is>
          <t>184 Женская футболка</t>
        </is>
      </c>
      <c r="F166" s="2" t="inlineStr">
        <is>
          <t>всесезонный</t>
        </is>
      </c>
      <c r="G166" s="3" t="inlineStr">
        <is>
          <t>kari</t>
        </is>
      </c>
      <c r="H166" s="2" t="inlineStr">
        <is>
          <t>Зиннуров Ильнур</t>
        </is>
      </c>
      <c r="J166" s="3" t="inlineStr">
        <is>
          <t>2026SS</t>
        </is>
      </c>
      <c r="K166" s="3" t="n">
        <v>37493</v>
      </c>
      <c r="L166" s="3" t="n">
        <v>1510</v>
      </c>
      <c r="M166" s="3" t="n">
        <v>12</v>
      </c>
      <c r="N166" s="4">
        <f>IFERROR(L166/K166,0)</f>
        <v/>
      </c>
      <c r="O166" s="4">
        <f>IFERROR(M166/L166,0)</f>
        <v/>
      </c>
      <c r="P166" t="n">
        <v>120</v>
      </c>
      <c r="Q166" s="5" t="n">
        <v>0.8</v>
      </c>
      <c r="R166" s="7" t="n">
        <v>1</v>
      </c>
      <c r="S166">
        <f>IF(OR(N166&lt;$T$1*0.5,O166&lt;$U$1*0.5),"код для проверки","нормальный код")</f>
        <v/>
      </c>
      <c r="T166">
        <f>IF(N166&lt;$T$1*0.5,"Низшая четверть",IF(N166&lt;$T$1,"Вторая четверть","Больше половины"))</f>
        <v/>
      </c>
      <c r="U166">
        <f>IF(O166&lt;$U$1*0.5,"Низшая четверть",IF(O166&lt;$U$1,"Вторая четверть","Больше половины"))</f>
        <v/>
      </c>
      <c r="V166">
        <f>IF(OR(N166&lt;SUMIFS(L:L,R:R,1,E:E,E166)/SUMIFS(K:K,R:R,1,E:E,E166)*0.5,O166&lt;SUMIFS(M:M,R:R,1,E:E,E166)/SUMIFS(L:L,R:R,1,E:E,E166)*0.5),"код для проверки","нормальный код")</f>
        <v/>
      </c>
      <c r="W166">
        <f>IF(N166&lt;SUMIFS(L:L,R:R,1,E:E,E166)/SUMIFS(K:K,R:R,1,E:E,E166)*0.5,"Низшая четверть",IF(N166&lt;SUMIFS(L:L,R:R,1,E:E,E166)/SUMIFS(K:K,R:R,1,E:E,E166),"Вторая четверть","Больше половины"))</f>
        <v/>
      </c>
      <c r="X166">
        <f>IF(O166&lt;SUMIFS(M:M,R:R,1,E:E,E166)/SUMIFS(L:L,R:R,1,E:E,E166)*0.5,"Низшая четверть",IF(O166&lt;SUMIFS(M:M,R:R,1,E:E,E166)/SUMIFS(L:L,R:R,1,E:E,E166),"Вторая четверть","Больше половины"))</f>
        <v/>
      </c>
      <c r="Y166" t="n">
        <v>8</v>
      </c>
    </row>
    <row r="167">
      <c r="A167" s="1" t="inlineStr">
        <is>
          <t>18108200</t>
        </is>
      </c>
      <c r="B167" s="2" t="inlineStr">
        <is>
          <t>325157066</t>
        </is>
      </c>
      <c r="C167" s="3" t="inlineStr">
        <is>
          <t>Одежда для детей</t>
        </is>
      </c>
      <c r="D167" s="2" t="inlineStr">
        <is>
          <t>Джинсы детские для девочек</t>
        </is>
      </c>
      <c r="E167" s="3" t="inlineStr">
        <is>
          <t>181 Джинсы детские для девочек</t>
        </is>
      </c>
      <c r="F167" s="2" t="inlineStr">
        <is>
          <t>всесезонный</t>
        </is>
      </c>
      <c r="G167" s="3" t="inlineStr">
        <is>
          <t>Kari KIDS</t>
        </is>
      </c>
      <c r="H167" s="2" t="inlineStr">
        <is>
          <t>Зиннуров Ильнур</t>
        </is>
      </c>
      <c r="J167" s="3" t="inlineStr">
        <is>
          <t>2026SS</t>
        </is>
      </c>
      <c r="K167" s="3" t="n">
        <v>37467</v>
      </c>
      <c r="L167" s="3" t="n">
        <v>5070</v>
      </c>
      <c r="M167" s="3" t="n">
        <v>42</v>
      </c>
      <c r="N167" s="4">
        <f>IFERROR(L167/K167,0)</f>
        <v/>
      </c>
      <c r="O167" s="4">
        <f>IFERROR(M167/L167,0)</f>
        <v/>
      </c>
      <c r="P167" t="n">
        <v>858</v>
      </c>
      <c r="Q167" s="5" t="n">
        <v>1</v>
      </c>
      <c r="R167" s="7" t="n">
        <v>1</v>
      </c>
      <c r="S167">
        <f>IF(OR(N167&lt;$T$1*0.5,O167&lt;$U$1*0.5),"код для проверки","нормальный код")</f>
        <v/>
      </c>
      <c r="T167">
        <f>IF(N167&lt;$T$1*0.5,"Низшая четверть",IF(N167&lt;$T$1,"Вторая четверть","Больше половины"))</f>
        <v/>
      </c>
      <c r="U167">
        <f>IF(O167&lt;$U$1*0.5,"Низшая четверть",IF(O167&lt;$U$1,"Вторая четверть","Больше половины"))</f>
        <v/>
      </c>
      <c r="V167">
        <f>IF(OR(N167&lt;SUMIFS(L:L,R:R,1,E:E,E167)/SUMIFS(K:K,R:R,1,E:E,E167)*0.5,O167&lt;SUMIFS(M:M,R:R,1,E:E,E167)/SUMIFS(L:L,R:R,1,E:E,E167)*0.5),"код для проверки","нормальный код")</f>
        <v/>
      </c>
      <c r="W167">
        <f>IF(N167&lt;SUMIFS(L:L,R:R,1,E:E,E167)/SUMIFS(K:K,R:R,1,E:E,E167)*0.5,"Низшая четверть",IF(N167&lt;SUMIFS(L:L,R:R,1,E:E,E167)/SUMIFS(K:K,R:R,1,E:E,E167),"Вторая четверть","Больше половины"))</f>
        <v/>
      </c>
      <c r="X167">
        <f>IF(O167&lt;SUMIFS(M:M,R:R,1,E:E,E167)/SUMIFS(L:L,R:R,1,E:E,E167)*0.5,"Низшая четверть",IF(O167&lt;SUMIFS(M:M,R:R,1,E:E,E167)/SUMIFS(L:L,R:R,1,E:E,E167),"Вторая четверть","Больше половины"))</f>
        <v/>
      </c>
      <c r="Y167" t="n">
        <v>20</v>
      </c>
    </row>
    <row r="168">
      <c r="A168" s="1" t="inlineStr">
        <is>
          <t>18400170</t>
        </is>
      </c>
      <c r="B168" s="2" t="inlineStr">
        <is>
          <t>754451672</t>
        </is>
      </c>
      <c r="C168" s="3" t="inlineStr">
        <is>
          <t>Одежда и аксессуары</t>
        </is>
      </c>
      <c r="D168" s="2" t="inlineStr">
        <is>
          <t>Майки и платья женские</t>
        </is>
      </c>
      <c r="E168" s="3" t="inlineStr">
        <is>
          <t>184 Женская футболка</t>
        </is>
      </c>
      <c r="F168" s="2" t="inlineStr">
        <is>
          <t>всесезонный</t>
        </is>
      </c>
      <c r="G168" s="3" t="inlineStr">
        <is>
          <t>kari</t>
        </is>
      </c>
      <c r="H168" s="2" t="inlineStr">
        <is>
          <t>Зиннуров Ильнур</t>
        </is>
      </c>
      <c r="J168" s="3" t="inlineStr">
        <is>
          <t>2026SS</t>
        </is>
      </c>
      <c r="K168" s="3" t="n">
        <v>37334</v>
      </c>
      <c r="L168" s="3" t="n">
        <v>3241</v>
      </c>
      <c r="M168" s="3" t="n">
        <v>64</v>
      </c>
      <c r="N168" s="4">
        <f>IFERROR(L168/K168,0)</f>
        <v/>
      </c>
      <c r="O168" s="4">
        <f>IFERROR(M168/L168,0)</f>
        <v/>
      </c>
      <c r="P168" t="n">
        <v>452</v>
      </c>
      <c r="Q168" s="5" t="n">
        <v>1</v>
      </c>
      <c r="R168" s="7" t="n">
        <v>1</v>
      </c>
      <c r="S168">
        <f>IF(OR(N168&lt;$T$1*0.5,O168&lt;$U$1*0.5),"код для проверки","нормальный код")</f>
        <v/>
      </c>
      <c r="T168">
        <f>IF(N168&lt;$T$1*0.5,"Низшая четверть",IF(N168&lt;$T$1,"Вторая четверть","Больше половины"))</f>
        <v/>
      </c>
      <c r="U168">
        <f>IF(O168&lt;$U$1*0.5,"Низшая четверть",IF(O168&lt;$U$1,"Вторая четверть","Больше половины"))</f>
        <v/>
      </c>
      <c r="V168">
        <f>IF(OR(N168&lt;SUMIFS(L:L,R:R,1,E:E,E168)/SUMIFS(K:K,R:R,1,E:E,E168)*0.5,O168&lt;SUMIFS(M:M,R:R,1,E:E,E168)/SUMIFS(L:L,R:R,1,E:E,E168)*0.5),"код для проверки","нормальный код")</f>
        <v/>
      </c>
      <c r="W168">
        <f>IF(N168&lt;SUMIFS(L:L,R:R,1,E:E,E168)/SUMIFS(K:K,R:R,1,E:E,E168)*0.5,"Низшая четверть",IF(N168&lt;SUMIFS(L:L,R:R,1,E:E,E168)/SUMIFS(K:K,R:R,1,E:E,E168),"Вторая четверть","Больше половины"))</f>
        <v/>
      </c>
      <c r="X168">
        <f>IF(O168&lt;SUMIFS(M:M,R:R,1,E:E,E168)/SUMIFS(L:L,R:R,1,E:E,E168)*0.5,"Низшая четверть",IF(O168&lt;SUMIFS(M:M,R:R,1,E:E,E168)/SUMIFS(L:L,R:R,1,E:E,E168),"Вторая четверть","Больше половины"))</f>
        <v/>
      </c>
      <c r="Y168" t="n">
        <v>17</v>
      </c>
    </row>
    <row r="169">
      <c r="A169" s="1" t="inlineStr">
        <is>
          <t>23408200</t>
        </is>
      </c>
      <c r="B169" s="2" t="inlineStr">
        <is>
          <t>373110894</t>
        </is>
      </c>
      <c r="C169" s="3" t="inlineStr">
        <is>
          <t>Одежда для детей</t>
        </is>
      </c>
      <c r="D169" s="2" t="inlineStr">
        <is>
          <t>Чулочные и носочные детские изделия для девочек</t>
        </is>
      </c>
      <c r="E169" s="3" t="inlineStr">
        <is>
          <t>234 Колготки детские для девочек</t>
        </is>
      </c>
      <c r="F169" s="2" t="inlineStr">
        <is>
          <t>всесезонный</t>
        </is>
      </c>
      <c r="G169" s="3" t="inlineStr">
        <is>
          <t>kari</t>
        </is>
      </c>
      <c r="H169" s="2" t="inlineStr">
        <is>
          <t>Зиннуров Ильнур</t>
        </is>
      </c>
      <c r="J169" s="3" t="inlineStr">
        <is>
          <t>2026SS</t>
        </is>
      </c>
      <c r="K169" s="3" t="n">
        <v>37278</v>
      </c>
      <c r="L169" s="3" t="n">
        <v>5062</v>
      </c>
      <c r="M169" s="3" t="n">
        <v>1157</v>
      </c>
      <c r="N169" s="4">
        <f>IFERROR(L169/K169,0)</f>
        <v/>
      </c>
      <c r="O169" s="4">
        <f>IFERROR(M169/L169,0)</f>
        <v/>
      </c>
      <c r="P169" t="n">
        <v>3537</v>
      </c>
      <c r="Q169" s="5" t="n">
        <v>1</v>
      </c>
      <c r="R169" s="7" t="n">
        <v>1</v>
      </c>
      <c r="S169">
        <f>IF(OR(N169&lt;$T$1*0.5,O169&lt;$U$1*0.5),"код для проверки","нормальный код")</f>
        <v/>
      </c>
      <c r="T169">
        <f>IF(N169&lt;$T$1*0.5,"Низшая четверть",IF(N169&lt;$T$1,"Вторая четверть","Больше половины"))</f>
        <v/>
      </c>
      <c r="U169">
        <f>IF(O169&lt;$U$1*0.5,"Низшая четверть",IF(O169&lt;$U$1,"Вторая четверть","Больше половины"))</f>
        <v/>
      </c>
      <c r="V169">
        <f>IF(OR(N169&lt;SUMIFS(L:L,R:R,1,E:E,E169)/SUMIFS(K:K,R:R,1,E:E,E169)*0.5,O169&lt;SUMIFS(M:M,R:R,1,E:E,E169)/SUMIFS(L:L,R:R,1,E:E,E169)*0.5),"код для проверки","нормальный код")</f>
        <v/>
      </c>
      <c r="W169">
        <f>IF(N169&lt;SUMIFS(L:L,R:R,1,E:E,E169)/SUMIFS(K:K,R:R,1,E:E,E169)*0.5,"Низшая четверть",IF(N169&lt;SUMIFS(L:L,R:R,1,E:E,E169)/SUMIFS(K:K,R:R,1,E:E,E169),"Вторая четверть","Больше половины"))</f>
        <v/>
      </c>
      <c r="X169">
        <f>IF(O169&lt;SUMIFS(M:M,R:R,1,E:E,E169)/SUMIFS(L:L,R:R,1,E:E,E169)*0.5,"Низшая четверть",IF(O169&lt;SUMIFS(M:M,R:R,1,E:E,E169)/SUMIFS(L:L,R:R,1,E:E,E169),"Вторая четверть","Больше половины"))</f>
        <v/>
      </c>
      <c r="Y169" t="n">
        <v>5</v>
      </c>
    </row>
    <row r="170">
      <c r="A170" s="1" t="inlineStr">
        <is>
          <t>42400090</t>
        </is>
      </c>
      <c r="B170" s="2" t="inlineStr">
        <is>
          <t>790046360</t>
        </is>
      </c>
      <c r="C170" s="3" t="inlineStr">
        <is>
          <t>Одежда для детей</t>
        </is>
      </c>
      <c r="D170" s="2" t="inlineStr">
        <is>
          <t>Одежда для новорожденных</t>
        </is>
      </c>
      <c r="E170" s="3" t="inlineStr">
        <is>
          <t>424 Комбинезон для новорожденных утепленный</t>
        </is>
      </c>
      <c r="F170" s="2" t="inlineStr">
        <is>
          <t>весна, осень, зима</t>
        </is>
      </c>
      <c r="G170" s="3" t="inlineStr">
        <is>
          <t>Kari baby</t>
        </is>
      </c>
      <c r="H170" s="2" t="inlineStr">
        <is>
          <t>Зиннуров Ильнур</t>
        </is>
      </c>
      <c r="J170" s="3" t="inlineStr">
        <is>
          <t>2026SS</t>
        </is>
      </c>
      <c r="K170" s="3" t="n">
        <v>37266</v>
      </c>
      <c r="L170" s="3" t="n">
        <v>4167</v>
      </c>
      <c r="M170" s="3" t="n">
        <v>52</v>
      </c>
      <c r="N170" s="4">
        <f>IFERROR(L170/K170,0)</f>
        <v/>
      </c>
      <c r="O170" s="4">
        <f>IFERROR(M170/L170,0)</f>
        <v/>
      </c>
      <c r="P170" t="n">
        <v>266</v>
      </c>
      <c r="Q170" s="5" t="n">
        <v>0.8333333333333334</v>
      </c>
      <c r="R170" s="7" t="n">
        <v>1</v>
      </c>
      <c r="S170">
        <f>IF(OR(N170&lt;$T$1*0.5,O170&lt;$U$1*0.5),"код для проверки","нормальный код")</f>
        <v/>
      </c>
      <c r="T170">
        <f>IF(N170&lt;$T$1*0.5,"Низшая четверть",IF(N170&lt;$T$1,"Вторая четверть","Больше половины"))</f>
        <v/>
      </c>
      <c r="U170">
        <f>IF(O170&lt;$U$1*0.5,"Низшая четверть",IF(O170&lt;$U$1,"Вторая четверть","Больше половины"))</f>
        <v/>
      </c>
      <c r="V170">
        <f>IF(OR(N170&lt;SUMIFS(L:L,R:R,1,E:E,E170)/SUMIFS(K:K,R:R,1,E:E,E170)*0.5,O170&lt;SUMIFS(M:M,R:R,1,E:E,E170)/SUMIFS(L:L,R:R,1,E:E,E170)*0.5),"код для проверки","нормальный код")</f>
        <v/>
      </c>
      <c r="W170">
        <f>IF(N170&lt;SUMIFS(L:L,R:R,1,E:E,E170)/SUMIFS(K:K,R:R,1,E:E,E170)*0.5,"Низшая четверть",IF(N170&lt;SUMIFS(L:L,R:R,1,E:E,E170)/SUMIFS(K:K,R:R,1,E:E,E170),"Вторая четверть","Больше половины"))</f>
        <v/>
      </c>
      <c r="X170">
        <f>IF(O170&lt;SUMIFS(M:M,R:R,1,E:E,E170)/SUMIFS(L:L,R:R,1,E:E,E170)*0.5,"Низшая четверть",IF(O170&lt;SUMIFS(M:M,R:R,1,E:E,E170)/SUMIFS(L:L,R:R,1,E:E,E170),"Вторая четверть","Больше половины"))</f>
        <v/>
      </c>
      <c r="Y170" t="n">
        <v>17</v>
      </c>
    </row>
    <row r="171">
      <c r="A171" s="1" t="inlineStr">
        <is>
          <t>30200240</t>
        </is>
      </c>
      <c r="B171" s="2" t="inlineStr">
        <is>
          <t>701616700</t>
        </is>
      </c>
      <c r="C171" s="3" t="inlineStr">
        <is>
          <t>Одежда для детей</t>
        </is>
      </c>
      <c r="D171" s="2" t="inlineStr">
        <is>
          <t>Платья, майки, футболки детские для девочек</t>
        </is>
      </c>
      <c r="E171" s="3" t="inlineStr">
        <is>
          <t>302 Юбка детская для девочек</t>
        </is>
      </c>
      <c r="F171" s="2" t="inlineStr">
        <is>
          <t>всесезонный</t>
        </is>
      </c>
      <c r="G171" s="3" t="inlineStr">
        <is>
          <t>Kari KIDS</t>
        </is>
      </c>
      <c r="H171" s="2" t="inlineStr">
        <is>
          <t>Зиннуров Ильнур</t>
        </is>
      </c>
      <c r="J171" s="3" t="inlineStr">
        <is>
          <t>2026SS</t>
        </is>
      </c>
      <c r="K171" s="3" t="n">
        <v>37244</v>
      </c>
      <c r="L171" s="3" t="n">
        <v>2529</v>
      </c>
      <c r="M171" s="3" t="n">
        <v>40</v>
      </c>
      <c r="N171" s="4">
        <f>IFERROR(L171/K171,0)</f>
        <v/>
      </c>
      <c r="O171" s="4">
        <f>IFERROR(M171/L171,0)</f>
        <v/>
      </c>
      <c r="P171" t="n">
        <v>144</v>
      </c>
      <c r="Q171" s="5" t="n">
        <v>0.6</v>
      </c>
      <c r="R171" s="7" t="n">
        <v>1</v>
      </c>
      <c r="S171">
        <f>IF(OR(N171&lt;$T$1*0.5,O171&lt;$U$1*0.5),"код для проверки","нормальный код")</f>
        <v/>
      </c>
      <c r="T171">
        <f>IF(N171&lt;$T$1*0.5,"Низшая четверть",IF(N171&lt;$T$1,"Вторая четверть","Больше половины"))</f>
        <v/>
      </c>
      <c r="U171">
        <f>IF(O171&lt;$U$1*0.5,"Низшая четверть",IF(O171&lt;$U$1,"Вторая четверть","Больше половины"))</f>
        <v/>
      </c>
      <c r="V171">
        <f>IF(OR(N171&lt;SUMIFS(L:L,R:R,1,E:E,E171)/SUMIFS(K:K,R:R,1,E:E,E171)*0.5,O171&lt;SUMIFS(M:M,R:R,1,E:E,E171)/SUMIFS(L:L,R:R,1,E:E,E171)*0.5),"код для проверки","нормальный код")</f>
        <v/>
      </c>
      <c r="W171">
        <f>IF(N171&lt;SUMIFS(L:L,R:R,1,E:E,E171)/SUMIFS(K:K,R:R,1,E:E,E171)*0.5,"Низшая четверть",IF(N171&lt;SUMIFS(L:L,R:R,1,E:E,E171)/SUMIFS(K:K,R:R,1,E:E,E171),"Вторая четверть","Больше половины"))</f>
        <v/>
      </c>
      <c r="X171">
        <f>IF(O171&lt;SUMIFS(M:M,R:R,1,E:E,E171)/SUMIFS(L:L,R:R,1,E:E,E171)*0.5,"Низшая четверть",IF(O171&lt;SUMIFS(M:M,R:R,1,E:E,E171)/SUMIFS(L:L,R:R,1,E:E,E171),"Вторая четверть","Больше половины"))</f>
        <v/>
      </c>
      <c r="Y171" t="n">
        <v>20</v>
      </c>
    </row>
    <row r="172">
      <c r="A172" s="1" t="inlineStr">
        <is>
          <t>14408980</t>
        </is>
      </c>
      <c r="B172" s="2" t="inlineStr">
        <is>
          <t>355550922</t>
        </is>
      </c>
      <c r="C172" s="3" t="inlineStr">
        <is>
          <t>Одежда и аксессуары</t>
        </is>
      </c>
      <c r="D172" s="2" t="inlineStr">
        <is>
          <t>Шарфы женские</t>
        </is>
      </c>
      <c r="E172" s="3" t="inlineStr">
        <is>
          <t>144 Шарф летний женский</t>
        </is>
      </c>
      <c r="F172" s="2" t="inlineStr">
        <is>
          <t>весна, лето</t>
        </is>
      </c>
      <c r="G172" s="3" t="inlineStr">
        <is>
          <t>kari</t>
        </is>
      </c>
      <c r="H172" s="2" t="inlineStr">
        <is>
          <t>Никонорова Алина</t>
        </is>
      </c>
      <c r="J172" s="3" t="inlineStr">
        <is>
          <t>2026SS</t>
        </is>
      </c>
      <c r="K172" s="3" t="n">
        <v>37162</v>
      </c>
      <c r="L172" s="3" t="n">
        <v>11456</v>
      </c>
      <c r="M172" s="3" t="n">
        <v>161</v>
      </c>
      <c r="N172" s="4">
        <f>IFERROR(L172/K172,0)</f>
        <v/>
      </c>
      <c r="O172" s="4">
        <f>IFERROR(M172/L172,0)</f>
        <v/>
      </c>
      <c r="P172" t="n">
        <v>340</v>
      </c>
      <c r="Q172" s="5" t="n">
        <v>1</v>
      </c>
      <c r="R172" s="7" t="n">
        <v>1</v>
      </c>
      <c r="S172">
        <f>IF(OR(N172&lt;$T$1*0.5,O172&lt;$U$1*0.5),"код для проверки","нормальный код")</f>
        <v/>
      </c>
      <c r="T172">
        <f>IF(N172&lt;$T$1*0.5,"Низшая четверть",IF(N172&lt;$T$1,"Вторая четверть","Больше половины"))</f>
        <v/>
      </c>
      <c r="U172">
        <f>IF(O172&lt;$U$1*0.5,"Низшая четверть",IF(O172&lt;$U$1,"Вторая четверть","Больше половины"))</f>
        <v/>
      </c>
      <c r="V172">
        <f>IF(OR(N172&lt;SUMIFS(L:L,R:R,1,E:E,E172)/SUMIFS(K:K,R:R,1,E:E,E172)*0.5,O172&lt;SUMIFS(M:M,R:R,1,E:E,E172)/SUMIFS(L:L,R:R,1,E:E,E172)*0.5),"код для проверки","нормальный код")</f>
        <v/>
      </c>
      <c r="W172">
        <f>IF(N172&lt;SUMIFS(L:L,R:R,1,E:E,E172)/SUMIFS(K:K,R:R,1,E:E,E172)*0.5,"Низшая четверть",IF(N172&lt;SUMIFS(L:L,R:R,1,E:E,E172)/SUMIFS(K:K,R:R,1,E:E,E172),"Вторая четверть","Больше половины"))</f>
        <v/>
      </c>
      <c r="X172">
        <f>IF(O172&lt;SUMIFS(M:M,R:R,1,E:E,E172)/SUMIFS(L:L,R:R,1,E:E,E172)*0.5,"Низшая четверть",IF(O172&lt;SUMIFS(M:M,R:R,1,E:E,E172)/SUMIFS(L:L,R:R,1,E:E,E172),"Вторая четверть","Больше половины"))</f>
        <v/>
      </c>
      <c r="Y172" t="n">
        <v>16</v>
      </c>
    </row>
    <row r="173">
      <c r="A173" s="1" t="inlineStr">
        <is>
          <t>31000950</t>
        </is>
      </c>
      <c r="B173" s="2" t="inlineStr">
        <is>
          <t>833589305</t>
        </is>
      </c>
      <c r="C173" s="3" t="inlineStr">
        <is>
          <t>Одежда для детей</t>
        </is>
      </c>
      <c r="D173" s="2" t="inlineStr">
        <is>
          <t>Футболки, майки, рубашки детские для мальчиков</t>
        </is>
      </c>
      <c r="E173" s="3" t="inlineStr">
        <is>
          <t>310 Футболка детская для мальчиков</t>
        </is>
      </c>
      <c r="F173" s="2" t="inlineStr">
        <is>
          <t>всесезонный</t>
        </is>
      </c>
      <c r="G173" s="3" t="inlineStr">
        <is>
          <t>Kari KIDS</t>
        </is>
      </c>
      <c r="H173" s="2" t="inlineStr">
        <is>
          <t>Зиннуров Ильнур</t>
        </is>
      </c>
      <c r="J173" s="3" t="inlineStr">
        <is>
          <t>2026SS</t>
        </is>
      </c>
      <c r="K173" s="3" t="n">
        <v>37024</v>
      </c>
      <c r="L173" s="3" t="n">
        <v>2359</v>
      </c>
      <c r="M173" s="3" t="n">
        <v>105</v>
      </c>
      <c r="N173" s="4">
        <f>IFERROR(L173/K173,0)</f>
        <v/>
      </c>
      <c r="O173" s="4">
        <f>IFERROR(M173/L173,0)</f>
        <v/>
      </c>
      <c r="P173" t="n">
        <v>1405</v>
      </c>
      <c r="Q173" s="5" t="n">
        <v>1</v>
      </c>
      <c r="R173" s="7" t="n">
        <v>1</v>
      </c>
      <c r="S173">
        <f>IF(OR(N173&lt;$T$1*0.5,O173&lt;$U$1*0.5),"код для проверки","нормальный код")</f>
        <v/>
      </c>
      <c r="T173">
        <f>IF(N173&lt;$T$1*0.5,"Низшая четверть",IF(N173&lt;$T$1,"Вторая четверть","Больше половины"))</f>
        <v/>
      </c>
      <c r="U173">
        <f>IF(O173&lt;$U$1*0.5,"Низшая четверть",IF(O173&lt;$U$1,"Вторая четверть","Больше половины"))</f>
        <v/>
      </c>
      <c r="V173">
        <f>IF(OR(N173&lt;SUMIFS(L:L,R:R,1,E:E,E173)/SUMIFS(K:K,R:R,1,E:E,E173)*0.5,O173&lt;SUMIFS(M:M,R:R,1,E:E,E173)/SUMIFS(L:L,R:R,1,E:E,E173)*0.5),"код для проверки","нормальный код")</f>
        <v/>
      </c>
      <c r="W173">
        <f>IF(N173&lt;SUMIFS(L:L,R:R,1,E:E,E173)/SUMIFS(K:K,R:R,1,E:E,E173)*0.5,"Низшая четверть",IF(N173&lt;SUMIFS(L:L,R:R,1,E:E,E173)/SUMIFS(K:K,R:R,1,E:E,E173),"Вторая четверть","Больше половины"))</f>
        <v/>
      </c>
      <c r="X173">
        <f>IF(O173&lt;SUMIFS(M:M,R:R,1,E:E,E173)/SUMIFS(L:L,R:R,1,E:E,E173)*0.5,"Низшая четверть",IF(O173&lt;SUMIFS(M:M,R:R,1,E:E,E173)/SUMIFS(L:L,R:R,1,E:E,E173),"Вторая четверть","Больше половины"))</f>
        <v/>
      </c>
      <c r="Y173" t="n">
        <v>13</v>
      </c>
    </row>
    <row r="174">
      <c r="A174" s="1" t="inlineStr">
        <is>
          <t>14408970</t>
        </is>
      </c>
      <c r="B174" s="2" t="inlineStr">
        <is>
          <t>355550870</t>
        </is>
      </c>
      <c r="C174" s="3" t="inlineStr">
        <is>
          <t>Одежда и аксессуары</t>
        </is>
      </c>
      <c r="D174" s="2" t="inlineStr">
        <is>
          <t>Шарфы женские</t>
        </is>
      </c>
      <c r="E174" s="3" t="inlineStr">
        <is>
          <t>144 Шарф летний женский</t>
        </is>
      </c>
      <c r="F174" s="2" t="inlineStr">
        <is>
          <t>весна, лето</t>
        </is>
      </c>
      <c r="G174" s="3" t="inlineStr">
        <is>
          <t>kari</t>
        </is>
      </c>
      <c r="H174" s="2" t="inlineStr">
        <is>
          <t>Никонорова Алина</t>
        </is>
      </c>
      <c r="J174" s="3" t="inlineStr">
        <is>
          <t>2026SS</t>
        </is>
      </c>
      <c r="K174" s="3" t="n">
        <v>36919</v>
      </c>
      <c r="L174" s="3" t="n">
        <v>10900</v>
      </c>
      <c r="M174" s="3" t="n">
        <v>205</v>
      </c>
      <c r="N174" s="4">
        <f>IFERROR(L174/K174,0)</f>
        <v/>
      </c>
      <c r="O174" s="4">
        <f>IFERROR(M174/L174,0)</f>
        <v/>
      </c>
      <c r="P174" t="n">
        <v>443</v>
      </c>
      <c r="Q174" s="5" t="n">
        <v>1</v>
      </c>
      <c r="R174" s="7" t="n">
        <v>1</v>
      </c>
      <c r="S174">
        <f>IF(OR(N174&lt;$T$1*0.5,O174&lt;$U$1*0.5),"код для проверки","нормальный код")</f>
        <v/>
      </c>
      <c r="T174">
        <f>IF(N174&lt;$T$1*0.5,"Низшая четверть",IF(N174&lt;$T$1,"Вторая четверть","Больше половины"))</f>
        <v/>
      </c>
      <c r="U174">
        <f>IF(O174&lt;$U$1*0.5,"Низшая четверть",IF(O174&lt;$U$1,"Вторая четверть","Больше половины"))</f>
        <v/>
      </c>
      <c r="V174">
        <f>IF(OR(N174&lt;SUMIFS(L:L,R:R,1,E:E,E174)/SUMIFS(K:K,R:R,1,E:E,E174)*0.5,O174&lt;SUMIFS(M:M,R:R,1,E:E,E174)/SUMIFS(L:L,R:R,1,E:E,E174)*0.5),"код для проверки","нормальный код")</f>
        <v/>
      </c>
      <c r="W174">
        <f>IF(N174&lt;SUMIFS(L:L,R:R,1,E:E,E174)/SUMIFS(K:K,R:R,1,E:E,E174)*0.5,"Низшая четверть",IF(N174&lt;SUMIFS(L:L,R:R,1,E:E,E174)/SUMIFS(K:K,R:R,1,E:E,E174),"Вторая четверть","Больше половины"))</f>
        <v/>
      </c>
      <c r="X174">
        <f>IF(O174&lt;SUMIFS(M:M,R:R,1,E:E,E174)/SUMIFS(L:L,R:R,1,E:E,E174)*0.5,"Низшая четверть",IF(O174&lt;SUMIFS(M:M,R:R,1,E:E,E174)/SUMIFS(L:L,R:R,1,E:E,E174),"Вторая четверть","Больше половины"))</f>
        <v/>
      </c>
      <c r="Y174" t="n">
        <v>15</v>
      </c>
    </row>
    <row r="175">
      <c r="A175" s="1" t="inlineStr">
        <is>
          <t>18200200</t>
        </is>
      </c>
      <c r="B175" s="2" t="inlineStr">
        <is>
          <t>762057051</t>
        </is>
      </c>
      <c r="C175" s="3" t="inlineStr">
        <is>
          <t>Одежда для детей</t>
        </is>
      </c>
      <c r="D175" s="2" t="inlineStr">
        <is>
          <t>Джинсы детские для мальчиков</t>
        </is>
      </c>
      <c r="E175" s="3" t="inlineStr">
        <is>
          <t>182 Джинсы детские для мальчиков</t>
        </is>
      </c>
      <c r="F175" s="2" t="inlineStr">
        <is>
          <t>всесезонный</t>
        </is>
      </c>
      <c r="G175" s="3" t="inlineStr">
        <is>
          <t>kari</t>
        </is>
      </c>
      <c r="H175" s="2" t="inlineStr">
        <is>
          <t>Зиннуров Ильнур</t>
        </is>
      </c>
      <c r="J175" s="3" t="inlineStr">
        <is>
          <t>2026SS</t>
        </is>
      </c>
      <c r="K175" s="3" t="n">
        <v>36736</v>
      </c>
      <c r="L175" s="3" t="n">
        <v>2291</v>
      </c>
      <c r="M175" s="3" t="n">
        <v>133</v>
      </c>
      <c r="N175" s="4">
        <f>IFERROR(L175/K175,0)</f>
        <v/>
      </c>
      <c r="O175" s="4">
        <f>IFERROR(M175/L175,0)</f>
        <v/>
      </c>
      <c r="P175" t="n">
        <v>128</v>
      </c>
      <c r="Q175" s="5" t="n">
        <v>1</v>
      </c>
      <c r="R175" s="7" t="n">
        <v>1</v>
      </c>
      <c r="S175">
        <f>IF(OR(N175&lt;$T$1*0.5,O175&lt;$U$1*0.5),"код для проверки","нормальный код")</f>
        <v/>
      </c>
      <c r="T175">
        <f>IF(N175&lt;$T$1*0.5,"Низшая четверть",IF(N175&lt;$T$1,"Вторая четверть","Больше половины"))</f>
        <v/>
      </c>
      <c r="U175">
        <f>IF(O175&lt;$U$1*0.5,"Низшая четверть",IF(O175&lt;$U$1,"Вторая четверть","Больше половины"))</f>
        <v/>
      </c>
      <c r="V175">
        <f>IF(OR(N175&lt;SUMIFS(L:L,R:R,1,E:E,E175)/SUMIFS(K:K,R:R,1,E:E,E175)*0.5,O175&lt;SUMIFS(M:M,R:R,1,E:E,E175)/SUMIFS(L:L,R:R,1,E:E,E175)*0.5),"код для проверки","нормальный код")</f>
        <v/>
      </c>
      <c r="W175">
        <f>IF(N175&lt;SUMIFS(L:L,R:R,1,E:E,E175)/SUMIFS(K:K,R:R,1,E:E,E175)*0.5,"Низшая четверть",IF(N175&lt;SUMIFS(L:L,R:R,1,E:E,E175)/SUMIFS(K:K,R:R,1,E:E,E175),"Вторая четверть","Больше половины"))</f>
        <v/>
      </c>
      <c r="X175">
        <f>IF(O175&lt;SUMIFS(M:M,R:R,1,E:E,E175)/SUMIFS(L:L,R:R,1,E:E,E175)*0.5,"Низшая четверть",IF(O175&lt;SUMIFS(M:M,R:R,1,E:E,E175)/SUMIFS(L:L,R:R,1,E:E,E175),"Вторая четверть","Больше половины"))</f>
        <v/>
      </c>
      <c r="Y175" t="n">
        <v>22</v>
      </c>
    </row>
    <row r="176">
      <c r="A176" s="1" t="inlineStr">
        <is>
          <t>95400210</t>
        </is>
      </c>
      <c r="B176" s="2" t="inlineStr">
        <is>
          <t>835127746</t>
        </is>
      </c>
      <c r="C176" s="3" t="inlineStr">
        <is>
          <t>Одежда для детей</t>
        </is>
      </c>
      <c r="D176" s="2" t="inlineStr">
        <is>
          <t>Верхняя детская одежда для девочек</t>
        </is>
      </c>
      <c r="E176" s="3" t="inlineStr">
        <is>
          <t>954 Ветровка детская для девочек</t>
        </is>
      </c>
      <c r="F176" s="2" t="inlineStr">
        <is>
          <t>демисезонный</t>
        </is>
      </c>
      <c r="G176" s="3" t="inlineStr">
        <is>
          <t>kari</t>
        </is>
      </c>
      <c r="H176" s="2" t="inlineStr">
        <is>
          <t>Зиннуров Ильнур</t>
        </is>
      </c>
      <c r="J176" s="3" t="inlineStr">
        <is>
          <t>2026SS</t>
        </is>
      </c>
      <c r="K176" s="3" t="n">
        <v>36706</v>
      </c>
      <c r="L176" s="3" t="n">
        <v>3671</v>
      </c>
      <c r="M176" s="3" t="n">
        <v>52</v>
      </c>
      <c r="N176" s="4">
        <f>IFERROR(L176/K176,0)</f>
        <v/>
      </c>
      <c r="O176" s="4">
        <f>IFERROR(M176/L176,0)</f>
        <v/>
      </c>
      <c r="P176" t="n">
        <v>589</v>
      </c>
      <c r="Q176" s="5" t="n">
        <v>1</v>
      </c>
      <c r="R176" s="7" t="n">
        <v>1</v>
      </c>
      <c r="S176">
        <f>IF(OR(N176&lt;$T$1*0.5,O176&lt;$U$1*0.5),"код для проверки","нормальный код")</f>
        <v/>
      </c>
      <c r="T176">
        <f>IF(N176&lt;$T$1*0.5,"Низшая четверть",IF(N176&lt;$T$1,"Вторая четверть","Больше половины"))</f>
        <v/>
      </c>
      <c r="U176">
        <f>IF(O176&lt;$U$1*0.5,"Низшая четверть",IF(O176&lt;$U$1,"Вторая четверть","Больше половины"))</f>
        <v/>
      </c>
      <c r="V176">
        <f>IF(OR(N176&lt;SUMIFS(L:L,R:R,1,E:E,E176)/SUMIFS(K:K,R:R,1,E:E,E176)*0.5,O176&lt;SUMIFS(M:M,R:R,1,E:E,E176)/SUMIFS(L:L,R:R,1,E:E,E176)*0.5),"код для проверки","нормальный код")</f>
        <v/>
      </c>
      <c r="W176">
        <f>IF(N176&lt;SUMIFS(L:L,R:R,1,E:E,E176)/SUMIFS(K:K,R:R,1,E:E,E176)*0.5,"Низшая четверть",IF(N176&lt;SUMIFS(L:L,R:R,1,E:E,E176)/SUMIFS(K:K,R:R,1,E:E,E176),"Вторая четверть","Больше половины"))</f>
        <v/>
      </c>
      <c r="X176">
        <f>IF(O176&lt;SUMIFS(M:M,R:R,1,E:E,E176)/SUMIFS(L:L,R:R,1,E:E,E176)*0.5,"Низшая четверть",IF(O176&lt;SUMIFS(M:M,R:R,1,E:E,E176)/SUMIFS(L:L,R:R,1,E:E,E176),"Вторая четверть","Больше половины"))</f>
        <v/>
      </c>
      <c r="Y176" t="n">
        <v>8</v>
      </c>
    </row>
    <row r="177">
      <c r="A177" s="1" t="inlineStr">
        <is>
          <t>92500090</t>
        </is>
      </c>
      <c r="B177" s="2" t="inlineStr">
        <is>
          <t>790515608</t>
        </is>
      </c>
      <c r="C177" s="3" t="inlineStr">
        <is>
          <t>Одежда для детей</t>
        </is>
      </c>
      <c r="D177" s="2" t="inlineStr">
        <is>
          <t>Одежда для новорожденных</t>
        </is>
      </c>
      <c r="E177" s="3" t="inlineStr">
        <is>
          <t>925 Платье-боди</t>
        </is>
      </c>
      <c r="F177" s="2" t="inlineStr">
        <is>
          <t>лето</t>
        </is>
      </c>
      <c r="G177" s="3" t="inlineStr">
        <is>
          <t>Kari baby</t>
        </is>
      </c>
      <c r="H177" s="2" t="inlineStr">
        <is>
          <t>Зиннуров Ильнур</t>
        </is>
      </c>
      <c r="J177" s="3" t="inlineStr">
        <is>
          <t>2026SS</t>
        </is>
      </c>
      <c r="K177" s="3" t="n">
        <v>36665</v>
      </c>
      <c r="L177" s="3" t="n">
        <v>3388</v>
      </c>
      <c r="M177" s="3" t="n">
        <v>50</v>
      </c>
      <c r="N177" s="4">
        <f>IFERROR(L177/K177,0)</f>
        <v/>
      </c>
      <c r="O177" s="4">
        <f>IFERROR(M177/L177,0)</f>
        <v/>
      </c>
      <c r="P177" t="n">
        <v>676</v>
      </c>
      <c r="Q177" s="5" t="n">
        <v>1</v>
      </c>
      <c r="R177" s="7" t="n">
        <v>1</v>
      </c>
      <c r="S177">
        <f>IF(OR(N177&lt;$T$1*0.5,O177&lt;$U$1*0.5),"код для проверки","нормальный код")</f>
        <v/>
      </c>
      <c r="T177">
        <f>IF(N177&lt;$T$1*0.5,"Низшая четверть",IF(N177&lt;$T$1,"Вторая четверть","Больше половины"))</f>
        <v/>
      </c>
      <c r="U177">
        <f>IF(O177&lt;$U$1*0.5,"Низшая четверть",IF(O177&lt;$U$1,"Вторая четверть","Больше половины"))</f>
        <v/>
      </c>
      <c r="V177">
        <f>IF(OR(N177&lt;SUMIFS(L:L,R:R,1,E:E,E177)/SUMIFS(K:K,R:R,1,E:E,E177)*0.5,O177&lt;SUMIFS(M:M,R:R,1,E:E,E177)/SUMIFS(L:L,R:R,1,E:E,E177)*0.5),"код для проверки","нормальный код")</f>
        <v/>
      </c>
      <c r="W177">
        <f>IF(N177&lt;SUMIFS(L:L,R:R,1,E:E,E177)/SUMIFS(K:K,R:R,1,E:E,E177)*0.5,"Низшая четверть",IF(N177&lt;SUMIFS(L:L,R:R,1,E:E,E177)/SUMIFS(K:K,R:R,1,E:E,E177),"Вторая четверть","Больше половины"))</f>
        <v/>
      </c>
      <c r="X177">
        <f>IF(O177&lt;SUMIFS(M:M,R:R,1,E:E,E177)/SUMIFS(L:L,R:R,1,E:E,E177)*0.5,"Низшая четверть",IF(O177&lt;SUMIFS(M:M,R:R,1,E:E,E177)/SUMIFS(L:L,R:R,1,E:E,E177),"Вторая четверть","Больше половины"))</f>
        <v/>
      </c>
      <c r="Y177" t="n">
        <v>14</v>
      </c>
    </row>
    <row r="178">
      <c r="A178" s="1" t="inlineStr">
        <is>
          <t>95200130</t>
        </is>
      </c>
      <c r="B178" s="2" t="inlineStr">
        <is>
          <t>786399465</t>
        </is>
      </c>
      <c r="C178" s="3" t="inlineStr">
        <is>
          <t>Одежда для детей</t>
        </is>
      </c>
      <c r="D178" s="2" t="inlineStr">
        <is>
          <t>Верхняя одежда детская для мальчиков</t>
        </is>
      </c>
      <c r="E178" s="3" t="inlineStr">
        <is>
          <t>952 Ветровка детская для мальчиков</t>
        </is>
      </c>
      <c r="F178" s="2" t="inlineStr">
        <is>
          <t>демисезонный</t>
        </is>
      </c>
      <c r="G178" s="3" t="inlineStr">
        <is>
          <t>kari</t>
        </is>
      </c>
      <c r="H178" s="2" t="inlineStr">
        <is>
          <t>Зиннуров Ильнур</t>
        </is>
      </c>
      <c r="J178" s="3" t="inlineStr">
        <is>
          <t>2026SS</t>
        </is>
      </c>
      <c r="K178" s="3" t="n">
        <v>36044</v>
      </c>
      <c r="L178" s="3" t="n">
        <v>3791</v>
      </c>
      <c r="M178" s="3" t="n">
        <v>22</v>
      </c>
      <c r="N178" s="4">
        <f>IFERROR(L178/K178,0)</f>
        <v/>
      </c>
      <c r="O178" s="4">
        <f>IFERROR(M178/L178,0)</f>
        <v/>
      </c>
      <c r="P178" t="n">
        <v>362</v>
      </c>
      <c r="Q178" s="5" t="n">
        <v>1</v>
      </c>
      <c r="R178" s="7" t="n">
        <v>1</v>
      </c>
      <c r="S178">
        <f>IF(OR(N178&lt;$T$1*0.5,O178&lt;$U$1*0.5),"код для проверки","нормальный код")</f>
        <v/>
      </c>
      <c r="T178">
        <f>IF(N178&lt;$T$1*0.5,"Низшая четверть",IF(N178&lt;$T$1,"Вторая четверть","Больше половины"))</f>
        <v/>
      </c>
      <c r="U178">
        <f>IF(O178&lt;$U$1*0.5,"Низшая четверть",IF(O178&lt;$U$1,"Вторая четверть","Больше половины"))</f>
        <v/>
      </c>
      <c r="V178">
        <f>IF(OR(N178&lt;SUMIFS(L:L,R:R,1,E:E,E178)/SUMIFS(K:K,R:R,1,E:E,E178)*0.5,O178&lt;SUMIFS(M:M,R:R,1,E:E,E178)/SUMIFS(L:L,R:R,1,E:E,E178)*0.5),"код для проверки","нормальный код")</f>
        <v/>
      </c>
      <c r="W178">
        <f>IF(N178&lt;SUMIFS(L:L,R:R,1,E:E,E178)/SUMIFS(K:K,R:R,1,E:E,E178)*0.5,"Низшая четверть",IF(N178&lt;SUMIFS(L:L,R:R,1,E:E,E178)/SUMIFS(K:K,R:R,1,E:E,E178),"Вторая четверть","Больше половины"))</f>
        <v/>
      </c>
      <c r="X178">
        <f>IF(O178&lt;SUMIFS(M:M,R:R,1,E:E,E178)/SUMIFS(L:L,R:R,1,E:E,E178)*0.5,"Низшая четверть",IF(O178&lt;SUMIFS(M:M,R:R,1,E:E,E178)/SUMIFS(L:L,R:R,1,E:E,E178),"Вторая четверть","Больше половины"))</f>
        <v/>
      </c>
      <c r="Y178" t="n">
        <v>8</v>
      </c>
    </row>
    <row r="179">
      <c r="A179" s="1" t="inlineStr">
        <is>
          <t>31100020</t>
        </is>
      </c>
      <c r="B179" s="2" t="inlineStr">
        <is>
          <t>754824663</t>
        </is>
      </c>
      <c r="C179" s="3" t="inlineStr">
        <is>
          <t>Одежда и аксессуары</t>
        </is>
      </c>
      <c r="D179" s="2" t="inlineStr">
        <is>
          <t>Майки и платья женские</t>
        </is>
      </c>
      <c r="E179" s="3" t="inlineStr">
        <is>
          <t>311 Рубашка женская</t>
        </is>
      </c>
      <c r="F179" s="2" t="inlineStr">
        <is>
          <t>всесезонный</t>
        </is>
      </c>
      <c r="G179" s="3" t="inlineStr">
        <is>
          <t>kari</t>
        </is>
      </c>
      <c r="H179" s="2" t="inlineStr">
        <is>
          <t>Зиннуров Ильнур</t>
        </is>
      </c>
      <c r="J179" s="3" t="inlineStr">
        <is>
          <t>2026SS</t>
        </is>
      </c>
      <c r="K179" s="3" t="n">
        <v>35950</v>
      </c>
      <c r="L179" s="3" t="n">
        <v>2787</v>
      </c>
      <c r="M179" s="3" t="n">
        <v>56</v>
      </c>
      <c r="N179" s="4">
        <f>IFERROR(L179/K179,0)</f>
        <v/>
      </c>
      <c r="O179" s="4">
        <f>IFERROR(M179/L179,0)</f>
        <v/>
      </c>
      <c r="P179" t="n">
        <v>523</v>
      </c>
      <c r="Q179" s="5" t="n">
        <v>1</v>
      </c>
      <c r="R179" s="7" t="n">
        <v>1</v>
      </c>
      <c r="S179">
        <f>IF(OR(N179&lt;$T$1*0.5,O179&lt;$U$1*0.5),"код для проверки","нормальный код")</f>
        <v/>
      </c>
      <c r="T179">
        <f>IF(N179&lt;$T$1*0.5,"Низшая четверть",IF(N179&lt;$T$1,"Вторая четверть","Больше половины"))</f>
        <v/>
      </c>
      <c r="U179">
        <f>IF(O179&lt;$U$1*0.5,"Низшая четверть",IF(O179&lt;$U$1,"Вторая четверть","Больше половины"))</f>
        <v/>
      </c>
      <c r="V179">
        <f>IF(OR(N179&lt;SUMIFS(L:L,R:R,1,E:E,E179)/SUMIFS(K:K,R:R,1,E:E,E179)*0.5,O179&lt;SUMIFS(M:M,R:R,1,E:E,E179)/SUMIFS(L:L,R:R,1,E:E,E179)*0.5),"код для проверки","нормальный код")</f>
        <v/>
      </c>
      <c r="W179">
        <f>IF(N179&lt;SUMIFS(L:L,R:R,1,E:E,E179)/SUMIFS(K:K,R:R,1,E:E,E179)*0.5,"Низшая четверть",IF(N179&lt;SUMIFS(L:L,R:R,1,E:E,E179)/SUMIFS(K:K,R:R,1,E:E,E179),"Вторая четверть","Больше половины"))</f>
        <v/>
      </c>
      <c r="X179">
        <f>IF(O179&lt;SUMIFS(M:M,R:R,1,E:E,E179)/SUMIFS(L:L,R:R,1,E:E,E179)*0.5,"Низшая четверть",IF(O179&lt;SUMIFS(M:M,R:R,1,E:E,E179)/SUMIFS(L:L,R:R,1,E:E,E179),"Вторая четверть","Больше половины"))</f>
        <v/>
      </c>
      <c r="Y179" t="n">
        <v>23</v>
      </c>
    </row>
    <row r="180">
      <c r="A180" s="1" t="inlineStr">
        <is>
          <t>16800140</t>
        </is>
      </c>
      <c r="B180" s="2" t="inlineStr">
        <is>
          <t>8349658</t>
        </is>
      </c>
      <c r="C180" s="3" t="inlineStr">
        <is>
          <t>Одежда и аксессуары</t>
        </is>
      </c>
      <c r="D180" s="2" t="inlineStr">
        <is>
          <t>Головные уборы женские</t>
        </is>
      </c>
      <c r="E180" s="3" t="inlineStr">
        <is>
          <t>168 Шляпа женская летняя</t>
        </is>
      </c>
      <c r="F180" s="2" t="inlineStr">
        <is>
          <t>лето</t>
        </is>
      </c>
      <c r="G180" s="3" t="inlineStr">
        <is>
          <t>kari</t>
        </is>
      </c>
      <c r="H180" s="2" t="inlineStr">
        <is>
          <t>Никонорова Алина</t>
        </is>
      </c>
      <c r="J180" s="3" t="inlineStr">
        <is>
          <t>2026SS</t>
        </is>
      </c>
      <c r="K180" s="3" t="n">
        <v>35614</v>
      </c>
      <c r="L180" s="3" t="n">
        <v>4016</v>
      </c>
      <c r="M180" s="3" t="n">
        <v>52</v>
      </c>
      <c r="N180" s="4">
        <f>IFERROR(L180/K180,0)</f>
        <v/>
      </c>
      <c r="O180" s="4">
        <f>IFERROR(M180/L180,0)</f>
        <v/>
      </c>
      <c r="P180" t="n">
        <v>1031</v>
      </c>
      <c r="Q180" s="5" t="n">
        <v>1</v>
      </c>
      <c r="R180" s="7" t="n">
        <v>1</v>
      </c>
      <c r="S180">
        <f>IF(OR(N180&lt;$T$1*0.5,O180&lt;$U$1*0.5),"код для проверки","нормальный код")</f>
        <v/>
      </c>
      <c r="T180">
        <f>IF(N180&lt;$T$1*0.5,"Низшая четверть",IF(N180&lt;$T$1,"Вторая четверть","Больше половины"))</f>
        <v/>
      </c>
      <c r="U180">
        <f>IF(O180&lt;$U$1*0.5,"Низшая четверть",IF(O180&lt;$U$1,"Вторая четверть","Больше половины"))</f>
        <v/>
      </c>
      <c r="V180">
        <f>IF(OR(N180&lt;SUMIFS(L:L,R:R,1,E:E,E180)/SUMIFS(K:K,R:R,1,E:E,E180)*0.5,O180&lt;SUMIFS(M:M,R:R,1,E:E,E180)/SUMIFS(L:L,R:R,1,E:E,E180)*0.5),"код для проверки","нормальный код")</f>
        <v/>
      </c>
      <c r="W180">
        <f>IF(N180&lt;SUMIFS(L:L,R:R,1,E:E,E180)/SUMIFS(K:K,R:R,1,E:E,E180)*0.5,"Низшая четверть",IF(N180&lt;SUMIFS(L:L,R:R,1,E:E,E180)/SUMIFS(K:K,R:R,1,E:E,E180),"Вторая четверть","Больше половины"))</f>
        <v/>
      </c>
      <c r="X180">
        <f>IF(O180&lt;SUMIFS(M:M,R:R,1,E:E,E180)/SUMIFS(L:L,R:R,1,E:E,E180)*0.5,"Низшая четверть",IF(O180&lt;SUMIFS(M:M,R:R,1,E:E,E180)/SUMIFS(L:L,R:R,1,E:E,E180),"Вторая четверть","Больше половины"))</f>
        <v/>
      </c>
      <c r="Y180" t="n">
        <v>11</v>
      </c>
    </row>
    <row r="181">
      <c r="A181" s="1" t="inlineStr">
        <is>
          <t>10908240</t>
        </is>
      </c>
      <c r="B181" s="2" t="inlineStr">
        <is>
          <t>373110971</t>
        </is>
      </c>
      <c r="C181" s="3" t="inlineStr">
        <is>
          <t>Одежда и аксессуары</t>
        </is>
      </c>
      <c r="D181" s="2" t="inlineStr">
        <is>
          <t>Шарфы женские</t>
        </is>
      </c>
      <c r="E181" s="3" t="inlineStr">
        <is>
          <t>109 Палантин женский</t>
        </is>
      </c>
      <c r="F181" s="2" t="inlineStr">
        <is>
          <t>весна, осень, зима</t>
        </is>
      </c>
      <c r="G181" s="3" t="inlineStr">
        <is>
          <t>kari</t>
        </is>
      </c>
      <c r="H181" s="2" t="inlineStr">
        <is>
          <t>Никонорова Алина</t>
        </is>
      </c>
      <c r="J181" s="3" t="inlineStr">
        <is>
          <t>2026SS</t>
        </is>
      </c>
      <c r="K181" s="3" t="n">
        <v>35413</v>
      </c>
      <c r="L181" s="3" t="n">
        <v>1933</v>
      </c>
      <c r="M181" s="3" t="n">
        <v>27</v>
      </c>
      <c r="N181" s="4">
        <f>IFERROR(L181/K181,0)</f>
        <v/>
      </c>
      <c r="O181" s="4">
        <f>IFERROR(M181/L181,0)</f>
        <v/>
      </c>
      <c r="P181" t="n">
        <v>533</v>
      </c>
      <c r="Q181" s="5" t="n">
        <v>1</v>
      </c>
      <c r="R181" s="7" t="n">
        <v>1</v>
      </c>
      <c r="S181">
        <f>IF(OR(N181&lt;$T$1*0.5,O181&lt;$U$1*0.5),"код для проверки","нормальный код")</f>
        <v/>
      </c>
      <c r="T181">
        <f>IF(N181&lt;$T$1*0.5,"Низшая четверть",IF(N181&lt;$T$1,"Вторая четверть","Больше половины"))</f>
        <v/>
      </c>
      <c r="U181">
        <f>IF(O181&lt;$U$1*0.5,"Низшая четверть",IF(O181&lt;$U$1,"Вторая четверть","Больше половины"))</f>
        <v/>
      </c>
      <c r="V181">
        <f>IF(OR(N181&lt;SUMIFS(L:L,R:R,1,E:E,E181)/SUMIFS(K:K,R:R,1,E:E,E181)*0.5,O181&lt;SUMIFS(M:M,R:R,1,E:E,E181)/SUMIFS(L:L,R:R,1,E:E,E181)*0.5),"код для проверки","нормальный код")</f>
        <v/>
      </c>
      <c r="W181">
        <f>IF(N181&lt;SUMIFS(L:L,R:R,1,E:E,E181)/SUMIFS(K:K,R:R,1,E:E,E181)*0.5,"Низшая четверть",IF(N181&lt;SUMIFS(L:L,R:R,1,E:E,E181)/SUMIFS(K:K,R:R,1,E:E,E181),"Вторая четверть","Больше половины"))</f>
        <v/>
      </c>
      <c r="X181">
        <f>IF(O181&lt;SUMIFS(M:M,R:R,1,E:E,E181)/SUMIFS(L:L,R:R,1,E:E,E181)*0.5,"Низшая четверть",IF(O181&lt;SUMIFS(M:M,R:R,1,E:E,E181)/SUMIFS(L:L,R:R,1,E:E,E181),"Вторая четверть","Больше половины"))</f>
        <v/>
      </c>
      <c r="Y181" t="n">
        <v>16</v>
      </c>
    </row>
    <row r="182">
      <c r="A182" s="1" t="inlineStr">
        <is>
          <t>10908190</t>
        </is>
      </c>
      <c r="B182" s="2" t="inlineStr">
        <is>
          <t>355553705</t>
        </is>
      </c>
      <c r="C182" s="3" t="inlineStr">
        <is>
          <t>Одежда и аксессуары</t>
        </is>
      </c>
      <c r="D182" s="2" t="inlineStr">
        <is>
          <t>Шарфы женские</t>
        </is>
      </c>
      <c r="E182" s="3" t="inlineStr">
        <is>
          <t>109 Палантин женский</t>
        </is>
      </c>
      <c r="F182" s="2" t="inlineStr">
        <is>
          <t>весна, осень, зима</t>
        </is>
      </c>
      <c r="G182" s="3" t="inlineStr">
        <is>
          <t>kari</t>
        </is>
      </c>
      <c r="H182" s="2" t="inlineStr">
        <is>
          <t>Никонорова Алина</t>
        </is>
      </c>
      <c r="J182" s="3" t="inlineStr">
        <is>
          <t>2026SS</t>
        </is>
      </c>
      <c r="K182" s="3" t="n">
        <v>35181</v>
      </c>
      <c r="L182" s="3" t="n">
        <v>2021</v>
      </c>
      <c r="M182" s="3" t="n">
        <v>33</v>
      </c>
      <c r="N182" s="4">
        <f>IFERROR(L182/K182,0)</f>
        <v/>
      </c>
      <c r="O182" s="4">
        <f>IFERROR(M182/L182,0)</f>
        <v/>
      </c>
      <c r="P182" t="n">
        <v>459</v>
      </c>
      <c r="Q182" s="5" t="n">
        <v>1</v>
      </c>
      <c r="R182" s="7" t="n">
        <v>1</v>
      </c>
      <c r="S182">
        <f>IF(OR(N182&lt;$T$1*0.5,O182&lt;$U$1*0.5),"код для проверки","нормальный код")</f>
        <v/>
      </c>
      <c r="T182">
        <f>IF(N182&lt;$T$1*0.5,"Низшая четверть",IF(N182&lt;$T$1,"Вторая четверть","Больше половины"))</f>
        <v/>
      </c>
      <c r="U182">
        <f>IF(O182&lt;$U$1*0.5,"Низшая четверть",IF(O182&lt;$U$1,"Вторая четверть","Больше половины"))</f>
        <v/>
      </c>
      <c r="V182">
        <f>IF(OR(N182&lt;SUMIFS(L:L,R:R,1,E:E,E182)/SUMIFS(K:K,R:R,1,E:E,E182)*0.5,O182&lt;SUMIFS(M:M,R:R,1,E:E,E182)/SUMIFS(L:L,R:R,1,E:E,E182)*0.5),"код для проверки","нормальный код")</f>
        <v/>
      </c>
      <c r="W182">
        <f>IF(N182&lt;SUMIFS(L:L,R:R,1,E:E,E182)/SUMIFS(K:K,R:R,1,E:E,E182)*0.5,"Низшая четверть",IF(N182&lt;SUMIFS(L:L,R:R,1,E:E,E182)/SUMIFS(K:K,R:R,1,E:E,E182),"Вторая четверть","Больше половины"))</f>
        <v/>
      </c>
      <c r="X182">
        <f>IF(O182&lt;SUMIFS(M:M,R:R,1,E:E,E182)/SUMIFS(L:L,R:R,1,E:E,E182)*0.5,"Низшая четверть",IF(O182&lt;SUMIFS(M:M,R:R,1,E:E,E182)/SUMIFS(L:L,R:R,1,E:E,E182),"Вторая четверть","Больше половины"))</f>
        <v/>
      </c>
      <c r="Y182" t="n">
        <v>17</v>
      </c>
    </row>
    <row r="183">
      <c r="A183" s="1" t="inlineStr">
        <is>
          <t>93709020</t>
        </is>
      </c>
      <c r="B183" s="2" t="inlineStr">
        <is>
          <t>14298297</t>
        </is>
      </c>
      <c r="C183" s="3" t="inlineStr">
        <is>
          <t>Одежда для детей</t>
        </is>
      </c>
      <c r="D183" s="2" t="inlineStr">
        <is>
          <t>Одежда для новорожденных</t>
        </is>
      </c>
      <c r="E183" s="3" t="inlineStr">
        <is>
          <t>937 Боди с коротким рукавом для мальчиков</t>
        </is>
      </c>
      <c r="F183" s="2" t="inlineStr">
        <is>
          <t>всесезонный</t>
        </is>
      </c>
      <c r="G183" s="3" t="inlineStr">
        <is>
          <t>Kari baby</t>
        </is>
      </c>
      <c r="H183" s="2" t="inlineStr">
        <is>
          <t>Зиннуров Ильнур</t>
        </is>
      </c>
      <c r="J183" s="3" t="inlineStr">
        <is>
          <t>2026SS</t>
        </is>
      </c>
      <c r="K183" s="3" t="n">
        <v>34759</v>
      </c>
      <c r="L183" s="3" t="n">
        <v>2177</v>
      </c>
      <c r="M183" s="3" t="n">
        <v>63</v>
      </c>
      <c r="N183" s="4">
        <f>IFERROR(L183/K183,0)</f>
        <v/>
      </c>
      <c r="O183" s="4">
        <f>IFERROR(M183/L183,0)</f>
        <v/>
      </c>
      <c r="P183" t="n">
        <v>720</v>
      </c>
      <c r="Q183" s="5" t="n">
        <v>1</v>
      </c>
      <c r="R183" s="7" t="n">
        <v>1</v>
      </c>
      <c r="S183">
        <f>IF(OR(N183&lt;$T$1*0.5,O183&lt;$U$1*0.5),"код для проверки","нормальный код")</f>
        <v/>
      </c>
      <c r="T183">
        <f>IF(N183&lt;$T$1*0.5,"Низшая четверть",IF(N183&lt;$T$1,"Вторая четверть","Больше половины"))</f>
        <v/>
      </c>
      <c r="U183">
        <f>IF(O183&lt;$U$1*0.5,"Низшая четверть",IF(O183&lt;$U$1,"Вторая четверть","Больше половины"))</f>
        <v/>
      </c>
      <c r="V183">
        <f>IF(OR(N183&lt;SUMIFS(L:L,R:R,1,E:E,E183)/SUMIFS(K:K,R:R,1,E:E,E183)*0.5,O183&lt;SUMIFS(M:M,R:R,1,E:E,E183)/SUMIFS(L:L,R:R,1,E:E,E183)*0.5),"код для проверки","нормальный код")</f>
        <v/>
      </c>
      <c r="W183">
        <f>IF(N183&lt;SUMIFS(L:L,R:R,1,E:E,E183)/SUMIFS(K:K,R:R,1,E:E,E183)*0.5,"Низшая четверть",IF(N183&lt;SUMIFS(L:L,R:R,1,E:E,E183)/SUMIFS(K:K,R:R,1,E:E,E183),"Вторая четверть","Больше половины"))</f>
        <v/>
      </c>
      <c r="X183">
        <f>IF(O183&lt;SUMIFS(M:M,R:R,1,E:E,E183)/SUMIFS(L:L,R:R,1,E:E,E183)*0.5,"Низшая четверть",IF(O183&lt;SUMIFS(M:M,R:R,1,E:E,E183)/SUMIFS(L:L,R:R,1,E:E,E183),"Вторая четверть","Больше половины"))</f>
        <v/>
      </c>
      <c r="Y183" t="n">
        <v>12</v>
      </c>
    </row>
    <row r="184">
      <c r="A184" s="1" t="inlineStr">
        <is>
          <t>96600070</t>
        </is>
      </c>
      <c r="B184" s="2" t="inlineStr">
        <is>
          <t>788748505</t>
        </is>
      </c>
      <c r="C184" s="3" t="inlineStr">
        <is>
          <t>Одежда для детей</t>
        </is>
      </c>
      <c r="D184" s="2" t="inlineStr">
        <is>
          <t>Платья, майки, футболки детские для девочек</t>
        </is>
      </c>
      <c r="E184" s="3" t="inlineStr">
        <is>
          <t>966 Сарафан джинсовый детский для девочек</t>
        </is>
      </c>
      <c r="F184" s="2" t="inlineStr">
        <is>
          <t>весна, лето</t>
        </is>
      </c>
      <c r="G184" s="3" t="inlineStr">
        <is>
          <t>Kari KIDS</t>
        </is>
      </c>
      <c r="H184" s="2" t="inlineStr">
        <is>
          <t>Зиннуров Ильнур</t>
        </is>
      </c>
      <c r="J184" s="3" t="inlineStr">
        <is>
          <t>2026SS</t>
        </is>
      </c>
      <c r="K184" s="3" t="n">
        <v>34365</v>
      </c>
      <c r="L184" s="3" t="n">
        <v>2064</v>
      </c>
      <c r="M184" s="3" t="n">
        <v>26</v>
      </c>
      <c r="N184" s="4">
        <f>IFERROR(L184/K184,0)</f>
        <v/>
      </c>
      <c r="O184" s="4">
        <f>IFERROR(M184/L184,0)</f>
        <v/>
      </c>
      <c r="P184" t="n">
        <v>512</v>
      </c>
      <c r="Q184" s="5" t="n">
        <v>1</v>
      </c>
      <c r="R184" s="7" t="n">
        <v>1</v>
      </c>
      <c r="S184">
        <f>IF(OR(N184&lt;$T$1*0.5,O184&lt;$U$1*0.5),"код для проверки","нормальный код")</f>
        <v/>
      </c>
      <c r="T184">
        <f>IF(N184&lt;$T$1*0.5,"Низшая четверть",IF(N184&lt;$T$1,"Вторая четверть","Больше половины"))</f>
        <v/>
      </c>
      <c r="U184">
        <f>IF(O184&lt;$U$1*0.5,"Низшая четверть",IF(O184&lt;$U$1,"Вторая четверть","Больше половины"))</f>
        <v/>
      </c>
      <c r="V184">
        <f>IF(OR(N184&lt;SUMIFS(L:L,R:R,1,E:E,E184)/SUMIFS(K:K,R:R,1,E:E,E184)*0.5,O184&lt;SUMIFS(M:M,R:R,1,E:E,E184)/SUMIFS(L:L,R:R,1,E:E,E184)*0.5),"код для проверки","нормальный код")</f>
        <v/>
      </c>
      <c r="W184">
        <f>IF(N184&lt;SUMIFS(L:L,R:R,1,E:E,E184)/SUMIFS(K:K,R:R,1,E:E,E184)*0.5,"Низшая четверть",IF(N184&lt;SUMIFS(L:L,R:R,1,E:E,E184)/SUMIFS(K:K,R:R,1,E:E,E184),"Вторая четверть","Больше половины"))</f>
        <v/>
      </c>
      <c r="X184">
        <f>IF(O184&lt;SUMIFS(M:M,R:R,1,E:E,E184)/SUMIFS(L:L,R:R,1,E:E,E184)*0.5,"Низшая четверть",IF(O184&lt;SUMIFS(M:M,R:R,1,E:E,E184)/SUMIFS(L:L,R:R,1,E:E,E184),"Вторая четверть","Больше половины"))</f>
        <v/>
      </c>
      <c r="Y184" t="n">
        <v>16</v>
      </c>
    </row>
    <row r="185">
      <c r="A185" s="1" t="inlineStr">
        <is>
          <t>094000V0</t>
        </is>
      </c>
      <c r="B185" s="2" t="inlineStr">
        <is>
          <t>710340703</t>
        </is>
      </c>
      <c r="C185" s="3" t="inlineStr">
        <is>
          <t>Одежда и аксессуары</t>
        </is>
      </c>
      <c r="D185" s="2" t="inlineStr">
        <is>
          <t>Купальники женские</t>
        </is>
      </c>
      <c r="E185" s="3" t="inlineStr">
        <is>
          <t>094 Купальник</t>
        </is>
      </c>
      <c r="F185" s="2" t="inlineStr">
        <is>
          <t>лето</t>
        </is>
      </c>
      <c r="G185" s="3" t="inlineStr">
        <is>
          <t>kari</t>
        </is>
      </c>
      <c r="H185" s="2" t="inlineStr">
        <is>
          <t>Никонорова Алина</t>
        </is>
      </c>
      <c r="J185" s="3" t="inlineStr">
        <is>
          <t>2026SS</t>
        </is>
      </c>
      <c r="K185" s="3" t="n">
        <v>34217</v>
      </c>
      <c r="L185" s="3" t="n">
        <v>2150</v>
      </c>
      <c r="M185" s="3" t="n">
        <v>29</v>
      </c>
      <c r="N185" s="4">
        <f>IFERROR(L185/K185,0)</f>
        <v/>
      </c>
      <c r="O185" s="4">
        <f>IFERROR(M185/L185,0)</f>
        <v/>
      </c>
      <c r="P185" t="n">
        <v>4812</v>
      </c>
      <c r="Q185" s="5" t="n">
        <v>0.6666666666666666</v>
      </c>
      <c r="R185" s="7" t="n">
        <v>1</v>
      </c>
      <c r="S185">
        <f>IF(OR(N185&lt;$T$1*0.5,O185&lt;$U$1*0.5),"код для проверки","нормальный код")</f>
        <v/>
      </c>
      <c r="T185">
        <f>IF(N185&lt;$T$1*0.5,"Низшая четверть",IF(N185&lt;$T$1,"Вторая четверть","Больше половины"))</f>
        <v/>
      </c>
      <c r="U185">
        <f>IF(O185&lt;$U$1*0.5,"Низшая четверть",IF(O185&lt;$U$1,"Вторая четверть","Больше половины"))</f>
        <v/>
      </c>
      <c r="V185">
        <f>IF(OR(N185&lt;SUMIFS(L:L,R:R,1,E:E,E185)/SUMIFS(K:K,R:R,1,E:E,E185)*0.5,O185&lt;SUMIFS(M:M,R:R,1,E:E,E185)/SUMIFS(L:L,R:R,1,E:E,E185)*0.5),"код для проверки","нормальный код")</f>
        <v/>
      </c>
      <c r="W185">
        <f>IF(N185&lt;SUMIFS(L:L,R:R,1,E:E,E185)/SUMIFS(K:K,R:R,1,E:E,E185)*0.5,"Низшая четверть",IF(N185&lt;SUMIFS(L:L,R:R,1,E:E,E185)/SUMIFS(K:K,R:R,1,E:E,E185),"Вторая четверть","Больше половины"))</f>
        <v/>
      </c>
      <c r="X185">
        <f>IF(O185&lt;SUMIFS(M:M,R:R,1,E:E,E185)/SUMIFS(L:L,R:R,1,E:E,E185)*0.5,"Низшая четверть",IF(O185&lt;SUMIFS(M:M,R:R,1,E:E,E185)/SUMIFS(L:L,R:R,1,E:E,E185),"Вторая четверть","Больше половины"))</f>
        <v/>
      </c>
      <c r="Y185" t="n">
        <v>18</v>
      </c>
    </row>
    <row r="186">
      <c r="A186" s="1" t="inlineStr">
        <is>
          <t>14408920</t>
        </is>
      </c>
      <c r="B186" s="2" t="inlineStr">
        <is>
          <t>355550894</t>
        </is>
      </c>
      <c r="C186" s="3" t="inlineStr">
        <is>
          <t>Одежда и аксессуары</t>
        </is>
      </c>
      <c r="D186" s="2" t="inlineStr">
        <is>
          <t>Шарфы женские</t>
        </is>
      </c>
      <c r="E186" s="3" t="inlineStr">
        <is>
          <t>144 Шарф летний женский</t>
        </is>
      </c>
      <c r="F186" s="2" t="inlineStr">
        <is>
          <t>весна, лето</t>
        </is>
      </c>
      <c r="G186" s="3" t="inlineStr">
        <is>
          <t>kari</t>
        </is>
      </c>
      <c r="H186" s="2" t="inlineStr">
        <is>
          <t>Никонорова Алина</t>
        </is>
      </c>
      <c r="J186" s="3" t="inlineStr">
        <is>
          <t>2026SS</t>
        </is>
      </c>
      <c r="K186" s="3" t="n">
        <v>34180</v>
      </c>
      <c r="L186" s="3" t="n">
        <v>10584</v>
      </c>
      <c r="M186" s="3" t="n">
        <v>169</v>
      </c>
      <c r="N186" s="4">
        <f>IFERROR(L186/K186,0)</f>
        <v/>
      </c>
      <c r="O186" s="4">
        <f>IFERROR(M186/L186,0)</f>
        <v/>
      </c>
      <c r="P186" t="n">
        <v>351</v>
      </c>
      <c r="Q186" s="5" t="n">
        <v>1</v>
      </c>
      <c r="R186" s="7" t="n">
        <v>1</v>
      </c>
      <c r="S186">
        <f>IF(OR(N186&lt;$T$1*0.5,O186&lt;$U$1*0.5),"код для проверки","нормальный код")</f>
        <v/>
      </c>
      <c r="T186">
        <f>IF(N186&lt;$T$1*0.5,"Низшая четверть",IF(N186&lt;$T$1,"Вторая четверть","Больше половины"))</f>
        <v/>
      </c>
      <c r="U186">
        <f>IF(O186&lt;$U$1*0.5,"Низшая четверть",IF(O186&lt;$U$1,"Вторая четверть","Больше половины"))</f>
        <v/>
      </c>
      <c r="V186">
        <f>IF(OR(N186&lt;SUMIFS(L:L,R:R,1,E:E,E186)/SUMIFS(K:K,R:R,1,E:E,E186)*0.5,O186&lt;SUMIFS(M:M,R:R,1,E:E,E186)/SUMIFS(L:L,R:R,1,E:E,E186)*0.5),"код для проверки","нормальный код")</f>
        <v/>
      </c>
      <c r="W186">
        <f>IF(N186&lt;SUMIFS(L:L,R:R,1,E:E,E186)/SUMIFS(K:K,R:R,1,E:E,E186)*0.5,"Низшая четверть",IF(N186&lt;SUMIFS(L:L,R:R,1,E:E,E186)/SUMIFS(K:K,R:R,1,E:E,E186),"Вторая четверть","Больше половины"))</f>
        <v/>
      </c>
      <c r="X186">
        <f>IF(O186&lt;SUMIFS(M:M,R:R,1,E:E,E186)/SUMIFS(L:L,R:R,1,E:E,E186)*0.5,"Низшая четверть",IF(O186&lt;SUMIFS(M:M,R:R,1,E:E,E186)/SUMIFS(L:L,R:R,1,E:E,E186),"Вторая четверть","Больше половины"))</f>
        <v/>
      </c>
      <c r="Y186" t="n">
        <v>13</v>
      </c>
    </row>
    <row r="187">
      <c r="A187" s="1" t="inlineStr">
        <is>
          <t>43500130</t>
        </is>
      </c>
      <c r="B187" s="2" t="inlineStr">
        <is>
          <t>698694560</t>
        </is>
      </c>
      <c r="C187" s="3" t="inlineStr">
        <is>
          <t>Одежда для детей</t>
        </is>
      </c>
      <c r="D187" s="2" t="inlineStr">
        <is>
          <t>Брюки детские для мальчиков</t>
        </is>
      </c>
      <c r="E187" s="3" t="inlineStr">
        <is>
          <t>435 Брюки спортивные утепленные для мальчиков</t>
        </is>
      </c>
      <c r="F187" s="2" t="inlineStr">
        <is>
          <t>весна, осень, зима</t>
        </is>
      </c>
      <c r="G187" s="3" t="inlineStr">
        <is>
          <t>kari</t>
        </is>
      </c>
      <c r="H187" s="2" t="inlineStr">
        <is>
          <t>Зиннуров Ильнур</t>
        </is>
      </c>
      <c r="J187" s="3" t="inlineStr">
        <is>
          <t>2026SS</t>
        </is>
      </c>
      <c r="K187" s="3" t="n">
        <v>34028</v>
      </c>
      <c r="L187" s="3" t="n">
        <v>2033</v>
      </c>
      <c r="M187" s="3" t="n">
        <v>35</v>
      </c>
      <c r="N187" s="4">
        <f>IFERROR(L187/K187,0)</f>
        <v/>
      </c>
      <c r="O187" s="4">
        <f>IFERROR(M187/L187,0)</f>
        <v/>
      </c>
      <c r="P187" t="n">
        <v>259</v>
      </c>
      <c r="Q187" s="5" t="n">
        <v>1</v>
      </c>
      <c r="R187" s="7" t="n">
        <v>1</v>
      </c>
      <c r="S187">
        <f>IF(OR(N187&lt;$T$1*0.5,O187&lt;$U$1*0.5),"код для проверки","нормальный код")</f>
        <v/>
      </c>
      <c r="T187">
        <f>IF(N187&lt;$T$1*0.5,"Низшая четверть",IF(N187&lt;$T$1,"Вторая четверть","Больше половины"))</f>
        <v/>
      </c>
      <c r="U187">
        <f>IF(O187&lt;$U$1*0.5,"Низшая четверть",IF(O187&lt;$U$1,"Вторая четверть","Больше половины"))</f>
        <v/>
      </c>
      <c r="V187">
        <f>IF(OR(N187&lt;SUMIFS(L:L,R:R,1,E:E,E187)/SUMIFS(K:K,R:R,1,E:E,E187)*0.5,O187&lt;SUMIFS(M:M,R:R,1,E:E,E187)/SUMIFS(L:L,R:R,1,E:E,E187)*0.5),"код для проверки","нормальный код")</f>
        <v/>
      </c>
      <c r="W187">
        <f>IF(N187&lt;SUMIFS(L:L,R:R,1,E:E,E187)/SUMIFS(K:K,R:R,1,E:E,E187)*0.5,"Низшая четверть",IF(N187&lt;SUMIFS(L:L,R:R,1,E:E,E187)/SUMIFS(K:K,R:R,1,E:E,E187),"Вторая четверть","Больше половины"))</f>
        <v/>
      </c>
      <c r="X187">
        <f>IF(O187&lt;SUMIFS(M:M,R:R,1,E:E,E187)/SUMIFS(L:L,R:R,1,E:E,E187)*0.5,"Низшая четверть",IF(O187&lt;SUMIFS(M:M,R:R,1,E:E,E187)/SUMIFS(L:L,R:R,1,E:E,E187),"Вторая четверть","Больше половины"))</f>
        <v/>
      </c>
      <c r="Y187" t="n">
        <v>14</v>
      </c>
    </row>
    <row r="188">
      <c r="A188" s="1" t="inlineStr">
        <is>
          <t>95200140</t>
        </is>
      </c>
      <c r="B188" s="2" t="inlineStr">
        <is>
          <t>786399477</t>
        </is>
      </c>
      <c r="C188" s="3" t="inlineStr">
        <is>
          <t>Одежда для детей</t>
        </is>
      </c>
      <c r="D188" s="2" t="inlineStr">
        <is>
          <t>Верхняя одежда детская для мальчиков</t>
        </is>
      </c>
      <c r="E188" s="3" t="inlineStr">
        <is>
          <t>952 Ветровка детская для мальчиков</t>
        </is>
      </c>
      <c r="F188" s="2" t="inlineStr">
        <is>
          <t>демисезонный</t>
        </is>
      </c>
      <c r="G188" s="3" t="inlineStr">
        <is>
          <t>kari</t>
        </is>
      </c>
      <c r="H188" s="2" t="inlineStr">
        <is>
          <t>Зиннуров Ильнур</t>
        </is>
      </c>
      <c r="J188" s="3" t="inlineStr">
        <is>
          <t>2026SS</t>
        </is>
      </c>
      <c r="K188" s="3" t="n">
        <v>33775</v>
      </c>
      <c r="L188" s="3" t="n">
        <v>3790</v>
      </c>
      <c r="M188" s="3" t="n">
        <v>18</v>
      </c>
      <c r="N188" s="4">
        <f>IFERROR(L188/K188,0)</f>
        <v/>
      </c>
      <c r="O188" s="4">
        <f>IFERROR(M188/L188,0)</f>
        <v/>
      </c>
      <c r="P188" t="n">
        <v>762</v>
      </c>
      <c r="Q188" s="5" t="n">
        <v>1</v>
      </c>
      <c r="R188" s="7" t="n">
        <v>1</v>
      </c>
      <c r="S188">
        <f>IF(OR(N188&lt;$T$1*0.5,O188&lt;$U$1*0.5),"код для проверки","нормальный код")</f>
        <v/>
      </c>
      <c r="T188">
        <f>IF(N188&lt;$T$1*0.5,"Низшая четверть",IF(N188&lt;$T$1,"Вторая четверть","Больше половины"))</f>
        <v/>
      </c>
      <c r="U188">
        <f>IF(O188&lt;$U$1*0.5,"Низшая четверть",IF(O188&lt;$U$1,"Вторая четверть","Больше половины"))</f>
        <v/>
      </c>
      <c r="V188">
        <f>IF(OR(N188&lt;SUMIFS(L:L,R:R,1,E:E,E188)/SUMIFS(K:K,R:R,1,E:E,E188)*0.5,O188&lt;SUMIFS(M:M,R:R,1,E:E,E188)/SUMIFS(L:L,R:R,1,E:E,E188)*0.5),"код для проверки","нормальный код")</f>
        <v/>
      </c>
      <c r="W188">
        <f>IF(N188&lt;SUMIFS(L:L,R:R,1,E:E,E188)/SUMIFS(K:K,R:R,1,E:E,E188)*0.5,"Низшая четверть",IF(N188&lt;SUMIFS(L:L,R:R,1,E:E,E188)/SUMIFS(K:K,R:R,1,E:E,E188),"Вторая четверть","Больше половины"))</f>
        <v/>
      </c>
      <c r="X188">
        <f>IF(O188&lt;SUMIFS(M:M,R:R,1,E:E,E188)/SUMIFS(L:L,R:R,1,E:E,E188)*0.5,"Низшая четверть",IF(O188&lt;SUMIFS(M:M,R:R,1,E:E,E188)/SUMIFS(L:L,R:R,1,E:E,E188),"Вторая четверть","Больше половины"))</f>
        <v/>
      </c>
      <c r="Y188" t="n">
        <v>8</v>
      </c>
    </row>
    <row r="189">
      <c r="A189" s="1" t="inlineStr">
        <is>
          <t>19600130</t>
        </is>
      </c>
      <c r="B189" s="2" t="inlineStr">
        <is>
          <t>734337887</t>
        </is>
      </c>
      <c r="C189" s="3" t="inlineStr">
        <is>
          <t>Одежда и аксессуары</t>
        </is>
      </c>
      <c r="D189" s="2" t="inlineStr">
        <is>
          <t>Майки и платья женские</t>
        </is>
      </c>
      <c r="E189" s="3" t="inlineStr">
        <is>
          <t>196 Майка женская</t>
        </is>
      </c>
      <c r="F189" s="2" t="inlineStr">
        <is>
          <t>всесезонный</t>
        </is>
      </c>
      <c r="G189" s="3" t="inlineStr">
        <is>
          <t>kari</t>
        </is>
      </c>
      <c r="H189" s="2" t="inlineStr">
        <is>
          <t>Зиннуров Ильнур</t>
        </is>
      </c>
      <c r="J189" s="3" t="inlineStr">
        <is>
          <t>2026SS</t>
        </is>
      </c>
      <c r="K189" s="3" t="n">
        <v>33702</v>
      </c>
      <c r="L189" s="3" t="n">
        <v>1582</v>
      </c>
      <c r="M189" s="3" t="n">
        <v>54</v>
      </c>
      <c r="N189" s="4">
        <f>IFERROR(L189/K189,0)</f>
        <v/>
      </c>
      <c r="O189" s="4">
        <f>IFERROR(M189/L189,0)</f>
        <v/>
      </c>
      <c r="P189" t="n">
        <v>333</v>
      </c>
      <c r="Q189" s="5" t="n">
        <v>1</v>
      </c>
      <c r="R189" s="7" t="n">
        <v>1</v>
      </c>
      <c r="S189">
        <f>IF(OR(N189&lt;$T$1*0.5,O189&lt;$U$1*0.5),"код для проверки","нормальный код")</f>
        <v/>
      </c>
      <c r="T189">
        <f>IF(N189&lt;$T$1*0.5,"Низшая четверть",IF(N189&lt;$T$1,"Вторая четверть","Больше половины"))</f>
        <v/>
      </c>
      <c r="U189">
        <f>IF(O189&lt;$U$1*0.5,"Низшая четверть",IF(O189&lt;$U$1,"Вторая четверть","Больше половины"))</f>
        <v/>
      </c>
      <c r="V189">
        <f>IF(OR(N189&lt;SUMIFS(L:L,R:R,1,E:E,E189)/SUMIFS(K:K,R:R,1,E:E,E189)*0.5,O189&lt;SUMIFS(M:M,R:R,1,E:E,E189)/SUMIFS(L:L,R:R,1,E:E,E189)*0.5),"код для проверки","нормальный код")</f>
        <v/>
      </c>
      <c r="W189">
        <f>IF(N189&lt;SUMIFS(L:L,R:R,1,E:E,E189)/SUMIFS(K:K,R:R,1,E:E,E189)*0.5,"Низшая четверть",IF(N189&lt;SUMIFS(L:L,R:R,1,E:E,E189)/SUMIFS(K:K,R:R,1,E:E,E189),"Вторая четверть","Больше половины"))</f>
        <v/>
      </c>
      <c r="X189">
        <f>IF(O189&lt;SUMIFS(M:M,R:R,1,E:E,E189)/SUMIFS(L:L,R:R,1,E:E,E189)*0.5,"Низшая четверть",IF(O189&lt;SUMIFS(M:M,R:R,1,E:E,E189)/SUMIFS(L:L,R:R,1,E:E,E189),"Вторая четверть","Больше половины"))</f>
        <v/>
      </c>
      <c r="Y189" t="n">
        <v>19</v>
      </c>
    </row>
    <row r="190">
      <c r="A190" s="1" t="inlineStr">
        <is>
          <t>a8200040</t>
        </is>
      </c>
      <c r="B190" s="2" t="inlineStr">
        <is>
          <t>785507782</t>
        </is>
      </c>
      <c r="C190" s="3" t="inlineStr">
        <is>
          <t>Одежда для детей</t>
        </is>
      </c>
      <c r="D190" s="2" t="inlineStr">
        <is>
          <t>Свитера детские для мальчиков</t>
        </is>
      </c>
      <c r="E190" s="3" t="inlineStr">
        <is>
          <t>a82 Толстовка на молнии для мальчиков</t>
        </is>
      </c>
      <c r="F190" s="2" t="inlineStr">
        <is>
          <t>весна, лето, осень</t>
        </is>
      </c>
      <c r="G190" s="3" t="inlineStr">
        <is>
          <t>kari</t>
        </is>
      </c>
      <c r="H190" s="2" t="inlineStr">
        <is>
          <t>Зиннуров Ильнур</t>
        </is>
      </c>
      <c r="J190" s="3" t="inlineStr">
        <is>
          <t>2026SS</t>
        </is>
      </c>
      <c r="K190" s="3" t="n">
        <v>33658</v>
      </c>
      <c r="L190" s="3" t="n">
        <v>2157</v>
      </c>
      <c r="M190" s="3" t="n">
        <v>65</v>
      </c>
      <c r="N190" s="4">
        <f>IFERROR(L190/K190,0)</f>
        <v/>
      </c>
      <c r="O190" s="4">
        <f>IFERROR(M190/L190,0)</f>
        <v/>
      </c>
      <c r="P190" t="n">
        <v>124</v>
      </c>
      <c r="Q190" s="5" t="n">
        <v>1</v>
      </c>
      <c r="R190" s="7" t="n">
        <v>1</v>
      </c>
      <c r="S190">
        <f>IF(OR(N190&lt;$T$1*0.5,O190&lt;$U$1*0.5),"код для проверки","нормальный код")</f>
        <v/>
      </c>
      <c r="T190">
        <f>IF(N190&lt;$T$1*0.5,"Низшая четверть",IF(N190&lt;$T$1,"Вторая четверть","Больше половины"))</f>
        <v/>
      </c>
      <c r="U190">
        <f>IF(O190&lt;$U$1*0.5,"Низшая четверть",IF(O190&lt;$U$1,"Вторая четверть","Больше половины"))</f>
        <v/>
      </c>
      <c r="V190">
        <f>IF(OR(N190&lt;SUMIFS(L:L,R:R,1,E:E,E190)/SUMIFS(K:K,R:R,1,E:E,E190)*0.5,O190&lt;SUMIFS(M:M,R:R,1,E:E,E190)/SUMIFS(L:L,R:R,1,E:E,E190)*0.5),"код для проверки","нормальный код")</f>
        <v/>
      </c>
      <c r="W190">
        <f>IF(N190&lt;SUMIFS(L:L,R:R,1,E:E,E190)/SUMIFS(K:K,R:R,1,E:E,E190)*0.5,"Низшая четверть",IF(N190&lt;SUMIFS(L:L,R:R,1,E:E,E190)/SUMIFS(K:K,R:R,1,E:E,E190),"Вторая четверть","Больше половины"))</f>
        <v/>
      </c>
      <c r="X190">
        <f>IF(O190&lt;SUMIFS(M:M,R:R,1,E:E,E190)/SUMIFS(L:L,R:R,1,E:E,E190)*0.5,"Низшая четверть",IF(O190&lt;SUMIFS(M:M,R:R,1,E:E,E190)/SUMIFS(L:L,R:R,1,E:E,E190),"Вторая четверть","Больше половины"))</f>
        <v/>
      </c>
      <c r="Y190" t="n">
        <v>22</v>
      </c>
    </row>
    <row r="191">
      <c r="A191" s="1" t="inlineStr">
        <is>
          <t>95400180</t>
        </is>
      </c>
      <c r="B191" s="2" t="inlineStr">
        <is>
          <t>762228284</t>
        </is>
      </c>
      <c r="C191" s="3" t="inlineStr">
        <is>
          <t>Одежда для детей</t>
        </is>
      </c>
      <c r="D191" s="2" t="inlineStr">
        <is>
          <t>Верхняя детская одежда для девочек</t>
        </is>
      </c>
      <c r="E191" s="3" t="inlineStr">
        <is>
          <t>954 Ветровка детская для девочек</t>
        </is>
      </c>
      <c r="F191" s="2" t="inlineStr">
        <is>
          <t>демисезонный</t>
        </is>
      </c>
      <c r="G191" s="3" t="inlineStr">
        <is>
          <t>kari</t>
        </is>
      </c>
      <c r="H191" s="2" t="inlineStr">
        <is>
          <t>Зиннуров Ильнур</t>
        </is>
      </c>
      <c r="J191" s="3" t="inlineStr">
        <is>
          <t>2026SS</t>
        </is>
      </c>
      <c r="K191" s="3" t="n">
        <v>33363</v>
      </c>
      <c r="L191" s="3" t="n">
        <v>2894</v>
      </c>
      <c r="M191" s="3" t="n">
        <v>63</v>
      </c>
      <c r="N191" s="4">
        <f>IFERROR(L191/K191,0)</f>
        <v/>
      </c>
      <c r="O191" s="4">
        <f>IFERROR(M191/L191,0)</f>
        <v/>
      </c>
      <c r="P191" t="n">
        <v>948</v>
      </c>
      <c r="Q191" s="5" t="n">
        <v>1</v>
      </c>
      <c r="R191" s="7" t="n">
        <v>1</v>
      </c>
      <c r="S191">
        <f>IF(OR(N191&lt;$T$1*0.5,O191&lt;$U$1*0.5),"код для проверки","нормальный код")</f>
        <v/>
      </c>
      <c r="T191">
        <f>IF(N191&lt;$T$1*0.5,"Низшая четверть",IF(N191&lt;$T$1,"Вторая четверть","Больше половины"))</f>
        <v/>
      </c>
      <c r="U191">
        <f>IF(O191&lt;$U$1*0.5,"Низшая четверть",IF(O191&lt;$U$1,"Вторая четверть","Больше половины"))</f>
        <v/>
      </c>
      <c r="V191">
        <f>IF(OR(N191&lt;SUMIFS(L:L,R:R,1,E:E,E191)/SUMIFS(K:K,R:R,1,E:E,E191)*0.5,O191&lt;SUMIFS(M:M,R:R,1,E:E,E191)/SUMIFS(L:L,R:R,1,E:E,E191)*0.5),"код для проверки","нормальный код")</f>
        <v/>
      </c>
      <c r="W191">
        <f>IF(N191&lt;SUMIFS(L:L,R:R,1,E:E,E191)/SUMIFS(K:K,R:R,1,E:E,E191)*0.5,"Низшая четверть",IF(N191&lt;SUMIFS(L:L,R:R,1,E:E,E191)/SUMIFS(K:K,R:R,1,E:E,E191),"Вторая четверть","Больше половины"))</f>
        <v/>
      </c>
      <c r="X191">
        <f>IF(O191&lt;SUMIFS(M:M,R:R,1,E:E,E191)/SUMIFS(L:L,R:R,1,E:E,E191)*0.5,"Низшая четверть",IF(O191&lt;SUMIFS(M:M,R:R,1,E:E,E191)/SUMIFS(L:L,R:R,1,E:E,E191),"Вторая четверть","Больше половины"))</f>
        <v/>
      </c>
      <c r="Y191" t="n">
        <v>19</v>
      </c>
    </row>
    <row r="192">
      <c r="A192" s="1" t="inlineStr">
        <is>
          <t>09400880</t>
        </is>
      </c>
      <c r="B192" s="2" t="inlineStr">
        <is>
          <t>815107371</t>
        </is>
      </c>
      <c r="C192" s="3" t="inlineStr">
        <is>
          <t>Одежда и аксессуары</t>
        </is>
      </c>
      <c r="D192" s="2" t="inlineStr">
        <is>
          <t>Купальники женские</t>
        </is>
      </c>
      <c r="E192" s="3" t="inlineStr">
        <is>
          <t>094 Купальник</t>
        </is>
      </c>
      <c r="F192" s="2" t="inlineStr">
        <is>
          <t>лето</t>
        </is>
      </c>
      <c r="G192" s="3" t="inlineStr">
        <is>
          <t>kari</t>
        </is>
      </c>
      <c r="H192" s="2" t="inlineStr">
        <is>
          <t>Никонорова Алина</t>
        </is>
      </c>
      <c r="J192" s="3" t="inlineStr">
        <is>
          <t>2026SS</t>
        </is>
      </c>
      <c r="K192" s="3" t="n">
        <v>33129</v>
      </c>
      <c r="L192" s="3" t="n">
        <v>5513</v>
      </c>
      <c r="M192" s="3" t="n">
        <v>45</v>
      </c>
      <c r="N192" s="4">
        <f>IFERROR(L192/K192,0)</f>
        <v/>
      </c>
      <c r="O192" s="4">
        <f>IFERROR(M192/L192,0)</f>
        <v/>
      </c>
      <c r="P192" t="n">
        <v>2223</v>
      </c>
      <c r="Q192" s="5" t="n">
        <v>0.5555555555555556</v>
      </c>
      <c r="R192" s="7" t="n">
        <v>1</v>
      </c>
      <c r="S192">
        <f>IF(OR(N192&lt;$T$1*0.5,O192&lt;$U$1*0.5),"код для проверки","нормальный код")</f>
        <v/>
      </c>
      <c r="T192">
        <f>IF(N192&lt;$T$1*0.5,"Низшая четверть",IF(N192&lt;$T$1,"Вторая четверть","Больше половины"))</f>
        <v/>
      </c>
      <c r="U192">
        <f>IF(O192&lt;$U$1*0.5,"Низшая четверть",IF(O192&lt;$U$1,"Вторая четверть","Больше половины"))</f>
        <v/>
      </c>
      <c r="V192">
        <f>IF(OR(N192&lt;SUMIFS(L:L,R:R,1,E:E,E192)/SUMIFS(K:K,R:R,1,E:E,E192)*0.5,O192&lt;SUMIFS(M:M,R:R,1,E:E,E192)/SUMIFS(L:L,R:R,1,E:E,E192)*0.5),"код для проверки","нормальный код")</f>
        <v/>
      </c>
      <c r="W192">
        <f>IF(N192&lt;SUMIFS(L:L,R:R,1,E:E,E192)/SUMIFS(K:K,R:R,1,E:E,E192)*0.5,"Низшая четверть",IF(N192&lt;SUMIFS(L:L,R:R,1,E:E,E192)/SUMIFS(K:K,R:R,1,E:E,E192),"Вторая четверть","Больше половины"))</f>
        <v/>
      </c>
      <c r="X192">
        <f>IF(O192&lt;SUMIFS(M:M,R:R,1,E:E,E192)/SUMIFS(L:L,R:R,1,E:E,E192)*0.5,"Низшая четверть",IF(O192&lt;SUMIFS(M:M,R:R,1,E:E,E192)/SUMIFS(L:L,R:R,1,E:E,E192),"Вторая четверть","Больше половины"))</f>
        <v/>
      </c>
      <c r="Y192" t="n">
        <v>23</v>
      </c>
    </row>
    <row r="193">
      <c r="A193" s="1" t="inlineStr">
        <is>
          <t>14400050</t>
        </is>
      </c>
      <c r="B193" s="2" t="inlineStr">
        <is>
          <t>722467592</t>
        </is>
      </c>
      <c r="C193" s="3" t="inlineStr">
        <is>
          <t>Одежда и аксессуары</t>
        </is>
      </c>
      <c r="D193" s="2" t="inlineStr">
        <is>
          <t>Шарфы женские</t>
        </is>
      </c>
      <c r="E193" s="3" t="inlineStr">
        <is>
          <t>144 Шарф летний женский</t>
        </is>
      </c>
      <c r="F193" s="2" t="inlineStr">
        <is>
          <t>весна, лето</t>
        </is>
      </c>
      <c r="G193" s="3" t="inlineStr">
        <is>
          <t>kari</t>
        </is>
      </c>
      <c r="H193" s="2" t="inlineStr">
        <is>
          <t>Никонорова Алина</t>
        </is>
      </c>
      <c r="J193" s="3" t="inlineStr">
        <is>
          <t>2026SS</t>
        </is>
      </c>
      <c r="K193" s="3" t="n">
        <v>33044</v>
      </c>
      <c r="L193" s="3" t="n">
        <v>13829</v>
      </c>
      <c r="M193" s="3" t="n">
        <v>113</v>
      </c>
      <c r="N193" s="4">
        <f>IFERROR(L193/K193,0)</f>
        <v/>
      </c>
      <c r="O193" s="4">
        <f>IFERROR(M193/L193,0)</f>
        <v/>
      </c>
      <c r="P193" t="n">
        <v>573</v>
      </c>
      <c r="Q193" s="5" t="n">
        <v>1</v>
      </c>
      <c r="R193" s="7" t="n">
        <v>1</v>
      </c>
      <c r="S193">
        <f>IF(OR(N193&lt;$T$1*0.5,O193&lt;$U$1*0.5),"код для проверки","нормальный код")</f>
        <v/>
      </c>
      <c r="T193">
        <f>IF(N193&lt;$T$1*0.5,"Низшая четверть",IF(N193&lt;$T$1,"Вторая четверть","Больше половины"))</f>
        <v/>
      </c>
      <c r="U193">
        <f>IF(O193&lt;$U$1*0.5,"Низшая четверть",IF(O193&lt;$U$1,"Вторая четверть","Больше половины"))</f>
        <v/>
      </c>
      <c r="V193">
        <f>IF(OR(N193&lt;SUMIFS(L:L,R:R,1,E:E,E193)/SUMIFS(K:K,R:R,1,E:E,E193)*0.5,O193&lt;SUMIFS(M:M,R:R,1,E:E,E193)/SUMIFS(L:L,R:R,1,E:E,E193)*0.5),"код для проверки","нормальный код")</f>
        <v/>
      </c>
      <c r="W193">
        <f>IF(N193&lt;SUMIFS(L:L,R:R,1,E:E,E193)/SUMIFS(K:K,R:R,1,E:E,E193)*0.5,"Низшая четверть",IF(N193&lt;SUMIFS(L:L,R:R,1,E:E,E193)/SUMIFS(K:K,R:R,1,E:E,E193),"Вторая четверть","Больше половины"))</f>
        <v/>
      </c>
      <c r="X193">
        <f>IF(O193&lt;SUMIFS(M:M,R:R,1,E:E,E193)/SUMIFS(L:L,R:R,1,E:E,E193)*0.5,"Низшая четверть",IF(O193&lt;SUMIFS(M:M,R:R,1,E:E,E193)/SUMIFS(L:L,R:R,1,E:E,E193),"Вторая четверть","Больше половины"))</f>
        <v/>
      </c>
      <c r="Y193" t="n">
        <v>14</v>
      </c>
    </row>
    <row r="194">
      <c r="A194" s="1" t="inlineStr">
        <is>
          <t>18100300</t>
        </is>
      </c>
      <c r="B194" s="2" t="inlineStr">
        <is>
          <t>762057066</t>
        </is>
      </c>
      <c r="C194" s="3" t="inlineStr">
        <is>
          <t>Одежда для детей</t>
        </is>
      </c>
      <c r="D194" s="2" t="inlineStr">
        <is>
          <t>Джинсы детские для девочек</t>
        </is>
      </c>
      <c r="E194" s="3" t="inlineStr">
        <is>
          <t>181 Джинсы детские для девочек</t>
        </is>
      </c>
      <c r="F194" s="2" t="inlineStr">
        <is>
          <t>всесезонный</t>
        </is>
      </c>
      <c r="G194" s="3" t="inlineStr">
        <is>
          <t>kari</t>
        </is>
      </c>
      <c r="H194" s="2" t="inlineStr">
        <is>
          <t>Зиннуров Ильнур</t>
        </is>
      </c>
      <c r="J194" s="3" t="inlineStr">
        <is>
          <t>2026SS</t>
        </is>
      </c>
      <c r="K194" s="3" t="n">
        <v>32428</v>
      </c>
      <c r="L194" s="3" t="n">
        <v>2372</v>
      </c>
      <c r="M194" s="3" t="n">
        <v>68</v>
      </c>
      <c r="N194" s="4">
        <f>IFERROR(L194/K194,0)</f>
        <v/>
      </c>
      <c r="O194" s="4">
        <f>IFERROR(M194/L194,0)</f>
        <v/>
      </c>
      <c r="P194" t="n">
        <v>448</v>
      </c>
      <c r="Q194" s="5" t="n">
        <v>1</v>
      </c>
      <c r="R194" s="7" t="n">
        <v>1</v>
      </c>
      <c r="S194">
        <f>IF(OR(N194&lt;$T$1*0.5,O194&lt;$U$1*0.5),"код для проверки","нормальный код")</f>
        <v/>
      </c>
      <c r="T194">
        <f>IF(N194&lt;$T$1*0.5,"Низшая четверть",IF(N194&lt;$T$1,"Вторая четверть","Больше половины"))</f>
        <v/>
      </c>
      <c r="U194">
        <f>IF(O194&lt;$U$1*0.5,"Низшая четверть",IF(O194&lt;$U$1,"Вторая четверть","Больше половины"))</f>
        <v/>
      </c>
      <c r="V194">
        <f>IF(OR(N194&lt;SUMIFS(L:L,R:R,1,E:E,E194)/SUMIFS(K:K,R:R,1,E:E,E194)*0.5,O194&lt;SUMIFS(M:M,R:R,1,E:E,E194)/SUMIFS(L:L,R:R,1,E:E,E194)*0.5),"код для проверки","нормальный код")</f>
        <v/>
      </c>
      <c r="W194">
        <f>IF(N194&lt;SUMIFS(L:L,R:R,1,E:E,E194)/SUMIFS(K:K,R:R,1,E:E,E194)*0.5,"Низшая четверть",IF(N194&lt;SUMIFS(L:L,R:R,1,E:E,E194)/SUMIFS(K:K,R:R,1,E:E,E194),"Вторая четверть","Больше половины"))</f>
        <v/>
      </c>
      <c r="X194">
        <f>IF(O194&lt;SUMIFS(M:M,R:R,1,E:E,E194)/SUMIFS(L:L,R:R,1,E:E,E194)*0.5,"Низшая четверть",IF(O194&lt;SUMIFS(M:M,R:R,1,E:E,E194)/SUMIFS(L:L,R:R,1,E:E,E194),"Вторая четверть","Больше половины"))</f>
        <v/>
      </c>
      <c r="Y194" t="n">
        <v>18</v>
      </c>
    </row>
    <row r="195">
      <c r="A195" s="1" t="inlineStr">
        <is>
          <t>42400100</t>
        </is>
      </c>
      <c r="B195" s="2" t="inlineStr">
        <is>
          <t>790045798</t>
        </is>
      </c>
      <c r="C195" s="3" t="inlineStr">
        <is>
          <t>Одежда для детей</t>
        </is>
      </c>
      <c r="D195" s="2" t="inlineStr">
        <is>
          <t>Одежда для новорожденных</t>
        </is>
      </c>
      <c r="E195" s="3" t="inlineStr">
        <is>
          <t>424 Комбинезон для новорожденных утепленный</t>
        </is>
      </c>
      <c r="F195" s="2" t="inlineStr">
        <is>
          <t>весна, осень, зима</t>
        </is>
      </c>
      <c r="G195" s="3" t="inlineStr">
        <is>
          <t>Kari baby</t>
        </is>
      </c>
      <c r="H195" s="2" t="inlineStr">
        <is>
          <t>Зиннуров Ильнур</t>
        </is>
      </c>
      <c r="J195" s="3" t="inlineStr">
        <is>
          <t>2026SS</t>
        </is>
      </c>
      <c r="K195" s="3" t="n">
        <v>32039</v>
      </c>
      <c r="L195" s="3" t="n">
        <v>4218</v>
      </c>
      <c r="M195" s="3" t="n">
        <v>64</v>
      </c>
      <c r="N195" s="4">
        <f>IFERROR(L195/K195,0)</f>
        <v/>
      </c>
      <c r="O195" s="4">
        <f>IFERROR(M195/L195,0)</f>
        <v/>
      </c>
      <c r="P195" t="n">
        <v>147</v>
      </c>
      <c r="Q195" s="5" t="n">
        <v>0.8333333333333334</v>
      </c>
      <c r="R195" s="7" t="n">
        <v>1</v>
      </c>
      <c r="S195">
        <f>IF(OR(N195&lt;$T$1*0.5,O195&lt;$U$1*0.5),"код для проверки","нормальный код")</f>
        <v/>
      </c>
      <c r="T195">
        <f>IF(N195&lt;$T$1*0.5,"Низшая четверть",IF(N195&lt;$T$1,"Вторая четверть","Больше половины"))</f>
        <v/>
      </c>
      <c r="U195">
        <f>IF(O195&lt;$U$1*0.5,"Низшая четверть",IF(O195&lt;$U$1,"Вторая четверть","Больше половины"))</f>
        <v/>
      </c>
      <c r="V195">
        <f>IF(OR(N195&lt;SUMIFS(L:L,R:R,1,E:E,E195)/SUMIFS(K:K,R:R,1,E:E,E195)*0.5,O195&lt;SUMIFS(M:M,R:R,1,E:E,E195)/SUMIFS(L:L,R:R,1,E:E,E195)*0.5),"код для проверки","нормальный код")</f>
        <v/>
      </c>
      <c r="W195">
        <f>IF(N195&lt;SUMIFS(L:L,R:R,1,E:E,E195)/SUMIFS(K:K,R:R,1,E:E,E195)*0.5,"Низшая четверть",IF(N195&lt;SUMIFS(L:L,R:R,1,E:E,E195)/SUMIFS(K:K,R:R,1,E:E,E195),"Вторая четверть","Больше половины"))</f>
        <v/>
      </c>
      <c r="X195">
        <f>IF(O195&lt;SUMIFS(M:M,R:R,1,E:E,E195)/SUMIFS(L:L,R:R,1,E:E,E195)*0.5,"Низшая четверть",IF(O195&lt;SUMIFS(M:M,R:R,1,E:E,E195)/SUMIFS(L:L,R:R,1,E:E,E195),"Вторая четверть","Больше половины"))</f>
        <v/>
      </c>
      <c r="Y195" t="n">
        <v>16</v>
      </c>
    </row>
    <row r="196">
      <c r="A196" s="1" t="inlineStr">
        <is>
          <t>44800040</t>
        </is>
      </c>
      <c r="B196" s="2" t="inlineStr">
        <is>
          <t>710462729</t>
        </is>
      </c>
      <c r="C196" s="3" t="inlineStr">
        <is>
          <t>Одежда для детей</t>
        </is>
      </c>
      <c r="D196" s="2" t="inlineStr">
        <is>
          <t>Брюки детские для девочек</t>
        </is>
      </c>
      <c r="E196" s="3" t="inlineStr">
        <is>
          <t>448 Брюки спортивные утепленные для девочек</t>
        </is>
      </c>
      <c r="F196" s="2" t="inlineStr">
        <is>
          <t>весна, осень, зима</t>
        </is>
      </c>
      <c r="G196" s="3" t="inlineStr">
        <is>
          <t>Kari KIDS</t>
        </is>
      </c>
      <c r="H196" s="2" t="inlineStr">
        <is>
          <t>Зиннуров Ильнур</t>
        </is>
      </c>
      <c r="J196" s="3" t="inlineStr">
        <is>
          <t>2026SS</t>
        </is>
      </c>
      <c r="K196" s="3" t="n">
        <v>31712</v>
      </c>
      <c r="L196" s="3" t="n">
        <v>2420</v>
      </c>
      <c r="M196" s="3" t="n">
        <v>55</v>
      </c>
      <c r="N196" s="4">
        <f>IFERROR(L196/K196,0)</f>
        <v/>
      </c>
      <c r="O196" s="4">
        <f>IFERROR(M196/L196,0)</f>
        <v/>
      </c>
      <c r="P196" t="n">
        <v>436</v>
      </c>
      <c r="Q196" s="5" t="n">
        <v>1</v>
      </c>
      <c r="R196" s="7" t="n">
        <v>1</v>
      </c>
      <c r="S196">
        <f>IF(OR(N196&lt;$T$1*0.5,O196&lt;$U$1*0.5),"код для проверки","нормальный код")</f>
        <v/>
      </c>
      <c r="T196">
        <f>IF(N196&lt;$T$1*0.5,"Низшая четверть",IF(N196&lt;$T$1,"Вторая четверть","Больше половины"))</f>
        <v/>
      </c>
      <c r="U196">
        <f>IF(O196&lt;$U$1*0.5,"Низшая четверть",IF(O196&lt;$U$1,"Вторая четверть","Больше половины"))</f>
        <v/>
      </c>
      <c r="V196">
        <f>IF(OR(N196&lt;SUMIFS(L:L,R:R,1,E:E,E196)/SUMIFS(K:K,R:R,1,E:E,E196)*0.5,O196&lt;SUMIFS(M:M,R:R,1,E:E,E196)/SUMIFS(L:L,R:R,1,E:E,E196)*0.5),"код для проверки","нормальный код")</f>
        <v/>
      </c>
      <c r="W196">
        <f>IF(N196&lt;SUMIFS(L:L,R:R,1,E:E,E196)/SUMIFS(K:K,R:R,1,E:E,E196)*0.5,"Низшая четверть",IF(N196&lt;SUMIFS(L:L,R:R,1,E:E,E196)/SUMIFS(K:K,R:R,1,E:E,E196),"Вторая четверть","Больше половины"))</f>
        <v/>
      </c>
      <c r="X196">
        <f>IF(O196&lt;SUMIFS(M:M,R:R,1,E:E,E196)/SUMIFS(L:L,R:R,1,E:E,E196)*0.5,"Низшая четверть",IF(O196&lt;SUMIFS(M:M,R:R,1,E:E,E196)/SUMIFS(L:L,R:R,1,E:E,E196),"Вторая четверть","Больше половины"))</f>
        <v/>
      </c>
      <c r="Y196" t="n">
        <v>14</v>
      </c>
    </row>
    <row r="197">
      <c r="A197" s="1" t="inlineStr">
        <is>
          <t>19600060</t>
        </is>
      </c>
      <c r="B197" s="2" t="inlineStr">
        <is>
          <t>768078844</t>
        </is>
      </c>
      <c r="C197" s="3" t="inlineStr">
        <is>
          <t>Одежда и аксессуары</t>
        </is>
      </c>
      <c r="D197" s="2" t="inlineStr">
        <is>
          <t>Майки и платья женские</t>
        </is>
      </c>
      <c r="E197" s="3" t="inlineStr">
        <is>
          <t>196 Майка женская</t>
        </is>
      </c>
      <c r="F197" s="2" t="inlineStr">
        <is>
          <t>всесезонный</t>
        </is>
      </c>
      <c r="G197" s="3" t="inlineStr">
        <is>
          <t>kari</t>
        </is>
      </c>
      <c r="H197" s="2" t="inlineStr">
        <is>
          <t>Зиннуров Ильнур</t>
        </is>
      </c>
      <c r="J197" s="3" t="inlineStr">
        <is>
          <t>2026SS</t>
        </is>
      </c>
      <c r="K197" s="3" t="n">
        <v>31112</v>
      </c>
      <c r="L197" s="3" t="n">
        <v>907</v>
      </c>
      <c r="M197" s="3" t="n">
        <v>57</v>
      </c>
      <c r="N197" s="4">
        <f>IFERROR(L197/K197,0)</f>
        <v/>
      </c>
      <c r="O197" s="4">
        <f>IFERROR(M197/L197,0)</f>
        <v/>
      </c>
      <c r="P197" t="n">
        <v>670</v>
      </c>
      <c r="Q197" s="5" t="n">
        <v>1</v>
      </c>
      <c r="R197" s="7" t="n">
        <v>1</v>
      </c>
      <c r="S197">
        <f>IF(OR(N197&lt;$T$1*0.5,O197&lt;$U$1*0.5),"код для проверки","нормальный код")</f>
        <v/>
      </c>
      <c r="T197">
        <f>IF(N197&lt;$T$1*0.5,"Низшая четверть",IF(N197&lt;$T$1,"Вторая четверть","Больше половины"))</f>
        <v/>
      </c>
      <c r="U197">
        <f>IF(O197&lt;$U$1*0.5,"Низшая четверть",IF(O197&lt;$U$1,"Вторая четверть","Больше половины"))</f>
        <v/>
      </c>
      <c r="V197">
        <f>IF(OR(N197&lt;SUMIFS(L:L,R:R,1,E:E,E197)/SUMIFS(K:K,R:R,1,E:E,E197)*0.5,O197&lt;SUMIFS(M:M,R:R,1,E:E,E197)/SUMIFS(L:L,R:R,1,E:E,E197)*0.5),"код для проверки","нормальный код")</f>
        <v/>
      </c>
      <c r="W197">
        <f>IF(N197&lt;SUMIFS(L:L,R:R,1,E:E,E197)/SUMIFS(K:K,R:R,1,E:E,E197)*0.5,"Низшая четверть",IF(N197&lt;SUMIFS(L:L,R:R,1,E:E,E197)/SUMIFS(K:K,R:R,1,E:E,E197),"Вторая четверть","Больше половины"))</f>
        <v/>
      </c>
      <c r="X197">
        <f>IF(O197&lt;SUMIFS(M:M,R:R,1,E:E,E197)/SUMIFS(L:L,R:R,1,E:E,E197)*0.5,"Низшая четверть",IF(O197&lt;SUMIFS(M:M,R:R,1,E:E,E197)/SUMIFS(L:L,R:R,1,E:E,E197),"Вторая четверть","Больше половины"))</f>
        <v/>
      </c>
      <c r="Y197" t="n">
        <v>18</v>
      </c>
    </row>
    <row r="198">
      <c r="A198" s="1" t="inlineStr">
        <is>
          <t>h1200030</t>
        </is>
      </c>
      <c r="B198" s="2" t="inlineStr">
        <is>
          <t>754564324</t>
        </is>
      </c>
      <c r="C198" s="3" t="inlineStr">
        <is>
          <t>Одежда и аксессуары</t>
        </is>
      </c>
      <c r="D198" s="2" t="inlineStr">
        <is>
          <t>Свитера женские</t>
        </is>
      </c>
      <c r="E198" s="3" t="inlineStr">
        <is>
          <t>h12 Толстовка женская</t>
        </is>
      </c>
      <c r="F198" s="2" t="inlineStr">
        <is>
          <t>всесезонный</t>
        </is>
      </c>
      <c r="G198" s="3" t="inlineStr">
        <is>
          <t>kari</t>
        </is>
      </c>
      <c r="H198" s="2" t="inlineStr">
        <is>
          <t>Зиннуров Ильнур</t>
        </is>
      </c>
      <c r="J198" s="3" t="inlineStr">
        <is>
          <t>2026SS</t>
        </is>
      </c>
      <c r="K198" s="3" t="n">
        <v>31107</v>
      </c>
      <c r="L198" s="3" t="n">
        <v>2966</v>
      </c>
      <c r="M198" s="3" t="n">
        <v>35</v>
      </c>
      <c r="N198" s="4">
        <f>IFERROR(L198/K198,0)</f>
        <v/>
      </c>
      <c r="O198" s="4">
        <f>IFERROR(M198/L198,0)</f>
        <v/>
      </c>
      <c r="P198" t="n">
        <v>11</v>
      </c>
      <c r="Q198" s="5" t="n">
        <v>0.8</v>
      </c>
      <c r="R198" s="7" t="n">
        <v>1</v>
      </c>
      <c r="S198">
        <f>IF(OR(N198&lt;$T$1*0.5,O198&lt;$U$1*0.5),"код для проверки","нормальный код")</f>
        <v/>
      </c>
      <c r="T198">
        <f>IF(N198&lt;$T$1*0.5,"Низшая четверть",IF(N198&lt;$T$1,"Вторая четверть","Больше половины"))</f>
        <v/>
      </c>
      <c r="U198">
        <f>IF(O198&lt;$U$1*0.5,"Низшая четверть",IF(O198&lt;$U$1,"Вторая четверть","Больше половины"))</f>
        <v/>
      </c>
      <c r="V198">
        <f>IF(OR(N198&lt;SUMIFS(L:L,R:R,1,E:E,E198)/SUMIFS(K:K,R:R,1,E:E,E198)*0.5,O198&lt;SUMIFS(M:M,R:R,1,E:E,E198)/SUMIFS(L:L,R:R,1,E:E,E198)*0.5),"код для проверки","нормальный код")</f>
        <v/>
      </c>
      <c r="W198">
        <f>IF(N198&lt;SUMIFS(L:L,R:R,1,E:E,E198)/SUMIFS(K:K,R:R,1,E:E,E198)*0.5,"Низшая четверть",IF(N198&lt;SUMIFS(L:L,R:R,1,E:E,E198)/SUMIFS(K:K,R:R,1,E:E,E198),"Вторая четверть","Больше половины"))</f>
        <v/>
      </c>
      <c r="X198">
        <f>IF(O198&lt;SUMIFS(M:M,R:R,1,E:E,E198)/SUMIFS(L:L,R:R,1,E:E,E198)*0.5,"Низшая четверть",IF(O198&lt;SUMIFS(M:M,R:R,1,E:E,E198)/SUMIFS(L:L,R:R,1,E:E,E198),"Вторая четверть","Больше половины"))</f>
        <v/>
      </c>
      <c r="Y198" t="n">
        <v>25</v>
      </c>
    </row>
    <row r="199">
      <c r="A199" s="1" t="inlineStr">
        <is>
          <t>30200270</t>
        </is>
      </c>
      <c r="B199" s="2" t="inlineStr">
        <is>
          <t>716072364</t>
        </is>
      </c>
      <c r="C199" s="3" t="inlineStr">
        <is>
          <t>Одежда для детей</t>
        </is>
      </c>
      <c r="D199" s="2" t="inlineStr">
        <is>
          <t>Платья, майки, футболки детские для девочек</t>
        </is>
      </c>
      <c r="E199" s="3" t="inlineStr">
        <is>
          <t>302 Юбка детская для девочек</t>
        </is>
      </c>
      <c r="F199" s="2" t="inlineStr">
        <is>
          <t>всесезонный</t>
        </is>
      </c>
      <c r="G199" s="3" t="inlineStr">
        <is>
          <t>kari</t>
        </is>
      </c>
      <c r="H199" s="2" t="inlineStr">
        <is>
          <t>Зиннуров Ильнур</t>
        </is>
      </c>
      <c r="J199" s="3" t="inlineStr">
        <is>
          <t>2026SS</t>
        </is>
      </c>
      <c r="K199" s="3" t="n">
        <v>30978</v>
      </c>
      <c r="L199" s="3" t="n">
        <v>2247</v>
      </c>
      <c r="M199" s="3" t="n">
        <v>55</v>
      </c>
      <c r="N199" s="4">
        <f>IFERROR(L199/K199,0)</f>
        <v/>
      </c>
      <c r="O199" s="4">
        <f>IFERROR(M199/L199,0)</f>
        <v/>
      </c>
      <c r="P199" t="n">
        <v>414</v>
      </c>
      <c r="Q199" s="5" t="n">
        <v>1</v>
      </c>
      <c r="R199" s="7" t="n">
        <v>1</v>
      </c>
      <c r="S199">
        <f>IF(OR(N199&lt;$T$1*0.5,O199&lt;$U$1*0.5),"код для проверки","нормальный код")</f>
        <v/>
      </c>
      <c r="T199">
        <f>IF(N199&lt;$T$1*0.5,"Низшая четверть",IF(N199&lt;$T$1,"Вторая четверть","Больше половины"))</f>
        <v/>
      </c>
      <c r="U199">
        <f>IF(O199&lt;$U$1*0.5,"Низшая четверть",IF(O199&lt;$U$1,"Вторая четверть","Больше половины"))</f>
        <v/>
      </c>
      <c r="V199">
        <f>IF(OR(N199&lt;SUMIFS(L:L,R:R,1,E:E,E199)/SUMIFS(K:K,R:R,1,E:E,E199)*0.5,O199&lt;SUMIFS(M:M,R:R,1,E:E,E199)/SUMIFS(L:L,R:R,1,E:E,E199)*0.5),"код для проверки","нормальный код")</f>
        <v/>
      </c>
      <c r="W199">
        <f>IF(N199&lt;SUMIFS(L:L,R:R,1,E:E,E199)/SUMIFS(K:K,R:R,1,E:E,E199)*0.5,"Низшая четверть",IF(N199&lt;SUMIFS(L:L,R:R,1,E:E,E199)/SUMIFS(K:K,R:R,1,E:E,E199),"Вторая четверть","Больше половины"))</f>
        <v/>
      </c>
      <c r="X199">
        <f>IF(O199&lt;SUMIFS(M:M,R:R,1,E:E,E199)/SUMIFS(L:L,R:R,1,E:E,E199)*0.5,"Низшая четверть",IF(O199&lt;SUMIFS(M:M,R:R,1,E:E,E199)/SUMIFS(L:L,R:R,1,E:E,E199),"Вторая четверть","Больше половины"))</f>
        <v/>
      </c>
      <c r="Y199" t="n">
        <v>17</v>
      </c>
    </row>
    <row r="200">
      <c r="A200" s="1" t="inlineStr">
        <is>
          <t>88600070</t>
        </is>
      </c>
      <c r="B200" s="2" t="inlineStr">
        <is>
          <t>866468961</t>
        </is>
      </c>
      <c r="C200" s="3" t="inlineStr">
        <is>
          <t>Одежда для детей</t>
        </is>
      </c>
      <c r="D200" s="2" t="inlineStr">
        <is>
          <t>Верхняя детская одежда для девочек</t>
        </is>
      </c>
      <c r="E200" s="3" t="inlineStr">
        <is>
          <t>886 Жилет утепленный детский для девочек</t>
        </is>
      </c>
      <c r="F200" s="2" t="inlineStr">
        <is>
          <t>демисезонный</t>
        </is>
      </c>
      <c r="G200" s="3" t="inlineStr">
        <is>
          <t>Kari KIDS</t>
        </is>
      </c>
      <c r="H200" s="2" t="inlineStr">
        <is>
          <t>Зиннуров Ильнур</t>
        </is>
      </c>
      <c r="J200" s="3" t="inlineStr">
        <is>
          <t>2026SS</t>
        </is>
      </c>
      <c r="K200" s="3" t="n">
        <v>30898</v>
      </c>
      <c r="L200" s="3" t="n">
        <v>1254</v>
      </c>
      <c r="M200" s="3" t="n">
        <v>16</v>
      </c>
      <c r="N200" s="4">
        <f>IFERROR(L200/K200,0)</f>
        <v/>
      </c>
      <c r="O200" s="4">
        <f>IFERROR(M200/L200,0)</f>
        <v/>
      </c>
      <c r="P200" t="n">
        <v>493</v>
      </c>
      <c r="Q200" s="5" t="n">
        <v>1</v>
      </c>
      <c r="R200" s="7" t="n">
        <v>1</v>
      </c>
      <c r="S200">
        <f>IF(OR(N200&lt;$T$1*0.5,O200&lt;$U$1*0.5),"код для проверки","нормальный код")</f>
        <v/>
      </c>
      <c r="T200">
        <f>IF(N200&lt;$T$1*0.5,"Низшая четверть",IF(N200&lt;$T$1,"Вторая четверть","Больше половины"))</f>
        <v/>
      </c>
      <c r="U200">
        <f>IF(O200&lt;$U$1*0.5,"Низшая четверть",IF(O200&lt;$U$1,"Вторая четверть","Больше половины"))</f>
        <v/>
      </c>
      <c r="V200">
        <f>IF(OR(N200&lt;SUMIFS(L:L,R:R,1,E:E,E200)/SUMIFS(K:K,R:R,1,E:E,E200)*0.5,O200&lt;SUMIFS(M:M,R:R,1,E:E,E200)/SUMIFS(L:L,R:R,1,E:E,E200)*0.5),"код для проверки","нормальный код")</f>
        <v/>
      </c>
      <c r="W200">
        <f>IF(N200&lt;SUMIFS(L:L,R:R,1,E:E,E200)/SUMIFS(K:K,R:R,1,E:E,E200)*0.5,"Низшая четверть",IF(N200&lt;SUMIFS(L:L,R:R,1,E:E,E200)/SUMIFS(K:K,R:R,1,E:E,E200),"Вторая четверть","Больше половины"))</f>
        <v/>
      </c>
      <c r="X200">
        <f>IF(O200&lt;SUMIFS(M:M,R:R,1,E:E,E200)/SUMIFS(L:L,R:R,1,E:E,E200)*0.5,"Низшая четверть",IF(O200&lt;SUMIFS(M:M,R:R,1,E:E,E200)/SUMIFS(L:L,R:R,1,E:E,E200),"Вторая четверть","Больше половины"))</f>
        <v/>
      </c>
      <c r="Y200" t="n">
        <v>15</v>
      </c>
    </row>
    <row r="201">
      <c r="A201" s="1" t="inlineStr">
        <is>
          <t>h1200000</t>
        </is>
      </c>
      <c r="B201" s="2" t="inlineStr">
        <is>
          <t>754564345</t>
        </is>
      </c>
      <c r="C201" s="3" t="inlineStr">
        <is>
          <t>Одежда и аксессуары</t>
        </is>
      </c>
      <c r="D201" s="2" t="inlineStr">
        <is>
          <t>Свитера женские</t>
        </is>
      </c>
      <c r="E201" s="3" t="inlineStr">
        <is>
          <t>h12 Толстовка женская</t>
        </is>
      </c>
      <c r="F201" s="2" t="inlineStr">
        <is>
          <t>всесезонный</t>
        </is>
      </c>
      <c r="G201" s="3" t="inlineStr">
        <is>
          <t>kari</t>
        </is>
      </c>
      <c r="H201" s="2" t="inlineStr">
        <is>
          <t>Зиннуров Ильнур</t>
        </is>
      </c>
      <c r="J201" s="3" t="inlineStr">
        <is>
          <t>2026SS</t>
        </is>
      </c>
      <c r="K201" s="3" t="n">
        <v>30666</v>
      </c>
      <c r="L201" s="3" t="n">
        <v>3556</v>
      </c>
      <c r="M201" s="3" t="n">
        <v>54</v>
      </c>
      <c r="N201" s="4">
        <f>IFERROR(L201/K201,0)</f>
        <v/>
      </c>
      <c r="O201" s="4">
        <f>IFERROR(M201/L201,0)</f>
        <v/>
      </c>
      <c r="P201" t="n">
        <v>322</v>
      </c>
      <c r="Q201" s="5" t="n">
        <v>1</v>
      </c>
      <c r="R201" s="7" t="n">
        <v>1</v>
      </c>
      <c r="S201">
        <f>IF(OR(N201&lt;$T$1*0.5,O201&lt;$U$1*0.5),"код для проверки","нормальный код")</f>
        <v/>
      </c>
      <c r="T201">
        <f>IF(N201&lt;$T$1*0.5,"Низшая четверть",IF(N201&lt;$T$1,"Вторая четверть","Больше половины"))</f>
        <v/>
      </c>
      <c r="U201">
        <f>IF(O201&lt;$U$1*0.5,"Низшая четверть",IF(O201&lt;$U$1,"Вторая четверть","Больше половины"))</f>
        <v/>
      </c>
      <c r="V201">
        <f>IF(OR(N201&lt;SUMIFS(L:L,R:R,1,E:E,E201)/SUMIFS(K:K,R:R,1,E:E,E201)*0.5,O201&lt;SUMIFS(M:M,R:R,1,E:E,E201)/SUMIFS(L:L,R:R,1,E:E,E201)*0.5),"код для проверки","нормальный код")</f>
        <v/>
      </c>
      <c r="W201">
        <f>IF(N201&lt;SUMIFS(L:L,R:R,1,E:E,E201)/SUMIFS(K:K,R:R,1,E:E,E201)*0.5,"Низшая четверть",IF(N201&lt;SUMIFS(L:L,R:R,1,E:E,E201)/SUMIFS(K:K,R:R,1,E:E,E201),"Вторая четверть","Больше половины"))</f>
        <v/>
      </c>
      <c r="X201">
        <f>IF(O201&lt;SUMIFS(M:M,R:R,1,E:E,E201)/SUMIFS(L:L,R:R,1,E:E,E201)*0.5,"Низшая четверть",IF(O201&lt;SUMIFS(M:M,R:R,1,E:E,E201)/SUMIFS(L:L,R:R,1,E:E,E201),"Вторая четверть","Больше половины"))</f>
        <v/>
      </c>
      <c r="Y201" t="n">
        <v>23</v>
      </c>
    </row>
    <row r="202">
      <c r="A202" s="1" t="inlineStr">
        <is>
          <t>96700090</t>
        </is>
      </c>
      <c r="B202" s="2" t="inlineStr">
        <is>
          <t>879308844</t>
        </is>
      </c>
      <c r="C202" s="3" t="inlineStr">
        <is>
          <t>Одежда для детей</t>
        </is>
      </c>
      <c r="D202" s="2" t="inlineStr">
        <is>
          <t>Верхняя детская одежда для девочек</t>
        </is>
      </c>
      <c r="E202" s="3" t="inlineStr">
        <is>
          <t>967 Куртка джинсовая для девочки</t>
        </is>
      </c>
      <c r="F202" s="2" t="inlineStr">
        <is>
          <t>весна, лето, осень</t>
        </is>
      </c>
      <c r="G202" s="3" t="inlineStr">
        <is>
          <t>kari</t>
        </is>
      </c>
      <c r="H202" s="2" t="inlineStr">
        <is>
          <t>Зиннуров Ильнур</t>
        </is>
      </c>
      <c r="J202" s="3" t="inlineStr">
        <is>
          <t>2026SS</t>
        </is>
      </c>
      <c r="K202" s="3" t="n">
        <v>30488</v>
      </c>
      <c r="L202" s="3" t="n">
        <v>1423</v>
      </c>
      <c r="M202" s="3" t="n">
        <v>49</v>
      </c>
      <c r="N202" s="4">
        <f>IFERROR(L202/K202,0)</f>
        <v/>
      </c>
      <c r="O202" s="4">
        <f>IFERROR(M202/L202,0)</f>
        <v/>
      </c>
      <c r="P202" t="n">
        <v>133</v>
      </c>
      <c r="Q202" s="5" t="n">
        <v>1</v>
      </c>
      <c r="R202" s="7" t="n">
        <v>1</v>
      </c>
      <c r="S202">
        <f>IF(OR(N202&lt;$T$1*0.5,O202&lt;$U$1*0.5),"код для проверки","нормальный код")</f>
        <v/>
      </c>
      <c r="T202">
        <f>IF(N202&lt;$T$1*0.5,"Низшая четверть",IF(N202&lt;$T$1,"Вторая четверть","Больше половины"))</f>
        <v/>
      </c>
      <c r="U202">
        <f>IF(O202&lt;$U$1*0.5,"Низшая четверть",IF(O202&lt;$U$1,"Вторая четверть","Больше половины"))</f>
        <v/>
      </c>
      <c r="V202">
        <f>IF(OR(N202&lt;SUMIFS(L:L,R:R,1,E:E,E202)/SUMIFS(K:K,R:R,1,E:E,E202)*0.5,O202&lt;SUMIFS(M:M,R:R,1,E:E,E202)/SUMIFS(L:L,R:R,1,E:E,E202)*0.5),"код для проверки","нормальный код")</f>
        <v/>
      </c>
      <c r="W202">
        <f>IF(N202&lt;SUMIFS(L:L,R:R,1,E:E,E202)/SUMIFS(K:K,R:R,1,E:E,E202)*0.5,"Низшая четверть",IF(N202&lt;SUMIFS(L:L,R:R,1,E:E,E202)/SUMIFS(K:K,R:R,1,E:E,E202),"Вторая четверть","Больше половины"))</f>
        <v/>
      </c>
      <c r="X202">
        <f>IF(O202&lt;SUMIFS(M:M,R:R,1,E:E,E202)/SUMIFS(L:L,R:R,1,E:E,E202)*0.5,"Низшая четверть",IF(O202&lt;SUMIFS(M:M,R:R,1,E:E,E202)/SUMIFS(L:L,R:R,1,E:E,E202),"Вторая четверть","Больше половины"))</f>
        <v/>
      </c>
      <c r="Y202" t="n">
        <v>28</v>
      </c>
    </row>
    <row r="203">
      <c r="A203" s="1" t="inlineStr">
        <is>
          <t>23208050</t>
        </is>
      </c>
      <c r="B203" s="2" t="inlineStr">
        <is>
          <t>316075997</t>
        </is>
      </c>
      <c r="C203" s="3" t="inlineStr">
        <is>
          <t>Одежда для детей</t>
        </is>
      </c>
      <c r="D203" s="2" t="inlineStr">
        <is>
          <t>Нижнее белье детское для мальчиков</t>
        </is>
      </c>
      <c r="E203" s="3" t="inlineStr">
        <is>
          <t>232 Пижама детская для мальчиков</t>
        </is>
      </c>
      <c r="F203" s="2" t="inlineStr">
        <is>
          <t>всесезонный</t>
        </is>
      </c>
      <c r="G203" s="3" t="inlineStr">
        <is>
          <t>Kari KIDS</t>
        </is>
      </c>
      <c r="H203" s="2" t="inlineStr">
        <is>
          <t>Зиннуров Ильнур</t>
        </is>
      </c>
      <c r="J203" s="3" t="inlineStr">
        <is>
          <t>2026SS</t>
        </is>
      </c>
      <c r="K203" s="3" t="n">
        <v>30283</v>
      </c>
      <c r="L203" s="3" t="n">
        <v>1994</v>
      </c>
      <c r="M203" s="3" t="n">
        <v>47</v>
      </c>
      <c r="N203" s="4">
        <f>IFERROR(L203/K203,0)</f>
        <v/>
      </c>
      <c r="O203" s="4">
        <f>IFERROR(M203/L203,0)</f>
        <v/>
      </c>
      <c r="P203" t="n">
        <v>441</v>
      </c>
      <c r="Q203" s="5" t="n">
        <v>0.8</v>
      </c>
      <c r="R203" s="7" t="n">
        <v>1</v>
      </c>
      <c r="S203">
        <f>IF(OR(N203&lt;$T$1*0.5,O203&lt;$U$1*0.5),"код для проверки","нормальный код")</f>
        <v/>
      </c>
      <c r="T203">
        <f>IF(N203&lt;$T$1*0.5,"Низшая четверть",IF(N203&lt;$T$1,"Вторая четверть","Больше половины"))</f>
        <v/>
      </c>
      <c r="U203">
        <f>IF(O203&lt;$U$1*0.5,"Низшая четверть",IF(O203&lt;$U$1,"Вторая четверть","Больше половины"))</f>
        <v/>
      </c>
      <c r="V203">
        <f>IF(OR(N203&lt;SUMIFS(L:L,R:R,1,E:E,E203)/SUMIFS(K:K,R:R,1,E:E,E203)*0.5,O203&lt;SUMIFS(M:M,R:R,1,E:E,E203)/SUMIFS(L:L,R:R,1,E:E,E203)*0.5),"код для проверки","нормальный код")</f>
        <v/>
      </c>
      <c r="W203">
        <f>IF(N203&lt;SUMIFS(L:L,R:R,1,E:E,E203)/SUMIFS(K:K,R:R,1,E:E,E203)*0.5,"Низшая четверть",IF(N203&lt;SUMIFS(L:L,R:R,1,E:E,E203)/SUMIFS(K:K,R:R,1,E:E,E203),"Вторая четверть","Больше половины"))</f>
        <v/>
      </c>
      <c r="X203">
        <f>IF(O203&lt;SUMIFS(M:M,R:R,1,E:E,E203)/SUMIFS(L:L,R:R,1,E:E,E203)*0.5,"Низшая четверть",IF(O203&lt;SUMIFS(M:M,R:R,1,E:E,E203)/SUMIFS(L:L,R:R,1,E:E,E203),"Вторая четверть","Больше половины"))</f>
        <v/>
      </c>
      <c r="Y203" t="n">
        <v>27</v>
      </c>
    </row>
    <row r="204">
      <c r="A204" s="1" t="inlineStr">
        <is>
          <t>11000030</t>
        </is>
      </c>
      <c r="B204" s="2" t="inlineStr">
        <is>
          <t>707522617</t>
        </is>
      </c>
      <c r="C204" s="3" t="inlineStr">
        <is>
          <t>Одежда и аксессуары</t>
        </is>
      </c>
      <c r="D204" s="2" t="inlineStr">
        <is>
          <t>Шарфы женские</t>
        </is>
      </c>
      <c r="E204" s="3" t="inlineStr">
        <is>
          <t>110 Платок женский</t>
        </is>
      </c>
      <c r="F204" s="2" t="inlineStr">
        <is>
          <t>демисезонный</t>
        </is>
      </c>
      <c r="G204" s="3" t="inlineStr">
        <is>
          <t>kari</t>
        </is>
      </c>
      <c r="H204" s="2" t="inlineStr">
        <is>
          <t>Никонорова Алина</t>
        </is>
      </c>
      <c r="J204" s="3" t="inlineStr">
        <is>
          <t>2026SS</t>
        </is>
      </c>
      <c r="K204" s="3" t="n">
        <v>29816</v>
      </c>
      <c r="L204" s="3" t="n">
        <v>4588</v>
      </c>
      <c r="M204" s="3" t="n">
        <v>105</v>
      </c>
      <c r="N204" s="4">
        <f>IFERROR(L204/K204,0)</f>
        <v/>
      </c>
      <c r="O204" s="4">
        <f>IFERROR(M204/L204,0)</f>
        <v/>
      </c>
      <c r="P204" t="n">
        <v>609</v>
      </c>
      <c r="Q204" s="5" t="n">
        <v>1</v>
      </c>
      <c r="R204" s="7" t="n">
        <v>1</v>
      </c>
      <c r="S204">
        <f>IF(OR(N204&lt;$T$1*0.5,O204&lt;$U$1*0.5),"код для проверки","нормальный код")</f>
        <v/>
      </c>
      <c r="T204">
        <f>IF(N204&lt;$T$1*0.5,"Низшая четверть",IF(N204&lt;$T$1,"Вторая четверть","Больше половины"))</f>
        <v/>
      </c>
      <c r="U204">
        <f>IF(O204&lt;$U$1*0.5,"Низшая четверть",IF(O204&lt;$U$1,"Вторая четверть","Больше половины"))</f>
        <v/>
      </c>
      <c r="V204">
        <f>IF(OR(N204&lt;SUMIFS(L:L,R:R,1,E:E,E204)/SUMIFS(K:K,R:R,1,E:E,E204)*0.5,O204&lt;SUMIFS(M:M,R:R,1,E:E,E204)/SUMIFS(L:L,R:R,1,E:E,E204)*0.5),"код для проверки","нормальный код")</f>
        <v/>
      </c>
      <c r="W204">
        <f>IF(N204&lt;SUMIFS(L:L,R:R,1,E:E,E204)/SUMIFS(K:K,R:R,1,E:E,E204)*0.5,"Низшая четверть",IF(N204&lt;SUMIFS(L:L,R:R,1,E:E,E204)/SUMIFS(K:K,R:R,1,E:E,E204),"Вторая четверть","Больше половины"))</f>
        <v/>
      </c>
      <c r="X204">
        <f>IF(O204&lt;SUMIFS(M:M,R:R,1,E:E,E204)/SUMIFS(L:L,R:R,1,E:E,E204)*0.5,"Низшая четверть",IF(O204&lt;SUMIFS(M:M,R:R,1,E:E,E204)/SUMIFS(L:L,R:R,1,E:E,E204),"Вторая четверть","Больше половины"))</f>
        <v/>
      </c>
      <c r="Y204" t="n">
        <v>12</v>
      </c>
    </row>
    <row r="205">
      <c r="A205" s="1" t="inlineStr">
        <is>
          <t>93900260</t>
        </is>
      </c>
      <c r="B205" s="2" t="inlineStr">
        <is>
          <t>790695440</t>
        </is>
      </c>
      <c r="C205" s="3" t="inlineStr">
        <is>
          <t>Одежда для детей</t>
        </is>
      </c>
      <c r="D205" s="2" t="inlineStr">
        <is>
          <t>Одежда для новорожденных</t>
        </is>
      </c>
      <c r="E205" s="3" t="inlineStr">
        <is>
          <t>939 Футболка для маленькой девочки</t>
        </is>
      </c>
      <c r="F205" s="2" t="inlineStr">
        <is>
          <t>всесезонный</t>
        </is>
      </c>
      <c r="G205" s="3" t="inlineStr">
        <is>
          <t>Kari baby</t>
        </is>
      </c>
      <c r="H205" s="2" t="inlineStr">
        <is>
          <t>Зиннуров Ильнур</t>
        </is>
      </c>
      <c r="J205" s="3" t="inlineStr">
        <is>
          <t>2026SS</t>
        </is>
      </c>
      <c r="K205" s="3" t="n">
        <v>29082</v>
      </c>
      <c r="L205" s="3" t="n">
        <v>1808</v>
      </c>
      <c r="M205" s="3" t="n">
        <v>75</v>
      </c>
      <c r="N205" s="4">
        <f>IFERROR(L205/K205,0)</f>
        <v/>
      </c>
      <c r="O205" s="4">
        <f>IFERROR(M205/L205,0)</f>
        <v/>
      </c>
      <c r="P205" t="n">
        <v>999</v>
      </c>
      <c r="Q205" s="5" t="n">
        <v>1</v>
      </c>
      <c r="R205" s="7" t="n">
        <v>1</v>
      </c>
      <c r="S205">
        <f>IF(OR(N205&lt;$T$1*0.5,O205&lt;$U$1*0.5),"код для проверки","нормальный код")</f>
        <v/>
      </c>
      <c r="T205">
        <f>IF(N205&lt;$T$1*0.5,"Низшая четверть",IF(N205&lt;$T$1,"Вторая четверть","Больше половины"))</f>
        <v/>
      </c>
      <c r="U205">
        <f>IF(O205&lt;$U$1*0.5,"Низшая четверть",IF(O205&lt;$U$1,"Вторая четверть","Больше половины"))</f>
        <v/>
      </c>
      <c r="V205">
        <f>IF(OR(N205&lt;SUMIFS(L:L,R:R,1,E:E,E205)/SUMIFS(K:K,R:R,1,E:E,E205)*0.5,O205&lt;SUMIFS(M:M,R:R,1,E:E,E205)/SUMIFS(L:L,R:R,1,E:E,E205)*0.5),"код для проверки","нормальный код")</f>
        <v/>
      </c>
      <c r="W205">
        <f>IF(N205&lt;SUMIFS(L:L,R:R,1,E:E,E205)/SUMIFS(K:K,R:R,1,E:E,E205)*0.5,"Низшая четверть",IF(N205&lt;SUMIFS(L:L,R:R,1,E:E,E205)/SUMIFS(K:K,R:R,1,E:E,E205),"Вторая четверть","Больше половины"))</f>
        <v/>
      </c>
      <c r="X205">
        <f>IF(O205&lt;SUMIFS(M:M,R:R,1,E:E,E205)/SUMIFS(L:L,R:R,1,E:E,E205)*0.5,"Низшая четверть",IF(O205&lt;SUMIFS(M:M,R:R,1,E:E,E205)/SUMIFS(L:L,R:R,1,E:E,E205),"Вторая четверть","Больше половины"))</f>
        <v/>
      </c>
      <c r="Y205" t="n">
        <v>14</v>
      </c>
    </row>
    <row r="206">
      <c r="A206" s="1" t="inlineStr">
        <is>
          <t>18100130</t>
        </is>
      </c>
      <c r="B206" s="2" t="inlineStr">
        <is>
          <t>692414257</t>
        </is>
      </c>
      <c r="C206" s="3" t="inlineStr">
        <is>
          <t>Одежда для детей</t>
        </is>
      </c>
      <c r="D206" s="2" t="inlineStr">
        <is>
          <t>Джинсы детские для девочек</t>
        </is>
      </c>
      <c r="E206" s="3" t="inlineStr">
        <is>
          <t>181 Джинсы детские для девочек</t>
        </is>
      </c>
      <c r="F206" s="2" t="inlineStr">
        <is>
          <t>всесезонный</t>
        </is>
      </c>
      <c r="G206" s="3" t="inlineStr">
        <is>
          <t>Kari KIDS</t>
        </is>
      </c>
      <c r="H206" s="2" t="inlineStr">
        <is>
          <t>Зиннуров Ильнур</t>
        </is>
      </c>
      <c r="J206" s="3" t="inlineStr">
        <is>
          <t>2026SS</t>
        </is>
      </c>
      <c r="K206" s="3" t="n">
        <v>28903</v>
      </c>
      <c r="L206" s="3" t="n">
        <v>3705</v>
      </c>
      <c r="M206" s="3" t="n">
        <v>55</v>
      </c>
      <c r="N206" s="4">
        <f>IFERROR(L206/K206,0)</f>
        <v/>
      </c>
      <c r="O206" s="4">
        <f>IFERROR(M206/L206,0)</f>
        <v/>
      </c>
      <c r="P206" t="n">
        <v>500</v>
      </c>
      <c r="Q206" s="5" t="n">
        <v>1</v>
      </c>
      <c r="R206" s="7" t="n">
        <v>1</v>
      </c>
      <c r="S206">
        <f>IF(OR(N206&lt;$T$1*0.5,O206&lt;$U$1*0.5),"код для проверки","нормальный код")</f>
        <v/>
      </c>
      <c r="T206">
        <f>IF(N206&lt;$T$1*0.5,"Низшая четверть",IF(N206&lt;$T$1,"Вторая четверть","Больше половины"))</f>
        <v/>
      </c>
      <c r="U206">
        <f>IF(O206&lt;$U$1*0.5,"Низшая четверть",IF(O206&lt;$U$1,"Вторая четверть","Больше половины"))</f>
        <v/>
      </c>
      <c r="V206">
        <f>IF(OR(N206&lt;SUMIFS(L:L,R:R,1,E:E,E206)/SUMIFS(K:K,R:R,1,E:E,E206)*0.5,O206&lt;SUMIFS(M:M,R:R,1,E:E,E206)/SUMIFS(L:L,R:R,1,E:E,E206)*0.5),"код для проверки","нормальный код")</f>
        <v/>
      </c>
      <c r="W206">
        <f>IF(N206&lt;SUMIFS(L:L,R:R,1,E:E,E206)/SUMIFS(K:K,R:R,1,E:E,E206)*0.5,"Низшая четверть",IF(N206&lt;SUMIFS(L:L,R:R,1,E:E,E206)/SUMIFS(K:K,R:R,1,E:E,E206),"Вторая четверть","Больше половины"))</f>
        <v/>
      </c>
      <c r="X206">
        <f>IF(O206&lt;SUMIFS(M:M,R:R,1,E:E,E206)/SUMIFS(L:L,R:R,1,E:E,E206)*0.5,"Низшая четверть",IF(O206&lt;SUMIFS(M:M,R:R,1,E:E,E206)/SUMIFS(L:L,R:R,1,E:E,E206),"Вторая четверть","Больше половины"))</f>
        <v/>
      </c>
      <c r="Y206" t="n">
        <v>17</v>
      </c>
    </row>
    <row r="207">
      <c r="A207" s="1" t="inlineStr">
        <is>
          <t>09400430</t>
        </is>
      </c>
      <c r="B207" s="2" t="inlineStr">
        <is>
          <t>712237396</t>
        </is>
      </c>
      <c r="C207" s="3" t="inlineStr">
        <is>
          <t>Одежда и аксессуары</t>
        </is>
      </c>
      <c r="D207" s="2" t="inlineStr">
        <is>
          <t>Купальники женские</t>
        </is>
      </c>
      <c r="E207" s="3" t="inlineStr">
        <is>
          <t>094 Купальник</t>
        </is>
      </c>
      <c r="F207" s="2" t="inlineStr">
        <is>
          <t>лето</t>
        </is>
      </c>
      <c r="G207" s="3" t="inlineStr">
        <is>
          <t>kari</t>
        </is>
      </c>
      <c r="H207" s="2" t="inlineStr">
        <is>
          <t>Никонорова Алина</t>
        </is>
      </c>
      <c r="J207" s="3" t="inlineStr">
        <is>
          <t>2026SS</t>
        </is>
      </c>
      <c r="K207" s="3" t="n">
        <v>28828</v>
      </c>
      <c r="L207" s="3" t="n">
        <v>5423</v>
      </c>
      <c r="M207" s="3" t="n">
        <v>34</v>
      </c>
      <c r="N207" s="4">
        <f>IFERROR(L207/K207,0)</f>
        <v/>
      </c>
      <c r="O207" s="4">
        <f>IFERROR(M207/L207,0)</f>
        <v/>
      </c>
      <c r="P207" t="n">
        <v>2528</v>
      </c>
      <c r="Q207" s="5" t="n">
        <v>0.5555555555555556</v>
      </c>
      <c r="R207" s="7" t="n">
        <v>1</v>
      </c>
      <c r="S207">
        <f>IF(OR(N207&lt;$T$1*0.5,O207&lt;$U$1*0.5),"код для проверки","нормальный код")</f>
        <v/>
      </c>
      <c r="T207">
        <f>IF(N207&lt;$T$1*0.5,"Низшая четверть",IF(N207&lt;$T$1,"Вторая четверть","Больше половины"))</f>
        <v/>
      </c>
      <c r="U207">
        <f>IF(O207&lt;$U$1*0.5,"Низшая четверть",IF(O207&lt;$U$1,"Вторая четверть","Больше половины"))</f>
        <v/>
      </c>
      <c r="V207">
        <f>IF(OR(N207&lt;SUMIFS(L:L,R:R,1,E:E,E207)/SUMIFS(K:K,R:R,1,E:E,E207)*0.5,O207&lt;SUMIFS(M:M,R:R,1,E:E,E207)/SUMIFS(L:L,R:R,1,E:E,E207)*0.5),"код для проверки","нормальный код")</f>
        <v/>
      </c>
      <c r="W207">
        <f>IF(N207&lt;SUMIFS(L:L,R:R,1,E:E,E207)/SUMIFS(K:K,R:R,1,E:E,E207)*0.5,"Низшая четверть",IF(N207&lt;SUMIFS(L:L,R:R,1,E:E,E207)/SUMIFS(K:K,R:R,1,E:E,E207),"Вторая четверть","Больше половины"))</f>
        <v/>
      </c>
      <c r="X207">
        <f>IF(O207&lt;SUMIFS(M:M,R:R,1,E:E,E207)/SUMIFS(L:L,R:R,1,E:E,E207)*0.5,"Низшая четверть",IF(O207&lt;SUMIFS(M:M,R:R,1,E:E,E207)/SUMIFS(L:L,R:R,1,E:E,E207),"Вторая четверть","Больше половины"))</f>
        <v/>
      </c>
      <c r="Y207" t="n">
        <v>26</v>
      </c>
    </row>
    <row r="208">
      <c r="A208" s="1" t="inlineStr">
        <is>
          <t>18200120</t>
        </is>
      </c>
      <c r="B208" s="2" t="inlineStr">
        <is>
          <t>762057023</t>
        </is>
      </c>
      <c r="C208" s="3" t="inlineStr">
        <is>
          <t>Одежда для детей</t>
        </is>
      </c>
      <c r="D208" s="2" t="inlineStr">
        <is>
          <t>Джинсы детские для мальчиков</t>
        </is>
      </c>
      <c r="E208" s="3" t="inlineStr">
        <is>
          <t>182 Джинсы детские для мальчиков</t>
        </is>
      </c>
      <c r="F208" s="2" t="inlineStr">
        <is>
          <t>всесезонный</t>
        </is>
      </c>
      <c r="G208" s="3" t="inlineStr">
        <is>
          <t>kari</t>
        </is>
      </c>
      <c r="H208" s="2" t="inlineStr">
        <is>
          <t>Зиннуров Ильнур</t>
        </is>
      </c>
      <c r="J208" s="3" t="inlineStr">
        <is>
          <t>2026SS</t>
        </is>
      </c>
      <c r="K208" s="3" t="n">
        <v>28815</v>
      </c>
      <c r="L208" s="3" t="n">
        <v>2620</v>
      </c>
      <c r="M208" s="3" t="n">
        <v>73</v>
      </c>
      <c r="N208" s="4">
        <f>IFERROR(L208/K208,0)</f>
        <v/>
      </c>
      <c r="O208" s="4">
        <f>IFERROR(M208/L208,0)</f>
        <v/>
      </c>
      <c r="P208" t="n">
        <v>1137</v>
      </c>
      <c r="Q208" s="5" t="n">
        <v>1</v>
      </c>
      <c r="R208" s="7" t="n">
        <v>1</v>
      </c>
      <c r="S208">
        <f>IF(OR(N208&lt;$T$1*0.5,O208&lt;$U$1*0.5),"код для проверки","нормальный код")</f>
        <v/>
      </c>
      <c r="T208">
        <f>IF(N208&lt;$T$1*0.5,"Низшая четверть",IF(N208&lt;$T$1,"Вторая четверть","Больше половины"))</f>
        <v/>
      </c>
      <c r="U208">
        <f>IF(O208&lt;$U$1*0.5,"Низшая четверть",IF(O208&lt;$U$1,"Вторая четверть","Больше половины"))</f>
        <v/>
      </c>
      <c r="V208">
        <f>IF(OR(N208&lt;SUMIFS(L:L,R:R,1,E:E,E208)/SUMIFS(K:K,R:R,1,E:E,E208)*0.5,O208&lt;SUMIFS(M:M,R:R,1,E:E,E208)/SUMIFS(L:L,R:R,1,E:E,E208)*0.5),"код для проверки","нормальный код")</f>
        <v/>
      </c>
      <c r="W208">
        <f>IF(N208&lt;SUMIFS(L:L,R:R,1,E:E,E208)/SUMIFS(K:K,R:R,1,E:E,E208)*0.5,"Низшая четверть",IF(N208&lt;SUMIFS(L:L,R:R,1,E:E,E208)/SUMIFS(K:K,R:R,1,E:E,E208),"Вторая четверть","Больше половины"))</f>
        <v/>
      </c>
      <c r="X208">
        <f>IF(O208&lt;SUMIFS(M:M,R:R,1,E:E,E208)/SUMIFS(L:L,R:R,1,E:E,E208)*0.5,"Низшая четверть",IF(O208&lt;SUMIFS(M:M,R:R,1,E:E,E208)/SUMIFS(L:L,R:R,1,E:E,E208),"Вторая четверть","Больше половины"))</f>
        <v/>
      </c>
      <c r="Y208" t="n">
        <v>19</v>
      </c>
    </row>
    <row r="209">
      <c r="A209" s="1" t="inlineStr">
        <is>
          <t>23408180</t>
        </is>
      </c>
      <c r="B209" s="2" t="inlineStr">
        <is>
          <t>372165687</t>
        </is>
      </c>
      <c r="C209" s="3" t="inlineStr">
        <is>
          <t>Одежда для детей</t>
        </is>
      </c>
      <c r="D209" s="2" t="inlineStr">
        <is>
          <t>Чулочные и носочные детские изделия для девочек</t>
        </is>
      </c>
      <c r="E209" s="3" t="inlineStr">
        <is>
          <t>234 Колготки детские для девочек</t>
        </is>
      </c>
      <c r="F209" s="2" t="inlineStr">
        <is>
          <t>всесезонный</t>
        </is>
      </c>
      <c r="G209" s="3" t="inlineStr">
        <is>
          <t>kari</t>
        </is>
      </c>
      <c r="H209" s="2" t="inlineStr">
        <is>
          <t>Зиннуров Ильнур</t>
        </is>
      </c>
      <c r="J209" s="3" t="inlineStr">
        <is>
          <t>2026SS</t>
        </is>
      </c>
      <c r="K209" s="3" t="n">
        <v>28772</v>
      </c>
      <c r="L209" s="3" t="n">
        <v>3886</v>
      </c>
      <c r="M209" s="3" t="n">
        <v>399</v>
      </c>
      <c r="N209" s="4">
        <f>IFERROR(L209/K209,0)</f>
        <v/>
      </c>
      <c r="O209" s="4">
        <f>IFERROR(M209/L209,0)</f>
        <v/>
      </c>
      <c r="P209" t="n">
        <v>1</v>
      </c>
      <c r="Q209" s="5" t="n">
        <v>1</v>
      </c>
      <c r="R209" s="7" t="n">
        <v>0</v>
      </c>
      <c r="S209" t="inlineStr">
        <is>
          <t>Мало остатка</t>
        </is>
      </c>
      <c r="T209">
        <f>IF(N209&lt;$T$1*0.5,"Низшая четверть",IF(N209&lt;$T$1,"Вторая четверть","Больше половины"))</f>
        <v/>
      </c>
      <c r="U209">
        <f>IF(O209&lt;$U$1*0.5,"Низшая четверть",IF(O209&lt;$U$1,"Вторая четверть","Больше половины"))</f>
        <v/>
      </c>
      <c r="V209">
        <f>IF(OR(N209&lt;SUMIFS(L:L,R:R,1,E:E,E209)/SUMIFS(K:K,R:R,1,E:E,E209)*0.5,O209&lt;SUMIFS(M:M,R:R,1,E:E,E209)/SUMIFS(L:L,R:R,1,E:E,E209)*0.5),"код для проверки","нормальный код")</f>
        <v/>
      </c>
      <c r="W209">
        <f>IF(N209&lt;SUMIFS(L:L,R:R,1,E:E,E209)/SUMIFS(K:K,R:R,1,E:E,E209)*0.5,"Низшая четверть",IF(N209&lt;SUMIFS(L:L,R:R,1,E:E,E209)/SUMIFS(K:K,R:R,1,E:E,E209),"Вторая четверть","Больше половины"))</f>
        <v/>
      </c>
      <c r="X209">
        <f>IF(O209&lt;SUMIFS(M:M,R:R,1,E:E,E209)/SUMIFS(L:L,R:R,1,E:E,E209)*0.5,"Низшая четверть",IF(O209&lt;SUMIFS(M:M,R:R,1,E:E,E209)/SUMIFS(L:L,R:R,1,E:E,E209),"Вторая четверть","Больше половины"))</f>
        <v/>
      </c>
      <c r="Y209" t="n">
        <v>5</v>
      </c>
    </row>
    <row r="210">
      <c r="A210" s="1" t="inlineStr">
        <is>
          <t>144080B0</t>
        </is>
      </c>
      <c r="B210" s="2" t="inlineStr">
        <is>
          <t>355550885</t>
        </is>
      </c>
      <c r="C210" s="3" t="inlineStr">
        <is>
          <t>Одежда и аксессуары</t>
        </is>
      </c>
      <c r="D210" s="2" t="inlineStr">
        <is>
          <t>Шарфы женские</t>
        </is>
      </c>
      <c r="E210" s="3" t="inlineStr">
        <is>
          <t>144 Шарф летний женский</t>
        </is>
      </c>
      <c r="F210" s="2" t="inlineStr">
        <is>
          <t>весна, лето</t>
        </is>
      </c>
      <c r="G210" s="3" t="inlineStr">
        <is>
          <t>kari</t>
        </is>
      </c>
      <c r="H210" s="2" t="inlineStr">
        <is>
          <t>Никонорова Алина</t>
        </is>
      </c>
      <c r="J210" s="3" t="inlineStr">
        <is>
          <t>2026SS</t>
        </is>
      </c>
      <c r="K210" s="3" t="n">
        <v>28756</v>
      </c>
      <c r="L210" s="3" t="n">
        <v>10612</v>
      </c>
      <c r="M210" s="3" t="n">
        <v>185</v>
      </c>
      <c r="N210" s="4">
        <f>IFERROR(L210/K210,0)</f>
        <v/>
      </c>
      <c r="O210" s="4">
        <f>IFERROR(M210/L210,0)</f>
        <v/>
      </c>
      <c r="P210" t="n">
        <v>426</v>
      </c>
      <c r="Q210" s="5" t="n">
        <v>1</v>
      </c>
      <c r="R210" s="7" t="n">
        <v>1</v>
      </c>
      <c r="S210">
        <f>IF(OR(N210&lt;$T$1*0.5,O210&lt;$U$1*0.5),"код для проверки","нормальный код")</f>
        <v/>
      </c>
      <c r="T210">
        <f>IF(N210&lt;$T$1*0.5,"Низшая четверть",IF(N210&lt;$T$1,"Вторая четверть","Больше половины"))</f>
        <v/>
      </c>
      <c r="U210">
        <f>IF(O210&lt;$U$1*0.5,"Низшая четверть",IF(O210&lt;$U$1,"Вторая четверть","Больше половины"))</f>
        <v/>
      </c>
      <c r="V210">
        <f>IF(OR(N210&lt;SUMIFS(L:L,R:R,1,E:E,E210)/SUMIFS(K:K,R:R,1,E:E,E210)*0.5,O210&lt;SUMIFS(M:M,R:R,1,E:E,E210)/SUMIFS(L:L,R:R,1,E:E,E210)*0.5),"код для проверки","нормальный код")</f>
        <v/>
      </c>
      <c r="W210">
        <f>IF(N210&lt;SUMIFS(L:L,R:R,1,E:E,E210)/SUMIFS(K:K,R:R,1,E:E,E210)*0.5,"Низшая четверть",IF(N210&lt;SUMIFS(L:L,R:R,1,E:E,E210)/SUMIFS(K:K,R:R,1,E:E,E210),"Вторая четверть","Больше половины"))</f>
        <v/>
      </c>
      <c r="X210">
        <f>IF(O210&lt;SUMIFS(M:M,R:R,1,E:E,E210)/SUMIFS(L:L,R:R,1,E:E,E210)*0.5,"Низшая четверть",IF(O210&lt;SUMIFS(M:M,R:R,1,E:E,E210)/SUMIFS(L:L,R:R,1,E:E,E210),"Вторая четверть","Больше половины"))</f>
        <v/>
      </c>
      <c r="Y210" t="n">
        <v>15</v>
      </c>
    </row>
    <row r="211">
      <c r="A211" s="1" t="inlineStr">
        <is>
          <t>16808020</t>
        </is>
      </c>
      <c r="B211" s="2" t="inlineStr">
        <is>
          <t>11286529</t>
        </is>
      </c>
      <c r="C211" s="3" t="inlineStr">
        <is>
          <t>Одежда и аксессуары</t>
        </is>
      </c>
      <c r="D211" s="2" t="inlineStr">
        <is>
          <t>Головные уборы женские</t>
        </is>
      </c>
      <c r="E211" s="3" t="inlineStr">
        <is>
          <t>168 Шляпа женская летняя</t>
        </is>
      </c>
      <c r="F211" s="2" t="inlineStr">
        <is>
          <t>лето</t>
        </is>
      </c>
      <c r="G211" s="3" t="inlineStr">
        <is>
          <t>kari</t>
        </is>
      </c>
      <c r="H211" s="2" t="inlineStr">
        <is>
          <t>Никонорова Алина</t>
        </is>
      </c>
      <c r="J211" s="3" t="inlineStr">
        <is>
          <t>2026SS</t>
        </is>
      </c>
      <c r="K211" s="3" t="n">
        <v>28410</v>
      </c>
      <c r="L211" s="3" t="n">
        <v>3866</v>
      </c>
      <c r="M211" s="3" t="n">
        <v>68</v>
      </c>
      <c r="N211" s="4">
        <f>IFERROR(L211/K211,0)</f>
        <v/>
      </c>
      <c r="O211" s="4">
        <f>IFERROR(M211/L211,0)</f>
        <v/>
      </c>
      <c r="P211" t="n">
        <v>1453</v>
      </c>
      <c r="Q211" s="5" t="n">
        <v>1</v>
      </c>
      <c r="R211" s="7" t="n">
        <v>1</v>
      </c>
      <c r="S211">
        <f>IF(OR(N211&lt;$T$1*0.5,O211&lt;$U$1*0.5),"код для проверки","нормальный код")</f>
        <v/>
      </c>
      <c r="T211">
        <f>IF(N211&lt;$T$1*0.5,"Низшая четверть",IF(N211&lt;$T$1,"Вторая четверть","Больше половины"))</f>
        <v/>
      </c>
      <c r="U211">
        <f>IF(O211&lt;$U$1*0.5,"Низшая четверть",IF(O211&lt;$U$1,"Вторая четверть","Больше половины"))</f>
        <v/>
      </c>
      <c r="V211">
        <f>IF(OR(N211&lt;SUMIFS(L:L,R:R,1,E:E,E211)/SUMIFS(K:K,R:R,1,E:E,E211)*0.5,O211&lt;SUMIFS(M:M,R:R,1,E:E,E211)/SUMIFS(L:L,R:R,1,E:E,E211)*0.5),"код для проверки","нормальный код")</f>
        <v/>
      </c>
      <c r="W211">
        <f>IF(N211&lt;SUMIFS(L:L,R:R,1,E:E,E211)/SUMIFS(K:K,R:R,1,E:E,E211)*0.5,"Низшая четверть",IF(N211&lt;SUMIFS(L:L,R:R,1,E:E,E211)/SUMIFS(K:K,R:R,1,E:E,E211),"Вторая четверть","Больше половины"))</f>
        <v/>
      </c>
      <c r="X211">
        <f>IF(O211&lt;SUMIFS(M:M,R:R,1,E:E,E211)/SUMIFS(L:L,R:R,1,E:E,E211)*0.5,"Низшая четверть",IF(O211&lt;SUMIFS(M:M,R:R,1,E:E,E211)/SUMIFS(L:L,R:R,1,E:E,E211),"Вторая четверть","Больше половины"))</f>
        <v/>
      </c>
      <c r="Y211" t="n">
        <v>13</v>
      </c>
    </row>
    <row r="212">
      <c r="A212" s="1" t="inlineStr">
        <is>
          <t>11000020</t>
        </is>
      </c>
      <c r="B212" s="2" t="inlineStr">
        <is>
          <t>707522603</t>
        </is>
      </c>
      <c r="C212" s="3" t="inlineStr">
        <is>
          <t>Одежда и аксессуары</t>
        </is>
      </c>
      <c r="D212" s="2" t="inlineStr">
        <is>
          <t>Шарфы женские</t>
        </is>
      </c>
      <c r="E212" s="3" t="inlineStr">
        <is>
          <t>110 Платок женский</t>
        </is>
      </c>
      <c r="F212" s="2" t="inlineStr">
        <is>
          <t>демисезонный</t>
        </is>
      </c>
      <c r="G212" s="3" t="inlineStr">
        <is>
          <t>kari</t>
        </is>
      </c>
      <c r="H212" s="2" t="inlineStr">
        <is>
          <t>Никонорова Алина</t>
        </is>
      </c>
      <c r="J212" s="3" t="inlineStr">
        <is>
          <t>2026SS</t>
        </is>
      </c>
      <c r="K212" s="3" t="n">
        <v>28255</v>
      </c>
      <c r="L212" s="3" t="n">
        <v>4310</v>
      </c>
      <c r="M212" s="3" t="n">
        <v>21</v>
      </c>
      <c r="N212" s="4">
        <f>IFERROR(L212/K212,0)</f>
        <v/>
      </c>
      <c r="O212" s="4">
        <f>IFERROR(M212/L212,0)</f>
        <v/>
      </c>
      <c r="P212" t="n">
        <v>672</v>
      </c>
      <c r="Q212" s="5" t="n">
        <v>1</v>
      </c>
      <c r="R212" s="7" t="n">
        <v>1</v>
      </c>
      <c r="S212">
        <f>IF(OR(N212&lt;$T$1*0.5,O212&lt;$U$1*0.5),"код для проверки","нормальный код")</f>
        <v/>
      </c>
      <c r="T212">
        <f>IF(N212&lt;$T$1*0.5,"Низшая четверть",IF(N212&lt;$T$1,"Вторая четверть","Больше половины"))</f>
        <v/>
      </c>
      <c r="U212">
        <f>IF(O212&lt;$U$1*0.5,"Низшая четверть",IF(O212&lt;$U$1,"Вторая четверть","Больше половины"))</f>
        <v/>
      </c>
      <c r="V212">
        <f>IF(OR(N212&lt;SUMIFS(L:L,R:R,1,E:E,E212)/SUMIFS(K:K,R:R,1,E:E,E212)*0.5,O212&lt;SUMIFS(M:M,R:R,1,E:E,E212)/SUMIFS(L:L,R:R,1,E:E,E212)*0.5),"код для проверки","нормальный код")</f>
        <v/>
      </c>
      <c r="W212">
        <f>IF(N212&lt;SUMIFS(L:L,R:R,1,E:E,E212)/SUMIFS(K:K,R:R,1,E:E,E212)*0.5,"Низшая четверть",IF(N212&lt;SUMIFS(L:L,R:R,1,E:E,E212)/SUMIFS(K:K,R:R,1,E:E,E212),"Вторая четверть","Больше половины"))</f>
        <v/>
      </c>
      <c r="X212">
        <f>IF(O212&lt;SUMIFS(M:M,R:R,1,E:E,E212)/SUMIFS(L:L,R:R,1,E:E,E212)*0.5,"Низшая четверть",IF(O212&lt;SUMIFS(M:M,R:R,1,E:E,E212)/SUMIFS(L:L,R:R,1,E:E,E212),"Вторая четверть","Больше половины"))</f>
        <v/>
      </c>
      <c r="Y212" t="n">
        <v>13</v>
      </c>
    </row>
    <row r="213">
      <c r="A213" s="1" t="inlineStr">
        <is>
          <t>95400150</t>
        </is>
      </c>
      <c r="B213" s="2" t="inlineStr">
        <is>
          <t>800312866</t>
        </is>
      </c>
      <c r="C213" s="3" t="inlineStr">
        <is>
          <t>Одежда для детей</t>
        </is>
      </c>
      <c r="D213" s="2" t="inlineStr">
        <is>
          <t>Верхняя детская одежда для девочек</t>
        </is>
      </c>
      <c r="E213" s="3" t="inlineStr">
        <is>
          <t>954 Ветровка детская для девочек</t>
        </is>
      </c>
      <c r="F213" s="2" t="inlineStr">
        <is>
          <t>демисезонный</t>
        </is>
      </c>
      <c r="G213" s="3" t="inlineStr">
        <is>
          <t>Kari KIDS</t>
        </is>
      </c>
      <c r="H213" s="2" t="inlineStr">
        <is>
          <t>Зиннуров Ильнур</t>
        </is>
      </c>
      <c r="J213" s="3" t="inlineStr">
        <is>
          <t>2026SS</t>
        </is>
      </c>
      <c r="K213" s="3" t="n">
        <v>28190</v>
      </c>
      <c r="L213" s="3" t="n">
        <v>3894</v>
      </c>
      <c r="M213" s="3" t="n">
        <v>34</v>
      </c>
      <c r="N213" s="4">
        <f>IFERROR(L213/K213,0)</f>
        <v/>
      </c>
      <c r="O213" s="4">
        <f>IFERROR(M213/L213,0)</f>
        <v/>
      </c>
      <c r="P213" t="n">
        <v>454</v>
      </c>
      <c r="Q213" s="5" t="n">
        <v>1</v>
      </c>
      <c r="R213" s="7" t="n">
        <v>1</v>
      </c>
      <c r="S213">
        <f>IF(OR(N213&lt;$T$1*0.5,O213&lt;$U$1*0.5),"код для проверки","нормальный код")</f>
        <v/>
      </c>
      <c r="T213">
        <f>IF(N213&lt;$T$1*0.5,"Низшая четверть",IF(N213&lt;$T$1,"Вторая четверть","Больше половины"))</f>
        <v/>
      </c>
      <c r="U213">
        <f>IF(O213&lt;$U$1*0.5,"Низшая четверть",IF(O213&lt;$U$1,"Вторая четверть","Больше половины"))</f>
        <v/>
      </c>
      <c r="V213">
        <f>IF(OR(N213&lt;SUMIFS(L:L,R:R,1,E:E,E213)/SUMIFS(K:K,R:R,1,E:E,E213)*0.5,O213&lt;SUMIFS(M:M,R:R,1,E:E,E213)/SUMIFS(L:L,R:R,1,E:E,E213)*0.5),"код для проверки","нормальный код")</f>
        <v/>
      </c>
      <c r="W213">
        <f>IF(N213&lt;SUMIFS(L:L,R:R,1,E:E,E213)/SUMIFS(K:K,R:R,1,E:E,E213)*0.5,"Низшая четверть",IF(N213&lt;SUMIFS(L:L,R:R,1,E:E,E213)/SUMIFS(K:K,R:R,1,E:E,E213),"Вторая четверть","Больше половины"))</f>
        <v/>
      </c>
      <c r="X213">
        <f>IF(O213&lt;SUMIFS(M:M,R:R,1,E:E,E213)/SUMIFS(L:L,R:R,1,E:E,E213)*0.5,"Низшая четверть",IF(O213&lt;SUMIFS(M:M,R:R,1,E:E,E213)/SUMIFS(L:L,R:R,1,E:E,E213),"Вторая четверть","Больше половины"))</f>
        <v/>
      </c>
      <c r="Y213" t="n">
        <v>7</v>
      </c>
    </row>
    <row r="214">
      <c r="A214" s="1" t="inlineStr">
        <is>
          <t>23200050</t>
        </is>
      </c>
      <c r="B214" s="2" t="inlineStr">
        <is>
          <t>694287455</t>
        </is>
      </c>
      <c r="C214" s="3" t="inlineStr">
        <is>
          <t>Одежда для детей</t>
        </is>
      </c>
      <c r="D214" s="2" t="inlineStr">
        <is>
          <t>Нижнее белье детское для мальчиков</t>
        </is>
      </c>
      <c r="E214" s="3" t="inlineStr">
        <is>
          <t>232 Пижама детская для мальчиков</t>
        </is>
      </c>
      <c r="F214" s="2" t="inlineStr">
        <is>
          <t>всесезонный</t>
        </is>
      </c>
      <c r="G214" s="3" t="inlineStr">
        <is>
          <t>Kari KIDS</t>
        </is>
      </c>
      <c r="H214" s="2" t="inlineStr">
        <is>
          <t>Зиннуров Ильнур</t>
        </is>
      </c>
      <c r="J214" s="3" t="inlineStr">
        <is>
          <t>2026SS</t>
        </is>
      </c>
      <c r="K214" s="3" t="n">
        <v>27838</v>
      </c>
      <c r="L214" s="3" t="n">
        <v>1748</v>
      </c>
      <c r="M214" s="3" t="n">
        <v>19</v>
      </c>
      <c r="N214" s="4">
        <f>IFERROR(L214/K214,0)</f>
        <v/>
      </c>
      <c r="O214" s="4">
        <f>IFERROR(M214/L214,0)</f>
        <v/>
      </c>
      <c r="P214" t="n">
        <v>27</v>
      </c>
      <c r="Q214" s="5" t="n">
        <v>0.6</v>
      </c>
      <c r="R214" s="7" t="n">
        <v>1</v>
      </c>
      <c r="S214">
        <f>IF(OR(N214&lt;$T$1*0.5,O214&lt;$U$1*0.5),"код для проверки","нормальный код")</f>
        <v/>
      </c>
      <c r="T214">
        <f>IF(N214&lt;$T$1*0.5,"Низшая четверть",IF(N214&lt;$T$1,"Вторая четверть","Больше половины"))</f>
        <v/>
      </c>
      <c r="U214">
        <f>IF(O214&lt;$U$1*0.5,"Низшая четверть",IF(O214&lt;$U$1,"Вторая четверть","Больше половины"))</f>
        <v/>
      </c>
      <c r="V214">
        <f>IF(OR(N214&lt;SUMIFS(L:L,R:R,1,E:E,E214)/SUMIFS(K:K,R:R,1,E:E,E214)*0.5,O214&lt;SUMIFS(M:M,R:R,1,E:E,E214)/SUMIFS(L:L,R:R,1,E:E,E214)*0.5),"код для проверки","нормальный код")</f>
        <v/>
      </c>
      <c r="W214">
        <f>IF(N214&lt;SUMIFS(L:L,R:R,1,E:E,E214)/SUMIFS(K:K,R:R,1,E:E,E214)*0.5,"Низшая четверть",IF(N214&lt;SUMIFS(L:L,R:R,1,E:E,E214)/SUMIFS(K:K,R:R,1,E:E,E214),"Вторая четверть","Больше половины"))</f>
        <v/>
      </c>
      <c r="X214">
        <f>IF(O214&lt;SUMIFS(M:M,R:R,1,E:E,E214)/SUMIFS(L:L,R:R,1,E:E,E214)*0.5,"Низшая четверть",IF(O214&lt;SUMIFS(M:M,R:R,1,E:E,E214)/SUMIFS(L:L,R:R,1,E:E,E214),"Вторая четверть","Больше половины"))</f>
        <v/>
      </c>
      <c r="Y214" t="n">
        <v>27</v>
      </c>
    </row>
    <row r="215">
      <c r="A215" s="1" t="inlineStr">
        <is>
          <t>96600050</t>
        </is>
      </c>
      <c r="B215" s="2" t="inlineStr">
        <is>
          <t>788748497</t>
        </is>
      </c>
      <c r="C215" s="3" t="inlineStr">
        <is>
          <t>Одежда для детей</t>
        </is>
      </c>
      <c r="D215" s="2" t="inlineStr">
        <is>
          <t>Платья, майки, футболки детские для девочек</t>
        </is>
      </c>
      <c r="E215" s="3" t="inlineStr">
        <is>
          <t>966 Сарафан джинсовый детский для девочек</t>
        </is>
      </c>
      <c r="F215" s="2" t="inlineStr">
        <is>
          <t>весна, лето</t>
        </is>
      </c>
      <c r="G215" s="3" t="inlineStr">
        <is>
          <t>kari</t>
        </is>
      </c>
      <c r="H215" s="2" t="inlineStr">
        <is>
          <t>Зиннуров Ильнур</t>
        </is>
      </c>
      <c r="J215" s="3" t="inlineStr">
        <is>
          <t>2026SS</t>
        </is>
      </c>
      <c r="K215" s="3" t="n">
        <v>27779</v>
      </c>
      <c r="L215" s="3" t="n">
        <v>1707</v>
      </c>
      <c r="M215" s="3" t="n">
        <v>48</v>
      </c>
      <c r="N215" s="4">
        <f>IFERROR(L215/K215,0)</f>
        <v/>
      </c>
      <c r="O215" s="4">
        <f>IFERROR(M215/L215,0)</f>
        <v/>
      </c>
      <c r="P215" t="n">
        <v>315</v>
      </c>
      <c r="Q215" s="5" t="n">
        <v>1</v>
      </c>
      <c r="R215" s="7" t="n">
        <v>1</v>
      </c>
      <c r="S215">
        <f>IF(OR(N215&lt;$T$1*0.5,O215&lt;$U$1*0.5),"код для проверки","нормальный код")</f>
        <v/>
      </c>
      <c r="T215">
        <f>IF(N215&lt;$T$1*0.5,"Низшая четверть",IF(N215&lt;$T$1,"Вторая четверть","Больше половины"))</f>
        <v/>
      </c>
      <c r="U215">
        <f>IF(O215&lt;$U$1*0.5,"Низшая четверть",IF(O215&lt;$U$1,"Вторая четверть","Больше половины"))</f>
        <v/>
      </c>
      <c r="V215">
        <f>IF(OR(N215&lt;SUMIFS(L:L,R:R,1,E:E,E215)/SUMIFS(K:K,R:R,1,E:E,E215)*0.5,O215&lt;SUMIFS(M:M,R:R,1,E:E,E215)/SUMIFS(L:L,R:R,1,E:E,E215)*0.5),"код для проверки","нормальный код")</f>
        <v/>
      </c>
      <c r="W215">
        <f>IF(N215&lt;SUMIFS(L:L,R:R,1,E:E,E215)/SUMIFS(K:K,R:R,1,E:E,E215)*0.5,"Низшая четверть",IF(N215&lt;SUMIFS(L:L,R:R,1,E:E,E215)/SUMIFS(K:K,R:R,1,E:E,E215),"Вторая четверть","Больше половины"))</f>
        <v/>
      </c>
      <c r="X215">
        <f>IF(O215&lt;SUMIFS(M:M,R:R,1,E:E,E215)/SUMIFS(L:L,R:R,1,E:E,E215)*0.5,"Низшая четверть",IF(O215&lt;SUMIFS(M:M,R:R,1,E:E,E215)/SUMIFS(L:L,R:R,1,E:E,E215),"Вторая четверть","Больше половины"))</f>
        <v/>
      </c>
      <c r="Y215" t="n">
        <v>15</v>
      </c>
    </row>
    <row r="216">
      <c r="A216" s="1" t="inlineStr">
        <is>
          <t>18100210</t>
        </is>
      </c>
      <c r="B216" s="2" t="inlineStr">
        <is>
          <t>771100615</t>
        </is>
      </c>
      <c r="C216" s="3" t="inlineStr">
        <is>
          <t>Одежда для детей</t>
        </is>
      </c>
      <c r="D216" s="2" t="inlineStr">
        <is>
          <t>Джинсы детские для девочек</t>
        </is>
      </c>
      <c r="E216" s="3" t="inlineStr">
        <is>
          <t>181 Джинсы детские для девочек</t>
        </is>
      </c>
      <c r="F216" s="2" t="inlineStr">
        <is>
          <t>всесезонный</t>
        </is>
      </c>
      <c r="G216" s="3" t="inlineStr">
        <is>
          <t>kari</t>
        </is>
      </c>
      <c r="H216" s="2" t="inlineStr">
        <is>
          <t>Зиннуров Ильнур</t>
        </is>
      </c>
      <c r="J216" s="3" t="inlineStr">
        <is>
          <t>2026SS</t>
        </is>
      </c>
      <c r="K216" s="3" t="n">
        <v>27731</v>
      </c>
      <c r="L216" s="3" t="n">
        <v>2349</v>
      </c>
      <c r="M216" s="3" t="n">
        <v>55</v>
      </c>
      <c r="N216" s="4">
        <f>IFERROR(L216/K216,0)</f>
        <v/>
      </c>
      <c r="O216" s="4">
        <f>IFERROR(M216/L216,0)</f>
        <v/>
      </c>
      <c r="P216" t="n">
        <v>692</v>
      </c>
      <c r="Q216" s="5" t="n">
        <v>1</v>
      </c>
      <c r="R216" s="7" t="n">
        <v>1</v>
      </c>
      <c r="S216">
        <f>IF(OR(N216&lt;$T$1*0.5,O216&lt;$U$1*0.5),"код для проверки","нормальный код")</f>
        <v/>
      </c>
      <c r="T216">
        <f>IF(N216&lt;$T$1*0.5,"Низшая четверть",IF(N216&lt;$T$1,"Вторая четверть","Больше половины"))</f>
        <v/>
      </c>
      <c r="U216">
        <f>IF(O216&lt;$U$1*0.5,"Низшая четверть",IF(O216&lt;$U$1,"Вторая четверть","Больше половины"))</f>
        <v/>
      </c>
      <c r="V216">
        <f>IF(OR(N216&lt;SUMIFS(L:L,R:R,1,E:E,E216)/SUMIFS(K:K,R:R,1,E:E,E216)*0.5,O216&lt;SUMIFS(M:M,R:R,1,E:E,E216)/SUMIFS(L:L,R:R,1,E:E,E216)*0.5),"код для проверки","нормальный код")</f>
        <v/>
      </c>
      <c r="W216">
        <f>IF(N216&lt;SUMIFS(L:L,R:R,1,E:E,E216)/SUMIFS(K:K,R:R,1,E:E,E216)*0.5,"Низшая четверть",IF(N216&lt;SUMIFS(L:L,R:R,1,E:E,E216)/SUMIFS(K:K,R:R,1,E:E,E216),"Вторая четверть","Больше половины"))</f>
        <v/>
      </c>
      <c r="X216">
        <f>IF(O216&lt;SUMIFS(M:M,R:R,1,E:E,E216)/SUMIFS(L:L,R:R,1,E:E,E216)*0.5,"Низшая четверть",IF(O216&lt;SUMIFS(M:M,R:R,1,E:E,E216)/SUMIFS(L:L,R:R,1,E:E,E216),"Вторая четверть","Больше половины"))</f>
        <v/>
      </c>
      <c r="Y216" t="n">
        <v>24</v>
      </c>
    </row>
    <row r="217">
      <c r="A217" s="1" t="inlineStr">
        <is>
          <t>10900030</t>
        </is>
      </c>
      <c r="B217" s="2" t="inlineStr">
        <is>
          <t>692729246</t>
        </is>
      </c>
      <c r="C217" s="3" t="inlineStr">
        <is>
          <t>Одежда и аксессуары</t>
        </is>
      </c>
      <c r="D217" s="2" t="inlineStr">
        <is>
          <t>Шарфы женские</t>
        </is>
      </c>
      <c r="E217" s="3" t="inlineStr">
        <is>
          <t>109 Палантин женский</t>
        </is>
      </c>
      <c r="F217" s="2" t="inlineStr">
        <is>
          <t>весна, осень, зима</t>
        </is>
      </c>
      <c r="G217" s="3" t="inlineStr">
        <is>
          <t>kari</t>
        </is>
      </c>
      <c r="H217" s="2" t="inlineStr">
        <is>
          <t>Никонорова Алина</t>
        </is>
      </c>
      <c r="J217" s="3" t="inlineStr">
        <is>
          <t>2026SS</t>
        </is>
      </c>
      <c r="K217" s="3" t="n">
        <v>27661</v>
      </c>
      <c r="L217" s="3" t="n">
        <v>1870</v>
      </c>
      <c r="M217" s="3" t="n">
        <v>12</v>
      </c>
      <c r="N217" s="4">
        <f>IFERROR(L217/K217,0)</f>
        <v/>
      </c>
      <c r="O217" s="4">
        <f>IFERROR(M217/L217,0)</f>
        <v/>
      </c>
      <c r="P217" t="n">
        <v>450</v>
      </c>
      <c r="Q217" s="5" t="n">
        <v>1</v>
      </c>
      <c r="R217" s="7" t="n">
        <v>1</v>
      </c>
      <c r="S217">
        <f>IF(OR(N217&lt;$T$1*0.5,O217&lt;$U$1*0.5),"код для проверки","нормальный код")</f>
        <v/>
      </c>
      <c r="T217">
        <f>IF(N217&lt;$T$1*0.5,"Низшая четверть",IF(N217&lt;$T$1,"Вторая четверть","Больше половины"))</f>
        <v/>
      </c>
      <c r="U217">
        <f>IF(O217&lt;$U$1*0.5,"Низшая четверть",IF(O217&lt;$U$1,"Вторая четверть","Больше половины"))</f>
        <v/>
      </c>
      <c r="V217">
        <f>IF(OR(N217&lt;SUMIFS(L:L,R:R,1,E:E,E217)/SUMIFS(K:K,R:R,1,E:E,E217)*0.5,O217&lt;SUMIFS(M:M,R:R,1,E:E,E217)/SUMIFS(L:L,R:R,1,E:E,E217)*0.5),"код для проверки","нормальный код")</f>
        <v/>
      </c>
      <c r="W217">
        <f>IF(N217&lt;SUMIFS(L:L,R:R,1,E:E,E217)/SUMIFS(K:K,R:R,1,E:E,E217)*0.5,"Низшая четверть",IF(N217&lt;SUMIFS(L:L,R:R,1,E:E,E217)/SUMIFS(K:K,R:R,1,E:E,E217),"Вторая четверть","Больше половины"))</f>
        <v/>
      </c>
      <c r="X217">
        <f>IF(O217&lt;SUMIFS(M:M,R:R,1,E:E,E217)/SUMIFS(L:L,R:R,1,E:E,E217)*0.5,"Низшая четверть",IF(O217&lt;SUMIFS(M:M,R:R,1,E:E,E217)/SUMIFS(L:L,R:R,1,E:E,E217),"Вторая четверть","Больше половины"))</f>
        <v/>
      </c>
      <c r="Y217" t="n">
        <v>13</v>
      </c>
    </row>
    <row r="218">
      <c r="A218" s="1" t="inlineStr">
        <is>
          <t>11008090</t>
        </is>
      </c>
      <c r="B218" s="2" t="inlineStr">
        <is>
          <t>355553593</t>
        </is>
      </c>
      <c r="C218" s="3" t="inlineStr">
        <is>
          <t>Одежда и аксессуары</t>
        </is>
      </c>
      <c r="D218" s="2" t="inlineStr">
        <is>
          <t>Шарфы женские</t>
        </is>
      </c>
      <c r="E218" s="3" t="inlineStr">
        <is>
          <t>110 Платок женский</t>
        </is>
      </c>
      <c r="F218" s="2" t="inlineStr">
        <is>
          <t>демисезонный</t>
        </is>
      </c>
      <c r="G218" s="3" t="inlineStr">
        <is>
          <t>kari</t>
        </is>
      </c>
      <c r="H218" s="2" t="inlineStr">
        <is>
          <t>Никонорова Алина</t>
        </is>
      </c>
      <c r="J218" s="3" t="inlineStr">
        <is>
          <t>2026SS</t>
        </is>
      </c>
      <c r="K218" s="3" t="n">
        <v>27620</v>
      </c>
      <c r="L218" s="3" t="n">
        <v>3493</v>
      </c>
      <c r="M218" s="3" t="n">
        <v>77</v>
      </c>
      <c r="N218" s="4">
        <f>IFERROR(L218/K218,0)</f>
        <v/>
      </c>
      <c r="O218" s="4">
        <f>IFERROR(M218/L218,0)</f>
        <v/>
      </c>
      <c r="P218" t="n">
        <v>514</v>
      </c>
      <c r="Q218" s="5" t="n">
        <v>1</v>
      </c>
      <c r="R218" s="7" t="n">
        <v>1</v>
      </c>
      <c r="S218">
        <f>IF(OR(N218&lt;$T$1*0.5,O218&lt;$U$1*0.5),"код для проверки","нормальный код")</f>
        <v/>
      </c>
      <c r="T218">
        <f>IF(N218&lt;$T$1*0.5,"Низшая четверть",IF(N218&lt;$T$1,"Вторая четверть","Больше половины"))</f>
        <v/>
      </c>
      <c r="U218">
        <f>IF(O218&lt;$U$1*0.5,"Низшая четверть",IF(O218&lt;$U$1,"Вторая четверть","Больше половины"))</f>
        <v/>
      </c>
      <c r="V218">
        <f>IF(OR(N218&lt;SUMIFS(L:L,R:R,1,E:E,E218)/SUMIFS(K:K,R:R,1,E:E,E218)*0.5,O218&lt;SUMIFS(M:M,R:R,1,E:E,E218)/SUMIFS(L:L,R:R,1,E:E,E218)*0.5),"код для проверки","нормальный код")</f>
        <v/>
      </c>
      <c r="W218">
        <f>IF(N218&lt;SUMIFS(L:L,R:R,1,E:E,E218)/SUMIFS(K:K,R:R,1,E:E,E218)*0.5,"Низшая четверть",IF(N218&lt;SUMIFS(L:L,R:R,1,E:E,E218)/SUMIFS(K:K,R:R,1,E:E,E218),"Вторая четверть","Больше половины"))</f>
        <v/>
      </c>
      <c r="X218">
        <f>IF(O218&lt;SUMIFS(M:M,R:R,1,E:E,E218)/SUMIFS(L:L,R:R,1,E:E,E218)*0.5,"Низшая четверть",IF(O218&lt;SUMIFS(M:M,R:R,1,E:E,E218)/SUMIFS(L:L,R:R,1,E:E,E218),"Вторая четверть","Больше половины"))</f>
        <v/>
      </c>
      <c r="Y218" t="n">
        <v>19</v>
      </c>
    </row>
    <row r="219">
      <c r="A219" s="1" t="inlineStr">
        <is>
          <t>y9708110</t>
        </is>
      </c>
      <c r="B219" s="2" t="inlineStr">
        <is>
          <t>373110934</t>
        </is>
      </c>
      <c r="C219" s="3" t="inlineStr">
        <is>
          <t>Одежда и аксессуары</t>
        </is>
      </c>
      <c r="D219" s="2" t="inlineStr">
        <is>
          <t>Спортивная одежда для мужчин</t>
        </is>
      </c>
      <c r="E219" s="3" t="inlineStr">
        <is>
          <t>y97 Футболка мужская</t>
        </is>
      </c>
      <c r="F219" s="2" t="inlineStr">
        <is>
          <t>всесезонный</t>
        </is>
      </c>
      <c r="G219" s="3" t="inlineStr">
        <is>
          <t>kari</t>
        </is>
      </c>
      <c r="H219" s="2" t="inlineStr">
        <is>
          <t>Зиннуров Ильнур</t>
        </is>
      </c>
      <c r="J219" s="3" t="inlineStr">
        <is>
          <t>2026SS</t>
        </is>
      </c>
      <c r="K219" s="3" t="n">
        <v>27287</v>
      </c>
      <c r="L219" s="3" t="n">
        <v>1027</v>
      </c>
      <c r="M219" s="3" t="n">
        <v>40</v>
      </c>
      <c r="N219" s="4">
        <f>IFERROR(L219/K219,0)</f>
        <v/>
      </c>
      <c r="O219" s="4">
        <f>IFERROR(M219/L219,0)</f>
        <v/>
      </c>
      <c r="P219" t="n">
        <v>378</v>
      </c>
      <c r="Q219" s="5" t="n">
        <v>1</v>
      </c>
      <c r="R219" s="7" t="n">
        <v>1</v>
      </c>
      <c r="S219">
        <f>IF(OR(N219&lt;$T$1*0.5,O219&lt;$U$1*0.5),"код для проверки","нормальный код")</f>
        <v/>
      </c>
      <c r="T219">
        <f>IF(N219&lt;$T$1*0.5,"Низшая четверть",IF(N219&lt;$T$1,"Вторая четверть","Больше половины"))</f>
        <v/>
      </c>
      <c r="U219">
        <f>IF(O219&lt;$U$1*0.5,"Низшая четверть",IF(O219&lt;$U$1,"Вторая четверть","Больше половины"))</f>
        <v/>
      </c>
      <c r="V219">
        <f>IF(OR(N219&lt;SUMIFS(L:L,R:R,1,E:E,E219)/SUMIFS(K:K,R:R,1,E:E,E219)*0.5,O219&lt;SUMIFS(M:M,R:R,1,E:E,E219)/SUMIFS(L:L,R:R,1,E:E,E219)*0.5),"код для проверки","нормальный код")</f>
        <v/>
      </c>
      <c r="W219">
        <f>IF(N219&lt;SUMIFS(L:L,R:R,1,E:E,E219)/SUMIFS(K:K,R:R,1,E:E,E219)*0.5,"Низшая четверть",IF(N219&lt;SUMIFS(L:L,R:R,1,E:E,E219)/SUMIFS(K:K,R:R,1,E:E,E219),"Вторая четверть","Больше половины"))</f>
        <v/>
      </c>
      <c r="X219">
        <f>IF(O219&lt;SUMIFS(M:M,R:R,1,E:E,E219)/SUMIFS(L:L,R:R,1,E:E,E219)*0.5,"Низшая четверть",IF(O219&lt;SUMIFS(M:M,R:R,1,E:E,E219)/SUMIFS(L:L,R:R,1,E:E,E219),"Вторая четверть","Больше половины"))</f>
        <v/>
      </c>
      <c r="Y219" t="n">
        <v>10</v>
      </c>
    </row>
    <row r="220">
      <c r="A220" s="1" t="inlineStr">
        <is>
          <t>a8900100</t>
        </is>
      </c>
      <c r="B220" s="2" t="inlineStr">
        <is>
          <t>711888409</t>
        </is>
      </c>
      <c r="C220" s="3" t="inlineStr">
        <is>
          <t>Одежда для детей</t>
        </is>
      </c>
      <c r="D220" s="2" t="inlineStr">
        <is>
          <t>Свитера детские для девочек</t>
        </is>
      </c>
      <c r="E220" s="3" t="inlineStr">
        <is>
          <t>a89 Свитшот для девочки</t>
        </is>
      </c>
      <c r="F220" s="2" t="inlineStr">
        <is>
          <t>весна, лето, осень</t>
        </is>
      </c>
      <c r="G220" s="3" t="inlineStr">
        <is>
          <t>kari</t>
        </is>
      </c>
      <c r="H220" s="2" t="inlineStr">
        <is>
          <t>Зиннуров Ильнур</t>
        </is>
      </c>
      <c r="J220" s="3" t="inlineStr">
        <is>
          <t>2026SS</t>
        </is>
      </c>
      <c r="K220" s="3" t="n">
        <v>27111</v>
      </c>
      <c r="L220" s="3" t="n">
        <v>1921</v>
      </c>
      <c r="M220" s="3" t="n">
        <v>14</v>
      </c>
      <c r="N220" s="4">
        <f>IFERROR(L220/K220,0)</f>
        <v/>
      </c>
      <c r="O220" s="4">
        <f>IFERROR(M220/L220,0)</f>
        <v/>
      </c>
      <c r="P220" t="n">
        <v>27</v>
      </c>
      <c r="Q220" s="5" t="n">
        <v>0.8</v>
      </c>
      <c r="R220" s="7" t="n">
        <v>1</v>
      </c>
      <c r="S220">
        <f>IF(OR(N220&lt;$T$1*0.5,O220&lt;$U$1*0.5),"код для проверки","нормальный код")</f>
        <v/>
      </c>
      <c r="T220">
        <f>IF(N220&lt;$T$1*0.5,"Низшая четверть",IF(N220&lt;$T$1,"Вторая четверть","Больше половины"))</f>
        <v/>
      </c>
      <c r="U220">
        <f>IF(O220&lt;$U$1*0.5,"Низшая четверть",IF(O220&lt;$U$1,"Вторая четверть","Больше половины"))</f>
        <v/>
      </c>
      <c r="V220">
        <f>IF(OR(N220&lt;SUMIFS(L:L,R:R,1,E:E,E220)/SUMIFS(K:K,R:R,1,E:E,E220)*0.5,O220&lt;SUMIFS(M:M,R:R,1,E:E,E220)/SUMIFS(L:L,R:R,1,E:E,E220)*0.5),"код для проверки","нормальный код")</f>
        <v/>
      </c>
      <c r="W220">
        <f>IF(N220&lt;SUMIFS(L:L,R:R,1,E:E,E220)/SUMIFS(K:K,R:R,1,E:E,E220)*0.5,"Низшая четверть",IF(N220&lt;SUMIFS(L:L,R:R,1,E:E,E220)/SUMIFS(K:K,R:R,1,E:E,E220),"Вторая четверть","Больше половины"))</f>
        <v/>
      </c>
      <c r="X220">
        <f>IF(O220&lt;SUMIFS(M:M,R:R,1,E:E,E220)/SUMIFS(L:L,R:R,1,E:E,E220)*0.5,"Низшая четверть",IF(O220&lt;SUMIFS(M:M,R:R,1,E:E,E220)/SUMIFS(L:L,R:R,1,E:E,E220),"Вторая четверть","Больше половины"))</f>
        <v/>
      </c>
      <c r="Y220" t="n">
        <v>13</v>
      </c>
    </row>
    <row r="221">
      <c r="A221" s="1" t="inlineStr">
        <is>
          <t>a8500020</t>
        </is>
      </c>
      <c r="B221" s="2" t="inlineStr">
        <is>
          <t>879308811</t>
        </is>
      </c>
      <c r="C221" s="3" t="inlineStr">
        <is>
          <t>Одежда для детей</t>
        </is>
      </c>
      <c r="D221" s="2" t="inlineStr">
        <is>
          <t>Свитера детские для девочек</t>
        </is>
      </c>
      <c r="E221" s="3" t="inlineStr">
        <is>
          <t>a85 Толстовка-бомбер утепленная для девочек</t>
        </is>
      </c>
      <c r="F221" s="2" t="inlineStr">
        <is>
          <t>весна, осень, зима</t>
        </is>
      </c>
      <c r="G221" s="3" t="inlineStr">
        <is>
          <t>kari</t>
        </is>
      </c>
      <c r="H221" s="2" t="inlineStr">
        <is>
          <t>Зиннуров Ильнур</t>
        </is>
      </c>
      <c r="J221" s="3" t="inlineStr">
        <is>
          <t>2026SS</t>
        </is>
      </c>
      <c r="K221" s="3" t="n">
        <v>27052</v>
      </c>
      <c r="L221" s="3" t="n">
        <v>2591</v>
      </c>
      <c r="M221" s="3" t="n">
        <v>56</v>
      </c>
      <c r="N221" s="4">
        <f>IFERROR(L221/K221,0)</f>
        <v/>
      </c>
      <c r="O221" s="4">
        <f>IFERROR(M221/L221,0)</f>
        <v/>
      </c>
      <c r="P221" t="n">
        <v>347</v>
      </c>
      <c r="Q221" s="5" t="n">
        <v>1</v>
      </c>
      <c r="R221" s="7" t="n">
        <v>1</v>
      </c>
      <c r="S221">
        <f>IF(OR(N221&lt;$T$1*0.5,O221&lt;$U$1*0.5),"код для проверки","нормальный код")</f>
        <v/>
      </c>
      <c r="T221">
        <f>IF(N221&lt;$T$1*0.5,"Низшая четверть",IF(N221&lt;$T$1,"Вторая четверть","Больше половины"))</f>
        <v/>
      </c>
      <c r="U221">
        <f>IF(O221&lt;$U$1*0.5,"Низшая четверть",IF(O221&lt;$U$1,"Вторая четверть","Больше половины"))</f>
        <v/>
      </c>
      <c r="V221">
        <f>IF(OR(N221&lt;SUMIFS(L:L,R:R,1,E:E,E221)/SUMIFS(K:K,R:R,1,E:E,E221)*0.5,O221&lt;SUMIFS(M:M,R:R,1,E:E,E221)/SUMIFS(L:L,R:R,1,E:E,E221)*0.5),"код для проверки","нормальный код")</f>
        <v/>
      </c>
      <c r="W221">
        <f>IF(N221&lt;SUMIFS(L:L,R:R,1,E:E,E221)/SUMIFS(K:K,R:R,1,E:E,E221)*0.5,"Низшая четверть",IF(N221&lt;SUMIFS(L:L,R:R,1,E:E,E221)/SUMIFS(K:K,R:R,1,E:E,E221),"Вторая четверть","Больше половины"))</f>
        <v/>
      </c>
      <c r="X221">
        <f>IF(O221&lt;SUMIFS(M:M,R:R,1,E:E,E221)/SUMIFS(L:L,R:R,1,E:E,E221)*0.5,"Низшая четверть",IF(O221&lt;SUMIFS(M:M,R:R,1,E:E,E221)/SUMIFS(L:L,R:R,1,E:E,E221),"Вторая четверть","Больше половины"))</f>
        <v/>
      </c>
      <c r="Y221" t="n">
        <v>16</v>
      </c>
    </row>
    <row r="222">
      <c r="A222" s="1" t="inlineStr">
        <is>
          <t>45500030</t>
        </is>
      </c>
      <c r="B222" s="2" t="inlineStr">
        <is>
          <t>768370838</t>
        </is>
      </c>
      <c r="C222" s="3" t="inlineStr">
        <is>
          <t>Одежда для детей</t>
        </is>
      </c>
      <c r="D222" s="2" t="inlineStr">
        <is>
          <t>Одежда для новорожденных</t>
        </is>
      </c>
      <c r="E222" s="3" t="inlineStr">
        <is>
          <t>455 Брюки спортивные утепленные для маленьких девочек</t>
        </is>
      </c>
      <c r="F222" s="2" t="inlineStr">
        <is>
          <t>весна, осень, зима</t>
        </is>
      </c>
      <c r="G222" s="3" t="inlineStr">
        <is>
          <t>Kari baby</t>
        </is>
      </c>
      <c r="H222" s="2" t="inlineStr">
        <is>
          <t>Зиннуров Ильнур</t>
        </is>
      </c>
      <c r="J222" s="3" t="inlineStr">
        <is>
          <t>2026SS</t>
        </is>
      </c>
      <c r="K222" s="3" t="n">
        <v>27000</v>
      </c>
      <c r="L222" s="3" t="n">
        <v>1809</v>
      </c>
      <c r="M222" s="3" t="n">
        <v>36</v>
      </c>
      <c r="N222" s="4">
        <f>IFERROR(L222/K222,0)</f>
        <v/>
      </c>
      <c r="O222" s="4">
        <f>IFERROR(M222/L222,0)</f>
        <v/>
      </c>
      <c r="P222" t="n">
        <v>712</v>
      </c>
      <c r="Q222" s="5" t="n">
        <v>1</v>
      </c>
      <c r="R222" s="7" t="n">
        <v>1</v>
      </c>
      <c r="S222">
        <f>IF(OR(N222&lt;$T$1*0.5,O222&lt;$U$1*0.5),"код для проверки","нормальный код")</f>
        <v/>
      </c>
      <c r="T222">
        <f>IF(N222&lt;$T$1*0.5,"Низшая четверть",IF(N222&lt;$T$1,"Вторая четверть","Больше половины"))</f>
        <v/>
      </c>
      <c r="U222">
        <f>IF(O222&lt;$U$1*0.5,"Низшая четверть",IF(O222&lt;$U$1,"Вторая четверть","Больше половины"))</f>
        <v/>
      </c>
      <c r="V222">
        <f>IF(OR(N222&lt;SUMIFS(L:L,R:R,1,E:E,E222)/SUMIFS(K:K,R:R,1,E:E,E222)*0.5,O222&lt;SUMIFS(M:M,R:R,1,E:E,E222)/SUMIFS(L:L,R:R,1,E:E,E222)*0.5),"код для проверки","нормальный код")</f>
        <v/>
      </c>
      <c r="W222">
        <f>IF(N222&lt;SUMIFS(L:L,R:R,1,E:E,E222)/SUMIFS(K:K,R:R,1,E:E,E222)*0.5,"Низшая четверть",IF(N222&lt;SUMIFS(L:L,R:R,1,E:E,E222)/SUMIFS(K:K,R:R,1,E:E,E222),"Вторая четверть","Больше половины"))</f>
        <v/>
      </c>
      <c r="X222">
        <f>IF(O222&lt;SUMIFS(M:M,R:R,1,E:E,E222)/SUMIFS(L:L,R:R,1,E:E,E222)*0.5,"Низшая четверть",IF(O222&lt;SUMIFS(M:M,R:R,1,E:E,E222)/SUMIFS(L:L,R:R,1,E:E,E222),"Вторая четверть","Больше половины"))</f>
        <v/>
      </c>
      <c r="Y222" t="n">
        <v>11</v>
      </c>
    </row>
    <row r="223">
      <c r="A223" s="1" t="inlineStr">
        <is>
          <t>88600080</t>
        </is>
      </c>
      <c r="B223" s="2" t="inlineStr">
        <is>
          <t>866468970</t>
        </is>
      </c>
      <c r="C223" s="3" t="inlineStr">
        <is>
          <t>Одежда для детей</t>
        </is>
      </c>
      <c r="D223" s="2" t="inlineStr">
        <is>
          <t>Верхняя детская одежда для девочек</t>
        </is>
      </c>
      <c r="E223" s="3" t="inlineStr">
        <is>
          <t>886 Жилет утепленный детский для девочек</t>
        </is>
      </c>
      <c r="F223" s="2" t="inlineStr">
        <is>
          <t>демисезонный</t>
        </is>
      </c>
      <c r="G223" s="3" t="inlineStr">
        <is>
          <t>Kari KIDS</t>
        </is>
      </c>
      <c r="H223" s="2" t="inlineStr">
        <is>
          <t>Зиннуров Ильнур</t>
        </is>
      </c>
      <c r="J223" s="3" t="inlineStr">
        <is>
          <t>2026SS</t>
        </is>
      </c>
      <c r="K223" s="3" t="n">
        <v>26773</v>
      </c>
      <c r="L223" s="3" t="n">
        <v>1153</v>
      </c>
      <c r="M223" s="3" t="n">
        <v>18</v>
      </c>
      <c r="N223" s="4">
        <f>IFERROR(L223/K223,0)</f>
        <v/>
      </c>
      <c r="O223" s="4">
        <f>IFERROR(M223/L223,0)</f>
        <v/>
      </c>
      <c r="P223" t="n">
        <v>603</v>
      </c>
      <c r="Q223" s="5" t="n">
        <v>1</v>
      </c>
      <c r="R223" s="7" t="n">
        <v>1</v>
      </c>
      <c r="S223">
        <f>IF(OR(N223&lt;$T$1*0.5,O223&lt;$U$1*0.5),"код для проверки","нормальный код")</f>
        <v/>
      </c>
      <c r="T223">
        <f>IF(N223&lt;$T$1*0.5,"Низшая четверть",IF(N223&lt;$T$1,"Вторая четверть","Больше половины"))</f>
        <v/>
      </c>
      <c r="U223">
        <f>IF(O223&lt;$U$1*0.5,"Низшая четверть",IF(O223&lt;$U$1,"Вторая четверть","Больше половины"))</f>
        <v/>
      </c>
      <c r="V223">
        <f>IF(OR(N223&lt;SUMIFS(L:L,R:R,1,E:E,E223)/SUMIFS(K:K,R:R,1,E:E,E223)*0.5,O223&lt;SUMIFS(M:M,R:R,1,E:E,E223)/SUMIFS(L:L,R:R,1,E:E,E223)*0.5),"код для проверки","нормальный код")</f>
        <v/>
      </c>
      <c r="W223">
        <f>IF(N223&lt;SUMIFS(L:L,R:R,1,E:E,E223)/SUMIFS(K:K,R:R,1,E:E,E223)*0.5,"Низшая четверть",IF(N223&lt;SUMIFS(L:L,R:R,1,E:E,E223)/SUMIFS(K:K,R:R,1,E:E,E223),"Вторая четверть","Больше половины"))</f>
        <v/>
      </c>
      <c r="X223">
        <f>IF(O223&lt;SUMIFS(M:M,R:R,1,E:E,E223)/SUMIFS(L:L,R:R,1,E:E,E223)*0.5,"Низшая четверть",IF(O223&lt;SUMIFS(M:M,R:R,1,E:E,E223)/SUMIFS(L:L,R:R,1,E:E,E223),"Вторая четверть","Больше половины"))</f>
        <v/>
      </c>
      <c r="Y223" t="n">
        <v>20</v>
      </c>
    </row>
    <row r="224">
      <c r="A224" s="1" t="inlineStr">
        <is>
          <t>19400220</t>
        </is>
      </c>
      <c r="B224" s="2" t="inlineStr">
        <is>
          <t>879308854</t>
        </is>
      </c>
      <c r="C224" s="3" t="inlineStr">
        <is>
          <t>Одежда для детей</t>
        </is>
      </c>
      <c r="D224" s="2" t="inlineStr">
        <is>
          <t>Брюки детские для девочек</t>
        </is>
      </c>
      <c r="E224" s="3" t="inlineStr">
        <is>
          <t>194 Шорты детские для девочек</t>
        </is>
      </c>
      <c r="F224" s="2" t="inlineStr">
        <is>
          <t>лето</t>
        </is>
      </c>
      <c r="G224" s="3" t="inlineStr">
        <is>
          <t>kari</t>
        </is>
      </c>
      <c r="H224" s="2" t="inlineStr">
        <is>
          <t>Зиннуров Ильнур</t>
        </is>
      </c>
      <c r="J224" s="3" t="inlineStr">
        <is>
          <t>2026SS</t>
        </is>
      </c>
      <c r="K224" s="3" t="n">
        <v>26734</v>
      </c>
      <c r="L224" s="3" t="n">
        <v>2461</v>
      </c>
      <c r="M224" s="3" t="n">
        <v>135</v>
      </c>
      <c r="N224" s="4">
        <f>IFERROR(L224/K224,0)</f>
        <v/>
      </c>
      <c r="O224" s="4">
        <f>IFERROR(M224/L224,0)</f>
        <v/>
      </c>
      <c r="P224" t="n">
        <v>637</v>
      </c>
      <c r="Q224" s="5" t="n">
        <v>0.875</v>
      </c>
      <c r="R224" s="7" t="n">
        <v>1</v>
      </c>
      <c r="S224">
        <f>IF(OR(N224&lt;$T$1*0.5,O224&lt;$U$1*0.5),"код для проверки","нормальный код")</f>
        <v/>
      </c>
      <c r="T224">
        <f>IF(N224&lt;$T$1*0.5,"Низшая четверть",IF(N224&lt;$T$1,"Вторая четверть","Больше половины"))</f>
        <v/>
      </c>
      <c r="U224">
        <f>IF(O224&lt;$U$1*0.5,"Низшая четверть",IF(O224&lt;$U$1,"Вторая четверть","Больше половины"))</f>
        <v/>
      </c>
      <c r="V224">
        <f>IF(OR(N224&lt;SUMIFS(L:L,R:R,1,E:E,E224)/SUMIFS(K:K,R:R,1,E:E,E224)*0.5,O224&lt;SUMIFS(M:M,R:R,1,E:E,E224)/SUMIFS(L:L,R:R,1,E:E,E224)*0.5),"код для проверки","нормальный код")</f>
        <v/>
      </c>
      <c r="W224">
        <f>IF(N224&lt;SUMIFS(L:L,R:R,1,E:E,E224)/SUMIFS(K:K,R:R,1,E:E,E224)*0.5,"Низшая четверть",IF(N224&lt;SUMIFS(L:L,R:R,1,E:E,E224)/SUMIFS(K:K,R:R,1,E:E,E224),"Вторая четверть","Больше половины"))</f>
        <v/>
      </c>
      <c r="X224">
        <f>IF(O224&lt;SUMIFS(M:M,R:R,1,E:E,E224)/SUMIFS(L:L,R:R,1,E:E,E224)*0.5,"Низшая четверть",IF(O224&lt;SUMIFS(M:M,R:R,1,E:E,E224)/SUMIFS(L:L,R:R,1,E:E,E224),"Вторая четверть","Больше половины"))</f>
        <v/>
      </c>
      <c r="Y224" t="n">
        <v>20</v>
      </c>
    </row>
    <row r="225">
      <c r="A225" s="1" t="inlineStr">
        <is>
          <t>14400070</t>
        </is>
      </c>
      <c r="B225" s="2" t="inlineStr">
        <is>
          <t>710264825</t>
        </is>
      </c>
      <c r="C225" s="3" t="inlineStr">
        <is>
          <t>Одежда и аксессуары</t>
        </is>
      </c>
      <c r="D225" s="2" t="inlineStr">
        <is>
          <t>Шарфы женские</t>
        </is>
      </c>
      <c r="E225" s="3" t="inlineStr">
        <is>
          <t>144 Шарф летний женский</t>
        </is>
      </c>
      <c r="F225" s="2" t="inlineStr">
        <is>
          <t>весна, лето</t>
        </is>
      </c>
      <c r="G225" s="3" t="inlineStr">
        <is>
          <t>kari</t>
        </is>
      </c>
      <c r="H225" s="2" t="inlineStr">
        <is>
          <t>Никонорова Алина</t>
        </is>
      </c>
      <c r="J225" s="3" t="inlineStr">
        <is>
          <t>2026SS</t>
        </is>
      </c>
      <c r="K225" s="3" t="n">
        <v>26529</v>
      </c>
      <c r="L225" s="3" t="n">
        <v>11533</v>
      </c>
      <c r="M225" s="3" t="n">
        <v>80</v>
      </c>
      <c r="N225" s="4">
        <f>IFERROR(L225/K225,0)</f>
        <v/>
      </c>
      <c r="O225" s="4">
        <f>IFERROR(M225/L225,0)</f>
        <v/>
      </c>
      <c r="P225" t="n">
        <v>446</v>
      </c>
      <c r="Q225" s="5" t="n">
        <v>1</v>
      </c>
      <c r="R225" s="7" t="n">
        <v>1</v>
      </c>
      <c r="S225">
        <f>IF(OR(N225&lt;$T$1*0.5,O225&lt;$U$1*0.5),"код для проверки","нормальный код")</f>
        <v/>
      </c>
      <c r="T225">
        <f>IF(N225&lt;$T$1*0.5,"Низшая четверть",IF(N225&lt;$T$1,"Вторая четверть","Больше половины"))</f>
        <v/>
      </c>
      <c r="U225">
        <f>IF(O225&lt;$U$1*0.5,"Низшая четверть",IF(O225&lt;$U$1,"Вторая четверть","Больше половины"))</f>
        <v/>
      </c>
      <c r="V225">
        <f>IF(OR(N225&lt;SUMIFS(L:L,R:R,1,E:E,E225)/SUMIFS(K:K,R:R,1,E:E,E225)*0.5,O225&lt;SUMIFS(M:M,R:R,1,E:E,E225)/SUMIFS(L:L,R:R,1,E:E,E225)*0.5),"код для проверки","нормальный код")</f>
        <v/>
      </c>
      <c r="W225">
        <f>IF(N225&lt;SUMIFS(L:L,R:R,1,E:E,E225)/SUMIFS(K:K,R:R,1,E:E,E225)*0.5,"Низшая четверть",IF(N225&lt;SUMIFS(L:L,R:R,1,E:E,E225)/SUMIFS(K:K,R:R,1,E:E,E225),"Вторая четверть","Больше половины"))</f>
        <v/>
      </c>
      <c r="X225">
        <f>IF(O225&lt;SUMIFS(M:M,R:R,1,E:E,E225)/SUMIFS(L:L,R:R,1,E:E,E225)*0.5,"Низшая четверть",IF(O225&lt;SUMIFS(M:M,R:R,1,E:E,E225)/SUMIFS(L:L,R:R,1,E:E,E225),"Вторая четверть","Больше половины"))</f>
        <v/>
      </c>
      <c r="Y225" t="n">
        <v>13</v>
      </c>
    </row>
    <row r="226">
      <c r="A226" s="1" t="inlineStr">
        <is>
          <t>93900250</t>
        </is>
      </c>
      <c r="B226" s="2" t="inlineStr">
        <is>
          <t>790695429</t>
        </is>
      </c>
      <c r="C226" s="3" t="inlineStr">
        <is>
          <t>Одежда для детей</t>
        </is>
      </c>
      <c r="D226" s="2" t="inlineStr">
        <is>
          <t>Одежда для новорожденных</t>
        </is>
      </c>
      <c r="E226" s="3" t="inlineStr">
        <is>
          <t>939 Футболка для маленькой девочки</t>
        </is>
      </c>
      <c r="F226" s="2" t="inlineStr">
        <is>
          <t>всесезонный</t>
        </is>
      </c>
      <c r="G226" s="3" t="inlineStr">
        <is>
          <t>Kari baby</t>
        </is>
      </c>
      <c r="H226" s="2" t="inlineStr">
        <is>
          <t>Зиннуров Ильнур</t>
        </is>
      </c>
      <c r="J226" s="3" t="inlineStr">
        <is>
          <t>2026SS</t>
        </is>
      </c>
      <c r="K226" s="3" t="n">
        <v>25878</v>
      </c>
      <c r="L226" s="3" t="n">
        <v>1878</v>
      </c>
      <c r="M226" s="3" t="n">
        <v>76</v>
      </c>
      <c r="N226" s="4">
        <f>IFERROR(L226/K226,0)</f>
        <v/>
      </c>
      <c r="O226" s="4">
        <f>IFERROR(M226/L226,0)</f>
        <v/>
      </c>
      <c r="P226" t="n">
        <v>764</v>
      </c>
      <c r="Q226" s="5" t="n">
        <v>0.8</v>
      </c>
      <c r="R226" s="7" t="n">
        <v>1</v>
      </c>
      <c r="S226">
        <f>IF(OR(N226&lt;$T$1*0.5,O226&lt;$U$1*0.5),"код для проверки","нормальный код")</f>
        <v/>
      </c>
      <c r="T226">
        <f>IF(N226&lt;$T$1*0.5,"Низшая четверть",IF(N226&lt;$T$1,"Вторая четверть","Больше половины"))</f>
        <v/>
      </c>
      <c r="U226">
        <f>IF(O226&lt;$U$1*0.5,"Низшая четверть",IF(O226&lt;$U$1,"Вторая четверть","Больше половины"))</f>
        <v/>
      </c>
      <c r="V226">
        <f>IF(OR(N226&lt;SUMIFS(L:L,R:R,1,E:E,E226)/SUMIFS(K:K,R:R,1,E:E,E226)*0.5,O226&lt;SUMIFS(M:M,R:R,1,E:E,E226)/SUMIFS(L:L,R:R,1,E:E,E226)*0.5),"код для проверки","нормальный код")</f>
        <v/>
      </c>
      <c r="W226">
        <f>IF(N226&lt;SUMIFS(L:L,R:R,1,E:E,E226)/SUMIFS(K:K,R:R,1,E:E,E226)*0.5,"Низшая четверть",IF(N226&lt;SUMIFS(L:L,R:R,1,E:E,E226)/SUMIFS(K:K,R:R,1,E:E,E226),"Вторая четверть","Больше половины"))</f>
        <v/>
      </c>
      <c r="X226">
        <f>IF(O226&lt;SUMIFS(M:M,R:R,1,E:E,E226)/SUMIFS(L:L,R:R,1,E:E,E226)*0.5,"Низшая четверть",IF(O226&lt;SUMIFS(M:M,R:R,1,E:E,E226)/SUMIFS(L:L,R:R,1,E:E,E226),"Вторая четверть","Больше половины"))</f>
        <v/>
      </c>
      <c r="Y226" t="n">
        <v>15</v>
      </c>
    </row>
    <row r="227">
      <c r="A227" s="1" t="inlineStr">
        <is>
          <t>31000980</t>
        </is>
      </c>
      <c r="B227" s="2" t="inlineStr">
        <is>
          <t>819952121</t>
        </is>
      </c>
      <c r="C227" s="3" t="inlineStr">
        <is>
          <t>Одежда для детей</t>
        </is>
      </c>
      <c r="D227" s="2" t="inlineStr">
        <is>
          <t>Футболки, майки, рубашки детские для мальчиков</t>
        </is>
      </c>
      <c r="E227" s="3" t="inlineStr">
        <is>
          <t>310 Футболка детская для мальчиков</t>
        </is>
      </c>
      <c r="F227" s="2" t="inlineStr">
        <is>
          <t>всесезонный</t>
        </is>
      </c>
      <c r="G227" s="3" t="inlineStr">
        <is>
          <t>Kari KIDS</t>
        </is>
      </c>
      <c r="H227" s="2" t="inlineStr">
        <is>
          <t>Зиннуров Ильнур</t>
        </is>
      </c>
      <c r="J227" s="3" t="inlineStr">
        <is>
          <t>2026SS</t>
        </is>
      </c>
      <c r="K227" s="3" t="n">
        <v>25849</v>
      </c>
      <c r="L227" s="3" t="n">
        <v>2699</v>
      </c>
      <c r="M227" s="3" t="n">
        <v>67</v>
      </c>
      <c r="N227" s="4">
        <f>IFERROR(L227/K227,0)</f>
        <v/>
      </c>
      <c r="O227" s="4">
        <f>IFERROR(M227/L227,0)</f>
        <v/>
      </c>
      <c r="P227" t="n">
        <v>84</v>
      </c>
      <c r="Q227" s="5" t="n">
        <v>1</v>
      </c>
      <c r="R227" s="7" t="n">
        <v>1</v>
      </c>
      <c r="S227">
        <f>IF(OR(N227&lt;$T$1*0.5,O227&lt;$U$1*0.5),"код для проверки","нормальный код")</f>
        <v/>
      </c>
      <c r="T227">
        <f>IF(N227&lt;$T$1*0.5,"Низшая четверть",IF(N227&lt;$T$1,"Вторая четверть","Больше половины"))</f>
        <v/>
      </c>
      <c r="U227">
        <f>IF(O227&lt;$U$1*0.5,"Низшая четверть",IF(O227&lt;$U$1,"Вторая четверть","Больше половины"))</f>
        <v/>
      </c>
      <c r="V227">
        <f>IF(OR(N227&lt;SUMIFS(L:L,R:R,1,E:E,E227)/SUMIFS(K:K,R:R,1,E:E,E227)*0.5,O227&lt;SUMIFS(M:M,R:R,1,E:E,E227)/SUMIFS(L:L,R:R,1,E:E,E227)*0.5),"код для проверки","нормальный код")</f>
        <v/>
      </c>
      <c r="W227">
        <f>IF(N227&lt;SUMIFS(L:L,R:R,1,E:E,E227)/SUMIFS(K:K,R:R,1,E:E,E227)*0.5,"Низшая четверть",IF(N227&lt;SUMIFS(L:L,R:R,1,E:E,E227)/SUMIFS(K:K,R:R,1,E:E,E227),"Вторая четверть","Больше половины"))</f>
        <v/>
      </c>
      <c r="X227">
        <f>IF(O227&lt;SUMIFS(M:M,R:R,1,E:E,E227)/SUMIFS(L:L,R:R,1,E:E,E227)*0.5,"Низшая четверть",IF(O227&lt;SUMIFS(M:M,R:R,1,E:E,E227)/SUMIFS(L:L,R:R,1,E:E,E227),"Вторая четверть","Больше половины"))</f>
        <v/>
      </c>
      <c r="Y227" t="n">
        <v>5</v>
      </c>
    </row>
    <row r="228">
      <c r="A228" s="1" t="inlineStr">
        <is>
          <t>92500070</t>
        </is>
      </c>
      <c r="B228" s="2" t="inlineStr">
        <is>
          <t>766639219</t>
        </is>
      </c>
      <c r="C228" s="3" t="inlineStr">
        <is>
          <t>Одежда для детей</t>
        </is>
      </c>
      <c r="D228" s="2" t="inlineStr">
        <is>
          <t>Одежда для новорожденных</t>
        </is>
      </c>
      <c r="E228" s="3" t="inlineStr">
        <is>
          <t>925 Платье-боди</t>
        </is>
      </c>
      <c r="F228" s="2" t="inlineStr">
        <is>
          <t>лето</t>
        </is>
      </c>
      <c r="G228" s="3" t="inlineStr">
        <is>
          <t>Kari baby</t>
        </is>
      </c>
      <c r="H228" s="2" t="inlineStr">
        <is>
          <t>Зиннуров Ильнур</t>
        </is>
      </c>
      <c r="J228" s="3" t="inlineStr">
        <is>
          <t>2026SS</t>
        </is>
      </c>
      <c r="K228" s="3" t="n">
        <v>25456</v>
      </c>
      <c r="L228" s="3" t="n">
        <v>3677</v>
      </c>
      <c r="M228" s="3" t="n">
        <v>66</v>
      </c>
      <c r="N228" s="4">
        <f>IFERROR(L228/K228,0)</f>
        <v/>
      </c>
      <c r="O228" s="4">
        <f>IFERROR(M228/L228,0)</f>
        <v/>
      </c>
      <c r="P228" t="n">
        <v>622</v>
      </c>
      <c r="Q228" s="5" t="n">
        <v>1</v>
      </c>
      <c r="R228" s="7" t="n">
        <v>1</v>
      </c>
      <c r="S228">
        <f>IF(OR(N228&lt;$T$1*0.5,O228&lt;$U$1*0.5),"код для проверки","нормальный код")</f>
        <v/>
      </c>
      <c r="T228">
        <f>IF(N228&lt;$T$1*0.5,"Низшая четверть",IF(N228&lt;$T$1,"Вторая четверть","Больше половины"))</f>
        <v/>
      </c>
      <c r="U228">
        <f>IF(O228&lt;$U$1*0.5,"Низшая четверть",IF(O228&lt;$U$1,"Вторая четверть","Больше половины"))</f>
        <v/>
      </c>
      <c r="V228">
        <f>IF(OR(N228&lt;SUMIFS(L:L,R:R,1,E:E,E228)/SUMIFS(K:K,R:R,1,E:E,E228)*0.5,O228&lt;SUMIFS(M:M,R:R,1,E:E,E228)/SUMIFS(L:L,R:R,1,E:E,E228)*0.5),"код для проверки","нормальный код")</f>
        <v/>
      </c>
      <c r="W228">
        <f>IF(N228&lt;SUMIFS(L:L,R:R,1,E:E,E228)/SUMIFS(K:K,R:R,1,E:E,E228)*0.5,"Низшая четверть",IF(N228&lt;SUMIFS(L:L,R:R,1,E:E,E228)/SUMIFS(K:K,R:R,1,E:E,E228),"Вторая четверть","Больше половины"))</f>
        <v/>
      </c>
      <c r="X228">
        <f>IF(O228&lt;SUMIFS(M:M,R:R,1,E:E,E228)/SUMIFS(L:L,R:R,1,E:E,E228)*0.5,"Низшая четверть",IF(O228&lt;SUMIFS(M:M,R:R,1,E:E,E228)/SUMIFS(L:L,R:R,1,E:E,E228),"Вторая четверть","Больше половины"))</f>
        <v/>
      </c>
      <c r="Y228" t="n">
        <v>13</v>
      </c>
    </row>
    <row r="229">
      <c r="A229" s="1" t="inlineStr">
        <is>
          <t>88300350</t>
        </is>
      </c>
      <c r="B229" s="2" t="inlineStr">
        <is>
          <t>803430016</t>
        </is>
      </c>
      <c r="C229" s="3" t="inlineStr">
        <is>
          <t>Одежда для детей</t>
        </is>
      </c>
      <c r="D229" s="2" t="inlineStr">
        <is>
          <t>Платья, майки, футболки детские для девочек</t>
        </is>
      </c>
      <c r="E229" s="3" t="inlineStr">
        <is>
          <t>883 Футболка длинный рукав детская для девочек</t>
        </is>
      </c>
      <c r="F229" s="2" t="inlineStr">
        <is>
          <t>всесезонный</t>
        </is>
      </c>
      <c r="G229" s="3" t="inlineStr">
        <is>
          <t>kari</t>
        </is>
      </c>
      <c r="H229" s="2" t="inlineStr">
        <is>
          <t>Зиннуров Ильнур</t>
        </is>
      </c>
      <c r="J229" s="3" t="inlineStr">
        <is>
          <t>2026SS</t>
        </is>
      </c>
      <c r="K229" s="3" t="n">
        <v>25129</v>
      </c>
      <c r="L229" s="3" t="n">
        <v>1241</v>
      </c>
      <c r="M229" s="3" t="n">
        <v>39</v>
      </c>
      <c r="N229" s="4">
        <f>IFERROR(L229/K229,0)</f>
        <v/>
      </c>
      <c r="O229" s="4">
        <f>IFERROR(M229/L229,0)</f>
        <v/>
      </c>
      <c r="P229" t="n">
        <v>271</v>
      </c>
      <c r="Q229" s="5" t="n">
        <v>1</v>
      </c>
      <c r="R229" s="7" t="n">
        <v>1</v>
      </c>
      <c r="S229">
        <f>IF(OR(N229&lt;$T$1*0.5,O229&lt;$U$1*0.5),"код для проверки","нормальный код")</f>
        <v/>
      </c>
      <c r="T229">
        <f>IF(N229&lt;$T$1*0.5,"Низшая четверть",IF(N229&lt;$T$1,"Вторая четверть","Больше половины"))</f>
        <v/>
      </c>
      <c r="U229">
        <f>IF(O229&lt;$U$1*0.5,"Низшая четверть",IF(O229&lt;$U$1,"Вторая четверть","Больше половины"))</f>
        <v/>
      </c>
      <c r="V229">
        <f>IF(OR(N229&lt;SUMIFS(L:L,R:R,1,E:E,E229)/SUMIFS(K:K,R:R,1,E:E,E229)*0.5,O229&lt;SUMIFS(M:M,R:R,1,E:E,E229)/SUMIFS(L:L,R:R,1,E:E,E229)*0.5),"код для проверки","нормальный код")</f>
        <v/>
      </c>
      <c r="W229">
        <f>IF(N229&lt;SUMIFS(L:L,R:R,1,E:E,E229)/SUMIFS(K:K,R:R,1,E:E,E229)*0.5,"Низшая четверть",IF(N229&lt;SUMIFS(L:L,R:R,1,E:E,E229)/SUMIFS(K:K,R:R,1,E:E,E229),"Вторая четверть","Больше половины"))</f>
        <v/>
      </c>
      <c r="X229">
        <f>IF(O229&lt;SUMIFS(M:M,R:R,1,E:E,E229)/SUMIFS(L:L,R:R,1,E:E,E229)*0.5,"Низшая четверть",IF(O229&lt;SUMIFS(M:M,R:R,1,E:E,E229)/SUMIFS(L:L,R:R,1,E:E,E229),"Вторая четверть","Больше половины"))</f>
        <v/>
      </c>
      <c r="Y229" t="n">
        <v>15</v>
      </c>
    </row>
    <row r="230">
      <c r="A230" s="1" t="inlineStr">
        <is>
          <t>95400140</t>
        </is>
      </c>
      <c r="B230" s="2" t="inlineStr">
        <is>
          <t>786399366</t>
        </is>
      </c>
      <c r="C230" s="3" t="inlineStr">
        <is>
          <t>Одежда для детей</t>
        </is>
      </c>
      <c r="D230" s="2" t="inlineStr">
        <is>
          <t>Верхняя детская одежда для девочек</t>
        </is>
      </c>
      <c r="E230" s="3" t="inlineStr">
        <is>
          <t>954 Ветровка детская для девочек</t>
        </is>
      </c>
      <c r="F230" s="2" t="inlineStr">
        <is>
          <t>демисезонный</t>
        </is>
      </c>
      <c r="G230" s="3" t="inlineStr">
        <is>
          <t>Kari KIDS</t>
        </is>
      </c>
      <c r="H230" s="2" t="inlineStr">
        <is>
          <t>Зиннуров Ильнур</t>
        </is>
      </c>
      <c r="J230" s="3" t="inlineStr">
        <is>
          <t>2026SS</t>
        </is>
      </c>
      <c r="K230" s="3" t="n">
        <v>25117</v>
      </c>
      <c r="L230" s="3" t="n">
        <v>4146</v>
      </c>
      <c r="M230" s="3" t="n">
        <v>30</v>
      </c>
      <c r="N230" s="4">
        <f>IFERROR(L230/K230,0)</f>
        <v/>
      </c>
      <c r="O230" s="4">
        <f>IFERROR(M230/L230,0)</f>
        <v/>
      </c>
      <c r="P230" t="n">
        <v>263</v>
      </c>
      <c r="Q230" s="5" t="n">
        <v>1</v>
      </c>
      <c r="R230" s="7" t="n">
        <v>1</v>
      </c>
      <c r="S230">
        <f>IF(OR(N230&lt;$T$1*0.5,O230&lt;$U$1*0.5),"код для проверки","нормальный код")</f>
        <v/>
      </c>
      <c r="T230">
        <f>IF(N230&lt;$T$1*0.5,"Низшая четверть",IF(N230&lt;$T$1,"Вторая четверть","Больше половины"))</f>
        <v/>
      </c>
      <c r="U230">
        <f>IF(O230&lt;$U$1*0.5,"Низшая четверть",IF(O230&lt;$U$1,"Вторая четверть","Больше половины"))</f>
        <v/>
      </c>
      <c r="V230">
        <f>IF(OR(N230&lt;SUMIFS(L:L,R:R,1,E:E,E230)/SUMIFS(K:K,R:R,1,E:E,E230)*0.5,O230&lt;SUMIFS(M:M,R:R,1,E:E,E230)/SUMIFS(L:L,R:R,1,E:E,E230)*0.5),"код для проверки","нормальный код")</f>
        <v/>
      </c>
      <c r="W230">
        <f>IF(N230&lt;SUMIFS(L:L,R:R,1,E:E,E230)/SUMIFS(K:K,R:R,1,E:E,E230)*0.5,"Низшая четверть",IF(N230&lt;SUMIFS(L:L,R:R,1,E:E,E230)/SUMIFS(K:K,R:R,1,E:E,E230),"Вторая четверть","Больше половины"))</f>
        <v/>
      </c>
      <c r="X230">
        <f>IF(O230&lt;SUMIFS(M:M,R:R,1,E:E,E230)/SUMIFS(L:L,R:R,1,E:E,E230)*0.5,"Низшая четверть",IF(O230&lt;SUMIFS(M:M,R:R,1,E:E,E230)/SUMIFS(L:L,R:R,1,E:E,E230),"Вторая четверть","Больше половины"))</f>
        <v/>
      </c>
      <c r="Y230" t="n">
        <v>6</v>
      </c>
    </row>
    <row r="231">
      <c r="A231" s="1" t="inlineStr">
        <is>
          <t>23400100</t>
        </is>
      </c>
      <c r="B231" s="2" t="inlineStr">
        <is>
          <t>833379571</t>
        </is>
      </c>
      <c r="C231" s="3" t="inlineStr">
        <is>
          <t>Одежда для детей</t>
        </is>
      </c>
      <c r="D231" s="2" t="inlineStr">
        <is>
          <t>Чулочные и носочные детские изделия для девочек</t>
        </is>
      </c>
      <c r="E231" s="3" t="inlineStr">
        <is>
          <t>234 Колготки детские для девочек</t>
        </is>
      </c>
      <c r="F231" s="2" t="inlineStr">
        <is>
          <t>всесезонный</t>
        </is>
      </c>
      <c r="G231" s="3" t="inlineStr">
        <is>
          <t>kari</t>
        </is>
      </c>
      <c r="H231" s="2" t="inlineStr">
        <is>
          <t>Зиннуров Ильнур</t>
        </is>
      </c>
      <c r="J231" s="3" t="inlineStr">
        <is>
          <t>2026SS</t>
        </is>
      </c>
      <c r="K231" s="3" t="n">
        <v>25113</v>
      </c>
      <c r="L231" s="3" t="n">
        <v>3189</v>
      </c>
      <c r="M231" s="3" t="n">
        <v>309</v>
      </c>
      <c r="N231" s="4">
        <f>IFERROR(L231/K231,0)</f>
        <v/>
      </c>
      <c r="O231" s="4">
        <f>IFERROR(M231/L231,0)</f>
        <v/>
      </c>
      <c r="P231" t="n">
        <v>255</v>
      </c>
      <c r="Q231" s="5" t="n">
        <v>1</v>
      </c>
      <c r="R231" s="7" t="n">
        <v>1</v>
      </c>
      <c r="S231">
        <f>IF(OR(N231&lt;$T$1*0.5,O231&lt;$U$1*0.5),"код для проверки","нормальный код")</f>
        <v/>
      </c>
      <c r="T231">
        <f>IF(N231&lt;$T$1*0.5,"Низшая четверть",IF(N231&lt;$T$1,"Вторая четверть","Больше половины"))</f>
        <v/>
      </c>
      <c r="U231">
        <f>IF(O231&lt;$U$1*0.5,"Низшая четверть",IF(O231&lt;$U$1,"Вторая четверть","Больше половины"))</f>
        <v/>
      </c>
      <c r="V231">
        <f>IF(OR(N231&lt;SUMIFS(L:L,R:R,1,E:E,E231)/SUMIFS(K:K,R:R,1,E:E,E231)*0.5,O231&lt;SUMIFS(M:M,R:R,1,E:E,E231)/SUMIFS(L:L,R:R,1,E:E,E231)*0.5),"код для проверки","нормальный код")</f>
        <v/>
      </c>
      <c r="W231">
        <f>IF(N231&lt;SUMIFS(L:L,R:R,1,E:E,E231)/SUMIFS(K:K,R:R,1,E:E,E231)*0.5,"Низшая четверть",IF(N231&lt;SUMIFS(L:L,R:R,1,E:E,E231)/SUMIFS(K:K,R:R,1,E:E,E231),"Вторая четверть","Больше половины"))</f>
        <v/>
      </c>
      <c r="X231">
        <f>IF(O231&lt;SUMIFS(M:M,R:R,1,E:E,E231)/SUMIFS(L:L,R:R,1,E:E,E231)*0.5,"Низшая четверть",IF(O231&lt;SUMIFS(M:M,R:R,1,E:E,E231)/SUMIFS(L:L,R:R,1,E:E,E231),"Вторая четверть","Больше половины"))</f>
        <v/>
      </c>
      <c r="Y231" t="n">
        <v>5</v>
      </c>
    </row>
    <row r="232">
      <c r="A232" s="1" t="inlineStr">
        <is>
          <t>a6000100</t>
        </is>
      </c>
      <c r="B232" s="2" t="inlineStr">
        <is>
          <t>884287673</t>
        </is>
      </c>
      <c r="C232" s="3" t="inlineStr">
        <is>
          <t>Одежда для детей</t>
        </is>
      </c>
      <c r="D232" s="2" t="inlineStr">
        <is>
          <t>Платья, майки, футболки детские для девочек</t>
        </is>
      </c>
      <c r="E232" s="3" t="inlineStr">
        <is>
          <t>a60 Футболка детская для девочек</t>
        </is>
      </c>
      <c r="F232" s="2" t="inlineStr">
        <is>
          <t>всесезонный</t>
        </is>
      </c>
      <c r="G232" s="3" t="inlineStr">
        <is>
          <t>Kari KIDS</t>
        </is>
      </c>
      <c r="H232" s="2" t="inlineStr">
        <is>
          <t>Зиннуров Ильнур</t>
        </is>
      </c>
      <c r="J232" s="3" t="inlineStr">
        <is>
          <t>2026SS</t>
        </is>
      </c>
      <c r="K232" s="3" t="n">
        <v>24930</v>
      </c>
      <c r="L232" s="3" t="n">
        <v>1059</v>
      </c>
      <c r="M232" s="3" t="n">
        <v>29</v>
      </c>
      <c r="N232" s="4">
        <f>IFERROR(L232/K232,0)</f>
        <v/>
      </c>
      <c r="O232" s="4">
        <f>IFERROR(M232/L232,0)</f>
        <v/>
      </c>
      <c r="P232" t="n">
        <v>242</v>
      </c>
      <c r="Q232" s="5" t="n">
        <v>0.6</v>
      </c>
      <c r="R232" s="7" t="n">
        <v>1</v>
      </c>
      <c r="S232">
        <f>IF(OR(N232&lt;$T$1*0.5,O232&lt;$U$1*0.5),"код для проверки","нормальный код")</f>
        <v/>
      </c>
      <c r="T232">
        <f>IF(N232&lt;$T$1*0.5,"Низшая четверть",IF(N232&lt;$T$1,"Вторая четверть","Больше половины"))</f>
        <v/>
      </c>
      <c r="U232">
        <f>IF(O232&lt;$U$1*0.5,"Низшая четверть",IF(O232&lt;$U$1,"Вторая четверть","Больше половины"))</f>
        <v/>
      </c>
      <c r="V232">
        <f>IF(OR(N232&lt;SUMIFS(L:L,R:R,1,E:E,E232)/SUMIFS(K:K,R:R,1,E:E,E232)*0.5,O232&lt;SUMIFS(M:M,R:R,1,E:E,E232)/SUMIFS(L:L,R:R,1,E:E,E232)*0.5),"код для проверки","нормальный код")</f>
        <v/>
      </c>
      <c r="W232">
        <f>IF(N232&lt;SUMIFS(L:L,R:R,1,E:E,E232)/SUMIFS(K:K,R:R,1,E:E,E232)*0.5,"Низшая четверть",IF(N232&lt;SUMIFS(L:L,R:R,1,E:E,E232)/SUMIFS(K:K,R:R,1,E:E,E232),"Вторая четверть","Больше половины"))</f>
        <v/>
      </c>
      <c r="X232">
        <f>IF(O232&lt;SUMIFS(M:M,R:R,1,E:E,E232)/SUMIFS(L:L,R:R,1,E:E,E232)*0.5,"Низшая четверть",IF(O232&lt;SUMIFS(M:M,R:R,1,E:E,E232)/SUMIFS(L:L,R:R,1,E:E,E232),"Вторая четверть","Больше половины"))</f>
        <v/>
      </c>
      <c r="Y232" t="n">
        <v>12</v>
      </c>
    </row>
    <row r="233">
      <c r="A233" s="1" t="inlineStr">
        <is>
          <t>53600260</t>
        </is>
      </c>
      <c r="B233" s="2" t="inlineStr">
        <is>
          <t>722604254</t>
        </is>
      </c>
      <c r="C233" s="3" t="inlineStr">
        <is>
          <t>Одежда для детей</t>
        </is>
      </c>
      <c r="D233" s="2" t="inlineStr">
        <is>
          <t>Платья, майки, футболки детские для девочек</t>
        </is>
      </c>
      <c r="E233" s="3" t="inlineStr">
        <is>
          <t>536 Платье летнее детское</t>
        </is>
      </c>
      <c r="F233" s="2" t="inlineStr">
        <is>
          <t>лето</t>
        </is>
      </c>
      <c r="G233" s="3" t="inlineStr">
        <is>
          <t>kari</t>
        </is>
      </c>
      <c r="H233" s="2" t="inlineStr">
        <is>
          <t>Зиннуров Ильнур</t>
        </is>
      </c>
      <c r="J233" s="3" t="inlineStr">
        <is>
          <t>2026SS</t>
        </is>
      </c>
      <c r="K233" s="3" t="n">
        <v>24666</v>
      </c>
      <c r="L233" s="3" t="n">
        <v>2164</v>
      </c>
      <c r="M233" s="3" t="n">
        <v>30</v>
      </c>
      <c r="N233" s="4">
        <f>IFERROR(L233/K233,0)</f>
        <v/>
      </c>
      <c r="O233" s="4">
        <f>IFERROR(M233/L233,0)</f>
        <v/>
      </c>
      <c r="P233" t="n">
        <v>368</v>
      </c>
      <c r="Q233" s="5" t="n">
        <v>1</v>
      </c>
      <c r="R233" s="7" t="n">
        <v>1</v>
      </c>
      <c r="S233">
        <f>IF(OR(N233&lt;$T$1*0.5,O233&lt;$U$1*0.5),"код для проверки","нормальный код")</f>
        <v/>
      </c>
      <c r="T233">
        <f>IF(N233&lt;$T$1*0.5,"Низшая четверть",IF(N233&lt;$T$1,"Вторая четверть","Больше половины"))</f>
        <v/>
      </c>
      <c r="U233">
        <f>IF(O233&lt;$U$1*0.5,"Низшая четверть",IF(O233&lt;$U$1,"Вторая четверть","Больше половины"))</f>
        <v/>
      </c>
      <c r="V233">
        <f>IF(OR(N233&lt;SUMIFS(L:L,R:R,1,E:E,E233)/SUMIFS(K:K,R:R,1,E:E,E233)*0.5,O233&lt;SUMIFS(M:M,R:R,1,E:E,E233)/SUMIFS(L:L,R:R,1,E:E,E233)*0.5),"код для проверки","нормальный код")</f>
        <v/>
      </c>
      <c r="W233">
        <f>IF(N233&lt;SUMIFS(L:L,R:R,1,E:E,E233)/SUMIFS(K:K,R:R,1,E:E,E233)*0.5,"Низшая четверть",IF(N233&lt;SUMIFS(L:L,R:R,1,E:E,E233)/SUMIFS(K:K,R:R,1,E:E,E233),"Вторая четверть","Больше половины"))</f>
        <v/>
      </c>
      <c r="X233">
        <f>IF(O233&lt;SUMIFS(M:M,R:R,1,E:E,E233)/SUMIFS(L:L,R:R,1,E:E,E233)*0.5,"Низшая четверть",IF(O233&lt;SUMIFS(M:M,R:R,1,E:E,E233)/SUMIFS(L:L,R:R,1,E:E,E233),"Вторая четверть","Больше половины"))</f>
        <v/>
      </c>
      <c r="Y233" t="n">
        <v>17</v>
      </c>
    </row>
    <row r="234">
      <c r="A234" s="1" t="inlineStr">
        <is>
          <t>094001Q0</t>
        </is>
      </c>
      <c r="B234" s="2" t="inlineStr">
        <is>
          <t>710411813</t>
        </is>
      </c>
      <c r="C234" s="3" t="inlineStr">
        <is>
          <t>Одежда и аксессуары</t>
        </is>
      </c>
      <c r="D234" s="2" t="inlineStr">
        <is>
          <t>Купальники женские</t>
        </is>
      </c>
      <c r="E234" s="3" t="inlineStr">
        <is>
          <t>094 Купальник</t>
        </is>
      </c>
      <c r="F234" s="2" t="inlineStr">
        <is>
          <t>лето</t>
        </is>
      </c>
      <c r="G234" s="3" t="inlineStr">
        <is>
          <t>kari</t>
        </is>
      </c>
      <c r="H234" s="2" t="inlineStr">
        <is>
          <t>Никонорова Алина</t>
        </is>
      </c>
      <c r="J234" s="3" t="inlineStr">
        <is>
          <t>2026SS</t>
        </is>
      </c>
      <c r="K234" s="3" t="n">
        <v>24483</v>
      </c>
      <c r="L234" s="3" t="n">
        <v>3433</v>
      </c>
      <c r="M234" s="3" t="n">
        <v>6</v>
      </c>
      <c r="N234" s="4">
        <f>IFERROR(L234/K234,0)</f>
        <v/>
      </c>
      <c r="O234" s="4">
        <f>IFERROR(M234/L234,0)</f>
        <v/>
      </c>
      <c r="P234" t="n">
        <v>1480</v>
      </c>
      <c r="Q234" s="5" t="n">
        <v>0.5555555555555556</v>
      </c>
      <c r="R234" s="7" t="n">
        <v>1</v>
      </c>
      <c r="S234">
        <f>IF(OR(N234&lt;$T$1*0.5,O234&lt;$U$1*0.5),"код для проверки","нормальный код")</f>
        <v/>
      </c>
      <c r="T234">
        <f>IF(N234&lt;$T$1*0.5,"Низшая четверть",IF(N234&lt;$T$1,"Вторая четверть","Больше половины"))</f>
        <v/>
      </c>
      <c r="U234">
        <f>IF(O234&lt;$U$1*0.5,"Низшая четверть",IF(O234&lt;$U$1,"Вторая четверть","Больше половины"))</f>
        <v/>
      </c>
      <c r="V234">
        <f>IF(OR(N234&lt;SUMIFS(L:L,R:R,1,E:E,E234)/SUMIFS(K:K,R:R,1,E:E,E234)*0.5,O234&lt;SUMIFS(M:M,R:R,1,E:E,E234)/SUMIFS(L:L,R:R,1,E:E,E234)*0.5),"код для проверки","нормальный код")</f>
        <v/>
      </c>
      <c r="W234">
        <f>IF(N234&lt;SUMIFS(L:L,R:R,1,E:E,E234)/SUMIFS(K:K,R:R,1,E:E,E234)*0.5,"Низшая четверть",IF(N234&lt;SUMIFS(L:L,R:R,1,E:E,E234)/SUMIFS(K:K,R:R,1,E:E,E234),"Вторая четверть","Больше половины"))</f>
        <v/>
      </c>
      <c r="X234">
        <f>IF(O234&lt;SUMIFS(M:M,R:R,1,E:E,E234)/SUMIFS(L:L,R:R,1,E:E,E234)*0.5,"Низшая четверть",IF(O234&lt;SUMIFS(M:M,R:R,1,E:E,E234)/SUMIFS(L:L,R:R,1,E:E,E234),"Вторая четверть","Больше половины"))</f>
        <v/>
      </c>
      <c r="Y234" t="n">
        <v>26</v>
      </c>
    </row>
    <row r="235">
      <c r="A235" s="1" t="inlineStr">
        <is>
          <t>42400130</t>
        </is>
      </c>
      <c r="B235" s="2" t="inlineStr">
        <is>
          <t>790046362</t>
        </is>
      </c>
      <c r="C235" s="3" t="inlineStr">
        <is>
          <t>Одежда для детей</t>
        </is>
      </c>
      <c r="D235" s="2" t="inlineStr">
        <is>
          <t>Одежда для новорожденных</t>
        </is>
      </c>
      <c r="E235" s="3" t="inlineStr">
        <is>
          <t>424 Комбинезон для новорожденных утепленный</t>
        </is>
      </c>
      <c r="F235" s="2" t="inlineStr">
        <is>
          <t>весна, осень, зима</t>
        </is>
      </c>
      <c r="G235" s="3" t="inlineStr">
        <is>
          <t>Kari baby</t>
        </is>
      </c>
      <c r="H235" s="2" t="inlineStr">
        <is>
          <t>Зиннуров Ильнур</t>
        </is>
      </c>
      <c r="J235" s="3" t="inlineStr">
        <is>
          <t>2026SS</t>
        </is>
      </c>
      <c r="K235" s="3" t="n">
        <v>24454</v>
      </c>
      <c r="L235" s="3" t="n">
        <v>1608</v>
      </c>
      <c r="M235" s="3" t="n">
        <v>24</v>
      </c>
      <c r="N235" s="4">
        <f>IFERROR(L235/K235,0)</f>
        <v/>
      </c>
      <c r="O235" s="4">
        <f>IFERROR(M235/L235,0)</f>
        <v/>
      </c>
      <c r="P235" t="n">
        <v>596</v>
      </c>
      <c r="Q235" s="5" t="n">
        <v>1</v>
      </c>
      <c r="R235" s="7" t="n">
        <v>1</v>
      </c>
      <c r="S235">
        <f>IF(OR(N235&lt;$T$1*0.5,O235&lt;$U$1*0.5),"код для проверки","нормальный код")</f>
        <v/>
      </c>
      <c r="T235">
        <f>IF(N235&lt;$T$1*0.5,"Низшая четверть",IF(N235&lt;$T$1,"Вторая четверть","Больше половины"))</f>
        <v/>
      </c>
      <c r="U235">
        <f>IF(O235&lt;$U$1*0.5,"Низшая четверть",IF(O235&lt;$U$1,"Вторая четверть","Больше половины"))</f>
        <v/>
      </c>
      <c r="V235">
        <f>IF(OR(N235&lt;SUMIFS(L:L,R:R,1,E:E,E235)/SUMIFS(K:K,R:R,1,E:E,E235)*0.5,O235&lt;SUMIFS(M:M,R:R,1,E:E,E235)/SUMIFS(L:L,R:R,1,E:E,E235)*0.5),"код для проверки","нормальный код")</f>
        <v/>
      </c>
      <c r="W235">
        <f>IF(N235&lt;SUMIFS(L:L,R:R,1,E:E,E235)/SUMIFS(K:K,R:R,1,E:E,E235)*0.5,"Низшая четверть",IF(N235&lt;SUMIFS(L:L,R:R,1,E:E,E235)/SUMIFS(K:K,R:R,1,E:E,E235),"Вторая четверть","Больше половины"))</f>
        <v/>
      </c>
      <c r="X235">
        <f>IF(O235&lt;SUMIFS(M:M,R:R,1,E:E,E235)/SUMIFS(L:L,R:R,1,E:E,E235)*0.5,"Низшая четверть",IF(O235&lt;SUMIFS(M:M,R:R,1,E:E,E235)/SUMIFS(L:L,R:R,1,E:E,E235),"Вторая четверть","Больше половины"))</f>
        <v/>
      </c>
      <c r="Y235" t="n">
        <v>15</v>
      </c>
    </row>
    <row r="236">
      <c r="A236" s="1" t="inlineStr">
        <is>
          <t>44800070</t>
        </is>
      </c>
      <c r="B236" s="2" t="inlineStr">
        <is>
          <t>797503209</t>
        </is>
      </c>
      <c r="C236" s="3" t="inlineStr">
        <is>
          <t>Одежда для детей</t>
        </is>
      </c>
      <c r="D236" s="2" t="inlineStr">
        <is>
          <t>Брюки детские для девочек</t>
        </is>
      </c>
      <c r="E236" s="3" t="inlineStr">
        <is>
          <t>448 Брюки спортивные утепленные для девочек</t>
        </is>
      </c>
      <c r="F236" s="2" t="inlineStr">
        <is>
          <t>весна, осень, зима</t>
        </is>
      </c>
      <c r="G236" s="3" t="inlineStr">
        <is>
          <t>kari</t>
        </is>
      </c>
      <c r="H236" s="2" t="inlineStr">
        <is>
          <t>Зиннуров Ильнур</t>
        </is>
      </c>
      <c r="J236" s="3" t="inlineStr">
        <is>
          <t>2026SS</t>
        </is>
      </c>
      <c r="K236" s="3" t="n">
        <v>24431</v>
      </c>
      <c r="L236" s="3" t="n">
        <v>2269</v>
      </c>
      <c r="M236" s="3" t="n">
        <v>51</v>
      </c>
      <c r="N236" s="4">
        <f>IFERROR(L236/K236,0)</f>
        <v/>
      </c>
      <c r="O236" s="4">
        <f>IFERROR(M236/L236,0)</f>
        <v/>
      </c>
      <c r="P236" t="n">
        <v>361</v>
      </c>
      <c r="Q236" s="5" t="n">
        <v>1</v>
      </c>
      <c r="R236" s="7" t="n">
        <v>1</v>
      </c>
      <c r="S236">
        <f>IF(OR(N236&lt;$T$1*0.5,O236&lt;$U$1*0.5),"код для проверки","нормальный код")</f>
        <v/>
      </c>
      <c r="T236">
        <f>IF(N236&lt;$T$1*0.5,"Низшая четверть",IF(N236&lt;$T$1,"Вторая четверть","Больше половины"))</f>
        <v/>
      </c>
      <c r="U236">
        <f>IF(O236&lt;$U$1*0.5,"Низшая четверть",IF(O236&lt;$U$1,"Вторая четверть","Больше половины"))</f>
        <v/>
      </c>
      <c r="V236">
        <f>IF(OR(N236&lt;SUMIFS(L:L,R:R,1,E:E,E236)/SUMIFS(K:K,R:R,1,E:E,E236)*0.5,O236&lt;SUMIFS(M:M,R:R,1,E:E,E236)/SUMIFS(L:L,R:R,1,E:E,E236)*0.5),"код для проверки","нормальный код")</f>
        <v/>
      </c>
      <c r="W236">
        <f>IF(N236&lt;SUMIFS(L:L,R:R,1,E:E,E236)/SUMIFS(K:K,R:R,1,E:E,E236)*0.5,"Низшая четверть",IF(N236&lt;SUMIFS(L:L,R:R,1,E:E,E236)/SUMIFS(K:K,R:R,1,E:E,E236),"Вторая четверть","Больше половины"))</f>
        <v/>
      </c>
      <c r="X236">
        <f>IF(O236&lt;SUMIFS(M:M,R:R,1,E:E,E236)/SUMIFS(L:L,R:R,1,E:E,E236)*0.5,"Низшая четверть",IF(O236&lt;SUMIFS(M:M,R:R,1,E:E,E236)/SUMIFS(L:L,R:R,1,E:E,E236),"Вторая четверть","Больше половины"))</f>
        <v/>
      </c>
      <c r="Y236" t="n">
        <v>16</v>
      </c>
    </row>
    <row r="237">
      <c r="A237" s="1" t="inlineStr">
        <is>
          <t>23408190</t>
        </is>
      </c>
      <c r="B237" s="2" t="inlineStr">
        <is>
          <t>372160826</t>
        </is>
      </c>
      <c r="C237" s="3" t="inlineStr">
        <is>
          <t>Одежда для детей</t>
        </is>
      </c>
      <c r="D237" s="2" t="inlineStr">
        <is>
          <t>Чулочные и носочные детские изделия для девочек</t>
        </is>
      </c>
      <c r="E237" s="3" t="inlineStr">
        <is>
          <t>234 Колготки детские для девочек</t>
        </is>
      </c>
      <c r="F237" s="2" t="inlineStr">
        <is>
          <t>всесезонный</t>
        </is>
      </c>
      <c r="G237" s="3" t="inlineStr">
        <is>
          <t>kari</t>
        </is>
      </c>
      <c r="H237" s="2" t="inlineStr">
        <is>
          <t>Зиннуров Ильнур</t>
        </is>
      </c>
      <c r="J237" s="3" t="inlineStr">
        <is>
          <t>2026SS</t>
        </is>
      </c>
      <c r="K237" s="3" t="n">
        <v>24351</v>
      </c>
      <c r="L237" s="3" t="n">
        <v>3638</v>
      </c>
      <c r="M237" s="3" t="n">
        <v>366</v>
      </c>
      <c r="N237" s="4">
        <f>IFERROR(L237/K237,0)</f>
        <v/>
      </c>
      <c r="O237" s="4">
        <f>IFERROR(M237/L237,0)</f>
        <v/>
      </c>
      <c r="P237" t="n">
        <v>286</v>
      </c>
      <c r="Q237" s="5" t="n">
        <v>1</v>
      </c>
      <c r="R237" s="7" t="n">
        <v>1</v>
      </c>
      <c r="S237">
        <f>IF(OR(N237&lt;$T$1*0.5,O237&lt;$U$1*0.5),"код для проверки","нормальный код")</f>
        <v/>
      </c>
      <c r="T237">
        <f>IF(N237&lt;$T$1*0.5,"Низшая четверть",IF(N237&lt;$T$1,"Вторая четверть","Больше половины"))</f>
        <v/>
      </c>
      <c r="U237">
        <f>IF(O237&lt;$U$1*0.5,"Низшая четверть",IF(O237&lt;$U$1,"Вторая четверть","Больше половины"))</f>
        <v/>
      </c>
      <c r="V237">
        <f>IF(OR(N237&lt;SUMIFS(L:L,R:R,1,E:E,E237)/SUMIFS(K:K,R:R,1,E:E,E237)*0.5,O237&lt;SUMIFS(M:M,R:R,1,E:E,E237)/SUMIFS(L:L,R:R,1,E:E,E237)*0.5),"код для проверки","нормальный код")</f>
        <v/>
      </c>
      <c r="W237">
        <f>IF(N237&lt;SUMIFS(L:L,R:R,1,E:E,E237)/SUMIFS(K:K,R:R,1,E:E,E237)*0.5,"Низшая четверть",IF(N237&lt;SUMIFS(L:L,R:R,1,E:E,E237)/SUMIFS(K:K,R:R,1,E:E,E237),"Вторая четверть","Больше половины"))</f>
        <v/>
      </c>
      <c r="X237">
        <f>IF(O237&lt;SUMIFS(M:M,R:R,1,E:E,E237)/SUMIFS(L:L,R:R,1,E:E,E237)*0.5,"Низшая четверть",IF(O237&lt;SUMIFS(M:M,R:R,1,E:E,E237)/SUMIFS(L:L,R:R,1,E:E,E237),"Вторая четверть","Больше половины"))</f>
        <v/>
      </c>
      <c r="Y237" t="n">
        <v>5</v>
      </c>
    </row>
    <row r="238">
      <c r="A238" s="1" t="inlineStr">
        <is>
          <t>310001C0</t>
        </is>
      </c>
      <c r="B238" s="2" t="inlineStr">
        <is>
          <t>879308880</t>
        </is>
      </c>
      <c r="C238" s="3" t="inlineStr">
        <is>
          <t>Одежда для детей</t>
        </is>
      </c>
      <c r="D238" s="2" t="inlineStr">
        <is>
          <t>Футболки, майки, рубашки детские для мальчиков</t>
        </is>
      </c>
      <c r="E238" s="3" t="inlineStr">
        <is>
          <t>310 Футболка детская для мальчиков</t>
        </is>
      </c>
      <c r="F238" s="2" t="inlineStr">
        <is>
          <t>всесезонный</t>
        </is>
      </c>
      <c r="G238" s="3" t="inlineStr">
        <is>
          <t>Kari KIDS</t>
        </is>
      </c>
      <c r="H238" s="2" t="inlineStr">
        <is>
          <t>Зиннуров Ильнур</t>
        </is>
      </c>
      <c r="J238" s="3" t="inlineStr">
        <is>
          <t>2026SS</t>
        </is>
      </c>
      <c r="K238" s="3" t="n">
        <v>24039</v>
      </c>
      <c r="L238" s="3" t="n">
        <v>902</v>
      </c>
      <c r="M238" s="3" t="n">
        <v>25</v>
      </c>
      <c r="N238" s="4">
        <f>IFERROR(L238/K238,0)</f>
        <v/>
      </c>
      <c r="O238" s="4">
        <f>IFERROR(M238/L238,0)</f>
        <v/>
      </c>
      <c r="P238" t="n">
        <v>349</v>
      </c>
      <c r="Q238" s="5" t="n">
        <v>1</v>
      </c>
      <c r="R238" s="7" t="n">
        <v>1</v>
      </c>
      <c r="S238">
        <f>IF(OR(N238&lt;$T$1*0.5,O238&lt;$U$1*0.5),"код для проверки","нормальный код")</f>
        <v/>
      </c>
      <c r="T238">
        <f>IF(N238&lt;$T$1*0.5,"Низшая четверть",IF(N238&lt;$T$1,"Вторая четверть","Больше половины"))</f>
        <v/>
      </c>
      <c r="U238">
        <f>IF(O238&lt;$U$1*0.5,"Низшая четверть",IF(O238&lt;$U$1,"Вторая четверть","Больше половины"))</f>
        <v/>
      </c>
      <c r="V238">
        <f>IF(OR(N238&lt;SUMIFS(L:L,R:R,1,E:E,E238)/SUMIFS(K:K,R:R,1,E:E,E238)*0.5,O238&lt;SUMIFS(M:M,R:R,1,E:E,E238)/SUMIFS(L:L,R:R,1,E:E,E238)*0.5),"код для проверки","нормальный код")</f>
        <v/>
      </c>
      <c r="W238">
        <f>IF(N238&lt;SUMIFS(L:L,R:R,1,E:E,E238)/SUMIFS(K:K,R:R,1,E:E,E238)*0.5,"Низшая четверть",IF(N238&lt;SUMIFS(L:L,R:R,1,E:E,E238)/SUMIFS(K:K,R:R,1,E:E,E238),"Вторая четверть","Больше половины"))</f>
        <v/>
      </c>
      <c r="X238">
        <f>IF(O238&lt;SUMIFS(M:M,R:R,1,E:E,E238)/SUMIFS(L:L,R:R,1,E:E,E238)*0.5,"Низшая четверть",IF(O238&lt;SUMIFS(M:M,R:R,1,E:E,E238)/SUMIFS(L:L,R:R,1,E:E,E238),"Вторая четверть","Больше половины"))</f>
        <v/>
      </c>
      <c r="Y238" t="n">
        <v>13</v>
      </c>
    </row>
    <row r="239">
      <c r="A239" s="1" t="inlineStr">
        <is>
          <t>a9200020</t>
        </is>
      </c>
      <c r="B239" s="2" t="inlineStr">
        <is>
          <t>696912289</t>
        </is>
      </c>
      <c r="C239" s="3" t="inlineStr">
        <is>
          <t>Одежда для детей</t>
        </is>
      </c>
      <c r="D239" s="2" t="inlineStr">
        <is>
          <t>Свитера детские для мальчиков</t>
        </is>
      </c>
      <c r="E239" s="3" t="inlineStr">
        <is>
          <t>a92 Свитшот  утепленный для мальчика</t>
        </is>
      </c>
      <c r="F239" s="2" t="inlineStr">
        <is>
          <t>весна, осень, зима</t>
        </is>
      </c>
      <c r="G239" s="3" t="inlineStr">
        <is>
          <t>Kari KIDS</t>
        </is>
      </c>
      <c r="H239" s="2" t="inlineStr">
        <is>
          <t>Зиннуров Ильнур</t>
        </is>
      </c>
      <c r="J239" s="3" t="inlineStr">
        <is>
          <t>2026SS</t>
        </is>
      </c>
      <c r="K239" s="3" t="n">
        <v>23869</v>
      </c>
      <c r="L239" s="3" t="n">
        <v>1864</v>
      </c>
      <c r="M239" s="3" t="n">
        <v>20</v>
      </c>
      <c r="N239" s="4">
        <f>IFERROR(L239/K239,0)</f>
        <v/>
      </c>
      <c r="O239" s="4">
        <f>IFERROR(M239/L239,0)</f>
        <v/>
      </c>
      <c r="P239" t="n">
        <v>220</v>
      </c>
      <c r="Q239" s="5" t="n">
        <v>1</v>
      </c>
      <c r="R239" s="7" t="n">
        <v>1</v>
      </c>
      <c r="S239">
        <f>IF(OR(N239&lt;$T$1*0.5,O239&lt;$U$1*0.5),"код для проверки","нормальный код")</f>
        <v/>
      </c>
      <c r="T239">
        <f>IF(N239&lt;$T$1*0.5,"Низшая четверть",IF(N239&lt;$T$1,"Вторая четверть","Больше половины"))</f>
        <v/>
      </c>
      <c r="U239">
        <f>IF(O239&lt;$U$1*0.5,"Низшая четверть",IF(O239&lt;$U$1,"Вторая четверть","Больше половины"))</f>
        <v/>
      </c>
      <c r="V239">
        <f>IF(OR(N239&lt;SUMIFS(L:L,R:R,1,E:E,E239)/SUMIFS(K:K,R:R,1,E:E,E239)*0.5,O239&lt;SUMIFS(M:M,R:R,1,E:E,E239)/SUMIFS(L:L,R:R,1,E:E,E239)*0.5),"код для проверки","нормальный код")</f>
        <v/>
      </c>
      <c r="W239">
        <f>IF(N239&lt;SUMIFS(L:L,R:R,1,E:E,E239)/SUMIFS(K:K,R:R,1,E:E,E239)*0.5,"Низшая четверть",IF(N239&lt;SUMIFS(L:L,R:R,1,E:E,E239)/SUMIFS(K:K,R:R,1,E:E,E239),"Вторая четверть","Больше половины"))</f>
        <v/>
      </c>
      <c r="X239">
        <f>IF(O239&lt;SUMIFS(M:M,R:R,1,E:E,E239)/SUMIFS(L:L,R:R,1,E:E,E239)*0.5,"Низшая четверть",IF(O239&lt;SUMIFS(M:M,R:R,1,E:E,E239)/SUMIFS(L:L,R:R,1,E:E,E239),"Вторая четверть","Больше половины"))</f>
        <v/>
      </c>
      <c r="Y239" t="n">
        <v>14</v>
      </c>
    </row>
    <row r="240">
      <c r="A240" s="1" t="inlineStr">
        <is>
          <t>95200110</t>
        </is>
      </c>
      <c r="B240" s="2" t="inlineStr">
        <is>
          <t>776140798</t>
        </is>
      </c>
      <c r="C240" s="3" t="inlineStr">
        <is>
          <t>Одежда для детей</t>
        </is>
      </c>
      <c r="D240" s="2" t="inlineStr">
        <is>
          <t>Верхняя одежда детская для мальчиков</t>
        </is>
      </c>
      <c r="E240" s="3" t="inlineStr">
        <is>
          <t>952 Ветровка детская для мальчиков</t>
        </is>
      </c>
      <c r="F240" s="2" t="inlineStr">
        <is>
          <t>демисезонный</t>
        </is>
      </c>
      <c r="G240" s="3" t="inlineStr">
        <is>
          <t>Kari KIDS</t>
        </is>
      </c>
      <c r="H240" s="2" t="inlineStr">
        <is>
          <t>Зиннуров Ильнур</t>
        </is>
      </c>
      <c r="J240" s="3" t="inlineStr">
        <is>
          <t>2026SS</t>
        </is>
      </c>
      <c r="K240" s="3" t="n">
        <v>23658</v>
      </c>
      <c r="L240" s="3" t="n">
        <v>2021</v>
      </c>
      <c r="M240" s="3" t="n">
        <v>8</v>
      </c>
      <c r="N240" s="4">
        <f>IFERROR(L240/K240,0)</f>
        <v/>
      </c>
      <c r="O240" s="4">
        <f>IFERROR(M240/L240,0)</f>
        <v/>
      </c>
      <c r="P240" t="n">
        <v>422</v>
      </c>
      <c r="Q240" s="5" t="n">
        <v>1</v>
      </c>
      <c r="R240" s="7" t="n">
        <v>1</v>
      </c>
      <c r="S240">
        <f>IF(OR(N240&lt;$T$1*0.5,O240&lt;$U$1*0.5),"код для проверки","нормальный код")</f>
        <v/>
      </c>
      <c r="T240">
        <f>IF(N240&lt;$T$1*0.5,"Низшая четверть",IF(N240&lt;$T$1,"Вторая четверть","Больше половины"))</f>
        <v/>
      </c>
      <c r="U240">
        <f>IF(O240&lt;$U$1*0.5,"Низшая четверть",IF(O240&lt;$U$1,"Вторая четверть","Больше половины"))</f>
        <v/>
      </c>
      <c r="V240">
        <f>IF(OR(N240&lt;SUMIFS(L:L,R:R,1,E:E,E240)/SUMIFS(K:K,R:R,1,E:E,E240)*0.5,O240&lt;SUMIFS(M:M,R:R,1,E:E,E240)/SUMIFS(L:L,R:R,1,E:E,E240)*0.5),"код для проверки","нормальный код")</f>
        <v/>
      </c>
      <c r="W240">
        <f>IF(N240&lt;SUMIFS(L:L,R:R,1,E:E,E240)/SUMIFS(K:K,R:R,1,E:E,E240)*0.5,"Низшая четверть",IF(N240&lt;SUMIFS(L:L,R:R,1,E:E,E240)/SUMIFS(K:K,R:R,1,E:E,E240),"Вторая четверть","Больше половины"))</f>
        <v/>
      </c>
      <c r="X240">
        <f>IF(O240&lt;SUMIFS(M:M,R:R,1,E:E,E240)/SUMIFS(L:L,R:R,1,E:E,E240)*0.5,"Низшая четверть",IF(O240&lt;SUMIFS(M:M,R:R,1,E:E,E240)/SUMIFS(L:L,R:R,1,E:E,E240),"Вторая четверть","Больше половины"))</f>
        <v/>
      </c>
      <c r="Y240" t="n">
        <v>7</v>
      </c>
    </row>
    <row r="241">
      <c r="A241" s="1" t="inlineStr">
        <is>
          <t>56800090</t>
        </is>
      </c>
      <c r="B241" s="2" t="inlineStr">
        <is>
          <t>766639196</t>
        </is>
      </c>
      <c r="C241" s="3" t="inlineStr">
        <is>
          <t>Одежда для детей</t>
        </is>
      </c>
      <c r="D241" s="2" t="inlineStr">
        <is>
          <t>Одежда для новорожденных</t>
        </is>
      </c>
      <c r="E241" s="3" t="inlineStr">
        <is>
          <t>568 Боди с коротким рукавом для девочек</t>
        </is>
      </c>
      <c r="F241" s="2" t="inlineStr">
        <is>
          <t>всесезонный</t>
        </is>
      </c>
      <c r="G241" s="3" t="inlineStr">
        <is>
          <t>Kari baby</t>
        </is>
      </c>
      <c r="H241" s="2" t="inlineStr">
        <is>
          <t>Зиннуров Ильнур</t>
        </is>
      </c>
      <c r="J241" s="3" t="inlineStr">
        <is>
          <t>2026SS</t>
        </is>
      </c>
      <c r="K241" s="3" t="n">
        <v>23655</v>
      </c>
      <c r="L241" s="3" t="n">
        <v>2070</v>
      </c>
      <c r="M241" s="3" t="n">
        <v>27</v>
      </c>
      <c r="N241" s="4">
        <f>IFERROR(L241/K241,0)</f>
        <v/>
      </c>
      <c r="O241" s="4">
        <f>IFERROR(M241/L241,0)</f>
        <v/>
      </c>
      <c r="P241" t="n">
        <v>430</v>
      </c>
      <c r="Q241" s="5" t="n">
        <v>1</v>
      </c>
      <c r="R241" s="7" t="n">
        <v>1</v>
      </c>
      <c r="S241">
        <f>IF(OR(N241&lt;$T$1*0.5,O241&lt;$U$1*0.5),"код для проверки","нормальный код")</f>
        <v/>
      </c>
      <c r="T241">
        <f>IF(N241&lt;$T$1*0.5,"Низшая четверть",IF(N241&lt;$T$1,"Вторая четверть","Больше половины"))</f>
        <v/>
      </c>
      <c r="U241">
        <f>IF(O241&lt;$U$1*0.5,"Низшая четверть",IF(O241&lt;$U$1,"Вторая четверть","Больше половины"))</f>
        <v/>
      </c>
      <c r="V241">
        <f>IF(OR(N241&lt;SUMIFS(L:L,R:R,1,E:E,E241)/SUMIFS(K:K,R:R,1,E:E,E241)*0.5,O241&lt;SUMIFS(M:M,R:R,1,E:E,E241)/SUMIFS(L:L,R:R,1,E:E,E241)*0.5),"код для проверки","нормальный код")</f>
        <v/>
      </c>
      <c r="W241">
        <f>IF(N241&lt;SUMIFS(L:L,R:R,1,E:E,E241)/SUMIFS(K:K,R:R,1,E:E,E241)*0.5,"Низшая четверть",IF(N241&lt;SUMIFS(L:L,R:R,1,E:E,E241)/SUMIFS(K:K,R:R,1,E:E,E241),"Вторая четверть","Больше половины"))</f>
        <v/>
      </c>
      <c r="X241">
        <f>IF(O241&lt;SUMIFS(M:M,R:R,1,E:E,E241)/SUMIFS(L:L,R:R,1,E:E,E241)*0.5,"Низшая четверть",IF(O241&lt;SUMIFS(M:M,R:R,1,E:E,E241)/SUMIFS(L:L,R:R,1,E:E,E241),"Вторая четверть","Больше половины"))</f>
        <v/>
      </c>
      <c r="Y241" t="n">
        <v>24</v>
      </c>
    </row>
    <row r="242">
      <c r="A242" s="1" t="inlineStr">
        <is>
          <t>11000000</t>
        </is>
      </c>
      <c r="B242" s="2" t="inlineStr">
        <is>
          <t>707519660</t>
        </is>
      </c>
      <c r="C242" s="3" t="inlineStr">
        <is>
          <t>Одежда и аксессуары</t>
        </is>
      </c>
      <c r="D242" s="2" t="inlineStr">
        <is>
          <t>Шарфы женские</t>
        </is>
      </c>
      <c r="E242" s="3" t="inlineStr">
        <is>
          <t>110 Платок женский</t>
        </is>
      </c>
      <c r="F242" s="2" t="inlineStr">
        <is>
          <t>демисезонный</t>
        </is>
      </c>
      <c r="G242" s="3" t="inlineStr">
        <is>
          <t>kari</t>
        </is>
      </c>
      <c r="H242" s="2" t="inlineStr">
        <is>
          <t>Никонорова Алина</t>
        </is>
      </c>
      <c r="J242" s="3" t="inlineStr">
        <is>
          <t>2026SS</t>
        </is>
      </c>
      <c r="K242" s="3" t="n">
        <v>23110</v>
      </c>
      <c r="L242" s="3" t="n">
        <v>5617</v>
      </c>
      <c r="M242" s="3" t="n">
        <v>281</v>
      </c>
      <c r="N242" s="4">
        <f>IFERROR(L242/K242,0)</f>
        <v/>
      </c>
      <c r="O242" s="4">
        <f>IFERROR(M242/L242,0)</f>
        <v/>
      </c>
      <c r="P242" t="n">
        <v>383</v>
      </c>
      <c r="Q242" s="5" t="n">
        <v>1</v>
      </c>
      <c r="R242" s="7" t="n">
        <v>1</v>
      </c>
      <c r="S242">
        <f>IF(OR(N242&lt;$T$1*0.5,O242&lt;$U$1*0.5),"код для проверки","нормальный код")</f>
        <v/>
      </c>
      <c r="T242">
        <f>IF(N242&lt;$T$1*0.5,"Низшая четверть",IF(N242&lt;$T$1,"Вторая четверть","Больше половины"))</f>
        <v/>
      </c>
      <c r="U242">
        <f>IF(O242&lt;$U$1*0.5,"Низшая четверть",IF(O242&lt;$U$1,"Вторая четверть","Больше половины"))</f>
        <v/>
      </c>
      <c r="V242">
        <f>IF(OR(N242&lt;SUMIFS(L:L,R:R,1,E:E,E242)/SUMIFS(K:K,R:R,1,E:E,E242)*0.5,O242&lt;SUMIFS(M:M,R:R,1,E:E,E242)/SUMIFS(L:L,R:R,1,E:E,E242)*0.5),"код для проверки","нормальный код")</f>
        <v/>
      </c>
      <c r="W242">
        <f>IF(N242&lt;SUMIFS(L:L,R:R,1,E:E,E242)/SUMIFS(K:K,R:R,1,E:E,E242)*0.5,"Низшая четверть",IF(N242&lt;SUMIFS(L:L,R:R,1,E:E,E242)/SUMIFS(K:K,R:R,1,E:E,E242),"Вторая четверть","Больше половины"))</f>
        <v/>
      </c>
      <c r="X242">
        <f>IF(O242&lt;SUMIFS(M:M,R:R,1,E:E,E242)/SUMIFS(L:L,R:R,1,E:E,E242)*0.5,"Низшая четверть",IF(O242&lt;SUMIFS(M:M,R:R,1,E:E,E242)/SUMIFS(L:L,R:R,1,E:E,E242),"Вторая четверть","Больше половины"))</f>
        <v/>
      </c>
      <c r="Y242" t="n">
        <v>13</v>
      </c>
    </row>
    <row r="243">
      <c r="A243" s="1" t="inlineStr">
        <is>
          <t>53600290</t>
        </is>
      </c>
      <c r="B243" s="2" t="inlineStr">
        <is>
          <t>699198578</t>
        </is>
      </c>
      <c r="C243" s="3" t="inlineStr">
        <is>
          <t>Одежда для детей</t>
        </is>
      </c>
      <c r="D243" s="2" t="inlineStr">
        <is>
          <t>Платья, майки, футболки детские для девочек</t>
        </is>
      </c>
      <c r="E243" s="3" t="inlineStr">
        <is>
          <t>536 Платье летнее детское</t>
        </is>
      </c>
      <c r="F243" s="2" t="inlineStr">
        <is>
          <t>лето</t>
        </is>
      </c>
      <c r="G243" s="3" t="inlineStr">
        <is>
          <t>Kari KIDS</t>
        </is>
      </c>
      <c r="H243" s="2" t="inlineStr">
        <is>
          <t>Зиннуров Ильнур</t>
        </is>
      </c>
      <c r="J243" s="3" t="inlineStr">
        <is>
          <t>2026SS</t>
        </is>
      </c>
      <c r="K243" s="3" t="n">
        <v>23067</v>
      </c>
      <c r="L243" s="3" t="n">
        <v>1330</v>
      </c>
      <c r="M243" s="3" t="n">
        <v>7</v>
      </c>
      <c r="N243" s="4">
        <f>IFERROR(L243/K243,0)</f>
        <v/>
      </c>
      <c r="O243" s="4">
        <f>IFERROR(M243/L243,0)</f>
        <v/>
      </c>
      <c r="P243" t="n">
        <v>657</v>
      </c>
      <c r="Q243" s="5" t="n">
        <v>1</v>
      </c>
      <c r="R243" s="7" t="n">
        <v>1</v>
      </c>
      <c r="S243">
        <f>IF(OR(N243&lt;$T$1*0.5,O243&lt;$U$1*0.5),"код для проверки","нормальный код")</f>
        <v/>
      </c>
      <c r="T243">
        <f>IF(N243&lt;$T$1*0.5,"Низшая четверть",IF(N243&lt;$T$1,"Вторая четверть","Больше половины"))</f>
        <v/>
      </c>
      <c r="U243">
        <f>IF(O243&lt;$U$1*0.5,"Низшая четверть",IF(O243&lt;$U$1,"Вторая четверть","Больше половины"))</f>
        <v/>
      </c>
      <c r="V243">
        <f>IF(OR(N243&lt;SUMIFS(L:L,R:R,1,E:E,E243)/SUMIFS(K:K,R:R,1,E:E,E243)*0.5,O243&lt;SUMIFS(M:M,R:R,1,E:E,E243)/SUMIFS(L:L,R:R,1,E:E,E243)*0.5),"код для проверки","нормальный код")</f>
        <v/>
      </c>
      <c r="W243">
        <f>IF(N243&lt;SUMIFS(L:L,R:R,1,E:E,E243)/SUMIFS(K:K,R:R,1,E:E,E243)*0.5,"Низшая четверть",IF(N243&lt;SUMIFS(L:L,R:R,1,E:E,E243)/SUMIFS(K:K,R:R,1,E:E,E243),"Вторая четверть","Больше половины"))</f>
        <v/>
      </c>
      <c r="X243">
        <f>IF(O243&lt;SUMIFS(M:M,R:R,1,E:E,E243)/SUMIFS(L:L,R:R,1,E:E,E243)*0.5,"Низшая четверть",IF(O243&lt;SUMIFS(M:M,R:R,1,E:E,E243)/SUMIFS(L:L,R:R,1,E:E,E243),"Вторая четверть","Больше половины"))</f>
        <v/>
      </c>
      <c r="Y243" t="n">
        <v>23</v>
      </c>
    </row>
    <row r="244">
      <c r="A244" s="1" t="inlineStr">
        <is>
          <t>18208220</t>
        </is>
      </c>
      <c r="B244" s="2" t="inlineStr">
        <is>
          <t>325157017</t>
        </is>
      </c>
      <c r="C244" s="3" t="inlineStr">
        <is>
          <t>Одежда для детей</t>
        </is>
      </c>
      <c r="D244" s="2" t="inlineStr">
        <is>
          <t>Джинсы детские для мальчиков</t>
        </is>
      </c>
      <c r="E244" s="3" t="inlineStr">
        <is>
          <t>182 Джинсы детские для мальчиков</t>
        </is>
      </c>
      <c r="F244" s="2" t="inlineStr">
        <is>
          <t>всесезонный</t>
        </is>
      </c>
      <c r="G244" s="3" t="inlineStr">
        <is>
          <t>kari</t>
        </is>
      </c>
      <c r="H244" s="2" t="inlineStr">
        <is>
          <t>Зиннуров Ильнур</t>
        </is>
      </c>
      <c r="J244" s="3" t="inlineStr">
        <is>
          <t>2026SS</t>
        </is>
      </c>
      <c r="K244" s="3" t="n">
        <v>22853</v>
      </c>
      <c r="L244" s="3" t="n">
        <v>965</v>
      </c>
      <c r="M244" s="3" t="n">
        <v>23</v>
      </c>
      <c r="N244" s="4">
        <f>IFERROR(L244/K244,0)</f>
        <v/>
      </c>
      <c r="O244" s="4">
        <f>IFERROR(M244/L244,0)</f>
        <v/>
      </c>
      <c r="P244" t="n">
        <v>729</v>
      </c>
      <c r="Q244" s="5" t="n">
        <v>1</v>
      </c>
      <c r="R244" s="7" t="n">
        <v>1</v>
      </c>
      <c r="S244">
        <f>IF(OR(N244&lt;$T$1*0.5,O244&lt;$U$1*0.5),"код для проверки","нормальный код")</f>
        <v/>
      </c>
      <c r="T244">
        <f>IF(N244&lt;$T$1*0.5,"Низшая четверть",IF(N244&lt;$T$1,"Вторая четверть","Больше половины"))</f>
        <v/>
      </c>
      <c r="U244">
        <f>IF(O244&lt;$U$1*0.5,"Низшая четверть",IF(O244&lt;$U$1,"Вторая четверть","Больше половины"))</f>
        <v/>
      </c>
      <c r="V244">
        <f>IF(OR(N244&lt;SUMIFS(L:L,R:R,1,E:E,E244)/SUMIFS(K:K,R:R,1,E:E,E244)*0.5,O244&lt;SUMIFS(M:M,R:R,1,E:E,E244)/SUMIFS(L:L,R:R,1,E:E,E244)*0.5),"код для проверки","нормальный код")</f>
        <v/>
      </c>
      <c r="W244">
        <f>IF(N244&lt;SUMIFS(L:L,R:R,1,E:E,E244)/SUMIFS(K:K,R:R,1,E:E,E244)*0.5,"Низшая четверть",IF(N244&lt;SUMIFS(L:L,R:R,1,E:E,E244)/SUMIFS(K:K,R:R,1,E:E,E244),"Вторая четверть","Больше половины"))</f>
        <v/>
      </c>
      <c r="X244">
        <f>IF(O244&lt;SUMIFS(M:M,R:R,1,E:E,E244)/SUMIFS(L:L,R:R,1,E:E,E244)*0.5,"Низшая четверть",IF(O244&lt;SUMIFS(M:M,R:R,1,E:E,E244)/SUMIFS(L:L,R:R,1,E:E,E244),"Вторая четверть","Больше половины"))</f>
        <v/>
      </c>
      <c r="Y244" t="n">
        <v>13</v>
      </c>
    </row>
    <row r="245">
      <c r="A245" s="1" t="inlineStr">
        <is>
          <t>88600090</t>
        </is>
      </c>
      <c r="B245" s="2" t="inlineStr">
        <is>
          <t>866468976</t>
        </is>
      </c>
      <c r="C245" s="3" t="inlineStr">
        <is>
          <t>Одежда для детей</t>
        </is>
      </c>
      <c r="D245" s="2" t="inlineStr">
        <is>
          <t>Верхняя детская одежда для девочек</t>
        </is>
      </c>
      <c r="E245" s="3" t="inlineStr">
        <is>
          <t>886 Жилет утепленный детский для девочек</t>
        </is>
      </c>
      <c r="F245" s="2" t="inlineStr">
        <is>
          <t>демисезонный</t>
        </is>
      </c>
      <c r="G245" s="3" t="inlineStr">
        <is>
          <t>Kari KIDS</t>
        </is>
      </c>
      <c r="H245" s="2" t="inlineStr">
        <is>
          <t>Зиннуров Ильнур</t>
        </is>
      </c>
      <c r="J245" s="3" t="inlineStr">
        <is>
          <t>2026SS</t>
        </is>
      </c>
      <c r="K245" s="3" t="n">
        <v>22624</v>
      </c>
      <c r="L245" s="3" t="n">
        <v>1055</v>
      </c>
      <c r="M245" s="3" t="n">
        <v>7</v>
      </c>
      <c r="N245" s="4">
        <f>IFERROR(L245/K245,0)</f>
        <v/>
      </c>
      <c r="O245" s="4">
        <f>IFERROR(M245/L245,0)</f>
        <v/>
      </c>
      <c r="P245" t="n">
        <v>579</v>
      </c>
      <c r="Q245" s="5" t="n">
        <v>1</v>
      </c>
      <c r="R245" s="7" t="n">
        <v>1</v>
      </c>
      <c r="S245">
        <f>IF(OR(N245&lt;$T$1*0.5,O245&lt;$U$1*0.5),"код для проверки","нормальный код")</f>
        <v/>
      </c>
      <c r="T245">
        <f>IF(N245&lt;$T$1*0.5,"Низшая четверть",IF(N245&lt;$T$1,"Вторая четверть","Больше половины"))</f>
        <v/>
      </c>
      <c r="U245">
        <f>IF(O245&lt;$U$1*0.5,"Низшая четверть",IF(O245&lt;$U$1,"Вторая четверть","Больше половины"))</f>
        <v/>
      </c>
      <c r="V245">
        <f>IF(OR(N245&lt;SUMIFS(L:L,R:R,1,E:E,E245)/SUMIFS(K:K,R:R,1,E:E,E245)*0.5,O245&lt;SUMIFS(M:M,R:R,1,E:E,E245)/SUMIFS(L:L,R:R,1,E:E,E245)*0.5),"код для проверки","нормальный код")</f>
        <v/>
      </c>
      <c r="W245">
        <f>IF(N245&lt;SUMIFS(L:L,R:R,1,E:E,E245)/SUMIFS(K:K,R:R,1,E:E,E245)*0.5,"Низшая четверть",IF(N245&lt;SUMIFS(L:L,R:R,1,E:E,E245)/SUMIFS(K:K,R:R,1,E:E,E245),"Вторая четверть","Больше половины"))</f>
        <v/>
      </c>
      <c r="X245">
        <f>IF(O245&lt;SUMIFS(M:M,R:R,1,E:E,E245)/SUMIFS(L:L,R:R,1,E:E,E245)*0.5,"Низшая четверть",IF(O245&lt;SUMIFS(M:M,R:R,1,E:E,E245)/SUMIFS(L:L,R:R,1,E:E,E245),"Вторая четверть","Больше половины"))</f>
        <v/>
      </c>
      <c r="Y245" t="n">
        <v>10</v>
      </c>
    </row>
    <row r="246">
      <c r="A246" s="1" t="inlineStr">
        <is>
          <t>23800110</t>
        </is>
      </c>
      <c r="B246" s="2" t="inlineStr">
        <is>
          <t>797255013</t>
        </is>
      </c>
      <c r="C246" s="3" t="inlineStr">
        <is>
          <t>Одежда для детей</t>
        </is>
      </c>
      <c r="D246" s="2" t="inlineStr">
        <is>
          <t>Платья, майки, футболки детские для девочек</t>
        </is>
      </c>
      <c r="E246" s="3" t="inlineStr">
        <is>
          <t>238 Платье детское для девочек</t>
        </is>
      </c>
      <c r="F246" s="2" t="inlineStr">
        <is>
          <t>всесезонный</t>
        </is>
      </c>
      <c r="G246" s="3" t="inlineStr">
        <is>
          <t>kari</t>
        </is>
      </c>
      <c r="H246" s="2" t="inlineStr">
        <is>
          <t>Зиннуров Ильнур</t>
        </is>
      </c>
      <c r="J246" s="3" t="inlineStr">
        <is>
          <t>2026SS</t>
        </is>
      </c>
      <c r="K246" s="3" t="n">
        <v>22210</v>
      </c>
      <c r="L246" s="3" t="n">
        <v>1213</v>
      </c>
      <c r="M246" s="3" t="n">
        <v>30</v>
      </c>
      <c r="N246" s="4">
        <f>IFERROR(L246/K246,0)</f>
        <v/>
      </c>
      <c r="O246" s="4">
        <f>IFERROR(M246/L246,0)</f>
        <v/>
      </c>
      <c r="P246" t="n">
        <v>819</v>
      </c>
      <c r="Q246" s="5" t="n">
        <v>1</v>
      </c>
      <c r="R246" s="7" t="n">
        <v>1</v>
      </c>
      <c r="S246">
        <f>IF(OR(N246&lt;$T$1*0.5,O246&lt;$U$1*0.5),"код для проверки","нормальный код")</f>
        <v/>
      </c>
      <c r="T246">
        <f>IF(N246&lt;$T$1*0.5,"Низшая четверть",IF(N246&lt;$T$1,"Вторая четверть","Больше половины"))</f>
        <v/>
      </c>
      <c r="U246">
        <f>IF(O246&lt;$U$1*0.5,"Низшая четверть",IF(O246&lt;$U$1,"Вторая четверть","Больше половины"))</f>
        <v/>
      </c>
      <c r="V246">
        <f>IF(OR(N246&lt;SUMIFS(L:L,R:R,1,E:E,E246)/SUMIFS(K:K,R:R,1,E:E,E246)*0.5,O246&lt;SUMIFS(M:M,R:R,1,E:E,E246)/SUMIFS(L:L,R:R,1,E:E,E246)*0.5),"код для проверки","нормальный код")</f>
        <v/>
      </c>
      <c r="W246">
        <f>IF(N246&lt;SUMIFS(L:L,R:R,1,E:E,E246)/SUMIFS(K:K,R:R,1,E:E,E246)*0.5,"Низшая четверть",IF(N246&lt;SUMIFS(L:L,R:R,1,E:E,E246)/SUMIFS(K:K,R:R,1,E:E,E246),"Вторая четверть","Больше половины"))</f>
        <v/>
      </c>
      <c r="X246">
        <f>IF(O246&lt;SUMIFS(M:M,R:R,1,E:E,E246)/SUMIFS(L:L,R:R,1,E:E,E246)*0.5,"Низшая четверть",IF(O246&lt;SUMIFS(M:M,R:R,1,E:E,E246)/SUMIFS(L:L,R:R,1,E:E,E246),"Вторая четверть","Больше половины"))</f>
        <v/>
      </c>
      <c r="Y246" t="n">
        <v>28</v>
      </c>
    </row>
    <row r="247">
      <c r="A247" s="1" t="inlineStr">
        <is>
          <t>18100220</t>
        </is>
      </c>
      <c r="B247" s="2" t="inlineStr">
        <is>
          <t>710160901</t>
        </is>
      </c>
      <c r="C247" s="3" t="inlineStr">
        <is>
          <t>Одежда для детей</t>
        </is>
      </c>
      <c r="D247" s="2" t="inlineStr">
        <is>
          <t>Джинсы детские для девочек</t>
        </is>
      </c>
      <c r="E247" s="3" t="inlineStr">
        <is>
          <t>181 Джинсы детские для девочек</t>
        </is>
      </c>
      <c r="F247" s="2" t="inlineStr">
        <is>
          <t>всесезонный</t>
        </is>
      </c>
      <c r="G247" s="3" t="inlineStr">
        <is>
          <t>Kari KIDS</t>
        </is>
      </c>
      <c r="H247" s="2" t="inlineStr">
        <is>
          <t>Зиннуров Ильнур</t>
        </is>
      </c>
      <c r="J247" s="3" t="inlineStr">
        <is>
          <t>2026SS</t>
        </is>
      </c>
      <c r="K247" s="3" t="n">
        <v>22175</v>
      </c>
      <c r="L247" s="3" t="n">
        <v>1467</v>
      </c>
      <c r="M247" s="3" t="n">
        <v>40</v>
      </c>
      <c r="N247" s="4">
        <f>IFERROR(L247/K247,0)</f>
        <v/>
      </c>
      <c r="O247" s="4">
        <f>IFERROR(M247/L247,0)</f>
        <v/>
      </c>
      <c r="P247" t="n">
        <v>283</v>
      </c>
      <c r="Q247" s="5" t="n">
        <v>1</v>
      </c>
      <c r="R247" s="7" t="n">
        <v>1</v>
      </c>
      <c r="S247">
        <f>IF(OR(N247&lt;$T$1*0.5,O247&lt;$U$1*0.5),"код для проверки","нормальный код")</f>
        <v/>
      </c>
      <c r="T247">
        <f>IF(N247&lt;$T$1*0.5,"Низшая четверть",IF(N247&lt;$T$1,"Вторая четверть","Больше половины"))</f>
        <v/>
      </c>
      <c r="U247">
        <f>IF(O247&lt;$U$1*0.5,"Низшая четверть",IF(O247&lt;$U$1,"Вторая четверть","Больше половины"))</f>
        <v/>
      </c>
      <c r="V247">
        <f>IF(OR(N247&lt;SUMIFS(L:L,R:R,1,E:E,E247)/SUMIFS(K:K,R:R,1,E:E,E247)*0.5,O247&lt;SUMIFS(M:M,R:R,1,E:E,E247)/SUMIFS(L:L,R:R,1,E:E,E247)*0.5),"код для проверки","нормальный код")</f>
        <v/>
      </c>
      <c r="W247">
        <f>IF(N247&lt;SUMIFS(L:L,R:R,1,E:E,E247)/SUMIFS(K:K,R:R,1,E:E,E247)*0.5,"Низшая четверть",IF(N247&lt;SUMIFS(L:L,R:R,1,E:E,E247)/SUMIFS(K:K,R:R,1,E:E,E247),"Вторая четверть","Больше половины"))</f>
        <v/>
      </c>
      <c r="X247">
        <f>IF(O247&lt;SUMIFS(M:M,R:R,1,E:E,E247)/SUMIFS(L:L,R:R,1,E:E,E247)*0.5,"Низшая четверть",IF(O247&lt;SUMIFS(M:M,R:R,1,E:E,E247)/SUMIFS(L:L,R:R,1,E:E,E247),"Вторая четверть","Больше половины"))</f>
        <v/>
      </c>
      <c r="Y247" t="n">
        <v>16</v>
      </c>
    </row>
    <row r="248">
      <c r="A248" s="1" t="inlineStr">
        <is>
          <t>a5700000</t>
        </is>
      </c>
      <c r="B248" s="2" t="inlineStr">
        <is>
          <t>770505927</t>
        </is>
      </c>
      <c r="C248" s="3" t="inlineStr">
        <is>
          <t>Одежда для детей</t>
        </is>
      </c>
      <c r="D248" s="2" t="inlineStr">
        <is>
          <t>Одежда для новорожденных</t>
        </is>
      </c>
      <c r="E248" s="3" t="inlineStr">
        <is>
          <t>a57 Летнее платье для маленькой девочки</t>
        </is>
      </c>
      <c r="F248" s="2" t="inlineStr">
        <is>
          <t>весна, лето</t>
        </is>
      </c>
      <c r="G248" s="3" t="inlineStr">
        <is>
          <t>Kari baby</t>
        </is>
      </c>
      <c r="H248" s="2" t="inlineStr">
        <is>
          <t>Зиннуров Ильнур</t>
        </is>
      </c>
      <c r="J248" s="3" t="inlineStr">
        <is>
          <t>2026SS</t>
        </is>
      </c>
      <c r="K248" s="3" t="n">
        <v>22064</v>
      </c>
      <c r="L248" s="3" t="n">
        <v>1493</v>
      </c>
      <c r="M248" s="3" t="n">
        <v>15</v>
      </c>
      <c r="N248" s="4">
        <f>IFERROR(L248/K248,0)</f>
        <v/>
      </c>
      <c r="O248" s="4">
        <f>IFERROR(M248/L248,0)</f>
        <v/>
      </c>
      <c r="P248" t="n">
        <v>215</v>
      </c>
      <c r="Q248" s="5" t="n">
        <v>1</v>
      </c>
      <c r="R248" s="7" t="n">
        <v>1</v>
      </c>
      <c r="S248">
        <f>IF(OR(N248&lt;$T$1*0.5,O248&lt;$U$1*0.5),"код для проверки","нормальный код")</f>
        <v/>
      </c>
      <c r="T248">
        <f>IF(N248&lt;$T$1*0.5,"Низшая четверть",IF(N248&lt;$T$1,"Вторая четверть","Больше половины"))</f>
        <v/>
      </c>
      <c r="U248">
        <f>IF(O248&lt;$U$1*0.5,"Низшая четверть",IF(O248&lt;$U$1,"Вторая четверть","Больше половины"))</f>
        <v/>
      </c>
      <c r="V248">
        <f>IF(OR(N248&lt;SUMIFS(L:L,R:R,1,E:E,E248)/SUMIFS(K:K,R:R,1,E:E,E248)*0.5,O248&lt;SUMIFS(M:M,R:R,1,E:E,E248)/SUMIFS(L:L,R:R,1,E:E,E248)*0.5),"код для проверки","нормальный код")</f>
        <v/>
      </c>
      <c r="W248">
        <f>IF(N248&lt;SUMIFS(L:L,R:R,1,E:E,E248)/SUMIFS(K:K,R:R,1,E:E,E248)*0.5,"Низшая четверть",IF(N248&lt;SUMIFS(L:L,R:R,1,E:E,E248)/SUMIFS(K:K,R:R,1,E:E,E248),"Вторая четверть","Больше половины"))</f>
        <v/>
      </c>
      <c r="X248">
        <f>IF(O248&lt;SUMIFS(M:M,R:R,1,E:E,E248)/SUMIFS(L:L,R:R,1,E:E,E248)*0.5,"Низшая четверть",IF(O248&lt;SUMIFS(M:M,R:R,1,E:E,E248)/SUMIFS(L:L,R:R,1,E:E,E248),"Вторая четверть","Больше половины"))</f>
        <v/>
      </c>
      <c r="Y248" t="n">
        <v>13</v>
      </c>
    </row>
    <row r="249">
      <c r="A249" s="1" t="inlineStr">
        <is>
          <t>a9200010</t>
        </is>
      </c>
      <c r="B249" s="2" t="inlineStr">
        <is>
          <t>696912215</t>
        </is>
      </c>
      <c r="C249" s="3" t="inlineStr">
        <is>
          <t>Одежда для детей</t>
        </is>
      </c>
      <c r="D249" s="2" t="inlineStr">
        <is>
          <t>Свитера детские для мальчиков</t>
        </is>
      </c>
      <c r="E249" s="3" t="inlineStr">
        <is>
          <t>a92 Свитшот  утепленный для мальчика</t>
        </is>
      </c>
      <c r="F249" s="2" t="inlineStr">
        <is>
          <t>весна, осень, зима</t>
        </is>
      </c>
      <c r="G249" s="3" t="inlineStr">
        <is>
          <t>Kari KIDS</t>
        </is>
      </c>
      <c r="H249" s="2" t="inlineStr">
        <is>
          <t>Зиннуров Ильнур</t>
        </is>
      </c>
      <c r="J249" s="3" t="inlineStr">
        <is>
          <t>2026SS</t>
        </is>
      </c>
      <c r="K249" s="3" t="n">
        <v>21994</v>
      </c>
      <c r="L249" s="3" t="n">
        <v>1201</v>
      </c>
      <c r="M249" s="3" t="n">
        <v>18</v>
      </c>
      <c r="N249" s="4">
        <f>IFERROR(L249/K249,0)</f>
        <v/>
      </c>
      <c r="O249" s="4">
        <f>IFERROR(M249/L249,0)</f>
        <v/>
      </c>
      <c r="P249" t="n">
        <v>144</v>
      </c>
      <c r="Q249" s="5" t="n">
        <v>1</v>
      </c>
      <c r="R249" s="7" t="n">
        <v>1</v>
      </c>
      <c r="S249">
        <f>IF(OR(N249&lt;$T$1*0.5,O249&lt;$U$1*0.5),"код для проверки","нормальный код")</f>
        <v/>
      </c>
      <c r="T249">
        <f>IF(N249&lt;$T$1*0.5,"Низшая четверть",IF(N249&lt;$T$1,"Вторая четверть","Больше половины"))</f>
        <v/>
      </c>
      <c r="U249">
        <f>IF(O249&lt;$U$1*0.5,"Низшая четверть",IF(O249&lt;$U$1,"Вторая четверть","Больше половины"))</f>
        <v/>
      </c>
      <c r="V249">
        <f>IF(OR(N249&lt;SUMIFS(L:L,R:R,1,E:E,E249)/SUMIFS(K:K,R:R,1,E:E,E249)*0.5,O249&lt;SUMIFS(M:M,R:R,1,E:E,E249)/SUMIFS(L:L,R:R,1,E:E,E249)*0.5),"код для проверки","нормальный код")</f>
        <v/>
      </c>
      <c r="W249">
        <f>IF(N249&lt;SUMIFS(L:L,R:R,1,E:E,E249)/SUMIFS(K:K,R:R,1,E:E,E249)*0.5,"Низшая четверть",IF(N249&lt;SUMIFS(L:L,R:R,1,E:E,E249)/SUMIFS(K:K,R:R,1,E:E,E249),"Вторая четверть","Больше половины"))</f>
        <v/>
      </c>
      <c r="X249">
        <f>IF(O249&lt;SUMIFS(M:M,R:R,1,E:E,E249)/SUMIFS(L:L,R:R,1,E:E,E249)*0.5,"Низшая четверть",IF(O249&lt;SUMIFS(M:M,R:R,1,E:E,E249)/SUMIFS(L:L,R:R,1,E:E,E249),"Вторая четверть","Больше половины"))</f>
        <v/>
      </c>
      <c r="Y249" t="n">
        <v>18</v>
      </c>
    </row>
    <row r="250">
      <c r="A250" s="1" t="inlineStr">
        <is>
          <t>11008160</t>
        </is>
      </c>
      <c r="B250" s="2" t="inlineStr">
        <is>
          <t>373110930</t>
        </is>
      </c>
      <c r="C250" s="3" t="inlineStr">
        <is>
          <t>Одежда и аксессуары</t>
        </is>
      </c>
      <c r="D250" s="2" t="inlineStr">
        <is>
          <t>Шарфы женские</t>
        </is>
      </c>
      <c r="E250" s="3" t="inlineStr">
        <is>
          <t>110 Платок женский</t>
        </is>
      </c>
      <c r="F250" s="2" t="inlineStr">
        <is>
          <t>демисезонный</t>
        </is>
      </c>
      <c r="G250" s="3" t="inlineStr">
        <is>
          <t>kari</t>
        </is>
      </c>
      <c r="H250" s="2" t="inlineStr">
        <is>
          <t>Никонорова Алина</t>
        </is>
      </c>
      <c r="J250" s="3" t="inlineStr">
        <is>
          <t>2026SS</t>
        </is>
      </c>
      <c r="K250" s="3" t="n">
        <v>21786</v>
      </c>
      <c r="L250" s="3" t="n">
        <v>5120</v>
      </c>
      <c r="M250" s="3" t="n">
        <v>159</v>
      </c>
      <c r="N250" s="4">
        <f>IFERROR(L250/K250,0)</f>
        <v/>
      </c>
      <c r="O250" s="4">
        <f>IFERROR(M250/L250,0)</f>
        <v/>
      </c>
      <c r="P250" t="n">
        <v>371</v>
      </c>
      <c r="Q250" s="5" t="n">
        <v>1</v>
      </c>
      <c r="R250" s="7" t="n">
        <v>1</v>
      </c>
      <c r="S250">
        <f>IF(OR(N250&lt;$T$1*0.5,O250&lt;$U$1*0.5),"код для проверки","нормальный код")</f>
        <v/>
      </c>
      <c r="T250">
        <f>IF(N250&lt;$T$1*0.5,"Низшая четверть",IF(N250&lt;$T$1,"Вторая четверть","Больше половины"))</f>
        <v/>
      </c>
      <c r="U250">
        <f>IF(O250&lt;$U$1*0.5,"Низшая четверть",IF(O250&lt;$U$1,"Вторая четверть","Больше половины"))</f>
        <v/>
      </c>
      <c r="V250">
        <f>IF(OR(N250&lt;SUMIFS(L:L,R:R,1,E:E,E250)/SUMIFS(K:K,R:R,1,E:E,E250)*0.5,O250&lt;SUMIFS(M:M,R:R,1,E:E,E250)/SUMIFS(L:L,R:R,1,E:E,E250)*0.5),"код для проверки","нормальный код")</f>
        <v/>
      </c>
      <c r="W250">
        <f>IF(N250&lt;SUMIFS(L:L,R:R,1,E:E,E250)/SUMIFS(K:K,R:R,1,E:E,E250)*0.5,"Низшая четверть",IF(N250&lt;SUMIFS(L:L,R:R,1,E:E,E250)/SUMIFS(K:K,R:R,1,E:E,E250),"Вторая четверть","Больше половины"))</f>
        <v/>
      </c>
      <c r="X250">
        <f>IF(O250&lt;SUMIFS(M:M,R:R,1,E:E,E250)/SUMIFS(L:L,R:R,1,E:E,E250)*0.5,"Низшая четверть",IF(O250&lt;SUMIFS(M:M,R:R,1,E:E,E250)/SUMIFS(L:L,R:R,1,E:E,E250),"Вторая четверть","Больше половины"))</f>
        <v/>
      </c>
      <c r="Y250" t="n">
        <v>15</v>
      </c>
    </row>
    <row r="251">
      <c r="A251" s="1" t="inlineStr">
        <is>
          <t>a9100030</t>
        </is>
      </c>
      <c r="B251" s="2" t="inlineStr">
        <is>
          <t>711885817</t>
        </is>
      </c>
      <c r="C251" s="3" t="inlineStr">
        <is>
          <t>Одежда для детей</t>
        </is>
      </c>
      <c r="D251" s="2" t="inlineStr">
        <is>
          <t>Свитера детские для мальчиков</t>
        </is>
      </c>
      <c r="E251" s="3" t="inlineStr">
        <is>
          <t>a91 Свитшот для мальчика</t>
        </is>
      </c>
      <c r="F251" s="2" t="inlineStr">
        <is>
          <t>весна, лето, осень</t>
        </is>
      </c>
      <c r="G251" s="3" t="inlineStr">
        <is>
          <t>kari</t>
        </is>
      </c>
      <c r="H251" s="2" t="inlineStr">
        <is>
          <t>Зиннуров Ильнур</t>
        </is>
      </c>
      <c r="J251" s="3" t="inlineStr">
        <is>
          <t>2026SS</t>
        </is>
      </c>
      <c r="K251" s="3" t="n">
        <v>21065</v>
      </c>
      <c r="L251" s="3" t="n">
        <v>525</v>
      </c>
      <c r="M251" s="3" t="n">
        <v>16</v>
      </c>
      <c r="N251" s="4">
        <f>IFERROR(L251/K251,0)</f>
        <v/>
      </c>
      <c r="O251" s="4">
        <f>IFERROR(M251/L251,0)</f>
        <v/>
      </c>
      <c r="P251" t="n">
        <v>294</v>
      </c>
      <c r="Q251" s="5" t="n">
        <v>1</v>
      </c>
      <c r="R251" s="7" t="n">
        <v>1</v>
      </c>
      <c r="S251">
        <f>IF(OR(N251&lt;$T$1*0.5,O251&lt;$U$1*0.5),"код для проверки","нормальный код")</f>
        <v/>
      </c>
      <c r="T251">
        <f>IF(N251&lt;$T$1*0.5,"Низшая четверть",IF(N251&lt;$T$1,"Вторая четверть","Больше половины"))</f>
        <v/>
      </c>
      <c r="U251">
        <f>IF(O251&lt;$U$1*0.5,"Низшая четверть",IF(O251&lt;$U$1,"Вторая четверть","Больше половины"))</f>
        <v/>
      </c>
      <c r="V251">
        <f>IF(OR(N251&lt;SUMIFS(L:L,R:R,1,E:E,E251)/SUMIFS(K:K,R:R,1,E:E,E251)*0.5,O251&lt;SUMIFS(M:M,R:R,1,E:E,E251)/SUMIFS(L:L,R:R,1,E:E,E251)*0.5),"код для проверки","нормальный код")</f>
        <v/>
      </c>
      <c r="W251">
        <f>IF(N251&lt;SUMIFS(L:L,R:R,1,E:E,E251)/SUMIFS(K:K,R:R,1,E:E,E251)*0.5,"Низшая четверть",IF(N251&lt;SUMIFS(L:L,R:R,1,E:E,E251)/SUMIFS(K:K,R:R,1,E:E,E251),"Вторая четверть","Больше половины"))</f>
        <v/>
      </c>
      <c r="X251">
        <f>IF(O251&lt;SUMIFS(M:M,R:R,1,E:E,E251)/SUMIFS(L:L,R:R,1,E:E,E251)*0.5,"Низшая четверть",IF(O251&lt;SUMIFS(M:M,R:R,1,E:E,E251)/SUMIFS(L:L,R:R,1,E:E,E251),"Вторая четверть","Больше половины"))</f>
        <v/>
      </c>
      <c r="Y251" t="n">
        <v>14</v>
      </c>
    </row>
    <row r="252">
      <c r="A252" s="1" t="inlineStr">
        <is>
          <t>87700060</t>
        </is>
      </c>
      <c r="B252" s="2" t="inlineStr">
        <is>
          <t>786030419</t>
        </is>
      </c>
      <c r="C252" s="3" t="inlineStr">
        <is>
          <t>Одежда для детей</t>
        </is>
      </c>
      <c r="D252" s="2" t="inlineStr">
        <is>
          <t>Верхняя одежда детская для мальчиков</t>
        </is>
      </c>
      <c r="E252" s="3" t="inlineStr">
        <is>
          <t>877 Жилет утепленный детский для мальчиков</t>
        </is>
      </c>
      <c r="F252" s="2" t="inlineStr">
        <is>
          <t>демисезонный</t>
        </is>
      </c>
      <c r="G252" s="3" t="inlineStr">
        <is>
          <t>Kari KIDS</t>
        </is>
      </c>
      <c r="H252" s="2" t="inlineStr">
        <is>
          <t>Зиннуров Ильнур</t>
        </is>
      </c>
      <c r="J252" s="3" t="inlineStr">
        <is>
          <t>2026SS</t>
        </is>
      </c>
      <c r="K252" s="3" t="n">
        <v>21037</v>
      </c>
      <c r="L252" s="3" t="n">
        <v>1758</v>
      </c>
      <c r="M252" s="3" t="n">
        <v>25</v>
      </c>
      <c r="N252" s="4">
        <f>IFERROR(L252/K252,0)</f>
        <v/>
      </c>
      <c r="O252" s="4">
        <f>IFERROR(M252/L252,0)</f>
        <v/>
      </c>
      <c r="P252" t="n">
        <v>344</v>
      </c>
      <c r="Q252" s="5" t="n">
        <v>1</v>
      </c>
      <c r="R252" s="7" t="n">
        <v>1</v>
      </c>
      <c r="S252">
        <f>IF(OR(N252&lt;$T$1*0.5,O252&lt;$U$1*0.5),"код для проверки","нормальный код")</f>
        <v/>
      </c>
      <c r="T252">
        <f>IF(N252&lt;$T$1*0.5,"Низшая четверть",IF(N252&lt;$T$1,"Вторая четверть","Больше половины"))</f>
        <v/>
      </c>
      <c r="U252">
        <f>IF(O252&lt;$U$1*0.5,"Низшая четверть",IF(O252&lt;$U$1,"Вторая четверть","Больше половины"))</f>
        <v/>
      </c>
      <c r="V252">
        <f>IF(OR(N252&lt;SUMIFS(L:L,R:R,1,E:E,E252)/SUMIFS(K:K,R:R,1,E:E,E252)*0.5,O252&lt;SUMIFS(M:M,R:R,1,E:E,E252)/SUMIFS(L:L,R:R,1,E:E,E252)*0.5),"код для проверки","нормальный код")</f>
        <v/>
      </c>
      <c r="W252">
        <f>IF(N252&lt;SUMIFS(L:L,R:R,1,E:E,E252)/SUMIFS(K:K,R:R,1,E:E,E252)*0.5,"Низшая четверть",IF(N252&lt;SUMIFS(L:L,R:R,1,E:E,E252)/SUMIFS(K:K,R:R,1,E:E,E252),"Вторая четверть","Больше половины"))</f>
        <v/>
      </c>
      <c r="X252">
        <f>IF(O252&lt;SUMIFS(M:M,R:R,1,E:E,E252)/SUMIFS(L:L,R:R,1,E:E,E252)*0.5,"Низшая четверть",IF(O252&lt;SUMIFS(M:M,R:R,1,E:E,E252)/SUMIFS(L:L,R:R,1,E:E,E252),"Вторая четверть","Больше половины"))</f>
        <v/>
      </c>
      <c r="Y252" t="n">
        <v>13</v>
      </c>
    </row>
    <row r="253">
      <c r="A253" s="1" t="inlineStr">
        <is>
          <t>23408140</t>
        </is>
      </c>
      <c r="B253" s="2" t="inlineStr">
        <is>
          <t>373110889</t>
        </is>
      </c>
      <c r="C253" s="3" t="inlineStr">
        <is>
          <t>Одежда для детей</t>
        </is>
      </c>
      <c r="D253" s="2" t="inlineStr">
        <is>
          <t>Чулочные и носочные детские изделия для девочек</t>
        </is>
      </c>
      <c r="E253" s="3" t="inlineStr">
        <is>
          <t>234 Колготки детские для девочек</t>
        </is>
      </c>
      <c r="F253" s="2" t="inlineStr">
        <is>
          <t>всесезонный</t>
        </is>
      </c>
      <c r="G253" s="3" t="inlineStr">
        <is>
          <t>kari</t>
        </is>
      </c>
      <c r="H253" s="2" t="inlineStr">
        <is>
          <t>Зиннуров Ильнур</t>
        </is>
      </c>
      <c r="J253" s="3" t="inlineStr">
        <is>
          <t>2026SS</t>
        </is>
      </c>
      <c r="K253" s="3" t="n">
        <v>20998</v>
      </c>
      <c r="L253" s="3" t="n">
        <v>2961</v>
      </c>
      <c r="M253" s="3" t="n">
        <v>274</v>
      </c>
      <c r="N253" s="4">
        <f>IFERROR(L253/K253,0)</f>
        <v/>
      </c>
      <c r="O253" s="4">
        <f>IFERROR(M253/L253,0)</f>
        <v/>
      </c>
      <c r="P253" t="n">
        <v>235</v>
      </c>
      <c r="Q253" s="5" t="n">
        <v>1</v>
      </c>
      <c r="R253" s="7" t="n">
        <v>1</v>
      </c>
      <c r="S253">
        <f>IF(OR(N253&lt;$T$1*0.5,O253&lt;$U$1*0.5),"код для проверки","нормальный код")</f>
        <v/>
      </c>
      <c r="T253">
        <f>IF(N253&lt;$T$1*0.5,"Низшая четверть",IF(N253&lt;$T$1,"Вторая четверть","Больше половины"))</f>
        <v/>
      </c>
      <c r="U253">
        <f>IF(O253&lt;$U$1*0.5,"Низшая четверть",IF(O253&lt;$U$1,"Вторая четверть","Больше половины"))</f>
        <v/>
      </c>
      <c r="V253">
        <f>IF(OR(N253&lt;SUMIFS(L:L,R:R,1,E:E,E253)/SUMIFS(K:K,R:R,1,E:E,E253)*0.5,O253&lt;SUMIFS(M:M,R:R,1,E:E,E253)/SUMIFS(L:L,R:R,1,E:E,E253)*0.5),"код для проверки","нормальный код")</f>
        <v/>
      </c>
      <c r="W253">
        <f>IF(N253&lt;SUMIFS(L:L,R:R,1,E:E,E253)/SUMIFS(K:K,R:R,1,E:E,E253)*0.5,"Низшая четверть",IF(N253&lt;SUMIFS(L:L,R:R,1,E:E,E253)/SUMIFS(K:K,R:R,1,E:E,E253),"Вторая четверть","Больше половины"))</f>
        <v/>
      </c>
      <c r="X253">
        <f>IF(O253&lt;SUMIFS(M:M,R:R,1,E:E,E253)/SUMIFS(L:L,R:R,1,E:E,E253)*0.5,"Низшая четверть",IF(O253&lt;SUMIFS(M:M,R:R,1,E:E,E253)/SUMIFS(L:L,R:R,1,E:E,E253),"Вторая четверть","Больше половины"))</f>
        <v/>
      </c>
      <c r="Y253" t="n">
        <v>5</v>
      </c>
    </row>
    <row r="254">
      <c r="A254" s="1" t="inlineStr">
        <is>
          <t>45500040</t>
        </is>
      </c>
      <c r="B254" s="2" t="inlineStr">
        <is>
          <t>768370800</t>
        </is>
      </c>
      <c r="C254" s="3" t="inlineStr">
        <is>
          <t>Одежда для детей</t>
        </is>
      </c>
      <c r="D254" s="2" t="inlineStr">
        <is>
          <t>Одежда для новорожденных</t>
        </is>
      </c>
      <c r="E254" s="3" t="inlineStr">
        <is>
          <t>455 Брюки спортивные утепленные для маленьких девочек</t>
        </is>
      </c>
      <c r="F254" s="2" t="inlineStr">
        <is>
          <t>весна, осень, зима</t>
        </is>
      </c>
      <c r="G254" s="3" t="inlineStr">
        <is>
          <t>Kari baby</t>
        </is>
      </c>
      <c r="H254" s="2" t="inlineStr">
        <is>
          <t>Зиннуров Ильнур</t>
        </is>
      </c>
      <c r="J254" s="3" t="inlineStr">
        <is>
          <t>2026SS</t>
        </is>
      </c>
      <c r="K254" s="3" t="n">
        <v>20977</v>
      </c>
      <c r="L254" s="3" t="n">
        <v>1446</v>
      </c>
      <c r="M254" s="3" t="n">
        <v>45</v>
      </c>
      <c r="N254" s="4">
        <f>IFERROR(L254/K254,0)</f>
        <v/>
      </c>
      <c r="O254" s="4">
        <f>IFERROR(M254/L254,0)</f>
        <v/>
      </c>
      <c r="P254" t="n">
        <v>530</v>
      </c>
      <c r="Q254" s="5" t="n">
        <v>1</v>
      </c>
      <c r="R254" s="7" t="n">
        <v>1</v>
      </c>
      <c r="S254">
        <f>IF(OR(N254&lt;$T$1*0.5,O254&lt;$U$1*0.5),"код для проверки","нормальный код")</f>
        <v/>
      </c>
      <c r="T254">
        <f>IF(N254&lt;$T$1*0.5,"Низшая четверть",IF(N254&lt;$T$1,"Вторая четверть","Больше половины"))</f>
        <v/>
      </c>
      <c r="U254">
        <f>IF(O254&lt;$U$1*0.5,"Низшая четверть",IF(O254&lt;$U$1,"Вторая четверть","Больше половины"))</f>
        <v/>
      </c>
      <c r="V254">
        <f>IF(OR(N254&lt;SUMIFS(L:L,R:R,1,E:E,E254)/SUMIFS(K:K,R:R,1,E:E,E254)*0.5,O254&lt;SUMIFS(M:M,R:R,1,E:E,E254)/SUMIFS(L:L,R:R,1,E:E,E254)*0.5),"код для проверки","нормальный код")</f>
        <v/>
      </c>
      <c r="W254">
        <f>IF(N254&lt;SUMIFS(L:L,R:R,1,E:E,E254)/SUMIFS(K:K,R:R,1,E:E,E254)*0.5,"Низшая четверть",IF(N254&lt;SUMIFS(L:L,R:R,1,E:E,E254)/SUMIFS(K:K,R:R,1,E:E,E254),"Вторая четверть","Больше половины"))</f>
        <v/>
      </c>
      <c r="X254">
        <f>IF(O254&lt;SUMIFS(M:M,R:R,1,E:E,E254)/SUMIFS(L:L,R:R,1,E:E,E254)*0.5,"Низшая четверть",IF(O254&lt;SUMIFS(M:M,R:R,1,E:E,E254)/SUMIFS(L:L,R:R,1,E:E,E254),"Вторая четверть","Больше половины"))</f>
        <v/>
      </c>
      <c r="Y254" t="n">
        <v>11</v>
      </c>
    </row>
    <row r="255">
      <c r="A255" s="1" t="inlineStr">
        <is>
          <t>09400890</t>
        </is>
      </c>
      <c r="B255" s="2" t="inlineStr">
        <is>
          <t>804097424</t>
        </is>
      </c>
      <c r="C255" s="3" t="inlineStr">
        <is>
          <t>Одежда и аксессуары</t>
        </is>
      </c>
      <c r="D255" s="2" t="inlineStr">
        <is>
          <t>Купальники женские</t>
        </is>
      </c>
      <c r="E255" s="3" t="inlineStr">
        <is>
          <t>094 Купальник</t>
        </is>
      </c>
      <c r="F255" s="2" t="inlineStr">
        <is>
          <t>лето</t>
        </is>
      </c>
      <c r="G255" s="3" t="inlineStr">
        <is>
          <t>kari</t>
        </is>
      </c>
      <c r="H255" s="2" t="inlineStr">
        <is>
          <t>Никонорова Алина</t>
        </is>
      </c>
      <c r="J255" s="3" t="inlineStr">
        <is>
          <t>2026SS</t>
        </is>
      </c>
      <c r="K255" s="3" t="n">
        <v>20936</v>
      </c>
      <c r="L255" s="3" t="n">
        <v>3844</v>
      </c>
      <c r="M255" s="3" t="n">
        <v>91</v>
      </c>
      <c r="N255" s="4">
        <f>IFERROR(L255/K255,0)</f>
        <v/>
      </c>
      <c r="O255" s="4">
        <f>IFERROR(M255/L255,0)</f>
        <v/>
      </c>
      <c r="P255" t="n">
        <v>2659</v>
      </c>
      <c r="Q255" s="5" t="n">
        <v>0.5555555555555556</v>
      </c>
      <c r="R255" s="7" t="n">
        <v>1</v>
      </c>
      <c r="S255">
        <f>IF(OR(N255&lt;$T$1*0.5,O255&lt;$U$1*0.5),"код для проверки","нормальный код")</f>
        <v/>
      </c>
      <c r="T255">
        <f>IF(N255&lt;$T$1*0.5,"Низшая четверть",IF(N255&lt;$T$1,"Вторая четверть","Больше половины"))</f>
        <v/>
      </c>
      <c r="U255">
        <f>IF(O255&lt;$U$1*0.5,"Низшая четверть",IF(O255&lt;$U$1,"Вторая четверть","Больше половины"))</f>
        <v/>
      </c>
      <c r="V255">
        <f>IF(OR(N255&lt;SUMIFS(L:L,R:R,1,E:E,E255)/SUMIFS(K:K,R:R,1,E:E,E255)*0.5,O255&lt;SUMIFS(M:M,R:R,1,E:E,E255)/SUMIFS(L:L,R:R,1,E:E,E255)*0.5),"код для проверки","нормальный код")</f>
        <v/>
      </c>
      <c r="W255">
        <f>IF(N255&lt;SUMIFS(L:L,R:R,1,E:E,E255)/SUMIFS(K:K,R:R,1,E:E,E255)*0.5,"Низшая четверть",IF(N255&lt;SUMIFS(L:L,R:R,1,E:E,E255)/SUMIFS(K:K,R:R,1,E:E,E255),"Вторая четверть","Больше половины"))</f>
        <v/>
      </c>
      <c r="X255">
        <f>IF(O255&lt;SUMIFS(M:M,R:R,1,E:E,E255)/SUMIFS(L:L,R:R,1,E:E,E255)*0.5,"Низшая четверть",IF(O255&lt;SUMIFS(M:M,R:R,1,E:E,E255)/SUMIFS(L:L,R:R,1,E:E,E255),"Вторая четверть","Больше половины"))</f>
        <v/>
      </c>
      <c r="Y255" t="n">
        <v>14</v>
      </c>
    </row>
    <row r="256">
      <c r="A256" s="1" t="inlineStr">
        <is>
          <t>92500020</t>
        </is>
      </c>
      <c r="B256" s="2" t="inlineStr">
        <is>
          <t>25940151</t>
        </is>
      </c>
      <c r="C256" s="3" t="inlineStr">
        <is>
          <t>Одежда для детей</t>
        </is>
      </c>
      <c r="D256" s="2" t="inlineStr">
        <is>
          <t>Одежда для новорожденных</t>
        </is>
      </c>
      <c r="E256" s="3" t="inlineStr">
        <is>
          <t>925 Платье-боди</t>
        </is>
      </c>
      <c r="F256" s="2" t="inlineStr">
        <is>
          <t>лето</t>
        </is>
      </c>
      <c r="G256" s="3" t="inlineStr">
        <is>
          <t>Kari baby</t>
        </is>
      </c>
      <c r="H256" s="2" t="inlineStr">
        <is>
          <t>Зиннуров Ильнур</t>
        </is>
      </c>
      <c r="J256" s="3" t="inlineStr">
        <is>
          <t>2026SS</t>
        </is>
      </c>
      <c r="K256" s="3" t="n">
        <v>20707</v>
      </c>
      <c r="L256" s="3" t="n">
        <v>1988</v>
      </c>
      <c r="M256" s="3" t="n">
        <v>81</v>
      </c>
      <c r="N256" s="4">
        <f>IFERROR(L256/K256,0)</f>
        <v/>
      </c>
      <c r="O256" s="4">
        <f>IFERROR(M256/L256,0)</f>
        <v/>
      </c>
      <c r="P256" t="n">
        <v>961</v>
      </c>
      <c r="Q256" s="5" t="n">
        <v>1</v>
      </c>
      <c r="R256" s="7" t="n">
        <v>1</v>
      </c>
      <c r="S256">
        <f>IF(OR(N256&lt;$T$1*0.5,O256&lt;$U$1*0.5),"код для проверки","нормальный код")</f>
        <v/>
      </c>
      <c r="T256">
        <f>IF(N256&lt;$T$1*0.5,"Низшая четверть",IF(N256&lt;$T$1,"Вторая четверть","Больше половины"))</f>
        <v/>
      </c>
      <c r="U256">
        <f>IF(O256&lt;$U$1*0.5,"Низшая четверть",IF(O256&lt;$U$1,"Вторая четверть","Больше половины"))</f>
        <v/>
      </c>
      <c r="V256">
        <f>IF(OR(N256&lt;SUMIFS(L:L,R:R,1,E:E,E256)/SUMIFS(K:K,R:R,1,E:E,E256)*0.5,O256&lt;SUMIFS(M:M,R:R,1,E:E,E256)/SUMIFS(L:L,R:R,1,E:E,E256)*0.5),"код для проверки","нормальный код")</f>
        <v/>
      </c>
      <c r="W256">
        <f>IF(N256&lt;SUMIFS(L:L,R:R,1,E:E,E256)/SUMIFS(K:K,R:R,1,E:E,E256)*0.5,"Низшая четверть",IF(N256&lt;SUMIFS(L:L,R:R,1,E:E,E256)/SUMIFS(K:K,R:R,1,E:E,E256),"Вторая четверть","Больше половины"))</f>
        <v/>
      </c>
      <c r="X256">
        <f>IF(O256&lt;SUMIFS(M:M,R:R,1,E:E,E256)/SUMIFS(L:L,R:R,1,E:E,E256)*0.5,"Низшая четверть",IF(O256&lt;SUMIFS(M:M,R:R,1,E:E,E256)/SUMIFS(L:L,R:R,1,E:E,E256),"Вторая четверть","Больше половины"))</f>
        <v/>
      </c>
      <c r="Y256" t="n">
        <v>12</v>
      </c>
    </row>
    <row r="257">
      <c r="A257" s="1" t="inlineStr">
        <is>
          <t>56900120</t>
        </is>
      </c>
      <c r="B257" s="2" t="inlineStr">
        <is>
          <t>768806446</t>
        </is>
      </c>
      <c r="C257" s="3" t="inlineStr">
        <is>
          <t>Одежда для детей</t>
        </is>
      </c>
      <c r="D257" s="2" t="inlineStr">
        <is>
          <t>Одежда для новорожденных</t>
        </is>
      </c>
      <c r="E257" s="3" t="inlineStr">
        <is>
          <t>569 Комбинезон для маленькой девочки</t>
        </is>
      </c>
      <c r="F257" s="2" t="inlineStr">
        <is>
          <t>всесезонный</t>
        </is>
      </c>
      <c r="G257" s="3" t="inlineStr">
        <is>
          <t>Kari baby</t>
        </is>
      </c>
      <c r="H257" s="2" t="inlineStr">
        <is>
          <t>Зиннуров Ильнур</t>
        </is>
      </c>
      <c r="J257" s="3" t="inlineStr">
        <is>
          <t>2026SS</t>
        </is>
      </c>
      <c r="K257" s="3" t="n">
        <v>20695</v>
      </c>
      <c r="L257" s="3" t="n">
        <v>1491</v>
      </c>
      <c r="M257" s="3" t="n">
        <v>12</v>
      </c>
      <c r="N257" s="4">
        <f>IFERROR(L257/K257,0)</f>
        <v/>
      </c>
      <c r="O257" s="4">
        <f>IFERROR(M257/L257,0)</f>
        <v/>
      </c>
      <c r="P257" t="n">
        <v>562</v>
      </c>
      <c r="Q257" s="5" t="n">
        <v>1</v>
      </c>
      <c r="R257" s="7" t="n">
        <v>1</v>
      </c>
      <c r="S257">
        <f>IF(OR(N257&lt;$T$1*0.5,O257&lt;$U$1*0.5),"код для проверки","нормальный код")</f>
        <v/>
      </c>
      <c r="T257">
        <f>IF(N257&lt;$T$1*0.5,"Низшая четверть",IF(N257&lt;$T$1,"Вторая четверть","Больше половины"))</f>
        <v/>
      </c>
      <c r="U257">
        <f>IF(O257&lt;$U$1*0.5,"Низшая четверть",IF(O257&lt;$U$1,"Вторая четверть","Больше половины"))</f>
        <v/>
      </c>
      <c r="V257">
        <f>IF(OR(N257&lt;SUMIFS(L:L,R:R,1,E:E,E257)/SUMIFS(K:K,R:R,1,E:E,E257)*0.5,O257&lt;SUMIFS(M:M,R:R,1,E:E,E257)/SUMIFS(L:L,R:R,1,E:E,E257)*0.5),"код для проверки","нормальный код")</f>
        <v/>
      </c>
      <c r="W257">
        <f>IF(N257&lt;SUMIFS(L:L,R:R,1,E:E,E257)/SUMIFS(K:K,R:R,1,E:E,E257)*0.5,"Низшая четверть",IF(N257&lt;SUMIFS(L:L,R:R,1,E:E,E257)/SUMIFS(K:K,R:R,1,E:E,E257),"Вторая четверть","Больше половины"))</f>
        <v/>
      </c>
      <c r="X257">
        <f>IF(O257&lt;SUMIFS(M:M,R:R,1,E:E,E257)/SUMIFS(L:L,R:R,1,E:E,E257)*0.5,"Низшая четверть",IF(O257&lt;SUMIFS(M:M,R:R,1,E:E,E257)/SUMIFS(L:L,R:R,1,E:E,E257),"Вторая четверть","Больше половины"))</f>
        <v/>
      </c>
      <c r="Y257" t="n">
        <v>16</v>
      </c>
    </row>
    <row r="258">
      <c r="A258" s="1" t="inlineStr">
        <is>
          <t>93900190</t>
        </is>
      </c>
      <c r="B258" s="2" t="inlineStr">
        <is>
          <t>725061254</t>
        </is>
      </c>
      <c r="C258" s="3" t="inlineStr">
        <is>
          <t>Одежда для детей</t>
        </is>
      </c>
      <c r="D258" s="2" t="inlineStr">
        <is>
          <t>Одежда для новорожденных</t>
        </is>
      </c>
      <c r="E258" s="3" t="inlineStr">
        <is>
          <t>939 Футболка для маленькой девочки</t>
        </is>
      </c>
      <c r="F258" s="2" t="inlineStr">
        <is>
          <t>всесезонный</t>
        </is>
      </c>
      <c r="G258" s="3" t="inlineStr">
        <is>
          <t>Kari baby</t>
        </is>
      </c>
      <c r="H258" s="2" t="inlineStr">
        <is>
          <t>Зиннуров Ильнур</t>
        </is>
      </c>
      <c r="J258" s="3" t="inlineStr">
        <is>
          <t>2026SS</t>
        </is>
      </c>
      <c r="K258" s="3" t="n">
        <v>20657</v>
      </c>
      <c r="L258" s="3" t="n">
        <v>1643</v>
      </c>
      <c r="M258" s="3" t="n">
        <v>26</v>
      </c>
      <c r="N258" s="4">
        <f>IFERROR(L258/K258,0)</f>
        <v/>
      </c>
      <c r="O258" s="4">
        <f>IFERROR(M258/L258,0)</f>
        <v/>
      </c>
      <c r="P258" t="n">
        <v>222</v>
      </c>
      <c r="Q258" s="5" t="n">
        <v>1</v>
      </c>
      <c r="R258" s="7" t="n">
        <v>1</v>
      </c>
      <c r="S258">
        <f>IF(OR(N258&lt;$T$1*0.5,O258&lt;$U$1*0.5),"код для проверки","нормальный код")</f>
        <v/>
      </c>
      <c r="T258">
        <f>IF(N258&lt;$T$1*0.5,"Низшая четверть",IF(N258&lt;$T$1,"Вторая четверть","Больше половины"))</f>
        <v/>
      </c>
      <c r="U258">
        <f>IF(O258&lt;$U$1*0.5,"Низшая четверть",IF(O258&lt;$U$1,"Вторая четверть","Больше половины"))</f>
        <v/>
      </c>
      <c r="V258">
        <f>IF(OR(N258&lt;SUMIFS(L:L,R:R,1,E:E,E258)/SUMIFS(K:K,R:R,1,E:E,E258)*0.5,O258&lt;SUMIFS(M:M,R:R,1,E:E,E258)/SUMIFS(L:L,R:R,1,E:E,E258)*0.5),"код для проверки","нормальный код")</f>
        <v/>
      </c>
      <c r="W258">
        <f>IF(N258&lt;SUMIFS(L:L,R:R,1,E:E,E258)/SUMIFS(K:K,R:R,1,E:E,E258)*0.5,"Низшая четверть",IF(N258&lt;SUMIFS(L:L,R:R,1,E:E,E258)/SUMIFS(K:K,R:R,1,E:E,E258),"Вторая четверть","Больше половины"))</f>
        <v/>
      </c>
      <c r="X258">
        <f>IF(O258&lt;SUMIFS(M:M,R:R,1,E:E,E258)/SUMIFS(L:L,R:R,1,E:E,E258)*0.5,"Низшая четверть",IF(O258&lt;SUMIFS(M:M,R:R,1,E:E,E258)/SUMIFS(L:L,R:R,1,E:E,E258),"Вторая четверть","Больше половины"))</f>
        <v/>
      </c>
      <c r="Y258" t="n">
        <v>5</v>
      </c>
    </row>
    <row r="259">
      <c r="A259" s="1" t="inlineStr">
        <is>
          <t>92500060</t>
        </is>
      </c>
      <c r="B259" s="2" t="inlineStr">
        <is>
          <t>766639181</t>
        </is>
      </c>
      <c r="C259" s="3" t="inlineStr">
        <is>
          <t>Одежда для детей</t>
        </is>
      </c>
      <c r="D259" s="2" t="inlineStr">
        <is>
          <t>Одежда для новорожденных</t>
        </is>
      </c>
      <c r="E259" s="3" t="inlineStr">
        <is>
          <t>925 Платье-боди</t>
        </is>
      </c>
      <c r="F259" s="2" t="inlineStr">
        <is>
          <t>лето</t>
        </is>
      </c>
      <c r="G259" s="3" t="inlineStr">
        <is>
          <t>Kari baby</t>
        </is>
      </c>
      <c r="H259" s="2" t="inlineStr">
        <is>
          <t>Зиннуров Ильнур</t>
        </is>
      </c>
      <c r="J259" s="3" t="inlineStr">
        <is>
          <t>2026SS</t>
        </is>
      </c>
      <c r="K259" s="3" t="n">
        <v>20600</v>
      </c>
      <c r="L259" s="3" t="n">
        <v>2843</v>
      </c>
      <c r="M259" s="3" t="n">
        <v>38</v>
      </c>
      <c r="N259" s="4">
        <f>IFERROR(L259/K259,0)</f>
        <v/>
      </c>
      <c r="O259" s="4">
        <f>IFERROR(M259/L259,0)</f>
        <v/>
      </c>
      <c r="P259" t="n">
        <v>608</v>
      </c>
      <c r="Q259" s="5" t="n">
        <v>1</v>
      </c>
      <c r="R259" s="7" t="n">
        <v>1</v>
      </c>
      <c r="S259">
        <f>IF(OR(N259&lt;$T$1*0.5,O259&lt;$U$1*0.5),"код для проверки","нормальный код")</f>
        <v/>
      </c>
      <c r="T259">
        <f>IF(N259&lt;$T$1*0.5,"Низшая четверть",IF(N259&lt;$T$1,"Вторая четверть","Больше половины"))</f>
        <v/>
      </c>
      <c r="U259">
        <f>IF(O259&lt;$U$1*0.5,"Низшая четверть",IF(O259&lt;$U$1,"Вторая четверть","Больше половины"))</f>
        <v/>
      </c>
      <c r="V259">
        <f>IF(OR(N259&lt;SUMIFS(L:L,R:R,1,E:E,E259)/SUMIFS(K:K,R:R,1,E:E,E259)*0.5,O259&lt;SUMIFS(M:M,R:R,1,E:E,E259)/SUMIFS(L:L,R:R,1,E:E,E259)*0.5),"код для проверки","нормальный код")</f>
        <v/>
      </c>
      <c r="W259">
        <f>IF(N259&lt;SUMIFS(L:L,R:R,1,E:E,E259)/SUMIFS(K:K,R:R,1,E:E,E259)*0.5,"Низшая четверть",IF(N259&lt;SUMIFS(L:L,R:R,1,E:E,E259)/SUMIFS(K:K,R:R,1,E:E,E259),"Вторая четверть","Больше половины"))</f>
        <v/>
      </c>
      <c r="X259">
        <f>IF(O259&lt;SUMIFS(M:M,R:R,1,E:E,E259)/SUMIFS(L:L,R:R,1,E:E,E259)*0.5,"Низшая четверть",IF(O259&lt;SUMIFS(M:M,R:R,1,E:E,E259)/SUMIFS(L:L,R:R,1,E:E,E259),"Вторая четверть","Больше половины"))</f>
        <v/>
      </c>
      <c r="Y259" t="n">
        <v>19</v>
      </c>
    </row>
    <row r="260">
      <c r="A260" s="1" t="inlineStr">
        <is>
          <t>23400080</t>
        </is>
      </c>
      <c r="B260" s="2" t="inlineStr">
        <is>
          <t>833379536</t>
        </is>
      </c>
      <c r="C260" s="3" t="inlineStr">
        <is>
          <t>Одежда для детей</t>
        </is>
      </c>
      <c r="D260" s="2" t="inlineStr">
        <is>
          <t>Чулочные и носочные детские изделия для девочек</t>
        </is>
      </c>
      <c r="E260" s="3" t="inlineStr">
        <is>
          <t>234 Колготки детские для девочек</t>
        </is>
      </c>
      <c r="F260" s="2" t="inlineStr">
        <is>
          <t>всесезонный</t>
        </is>
      </c>
      <c r="G260" s="3" t="inlineStr">
        <is>
          <t>kari</t>
        </is>
      </c>
      <c r="H260" s="2" t="inlineStr">
        <is>
          <t>Зиннуров Ильнур</t>
        </is>
      </c>
      <c r="J260" s="3" t="inlineStr">
        <is>
          <t>2026SS</t>
        </is>
      </c>
      <c r="K260" s="3" t="n">
        <v>20360</v>
      </c>
      <c r="L260" s="3" t="n">
        <v>3516</v>
      </c>
      <c r="M260" s="3" t="n">
        <v>261</v>
      </c>
      <c r="N260" s="4">
        <f>IFERROR(L260/K260,0)</f>
        <v/>
      </c>
      <c r="O260" s="4">
        <f>IFERROR(M260/L260,0)</f>
        <v/>
      </c>
      <c r="P260" t="n">
        <v>890</v>
      </c>
      <c r="Q260" s="5" t="n">
        <v>0.8</v>
      </c>
      <c r="R260" s="7" t="n">
        <v>1</v>
      </c>
      <c r="S260">
        <f>IF(OR(N260&lt;$T$1*0.5,O260&lt;$U$1*0.5),"код для проверки","нормальный код")</f>
        <v/>
      </c>
      <c r="T260">
        <f>IF(N260&lt;$T$1*0.5,"Низшая четверть",IF(N260&lt;$T$1,"Вторая четверть","Больше половины"))</f>
        <v/>
      </c>
      <c r="U260">
        <f>IF(O260&lt;$U$1*0.5,"Низшая четверть",IF(O260&lt;$U$1,"Вторая четверть","Больше половины"))</f>
        <v/>
      </c>
      <c r="V260">
        <f>IF(OR(N260&lt;SUMIFS(L:L,R:R,1,E:E,E260)/SUMIFS(K:K,R:R,1,E:E,E260)*0.5,O260&lt;SUMIFS(M:M,R:R,1,E:E,E260)/SUMIFS(L:L,R:R,1,E:E,E260)*0.5),"код для проверки","нормальный код")</f>
        <v/>
      </c>
      <c r="W260">
        <f>IF(N260&lt;SUMIFS(L:L,R:R,1,E:E,E260)/SUMIFS(K:K,R:R,1,E:E,E260)*0.5,"Низшая четверть",IF(N260&lt;SUMIFS(L:L,R:R,1,E:E,E260)/SUMIFS(K:K,R:R,1,E:E,E260),"Вторая четверть","Больше половины"))</f>
        <v/>
      </c>
      <c r="X260">
        <f>IF(O260&lt;SUMIFS(M:M,R:R,1,E:E,E260)/SUMIFS(L:L,R:R,1,E:E,E260)*0.5,"Низшая четверть",IF(O260&lt;SUMIFS(M:M,R:R,1,E:E,E260)/SUMIFS(L:L,R:R,1,E:E,E260),"Вторая четверть","Больше половины"))</f>
        <v/>
      </c>
      <c r="Y260" t="n">
        <v>4</v>
      </c>
    </row>
    <row r="261">
      <c r="A261" s="1" t="inlineStr">
        <is>
          <t>18100290</t>
        </is>
      </c>
      <c r="B261" s="2" t="inlineStr">
        <is>
          <t>762056991</t>
        </is>
      </c>
      <c r="C261" s="3" t="inlineStr">
        <is>
          <t>Одежда для детей</t>
        </is>
      </c>
      <c r="D261" s="2" t="inlineStr">
        <is>
          <t>Джинсы детские для девочек</t>
        </is>
      </c>
      <c r="E261" s="3" t="inlineStr">
        <is>
          <t>181 Джинсы детские для девочек</t>
        </is>
      </c>
      <c r="F261" s="2" t="inlineStr">
        <is>
          <t>всесезонный</t>
        </is>
      </c>
      <c r="G261" s="3" t="inlineStr">
        <is>
          <t>kari</t>
        </is>
      </c>
      <c r="H261" s="2" t="inlineStr">
        <is>
          <t>Зиннуров Ильнур</t>
        </is>
      </c>
      <c r="J261" s="3" t="inlineStr">
        <is>
          <t>2026SS</t>
        </is>
      </c>
      <c r="K261" s="3" t="n">
        <v>20281</v>
      </c>
      <c r="L261" s="3" t="n">
        <v>2548</v>
      </c>
      <c r="M261" s="3" t="n">
        <v>59</v>
      </c>
      <c r="N261" s="4">
        <f>IFERROR(L261/K261,0)</f>
        <v/>
      </c>
      <c r="O261" s="4">
        <f>IFERROR(M261/L261,0)</f>
        <v/>
      </c>
      <c r="P261" t="n">
        <v>1191</v>
      </c>
      <c r="Q261" s="5" t="n">
        <v>1</v>
      </c>
      <c r="R261" s="7" t="n">
        <v>1</v>
      </c>
      <c r="S261">
        <f>IF(OR(N261&lt;$T$1*0.5,O261&lt;$U$1*0.5),"код для проверки","нормальный код")</f>
        <v/>
      </c>
      <c r="T261">
        <f>IF(N261&lt;$T$1*0.5,"Низшая четверть",IF(N261&lt;$T$1,"Вторая четверть","Больше половины"))</f>
        <v/>
      </c>
      <c r="U261">
        <f>IF(O261&lt;$U$1*0.5,"Низшая четверть",IF(O261&lt;$U$1,"Вторая четверть","Больше половины"))</f>
        <v/>
      </c>
      <c r="V261">
        <f>IF(OR(N261&lt;SUMIFS(L:L,R:R,1,E:E,E261)/SUMIFS(K:K,R:R,1,E:E,E261)*0.5,O261&lt;SUMIFS(M:M,R:R,1,E:E,E261)/SUMIFS(L:L,R:R,1,E:E,E261)*0.5),"код для проверки","нормальный код")</f>
        <v/>
      </c>
      <c r="W261">
        <f>IF(N261&lt;SUMIFS(L:L,R:R,1,E:E,E261)/SUMIFS(K:K,R:R,1,E:E,E261)*0.5,"Низшая четверть",IF(N261&lt;SUMIFS(L:L,R:R,1,E:E,E261)/SUMIFS(K:K,R:R,1,E:E,E261),"Вторая четверть","Больше половины"))</f>
        <v/>
      </c>
      <c r="X261">
        <f>IF(O261&lt;SUMIFS(M:M,R:R,1,E:E,E261)/SUMIFS(L:L,R:R,1,E:E,E261)*0.5,"Низшая четверть",IF(O261&lt;SUMIFS(M:M,R:R,1,E:E,E261)/SUMIFS(L:L,R:R,1,E:E,E261),"Вторая четверть","Больше половины"))</f>
        <v/>
      </c>
      <c r="Y261" t="n">
        <v>14</v>
      </c>
    </row>
    <row r="262">
      <c r="A262" s="1" t="inlineStr">
        <is>
          <t>29000050</t>
        </is>
      </c>
      <c r="B262" s="2" t="inlineStr">
        <is>
          <t>710462742</t>
        </is>
      </c>
      <c r="C262" s="3" t="inlineStr">
        <is>
          <t>Одежда для детей</t>
        </is>
      </c>
      <c r="D262" s="2" t="inlineStr">
        <is>
          <t>Брюки детские для девочек</t>
        </is>
      </c>
      <c r="E262" s="3" t="inlineStr">
        <is>
          <t>290 Штаны детские для девочек</t>
        </is>
      </c>
      <c r="F262" s="2" t="inlineStr">
        <is>
          <t>всесезонный</t>
        </is>
      </c>
      <c r="G262" s="3" t="inlineStr">
        <is>
          <t>Kari KIDS</t>
        </is>
      </c>
      <c r="H262" s="2" t="inlineStr">
        <is>
          <t>Зиннуров Ильнур</t>
        </is>
      </c>
      <c r="J262" s="3" t="inlineStr">
        <is>
          <t>2026SS</t>
        </is>
      </c>
      <c r="K262" s="3" t="n">
        <v>20168</v>
      </c>
      <c r="L262" s="3" t="n">
        <v>852</v>
      </c>
      <c r="M262" s="3" t="n">
        <v>14</v>
      </c>
      <c r="N262" s="4">
        <f>IFERROR(L262/K262,0)</f>
        <v/>
      </c>
      <c r="O262" s="4">
        <f>IFERROR(M262/L262,0)</f>
        <v/>
      </c>
      <c r="P262" t="n">
        <v>310</v>
      </c>
      <c r="Q262" s="5" t="n">
        <v>1</v>
      </c>
      <c r="R262" s="7" t="n">
        <v>1</v>
      </c>
      <c r="S262">
        <f>IF(OR(N262&lt;$T$1*0.5,O262&lt;$U$1*0.5),"код для проверки","нормальный код")</f>
        <v/>
      </c>
      <c r="T262">
        <f>IF(N262&lt;$T$1*0.5,"Низшая четверть",IF(N262&lt;$T$1,"Вторая четверть","Больше половины"))</f>
        <v/>
      </c>
      <c r="U262">
        <f>IF(O262&lt;$U$1*0.5,"Низшая четверть",IF(O262&lt;$U$1,"Вторая четверть","Больше половины"))</f>
        <v/>
      </c>
      <c r="V262">
        <f>IF(OR(N262&lt;SUMIFS(L:L,R:R,1,E:E,E262)/SUMIFS(K:K,R:R,1,E:E,E262)*0.5,O262&lt;SUMIFS(M:M,R:R,1,E:E,E262)/SUMIFS(L:L,R:R,1,E:E,E262)*0.5),"код для проверки","нормальный код")</f>
        <v/>
      </c>
      <c r="W262">
        <f>IF(N262&lt;SUMIFS(L:L,R:R,1,E:E,E262)/SUMIFS(K:K,R:R,1,E:E,E262)*0.5,"Низшая четверть",IF(N262&lt;SUMIFS(L:L,R:R,1,E:E,E262)/SUMIFS(K:K,R:R,1,E:E,E262),"Вторая четверть","Больше половины"))</f>
        <v/>
      </c>
      <c r="X262">
        <f>IF(O262&lt;SUMIFS(M:M,R:R,1,E:E,E262)/SUMIFS(L:L,R:R,1,E:E,E262)*0.5,"Низшая четверть",IF(O262&lt;SUMIFS(M:M,R:R,1,E:E,E262)/SUMIFS(L:L,R:R,1,E:E,E262),"Вторая четверть","Больше половины"))</f>
        <v/>
      </c>
      <c r="Y262" t="n">
        <v>10</v>
      </c>
    </row>
    <row r="263">
      <c r="A263" s="1" t="inlineStr">
        <is>
          <t>56800110</t>
        </is>
      </c>
      <c r="B263" s="2" t="inlineStr">
        <is>
          <t>766639174</t>
        </is>
      </c>
      <c r="C263" s="3" t="inlineStr">
        <is>
          <t>Одежда для детей</t>
        </is>
      </c>
      <c r="D263" s="2" t="inlineStr">
        <is>
          <t>Одежда для новорожденных</t>
        </is>
      </c>
      <c r="E263" s="3" t="inlineStr">
        <is>
          <t>568 Боди с коротким рукавом для девочек</t>
        </is>
      </c>
      <c r="F263" s="2" t="inlineStr">
        <is>
          <t>всесезонный</t>
        </is>
      </c>
      <c r="G263" s="3" t="inlineStr">
        <is>
          <t>Kari baby</t>
        </is>
      </c>
      <c r="H263" s="2" t="inlineStr">
        <is>
          <t>Зиннуров Ильнур</t>
        </is>
      </c>
      <c r="J263" s="3" t="inlineStr">
        <is>
          <t>2026SS</t>
        </is>
      </c>
      <c r="K263" s="3" t="n">
        <v>20106</v>
      </c>
      <c r="L263" s="3" t="n">
        <v>1915</v>
      </c>
      <c r="M263" s="3" t="n">
        <v>30</v>
      </c>
      <c r="N263" s="4">
        <f>IFERROR(L263/K263,0)</f>
        <v/>
      </c>
      <c r="O263" s="4">
        <f>IFERROR(M263/L263,0)</f>
        <v/>
      </c>
      <c r="P263" t="n">
        <v>429</v>
      </c>
      <c r="Q263" s="5" t="n">
        <v>1</v>
      </c>
      <c r="R263" s="7" t="n">
        <v>1</v>
      </c>
      <c r="S263">
        <f>IF(OR(N263&lt;$T$1*0.5,O263&lt;$U$1*0.5),"код для проверки","нормальный код")</f>
        <v/>
      </c>
      <c r="T263">
        <f>IF(N263&lt;$T$1*0.5,"Низшая четверть",IF(N263&lt;$T$1,"Вторая четверть","Больше половины"))</f>
        <v/>
      </c>
      <c r="U263">
        <f>IF(O263&lt;$U$1*0.5,"Низшая четверть",IF(O263&lt;$U$1,"Вторая четверть","Больше половины"))</f>
        <v/>
      </c>
      <c r="V263">
        <f>IF(OR(N263&lt;SUMIFS(L:L,R:R,1,E:E,E263)/SUMIFS(K:K,R:R,1,E:E,E263)*0.5,O263&lt;SUMIFS(M:M,R:R,1,E:E,E263)/SUMIFS(L:L,R:R,1,E:E,E263)*0.5),"код для проверки","нормальный код")</f>
        <v/>
      </c>
      <c r="W263">
        <f>IF(N263&lt;SUMIFS(L:L,R:R,1,E:E,E263)/SUMIFS(K:K,R:R,1,E:E,E263)*0.5,"Низшая четверть",IF(N263&lt;SUMIFS(L:L,R:R,1,E:E,E263)/SUMIFS(K:K,R:R,1,E:E,E263),"Вторая четверть","Больше половины"))</f>
        <v/>
      </c>
      <c r="X263">
        <f>IF(O263&lt;SUMIFS(M:M,R:R,1,E:E,E263)/SUMIFS(L:L,R:R,1,E:E,E263)*0.5,"Низшая четверть",IF(O263&lt;SUMIFS(M:M,R:R,1,E:E,E263)/SUMIFS(L:L,R:R,1,E:E,E263),"Вторая четверть","Больше половины"))</f>
        <v/>
      </c>
      <c r="Y263" t="n">
        <v>13</v>
      </c>
    </row>
    <row r="264">
      <c r="A264" s="1" t="inlineStr">
        <is>
          <t>18200130</t>
        </is>
      </c>
      <c r="B264" s="2" t="inlineStr">
        <is>
          <t>762057037</t>
        </is>
      </c>
      <c r="C264" s="3" t="inlineStr">
        <is>
          <t>Одежда для детей</t>
        </is>
      </c>
      <c r="D264" s="2" t="inlineStr">
        <is>
          <t>Джинсы детские для мальчиков</t>
        </is>
      </c>
      <c r="E264" s="3" t="inlineStr">
        <is>
          <t>182 Джинсы детские для мальчиков</t>
        </is>
      </c>
      <c r="F264" s="2" t="inlineStr">
        <is>
          <t>всесезонный</t>
        </is>
      </c>
      <c r="G264" s="3" t="inlineStr">
        <is>
          <t>Kari KIDS</t>
        </is>
      </c>
      <c r="H264" s="2" t="inlineStr">
        <is>
          <t>Зиннуров Ильнур</t>
        </is>
      </c>
      <c r="J264" s="3" t="inlineStr">
        <is>
          <t>2026SS</t>
        </is>
      </c>
      <c r="K264" s="3" t="n">
        <v>20074</v>
      </c>
      <c r="L264" s="3" t="n">
        <v>3261</v>
      </c>
      <c r="M264" s="3" t="n">
        <v>75</v>
      </c>
      <c r="N264" s="4">
        <f>IFERROR(L264/K264,0)</f>
        <v/>
      </c>
      <c r="O264" s="4">
        <f>IFERROR(M264/L264,0)</f>
        <v/>
      </c>
      <c r="P264" t="n">
        <v>721</v>
      </c>
      <c r="Q264" s="5" t="n">
        <v>1</v>
      </c>
      <c r="R264" s="7" t="n">
        <v>1</v>
      </c>
      <c r="S264">
        <f>IF(OR(N264&lt;$T$1*0.5,O264&lt;$U$1*0.5),"код для проверки","нормальный код")</f>
        <v/>
      </c>
      <c r="T264">
        <f>IF(N264&lt;$T$1*0.5,"Низшая четверть",IF(N264&lt;$T$1,"Вторая четверть","Больше половины"))</f>
        <v/>
      </c>
      <c r="U264">
        <f>IF(O264&lt;$U$1*0.5,"Низшая четверть",IF(O264&lt;$U$1,"Вторая четверть","Больше половины"))</f>
        <v/>
      </c>
      <c r="V264">
        <f>IF(OR(N264&lt;SUMIFS(L:L,R:R,1,E:E,E264)/SUMIFS(K:K,R:R,1,E:E,E264)*0.5,O264&lt;SUMIFS(M:M,R:R,1,E:E,E264)/SUMIFS(L:L,R:R,1,E:E,E264)*0.5),"код для проверки","нормальный код")</f>
        <v/>
      </c>
      <c r="W264">
        <f>IF(N264&lt;SUMIFS(L:L,R:R,1,E:E,E264)/SUMIFS(K:K,R:R,1,E:E,E264)*0.5,"Низшая четверть",IF(N264&lt;SUMIFS(L:L,R:R,1,E:E,E264)/SUMIFS(K:K,R:R,1,E:E,E264),"Вторая четверть","Больше половины"))</f>
        <v/>
      </c>
      <c r="X264">
        <f>IF(O264&lt;SUMIFS(M:M,R:R,1,E:E,E264)/SUMIFS(L:L,R:R,1,E:E,E264)*0.5,"Низшая четверть",IF(O264&lt;SUMIFS(M:M,R:R,1,E:E,E264)/SUMIFS(L:L,R:R,1,E:E,E264),"Вторая четверть","Больше половины"))</f>
        <v/>
      </c>
      <c r="Y264" t="n">
        <v>19</v>
      </c>
    </row>
    <row r="265">
      <c r="A265" s="1" t="inlineStr">
        <is>
          <t>a9200050</t>
        </is>
      </c>
      <c r="B265" s="2" t="inlineStr">
        <is>
          <t>762346814</t>
        </is>
      </c>
      <c r="C265" s="3" t="inlineStr">
        <is>
          <t>Одежда для детей</t>
        </is>
      </c>
      <c r="D265" s="2" t="inlineStr">
        <is>
          <t>Свитера детские для мальчиков</t>
        </is>
      </c>
      <c r="E265" s="3" t="inlineStr">
        <is>
          <t>a92 Свитшот  утепленный для мальчика</t>
        </is>
      </c>
      <c r="F265" s="2" t="inlineStr">
        <is>
          <t>весна, осень, зима</t>
        </is>
      </c>
      <c r="G265" s="3" t="inlineStr">
        <is>
          <t>kari</t>
        </is>
      </c>
      <c r="H265" s="2" t="inlineStr">
        <is>
          <t>Зиннуров Ильнур</t>
        </is>
      </c>
      <c r="J265" s="3" t="inlineStr">
        <is>
          <t>2026SS</t>
        </is>
      </c>
      <c r="K265" s="3" t="n">
        <v>20070</v>
      </c>
      <c r="L265" s="3" t="n">
        <v>638</v>
      </c>
      <c r="M265" s="3" t="n">
        <v>6</v>
      </c>
      <c r="N265" s="4">
        <f>IFERROR(L265/K265,0)</f>
        <v/>
      </c>
      <c r="O265" s="4">
        <f>IFERROR(M265/L265,0)</f>
        <v/>
      </c>
      <c r="P265" t="n">
        <v>558</v>
      </c>
      <c r="Q265" s="5" t="n">
        <v>1</v>
      </c>
      <c r="R265" s="7" t="n">
        <v>1</v>
      </c>
      <c r="S265">
        <f>IF(OR(N265&lt;$T$1*0.5,O265&lt;$U$1*0.5),"код для проверки","нормальный код")</f>
        <v/>
      </c>
      <c r="T265">
        <f>IF(N265&lt;$T$1*0.5,"Низшая четверть",IF(N265&lt;$T$1,"Вторая четверть","Больше половины"))</f>
        <v/>
      </c>
      <c r="U265">
        <f>IF(O265&lt;$U$1*0.5,"Низшая четверть",IF(O265&lt;$U$1,"Вторая четверть","Больше половины"))</f>
        <v/>
      </c>
      <c r="V265">
        <f>IF(OR(N265&lt;SUMIFS(L:L,R:R,1,E:E,E265)/SUMIFS(K:K,R:R,1,E:E,E265)*0.5,O265&lt;SUMIFS(M:M,R:R,1,E:E,E265)/SUMIFS(L:L,R:R,1,E:E,E265)*0.5),"код для проверки","нормальный код")</f>
        <v/>
      </c>
      <c r="W265">
        <f>IF(N265&lt;SUMIFS(L:L,R:R,1,E:E,E265)/SUMIFS(K:K,R:R,1,E:E,E265)*0.5,"Низшая четверть",IF(N265&lt;SUMIFS(L:L,R:R,1,E:E,E265)/SUMIFS(K:K,R:R,1,E:E,E265),"Вторая четверть","Больше половины"))</f>
        <v/>
      </c>
      <c r="X265">
        <f>IF(O265&lt;SUMIFS(M:M,R:R,1,E:E,E265)/SUMIFS(L:L,R:R,1,E:E,E265)*0.5,"Низшая четверть",IF(O265&lt;SUMIFS(M:M,R:R,1,E:E,E265)/SUMIFS(L:L,R:R,1,E:E,E265),"Вторая четверть","Больше половины"))</f>
        <v/>
      </c>
      <c r="Y265" t="n">
        <v>16</v>
      </c>
    </row>
    <row r="266">
      <c r="A266" s="1" t="inlineStr">
        <is>
          <t>57300170</t>
        </is>
      </c>
      <c r="B266" s="2" t="inlineStr">
        <is>
          <t>768370817</t>
        </is>
      </c>
      <c r="C266" s="3" t="inlineStr">
        <is>
          <t>Одежда для детей</t>
        </is>
      </c>
      <c r="D266" s="2" t="inlineStr">
        <is>
          <t>Одежда для новорожденных</t>
        </is>
      </c>
      <c r="E266" s="3" t="inlineStr">
        <is>
          <t>573 Штанишки для маленькой девочки</t>
        </is>
      </c>
      <c r="F266" s="2" t="inlineStr">
        <is>
          <t>всесезонный</t>
        </is>
      </c>
      <c r="G266" s="3" t="inlineStr">
        <is>
          <t>Kari baby</t>
        </is>
      </c>
      <c r="H266" s="2" t="inlineStr">
        <is>
          <t>Зиннуров Ильнур</t>
        </is>
      </c>
      <c r="J266" s="3" t="inlineStr">
        <is>
          <t>2026SS</t>
        </is>
      </c>
      <c r="K266" s="3" t="n">
        <v>20023</v>
      </c>
      <c r="L266" s="3" t="n">
        <v>1693</v>
      </c>
      <c r="M266" s="3" t="n">
        <v>103</v>
      </c>
      <c r="N266" s="4">
        <f>IFERROR(L266/K266,0)</f>
        <v/>
      </c>
      <c r="O266" s="4">
        <f>IFERROR(M266/L266,0)</f>
        <v/>
      </c>
      <c r="P266" t="n">
        <v>379</v>
      </c>
      <c r="Q266" s="5" t="n">
        <v>1</v>
      </c>
      <c r="R266" s="7" t="n">
        <v>1</v>
      </c>
      <c r="S266">
        <f>IF(OR(N266&lt;$T$1*0.5,O266&lt;$U$1*0.5),"код для проверки","нормальный код")</f>
        <v/>
      </c>
      <c r="T266">
        <f>IF(N266&lt;$T$1*0.5,"Низшая четверть",IF(N266&lt;$T$1,"Вторая четверть","Больше половины"))</f>
        <v/>
      </c>
      <c r="U266">
        <f>IF(O266&lt;$U$1*0.5,"Низшая четверть",IF(O266&lt;$U$1,"Вторая четверть","Больше половины"))</f>
        <v/>
      </c>
      <c r="V266">
        <f>IF(OR(N266&lt;SUMIFS(L:L,R:R,1,E:E,E266)/SUMIFS(K:K,R:R,1,E:E,E266)*0.5,O266&lt;SUMIFS(M:M,R:R,1,E:E,E266)/SUMIFS(L:L,R:R,1,E:E,E266)*0.5),"код для проверки","нормальный код")</f>
        <v/>
      </c>
      <c r="W266">
        <f>IF(N266&lt;SUMIFS(L:L,R:R,1,E:E,E266)/SUMIFS(K:K,R:R,1,E:E,E266)*0.5,"Низшая четверть",IF(N266&lt;SUMIFS(L:L,R:R,1,E:E,E266)/SUMIFS(K:K,R:R,1,E:E,E266),"Вторая четверть","Больше половины"))</f>
        <v/>
      </c>
      <c r="X266">
        <f>IF(O266&lt;SUMIFS(M:M,R:R,1,E:E,E266)/SUMIFS(L:L,R:R,1,E:E,E266)*0.5,"Низшая четверть",IF(O266&lt;SUMIFS(M:M,R:R,1,E:E,E266)/SUMIFS(L:L,R:R,1,E:E,E266),"Вторая четверть","Больше половины"))</f>
        <v/>
      </c>
      <c r="Y266" t="n">
        <v>11</v>
      </c>
    </row>
    <row r="267">
      <c r="A267" s="1" t="inlineStr">
        <is>
          <t>30200310</t>
        </is>
      </c>
      <c r="B267" s="2" t="inlineStr">
        <is>
          <t>775433396</t>
        </is>
      </c>
      <c r="C267" s="3" t="inlineStr">
        <is>
          <t>Одежда для детей</t>
        </is>
      </c>
      <c r="D267" s="2" t="inlineStr">
        <is>
          <t>Платья, майки, футболки детские для девочек</t>
        </is>
      </c>
      <c r="E267" s="3" t="inlineStr">
        <is>
          <t>302 Юбка детская для девочек</t>
        </is>
      </c>
      <c r="F267" s="2" t="inlineStr">
        <is>
          <t>всесезонный</t>
        </is>
      </c>
      <c r="G267" s="3" t="inlineStr">
        <is>
          <t>kari</t>
        </is>
      </c>
      <c r="H267" s="2" t="inlineStr">
        <is>
          <t>Зиннуров Ильнур</t>
        </is>
      </c>
      <c r="J267" s="3" t="inlineStr">
        <is>
          <t>2026SS</t>
        </is>
      </c>
      <c r="K267" s="3" t="n">
        <v>19940</v>
      </c>
      <c r="L267" s="3" t="n">
        <v>1600</v>
      </c>
      <c r="M267" s="3" t="n">
        <v>57</v>
      </c>
      <c r="N267" s="4">
        <f>IFERROR(L267/K267,0)</f>
        <v/>
      </c>
      <c r="O267" s="4">
        <f>IFERROR(M267/L267,0)</f>
        <v/>
      </c>
      <c r="P267" t="n">
        <v>568</v>
      </c>
      <c r="Q267" s="5" t="n">
        <v>1</v>
      </c>
      <c r="R267" s="7" t="n">
        <v>1</v>
      </c>
      <c r="S267">
        <f>IF(OR(N267&lt;$T$1*0.5,O267&lt;$U$1*0.5),"код для проверки","нормальный код")</f>
        <v/>
      </c>
      <c r="T267">
        <f>IF(N267&lt;$T$1*0.5,"Низшая четверть",IF(N267&lt;$T$1,"Вторая четверть","Больше половины"))</f>
        <v/>
      </c>
      <c r="U267">
        <f>IF(O267&lt;$U$1*0.5,"Низшая четверть",IF(O267&lt;$U$1,"Вторая четверть","Больше половины"))</f>
        <v/>
      </c>
      <c r="V267">
        <f>IF(OR(N267&lt;SUMIFS(L:L,R:R,1,E:E,E267)/SUMIFS(K:K,R:R,1,E:E,E267)*0.5,O267&lt;SUMIFS(M:M,R:R,1,E:E,E267)/SUMIFS(L:L,R:R,1,E:E,E267)*0.5),"код для проверки","нормальный код")</f>
        <v/>
      </c>
      <c r="W267">
        <f>IF(N267&lt;SUMIFS(L:L,R:R,1,E:E,E267)/SUMIFS(K:K,R:R,1,E:E,E267)*0.5,"Низшая четверть",IF(N267&lt;SUMIFS(L:L,R:R,1,E:E,E267)/SUMIFS(K:K,R:R,1,E:E,E267),"Вторая четверть","Больше половины"))</f>
        <v/>
      </c>
      <c r="X267">
        <f>IF(O267&lt;SUMIFS(M:M,R:R,1,E:E,E267)/SUMIFS(L:L,R:R,1,E:E,E267)*0.5,"Низшая четверть",IF(O267&lt;SUMIFS(M:M,R:R,1,E:E,E267)/SUMIFS(L:L,R:R,1,E:E,E267),"Вторая четверть","Больше половины"))</f>
        <v/>
      </c>
      <c r="Y267" t="n">
        <v>22</v>
      </c>
    </row>
    <row r="268">
      <c r="A268" s="1" t="inlineStr">
        <is>
          <t>h0108020</t>
        </is>
      </c>
      <c r="B268" s="2" t="inlineStr">
        <is>
          <t>373110892</t>
        </is>
      </c>
      <c r="C268" s="3" t="inlineStr">
        <is>
          <t>Одежда и аксессуары</t>
        </is>
      </c>
      <c r="D268" s="2" t="inlineStr">
        <is>
          <t>Свитера мужские</t>
        </is>
      </c>
      <c r="E268" s="3" t="inlineStr">
        <is>
          <t>h01 Толстовка мужская</t>
        </is>
      </c>
      <c r="F268" s="2" t="inlineStr">
        <is>
          <t>всесезонный</t>
        </is>
      </c>
      <c r="G268" s="3" t="inlineStr">
        <is>
          <t>kari</t>
        </is>
      </c>
      <c r="H268" s="2" t="inlineStr">
        <is>
          <t>Зиннуров Ильнур</t>
        </is>
      </c>
      <c r="J268" s="3" t="inlineStr">
        <is>
          <t>2026SS</t>
        </is>
      </c>
      <c r="K268" s="3" t="n">
        <v>19926</v>
      </c>
      <c r="L268" s="3" t="n">
        <v>673</v>
      </c>
      <c r="M268" s="3" t="n">
        <v>5</v>
      </c>
      <c r="N268" s="4">
        <f>IFERROR(L268/K268,0)</f>
        <v/>
      </c>
      <c r="O268" s="4">
        <f>IFERROR(M268/L268,0)</f>
        <v/>
      </c>
      <c r="P268" t="n">
        <v>92</v>
      </c>
      <c r="Q268" s="5" t="n">
        <v>1</v>
      </c>
      <c r="R268" s="7" t="n">
        <v>1</v>
      </c>
      <c r="S268">
        <f>IF(OR(N268&lt;$T$1*0.5,O268&lt;$U$1*0.5),"код для проверки","нормальный код")</f>
        <v/>
      </c>
      <c r="T268">
        <f>IF(N268&lt;$T$1*0.5,"Низшая четверть",IF(N268&lt;$T$1,"Вторая четверть","Больше половины"))</f>
        <v/>
      </c>
      <c r="U268">
        <f>IF(O268&lt;$U$1*0.5,"Низшая четверть",IF(O268&lt;$U$1,"Вторая четверть","Больше половины"))</f>
        <v/>
      </c>
      <c r="V268">
        <f>IF(OR(N268&lt;SUMIFS(L:L,R:R,1,E:E,E268)/SUMIFS(K:K,R:R,1,E:E,E268)*0.5,O268&lt;SUMIFS(M:M,R:R,1,E:E,E268)/SUMIFS(L:L,R:R,1,E:E,E268)*0.5),"код для проверки","нормальный код")</f>
        <v/>
      </c>
      <c r="W268">
        <f>IF(N268&lt;SUMIFS(L:L,R:R,1,E:E,E268)/SUMIFS(K:K,R:R,1,E:E,E268)*0.5,"Низшая четверть",IF(N268&lt;SUMIFS(L:L,R:R,1,E:E,E268)/SUMIFS(K:K,R:R,1,E:E,E268),"Вторая четверть","Больше половины"))</f>
        <v/>
      </c>
      <c r="X268">
        <f>IF(O268&lt;SUMIFS(M:M,R:R,1,E:E,E268)/SUMIFS(L:L,R:R,1,E:E,E268)*0.5,"Низшая четверть",IF(O268&lt;SUMIFS(M:M,R:R,1,E:E,E268)/SUMIFS(L:L,R:R,1,E:E,E268),"Вторая четверть","Больше половины"))</f>
        <v/>
      </c>
      <c r="Y268" t="n">
        <v>6</v>
      </c>
    </row>
    <row r="269">
      <c r="A269" s="1" t="inlineStr">
        <is>
          <t>94404120</t>
        </is>
      </c>
      <c r="B269" s="2" t="inlineStr">
        <is>
          <t>145534059</t>
        </is>
      </c>
      <c r="C269" s="3" t="inlineStr">
        <is>
          <t>Одежда для детей</t>
        </is>
      </c>
      <c r="D269" s="2" t="inlineStr">
        <is>
          <t>Одежда для новорожденных</t>
        </is>
      </c>
      <c r="E269" s="3" t="inlineStr">
        <is>
          <t>944 Комплект одежды для маленькой девочки</t>
        </is>
      </c>
      <c r="F269" s="2" t="inlineStr">
        <is>
          <t>всесезонный</t>
        </is>
      </c>
      <c r="G269" s="3" t="inlineStr">
        <is>
          <t>Kari baby</t>
        </is>
      </c>
      <c r="H269" s="2" t="inlineStr">
        <is>
          <t>Зиннуров Ильнур</t>
        </is>
      </c>
      <c r="J269" s="3" t="inlineStr">
        <is>
          <t>2026SS</t>
        </is>
      </c>
      <c r="K269" s="3" t="n">
        <v>19813</v>
      </c>
      <c r="L269" s="3" t="n">
        <v>1574</v>
      </c>
      <c r="M269" s="3" t="n">
        <v>30</v>
      </c>
      <c r="N269" s="4">
        <f>IFERROR(L269/K269,0)</f>
        <v/>
      </c>
      <c r="O269" s="4">
        <f>IFERROR(M269/L269,0)</f>
        <v/>
      </c>
      <c r="P269" t="n">
        <v>285</v>
      </c>
      <c r="Q269" s="5" t="n">
        <v>1</v>
      </c>
      <c r="R269" s="7" t="n">
        <v>1</v>
      </c>
      <c r="S269">
        <f>IF(OR(N269&lt;$T$1*0.5,O269&lt;$U$1*0.5),"код для проверки","нормальный код")</f>
        <v/>
      </c>
      <c r="T269">
        <f>IF(N269&lt;$T$1*0.5,"Низшая четверть",IF(N269&lt;$T$1,"Вторая четверть","Больше половины"))</f>
        <v/>
      </c>
      <c r="U269">
        <f>IF(O269&lt;$U$1*0.5,"Низшая четверть",IF(O269&lt;$U$1,"Вторая четверть","Больше половины"))</f>
        <v/>
      </c>
      <c r="V269">
        <f>IF(OR(N269&lt;SUMIFS(L:L,R:R,1,E:E,E269)/SUMIFS(K:K,R:R,1,E:E,E269)*0.5,O269&lt;SUMIFS(M:M,R:R,1,E:E,E269)/SUMIFS(L:L,R:R,1,E:E,E269)*0.5),"код для проверки","нормальный код")</f>
        <v/>
      </c>
      <c r="W269">
        <f>IF(N269&lt;SUMIFS(L:L,R:R,1,E:E,E269)/SUMIFS(K:K,R:R,1,E:E,E269)*0.5,"Низшая четверть",IF(N269&lt;SUMIFS(L:L,R:R,1,E:E,E269)/SUMIFS(K:K,R:R,1,E:E,E269),"Вторая четверть","Больше половины"))</f>
        <v/>
      </c>
      <c r="X269">
        <f>IF(O269&lt;SUMIFS(M:M,R:R,1,E:E,E269)/SUMIFS(L:L,R:R,1,E:E,E269)*0.5,"Низшая четверть",IF(O269&lt;SUMIFS(M:M,R:R,1,E:E,E269)/SUMIFS(L:L,R:R,1,E:E,E269),"Вторая четверть","Больше половины"))</f>
        <v/>
      </c>
      <c r="Y269" t="n">
        <v>23</v>
      </c>
    </row>
    <row r="270">
      <c r="A270" s="1" t="inlineStr">
        <is>
          <t>18400160</t>
        </is>
      </c>
      <c r="B270" s="2" t="inlineStr">
        <is>
          <t>754451671</t>
        </is>
      </c>
      <c r="C270" s="3" t="inlineStr">
        <is>
          <t>Одежда и аксессуары</t>
        </is>
      </c>
      <c r="D270" s="2" t="inlineStr">
        <is>
          <t>Майки и платья женские</t>
        </is>
      </c>
      <c r="E270" s="3" t="inlineStr">
        <is>
          <t>184 Женская футболка</t>
        </is>
      </c>
      <c r="F270" s="2" t="inlineStr">
        <is>
          <t>всесезонный</t>
        </is>
      </c>
      <c r="G270" s="3" t="inlineStr">
        <is>
          <t>kari</t>
        </is>
      </c>
      <c r="H270" s="2" t="inlineStr">
        <is>
          <t>Зиннуров Ильнур</t>
        </is>
      </c>
      <c r="J270" s="3" t="inlineStr">
        <is>
          <t>2026SS</t>
        </is>
      </c>
      <c r="K270" s="3" t="n">
        <v>18604</v>
      </c>
      <c r="L270" s="3" t="n">
        <v>2584</v>
      </c>
      <c r="M270" s="3" t="n">
        <v>44</v>
      </c>
      <c r="N270" s="4">
        <f>IFERROR(L270/K270,0)</f>
        <v/>
      </c>
      <c r="O270" s="4">
        <f>IFERROR(M270/L270,0)</f>
        <v/>
      </c>
      <c r="P270" t="n">
        <v>398</v>
      </c>
      <c r="Q270" s="5" t="n">
        <v>1</v>
      </c>
      <c r="R270" s="7" t="n">
        <v>1</v>
      </c>
      <c r="S270">
        <f>IF(OR(N270&lt;$T$1*0.5,O270&lt;$U$1*0.5),"код для проверки","нормальный код")</f>
        <v/>
      </c>
      <c r="T270">
        <f>IF(N270&lt;$T$1*0.5,"Низшая четверть",IF(N270&lt;$T$1,"Вторая четверть","Больше половины"))</f>
        <v/>
      </c>
      <c r="U270">
        <f>IF(O270&lt;$U$1*0.5,"Низшая четверть",IF(O270&lt;$U$1,"Вторая четверть","Больше половины"))</f>
        <v/>
      </c>
      <c r="V270">
        <f>IF(OR(N270&lt;SUMIFS(L:L,R:R,1,E:E,E270)/SUMIFS(K:K,R:R,1,E:E,E270)*0.5,O270&lt;SUMIFS(M:M,R:R,1,E:E,E270)/SUMIFS(L:L,R:R,1,E:E,E270)*0.5),"код для проверки","нормальный код")</f>
        <v/>
      </c>
      <c r="W270">
        <f>IF(N270&lt;SUMIFS(L:L,R:R,1,E:E,E270)/SUMIFS(K:K,R:R,1,E:E,E270)*0.5,"Низшая четверть",IF(N270&lt;SUMIFS(L:L,R:R,1,E:E,E270)/SUMIFS(K:K,R:R,1,E:E,E270),"Вторая четверть","Больше половины"))</f>
        <v/>
      </c>
      <c r="X270">
        <f>IF(O270&lt;SUMIFS(M:M,R:R,1,E:E,E270)/SUMIFS(L:L,R:R,1,E:E,E270)*0.5,"Низшая четверть",IF(O270&lt;SUMIFS(M:M,R:R,1,E:E,E270)/SUMIFS(L:L,R:R,1,E:E,E270),"Вторая четверть","Больше половины"))</f>
        <v/>
      </c>
      <c r="Y270" t="n">
        <v>11</v>
      </c>
    </row>
    <row r="271">
      <c r="A271" s="1" t="inlineStr">
        <is>
          <t>53600270</t>
        </is>
      </c>
      <c r="B271" s="2" t="inlineStr">
        <is>
          <t>699198387</t>
        </is>
      </c>
      <c r="C271" s="3" t="inlineStr">
        <is>
          <t>Одежда для детей</t>
        </is>
      </c>
      <c r="D271" s="2" t="inlineStr">
        <is>
          <t>Платья, майки, футболки детские для девочек</t>
        </is>
      </c>
      <c r="E271" s="3" t="inlineStr">
        <is>
          <t>536 Платье летнее детское</t>
        </is>
      </c>
      <c r="F271" s="2" t="inlineStr">
        <is>
          <t>лето</t>
        </is>
      </c>
      <c r="G271" s="3" t="inlineStr">
        <is>
          <t>kari</t>
        </is>
      </c>
      <c r="H271" s="2" t="inlineStr">
        <is>
          <t>Зиннуров Ильнур</t>
        </is>
      </c>
      <c r="J271" s="3" t="inlineStr">
        <is>
          <t>2026SS</t>
        </is>
      </c>
      <c r="K271" s="3" t="n">
        <v>18533</v>
      </c>
      <c r="L271" s="3" t="n">
        <v>2085</v>
      </c>
      <c r="M271" s="3" t="n">
        <v>20</v>
      </c>
      <c r="N271" s="4">
        <f>IFERROR(L271/K271,0)</f>
        <v/>
      </c>
      <c r="O271" s="4">
        <f>IFERROR(M271/L271,0)</f>
        <v/>
      </c>
      <c r="P271" t="n">
        <v>438</v>
      </c>
      <c r="Q271" s="5" t="n">
        <v>1</v>
      </c>
      <c r="R271" s="7" t="n">
        <v>1</v>
      </c>
      <c r="S271">
        <f>IF(OR(N271&lt;$T$1*0.5,O271&lt;$U$1*0.5),"код для проверки","нормальный код")</f>
        <v/>
      </c>
      <c r="T271">
        <f>IF(N271&lt;$T$1*0.5,"Низшая четверть",IF(N271&lt;$T$1,"Вторая четверть","Больше половины"))</f>
        <v/>
      </c>
      <c r="U271">
        <f>IF(O271&lt;$U$1*0.5,"Низшая четверть",IF(O271&lt;$U$1,"Вторая четверть","Больше половины"))</f>
        <v/>
      </c>
      <c r="V271">
        <f>IF(OR(N271&lt;SUMIFS(L:L,R:R,1,E:E,E271)/SUMIFS(K:K,R:R,1,E:E,E271)*0.5,O271&lt;SUMIFS(M:M,R:R,1,E:E,E271)/SUMIFS(L:L,R:R,1,E:E,E271)*0.5),"код для проверки","нормальный код")</f>
        <v/>
      </c>
      <c r="W271">
        <f>IF(N271&lt;SUMIFS(L:L,R:R,1,E:E,E271)/SUMIFS(K:K,R:R,1,E:E,E271)*0.5,"Низшая четверть",IF(N271&lt;SUMIFS(L:L,R:R,1,E:E,E271)/SUMIFS(K:K,R:R,1,E:E,E271),"Вторая четверть","Больше половины"))</f>
        <v/>
      </c>
      <c r="X271">
        <f>IF(O271&lt;SUMIFS(M:M,R:R,1,E:E,E271)/SUMIFS(L:L,R:R,1,E:E,E271)*0.5,"Низшая четверть",IF(O271&lt;SUMIFS(M:M,R:R,1,E:E,E271)/SUMIFS(L:L,R:R,1,E:E,E271),"Вторая четверть","Больше половины"))</f>
        <v/>
      </c>
      <c r="Y271" t="n">
        <v>16</v>
      </c>
    </row>
    <row r="272">
      <c r="A272" s="1" t="inlineStr">
        <is>
          <t>57300150</t>
        </is>
      </c>
      <c r="B272" s="2" t="inlineStr">
        <is>
          <t>725305700</t>
        </is>
      </c>
      <c r="C272" s="3" t="inlineStr">
        <is>
          <t>Одежда для детей</t>
        </is>
      </c>
      <c r="D272" s="2" t="inlineStr">
        <is>
          <t>Одежда для новорожденных</t>
        </is>
      </c>
      <c r="E272" s="3" t="inlineStr">
        <is>
          <t>573 Штанишки для маленькой девочки</t>
        </is>
      </c>
      <c r="F272" s="2" t="inlineStr">
        <is>
          <t>всесезонный</t>
        </is>
      </c>
      <c r="G272" s="3" t="inlineStr">
        <is>
          <t>Kari baby</t>
        </is>
      </c>
      <c r="H272" s="2" t="inlineStr">
        <is>
          <t>Зиннуров Ильнур</t>
        </is>
      </c>
      <c r="J272" s="3" t="inlineStr">
        <is>
          <t>2026SS</t>
        </is>
      </c>
      <c r="K272" s="3" t="n">
        <v>18364</v>
      </c>
      <c r="L272" s="3" t="n">
        <v>1653</v>
      </c>
      <c r="M272" s="3" t="n">
        <v>36</v>
      </c>
      <c r="N272" s="4">
        <f>IFERROR(L272/K272,0)</f>
        <v/>
      </c>
      <c r="O272" s="4">
        <f>IFERROR(M272/L272,0)</f>
        <v/>
      </c>
      <c r="P272" t="n">
        <v>122</v>
      </c>
      <c r="Q272" s="5" t="n">
        <v>1</v>
      </c>
      <c r="R272" s="7" t="n">
        <v>1</v>
      </c>
      <c r="S272">
        <f>IF(OR(N272&lt;$T$1*0.5,O272&lt;$U$1*0.5),"код для проверки","нормальный код")</f>
        <v/>
      </c>
      <c r="T272">
        <f>IF(N272&lt;$T$1*0.5,"Низшая четверть",IF(N272&lt;$T$1,"Вторая четверть","Больше половины"))</f>
        <v/>
      </c>
      <c r="U272">
        <f>IF(O272&lt;$U$1*0.5,"Низшая четверть",IF(O272&lt;$U$1,"Вторая четверть","Больше половины"))</f>
        <v/>
      </c>
      <c r="V272">
        <f>IF(OR(N272&lt;SUMIFS(L:L,R:R,1,E:E,E272)/SUMIFS(K:K,R:R,1,E:E,E272)*0.5,O272&lt;SUMIFS(M:M,R:R,1,E:E,E272)/SUMIFS(L:L,R:R,1,E:E,E272)*0.5),"код для проверки","нормальный код")</f>
        <v/>
      </c>
      <c r="W272">
        <f>IF(N272&lt;SUMIFS(L:L,R:R,1,E:E,E272)/SUMIFS(K:K,R:R,1,E:E,E272)*0.5,"Низшая четверть",IF(N272&lt;SUMIFS(L:L,R:R,1,E:E,E272)/SUMIFS(K:K,R:R,1,E:E,E272),"Вторая четверть","Больше половины"))</f>
        <v/>
      </c>
      <c r="X272">
        <f>IF(O272&lt;SUMIFS(M:M,R:R,1,E:E,E272)/SUMIFS(L:L,R:R,1,E:E,E272)*0.5,"Низшая четверть",IF(O272&lt;SUMIFS(M:M,R:R,1,E:E,E272)/SUMIFS(L:L,R:R,1,E:E,E272),"Вторая четверть","Больше половины"))</f>
        <v/>
      </c>
      <c r="Y272" t="n">
        <v>18</v>
      </c>
    </row>
    <row r="273">
      <c r="A273" s="1" t="inlineStr">
        <is>
          <t>96600040</t>
        </is>
      </c>
      <c r="B273" s="2" t="inlineStr">
        <is>
          <t>726770087</t>
        </is>
      </c>
      <c r="C273" s="3" t="inlineStr">
        <is>
          <t>Одежда для детей</t>
        </is>
      </c>
      <c r="D273" s="2" t="inlineStr">
        <is>
          <t>Платья, майки, футболки детские для девочек</t>
        </is>
      </c>
      <c r="E273" s="3" t="inlineStr">
        <is>
          <t>966 Сарафан джинсовый детский для девочек</t>
        </is>
      </c>
      <c r="F273" s="2" t="inlineStr">
        <is>
          <t>весна, лето</t>
        </is>
      </c>
      <c r="G273" s="3" t="inlineStr">
        <is>
          <t>kari</t>
        </is>
      </c>
      <c r="H273" s="2" t="inlineStr">
        <is>
          <t>Зиннуров Ильнур</t>
        </is>
      </c>
      <c r="J273" s="3" t="inlineStr">
        <is>
          <t>2026SS</t>
        </is>
      </c>
      <c r="K273" s="3" t="n">
        <v>18313</v>
      </c>
      <c r="L273" s="3" t="n">
        <v>1595</v>
      </c>
      <c r="M273" s="3" t="n">
        <v>33</v>
      </c>
      <c r="N273" s="4">
        <f>IFERROR(L273/K273,0)</f>
        <v/>
      </c>
      <c r="O273" s="4">
        <f>IFERROR(M273/L273,0)</f>
        <v/>
      </c>
      <c r="P273" t="n">
        <v>417</v>
      </c>
      <c r="Q273" s="5" t="n">
        <v>1</v>
      </c>
      <c r="R273" s="7" t="n">
        <v>1</v>
      </c>
      <c r="S273">
        <f>IF(OR(N273&lt;$T$1*0.5,O273&lt;$U$1*0.5),"код для проверки","нормальный код")</f>
        <v/>
      </c>
      <c r="T273">
        <f>IF(N273&lt;$T$1*0.5,"Низшая четверть",IF(N273&lt;$T$1,"Вторая четверть","Больше половины"))</f>
        <v/>
      </c>
      <c r="U273">
        <f>IF(O273&lt;$U$1*0.5,"Низшая четверть",IF(O273&lt;$U$1,"Вторая четверть","Больше половины"))</f>
        <v/>
      </c>
      <c r="V273">
        <f>IF(OR(N273&lt;SUMIFS(L:L,R:R,1,E:E,E273)/SUMIFS(K:K,R:R,1,E:E,E273)*0.5,O273&lt;SUMIFS(M:M,R:R,1,E:E,E273)/SUMIFS(L:L,R:R,1,E:E,E273)*0.5),"код для проверки","нормальный код")</f>
        <v/>
      </c>
      <c r="W273">
        <f>IF(N273&lt;SUMIFS(L:L,R:R,1,E:E,E273)/SUMIFS(K:K,R:R,1,E:E,E273)*0.5,"Низшая четверть",IF(N273&lt;SUMIFS(L:L,R:R,1,E:E,E273)/SUMIFS(K:K,R:R,1,E:E,E273),"Вторая четверть","Больше половины"))</f>
        <v/>
      </c>
      <c r="X273">
        <f>IF(O273&lt;SUMIFS(M:M,R:R,1,E:E,E273)/SUMIFS(L:L,R:R,1,E:E,E273)*0.5,"Низшая четверть",IF(O273&lt;SUMIFS(M:M,R:R,1,E:E,E273)/SUMIFS(L:L,R:R,1,E:E,E273),"Вторая четверть","Больше половины"))</f>
        <v/>
      </c>
      <c r="Y273" t="n">
        <v>17</v>
      </c>
    </row>
    <row r="274">
      <c r="A274" s="1" t="inlineStr">
        <is>
          <t>56900140</t>
        </is>
      </c>
      <c r="B274" s="2" t="inlineStr">
        <is>
          <t>768806491</t>
        </is>
      </c>
      <c r="C274" s="3" t="inlineStr">
        <is>
          <t>Одежда для детей</t>
        </is>
      </c>
      <c r="D274" s="2" t="inlineStr">
        <is>
          <t>Одежда для новорожденных</t>
        </is>
      </c>
      <c r="E274" s="3" t="inlineStr">
        <is>
          <t>569 Комбинезон для маленькой девочки</t>
        </is>
      </c>
      <c r="F274" s="2" t="inlineStr">
        <is>
          <t>всесезонный</t>
        </is>
      </c>
      <c r="G274" s="3" t="inlineStr">
        <is>
          <t>Kari baby</t>
        </is>
      </c>
      <c r="H274" s="2" t="inlineStr">
        <is>
          <t>Зиннуров Ильнур</t>
        </is>
      </c>
      <c r="J274" s="3" t="inlineStr">
        <is>
          <t>2026SS</t>
        </is>
      </c>
      <c r="K274" s="3" t="n">
        <v>18260</v>
      </c>
      <c r="L274" s="3" t="n">
        <v>1035</v>
      </c>
      <c r="M274" s="3" t="n">
        <v>14</v>
      </c>
      <c r="N274" s="4">
        <f>IFERROR(L274/K274,0)</f>
        <v/>
      </c>
      <c r="O274" s="4">
        <f>IFERROR(M274/L274,0)</f>
        <v/>
      </c>
      <c r="P274" t="n">
        <v>384</v>
      </c>
      <c r="Q274" s="5" t="n">
        <v>1</v>
      </c>
      <c r="R274" s="7" t="n">
        <v>1</v>
      </c>
      <c r="S274">
        <f>IF(OR(N274&lt;$T$1*0.5,O274&lt;$U$1*0.5),"код для проверки","нормальный код")</f>
        <v/>
      </c>
      <c r="T274">
        <f>IF(N274&lt;$T$1*0.5,"Низшая четверть",IF(N274&lt;$T$1,"Вторая четверть","Больше половины"))</f>
        <v/>
      </c>
      <c r="U274">
        <f>IF(O274&lt;$U$1*0.5,"Низшая четверть",IF(O274&lt;$U$1,"Вторая четверть","Больше половины"))</f>
        <v/>
      </c>
      <c r="V274">
        <f>IF(OR(N274&lt;SUMIFS(L:L,R:R,1,E:E,E274)/SUMIFS(K:K,R:R,1,E:E,E274)*0.5,O274&lt;SUMIFS(M:M,R:R,1,E:E,E274)/SUMIFS(L:L,R:R,1,E:E,E274)*0.5),"код для проверки","нормальный код")</f>
        <v/>
      </c>
      <c r="W274">
        <f>IF(N274&lt;SUMIFS(L:L,R:R,1,E:E,E274)/SUMIFS(K:K,R:R,1,E:E,E274)*0.5,"Низшая четверть",IF(N274&lt;SUMIFS(L:L,R:R,1,E:E,E274)/SUMIFS(K:K,R:R,1,E:E,E274),"Вторая четверть","Больше половины"))</f>
        <v/>
      </c>
      <c r="X274">
        <f>IF(O274&lt;SUMIFS(M:M,R:R,1,E:E,E274)/SUMIFS(L:L,R:R,1,E:E,E274)*0.5,"Низшая четверть",IF(O274&lt;SUMIFS(M:M,R:R,1,E:E,E274)/SUMIFS(L:L,R:R,1,E:E,E274),"Вторая четверть","Больше половины"))</f>
        <v/>
      </c>
      <c r="Y274" t="n">
        <v>16</v>
      </c>
    </row>
    <row r="275">
      <c r="A275" s="1" t="inlineStr">
        <is>
          <t>a6000090</t>
        </is>
      </c>
      <c r="B275" s="2" t="inlineStr">
        <is>
          <t>708049716</t>
        </is>
      </c>
      <c r="C275" s="3" t="inlineStr">
        <is>
          <t>Одежда для детей</t>
        </is>
      </c>
      <c r="D275" s="2" t="inlineStr">
        <is>
          <t>Платья, майки, футболки детские для девочек</t>
        </is>
      </c>
      <c r="E275" s="3" t="inlineStr">
        <is>
          <t>a60 Футболка детская для девочек</t>
        </is>
      </c>
      <c r="F275" s="2" t="inlineStr">
        <is>
          <t>всесезонный</t>
        </is>
      </c>
      <c r="G275" s="3" t="inlineStr">
        <is>
          <t>Kari KIDS</t>
        </is>
      </c>
      <c r="H275" s="2" t="inlineStr">
        <is>
          <t>Зиннуров Ильнур</t>
        </is>
      </c>
      <c r="J275" s="3" t="inlineStr">
        <is>
          <t>2026SS</t>
        </is>
      </c>
      <c r="K275" s="3" t="n">
        <v>18235</v>
      </c>
      <c r="L275" s="3" t="n">
        <v>5640</v>
      </c>
      <c r="M275" s="3" t="n">
        <v>117</v>
      </c>
      <c r="N275" s="4">
        <f>IFERROR(L275/K275,0)</f>
        <v/>
      </c>
      <c r="O275" s="4">
        <f>IFERROR(M275/L275,0)</f>
        <v/>
      </c>
      <c r="P275" t="n">
        <v>1831</v>
      </c>
      <c r="Q275" s="5" t="n">
        <v>1</v>
      </c>
      <c r="R275" s="7" t="n">
        <v>1</v>
      </c>
      <c r="S275">
        <f>IF(OR(N275&lt;$T$1*0.5,O275&lt;$U$1*0.5),"код для проверки","нормальный код")</f>
        <v/>
      </c>
      <c r="T275">
        <f>IF(N275&lt;$T$1*0.5,"Низшая четверть",IF(N275&lt;$T$1,"Вторая четверть","Больше половины"))</f>
        <v/>
      </c>
      <c r="U275">
        <f>IF(O275&lt;$U$1*0.5,"Низшая четверть",IF(O275&lt;$U$1,"Вторая четверть","Больше половины"))</f>
        <v/>
      </c>
      <c r="V275">
        <f>IF(OR(N275&lt;SUMIFS(L:L,R:R,1,E:E,E275)/SUMIFS(K:K,R:R,1,E:E,E275)*0.5,O275&lt;SUMIFS(M:M,R:R,1,E:E,E275)/SUMIFS(L:L,R:R,1,E:E,E275)*0.5),"код для проверки","нормальный код")</f>
        <v/>
      </c>
      <c r="W275">
        <f>IF(N275&lt;SUMIFS(L:L,R:R,1,E:E,E275)/SUMIFS(K:K,R:R,1,E:E,E275)*0.5,"Низшая четверть",IF(N275&lt;SUMIFS(L:L,R:R,1,E:E,E275)/SUMIFS(K:K,R:R,1,E:E,E275),"Вторая четверть","Больше половины"))</f>
        <v/>
      </c>
      <c r="X275">
        <f>IF(O275&lt;SUMIFS(M:M,R:R,1,E:E,E275)/SUMIFS(L:L,R:R,1,E:E,E275)*0.5,"Низшая четверть",IF(O275&lt;SUMIFS(M:M,R:R,1,E:E,E275)/SUMIFS(L:L,R:R,1,E:E,E275),"Вторая четверть","Больше половины"))</f>
        <v/>
      </c>
      <c r="Y275" t="n">
        <v>14</v>
      </c>
    </row>
    <row r="276">
      <c r="A276" s="1" t="inlineStr">
        <is>
          <t>39300550</t>
        </is>
      </c>
      <c r="B276" s="2" t="inlineStr">
        <is>
          <t>697334112</t>
        </is>
      </c>
      <c r="C276" s="3" t="inlineStr">
        <is>
          <t>Одежда для детей</t>
        </is>
      </c>
      <c r="D276" s="2" t="inlineStr">
        <is>
          <t>Чулочные и носочные детские изделия для девочек</t>
        </is>
      </c>
      <c r="E276" s="3" t="inlineStr">
        <is>
          <t>393 Детские легинсы</t>
        </is>
      </c>
      <c r="F276" s="2" t="inlineStr">
        <is>
          <t>всесезонный</t>
        </is>
      </c>
      <c r="G276" s="3" t="inlineStr">
        <is>
          <t>Kari KIDS</t>
        </is>
      </c>
      <c r="H276" s="2" t="inlineStr">
        <is>
          <t>Зиннуров Ильнур</t>
        </is>
      </c>
      <c r="J276" s="3" t="inlineStr">
        <is>
          <t>2026SS</t>
        </is>
      </c>
      <c r="K276" s="3" t="n">
        <v>18189</v>
      </c>
      <c r="L276" s="3" t="n">
        <v>2285</v>
      </c>
      <c r="M276" s="3" t="n">
        <v>71</v>
      </c>
      <c r="N276" s="4">
        <f>IFERROR(L276/K276,0)</f>
        <v/>
      </c>
      <c r="O276" s="4">
        <f>IFERROR(M276/L276,0)</f>
        <v/>
      </c>
      <c r="P276" t="n">
        <v>648</v>
      </c>
      <c r="Q276" s="5" t="n">
        <v>1</v>
      </c>
      <c r="R276" s="7" t="n">
        <v>1</v>
      </c>
      <c r="S276">
        <f>IF(OR(N276&lt;$T$1*0.5,O276&lt;$U$1*0.5),"код для проверки","нормальный код")</f>
        <v/>
      </c>
      <c r="T276">
        <f>IF(N276&lt;$T$1*0.5,"Низшая четверть",IF(N276&lt;$T$1,"Вторая четверть","Больше половины"))</f>
        <v/>
      </c>
      <c r="U276">
        <f>IF(O276&lt;$U$1*0.5,"Низшая четверть",IF(O276&lt;$U$1,"Вторая четверть","Больше половины"))</f>
        <v/>
      </c>
      <c r="V276">
        <f>IF(OR(N276&lt;SUMIFS(L:L,R:R,1,E:E,E276)/SUMIFS(K:K,R:R,1,E:E,E276)*0.5,O276&lt;SUMIFS(M:M,R:R,1,E:E,E276)/SUMIFS(L:L,R:R,1,E:E,E276)*0.5),"код для проверки","нормальный код")</f>
        <v/>
      </c>
      <c r="W276">
        <f>IF(N276&lt;SUMIFS(L:L,R:R,1,E:E,E276)/SUMIFS(K:K,R:R,1,E:E,E276)*0.5,"Низшая четверть",IF(N276&lt;SUMIFS(L:L,R:R,1,E:E,E276)/SUMIFS(K:K,R:R,1,E:E,E276),"Вторая четверть","Больше половины"))</f>
        <v/>
      </c>
      <c r="X276">
        <f>IF(O276&lt;SUMIFS(M:M,R:R,1,E:E,E276)/SUMIFS(L:L,R:R,1,E:E,E276)*0.5,"Низшая четверть",IF(O276&lt;SUMIFS(M:M,R:R,1,E:E,E276)/SUMIFS(L:L,R:R,1,E:E,E276),"Вторая четверть","Больше половины"))</f>
        <v/>
      </c>
      <c r="Y276" t="n">
        <v>15</v>
      </c>
    </row>
    <row r="277">
      <c r="A277" s="1" t="inlineStr">
        <is>
          <t>094000R0</t>
        </is>
      </c>
      <c r="B277" s="2" t="inlineStr">
        <is>
          <t>710326729</t>
        </is>
      </c>
      <c r="C277" s="3" t="inlineStr">
        <is>
          <t>Одежда и аксессуары</t>
        </is>
      </c>
      <c r="D277" s="2" t="inlineStr">
        <is>
          <t>Купальники женские</t>
        </is>
      </c>
      <c r="E277" s="3" t="inlineStr">
        <is>
          <t>094 Купальник</t>
        </is>
      </c>
      <c r="F277" s="2" t="inlineStr">
        <is>
          <t>лето</t>
        </is>
      </c>
      <c r="G277" s="3" t="inlineStr">
        <is>
          <t>kari</t>
        </is>
      </c>
      <c r="H277" s="2" t="inlineStr">
        <is>
          <t>Никонорова Алина</t>
        </is>
      </c>
      <c r="J277" s="3" t="inlineStr">
        <is>
          <t>2026SS</t>
        </is>
      </c>
      <c r="K277" s="3" t="n">
        <v>18144</v>
      </c>
      <c r="L277" s="3" t="n">
        <v>6699</v>
      </c>
      <c r="M277" s="3" t="n">
        <v>114</v>
      </c>
      <c r="N277" s="4">
        <f>IFERROR(L277/K277,0)</f>
        <v/>
      </c>
      <c r="O277" s="4">
        <f>IFERROR(M277/L277,0)</f>
        <v/>
      </c>
      <c r="P277" t="n">
        <v>1139</v>
      </c>
      <c r="Q277" s="5" t="n">
        <v>0.6666666666666666</v>
      </c>
      <c r="R277" s="7" t="n">
        <v>1</v>
      </c>
      <c r="S277">
        <f>IF(OR(N277&lt;$T$1*0.5,O277&lt;$U$1*0.5),"код для проверки","нормальный код")</f>
        <v/>
      </c>
      <c r="T277">
        <f>IF(N277&lt;$T$1*0.5,"Низшая четверть",IF(N277&lt;$T$1,"Вторая четверть","Больше половины"))</f>
        <v/>
      </c>
      <c r="U277">
        <f>IF(O277&lt;$U$1*0.5,"Низшая четверть",IF(O277&lt;$U$1,"Вторая четверть","Больше половины"))</f>
        <v/>
      </c>
      <c r="V277">
        <f>IF(OR(N277&lt;SUMIFS(L:L,R:R,1,E:E,E277)/SUMIFS(K:K,R:R,1,E:E,E277)*0.5,O277&lt;SUMIFS(M:M,R:R,1,E:E,E277)/SUMIFS(L:L,R:R,1,E:E,E277)*0.5),"код для проверки","нормальный код")</f>
        <v/>
      </c>
      <c r="W277">
        <f>IF(N277&lt;SUMIFS(L:L,R:R,1,E:E,E277)/SUMIFS(K:K,R:R,1,E:E,E277)*0.5,"Низшая четверть",IF(N277&lt;SUMIFS(L:L,R:R,1,E:E,E277)/SUMIFS(K:K,R:R,1,E:E,E277),"Вторая четверть","Больше половины"))</f>
        <v/>
      </c>
      <c r="X277">
        <f>IF(O277&lt;SUMIFS(M:M,R:R,1,E:E,E277)/SUMIFS(L:L,R:R,1,E:E,E277)*0.5,"Низшая четверть",IF(O277&lt;SUMIFS(M:M,R:R,1,E:E,E277)/SUMIFS(L:L,R:R,1,E:E,E277),"Вторая четверть","Больше половины"))</f>
        <v/>
      </c>
      <c r="Y277" t="n">
        <v>24</v>
      </c>
    </row>
    <row r="278">
      <c r="A278" s="1" t="inlineStr">
        <is>
          <t>09400400</t>
        </is>
      </c>
      <c r="B278" s="2" t="inlineStr">
        <is>
          <t>712237381</t>
        </is>
      </c>
      <c r="C278" s="3" t="inlineStr">
        <is>
          <t>Одежда и аксессуары</t>
        </is>
      </c>
      <c r="D278" s="2" t="inlineStr">
        <is>
          <t>Купальники женские</t>
        </is>
      </c>
      <c r="E278" s="3" t="inlineStr">
        <is>
          <t>094 Купальник</t>
        </is>
      </c>
      <c r="F278" s="2" t="inlineStr">
        <is>
          <t>лето</t>
        </is>
      </c>
      <c r="G278" s="3" t="inlineStr">
        <is>
          <t>kari</t>
        </is>
      </c>
      <c r="H278" s="2" t="inlineStr">
        <is>
          <t>Никонорова Алина</t>
        </is>
      </c>
      <c r="J278" s="3" t="inlineStr">
        <is>
          <t>2026SS</t>
        </is>
      </c>
      <c r="K278" s="3" t="n">
        <v>18088</v>
      </c>
      <c r="L278" s="3" t="n">
        <v>8290</v>
      </c>
      <c r="M278" s="3" t="n">
        <v>180</v>
      </c>
      <c r="N278" s="4">
        <f>IFERROR(L278/K278,0)</f>
        <v/>
      </c>
      <c r="O278" s="4">
        <f>IFERROR(M278/L278,0)</f>
        <v/>
      </c>
      <c r="P278" t="n">
        <v>2634</v>
      </c>
      <c r="Q278" s="5" t="n">
        <v>0.7777777777777778</v>
      </c>
      <c r="R278" s="7" t="n">
        <v>1</v>
      </c>
      <c r="S278">
        <f>IF(OR(N278&lt;$T$1*0.5,O278&lt;$U$1*0.5),"код для проверки","нормальный код")</f>
        <v/>
      </c>
      <c r="T278">
        <f>IF(N278&lt;$T$1*0.5,"Низшая четверть",IF(N278&lt;$T$1,"Вторая четверть","Больше половины"))</f>
        <v/>
      </c>
      <c r="U278">
        <f>IF(O278&lt;$U$1*0.5,"Низшая четверть",IF(O278&lt;$U$1,"Вторая четверть","Больше половины"))</f>
        <v/>
      </c>
      <c r="V278">
        <f>IF(OR(N278&lt;SUMIFS(L:L,R:R,1,E:E,E278)/SUMIFS(K:K,R:R,1,E:E,E278)*0.5,O278&lt;SUMIFS(M:M,R:R,1,E:E,E278)/SUMIFS(L:L,R:R,1,E:E,E278)*0.5),"код для проверки","нормальный код")</f>
        <v/>
      </c>
      <c r="W278">
        <f>IF(N278&lt;SUMIFS(L:L,R:R,1,E:E,E278)/SUMIFS(K:K,R:R,1,E:E,E278)*0.5,"Низшая четверть",IF(N278&lt;SUMIFS(L:L,R:R,1,E:E,E278)/SUMIFS(K:K,R:R,1,E:E,E278),"Вторая четверть","Больше половины"))</f>
        <v/>
      </c>
      <c r="X278">
        <f>IF(O278&lt;SUMIFS(M:M,R:R,1,E:E,E278)/SUMIFS(L:L,R:R,1,E:E,E278)*0.5,"Низшая четверть",IF(O278&lt;SUMIFS(M:M,R:R,1,E:E,E278)/SUMIFS(L:L,R:R,1,E:E,E278),"Вторая четверть","Больше половины"))</f>
        <v/>
      </c>
      <c r="Y278" t="n">
        <v>20</v>
      </c>
    </row>
    <row r="279">
      <c r="A279" s="1" t="inlineStr">
        <is>
          <t>56800120</t>
        </is>
      </c>
      <c r="B279" s="2" t="inlineStr">
        <is>
          <t>790515614</t>
        </is>
      </c>
      <c r="C279" s="3" t="inlineStr">
        <is>
          <t>Одежда для детей</t>
        </is>
      </c>
      <c r="D279" s="2" t="inlineStr">
        <is>
          <t>Одежда для новорожденных</t>
        </is>
      </c>
      <c r="E279" s="3" t="inlineStr">
        <is>
          <t>568 Боди с коротким рукавом для девочек</t>
        </is>
      </c>
      <c r="F279" s="2" t="inlineStr">
        <is>
          <t>всесезонный</t>
        </is>
      </c>
      <c r="G279" s="3" t="inlineStr">
        <is>
          <t>Kari baby</t>
        </is>
      </c>
      <c r="H279" s="2" t="inlineStr">
        <is>
          <t>Зиннуров Ильнур</t>
        </is>
      </c>
      <c r="J279" s="3" t="inlineStr">
        <is>
          <t>2026SS</t>
        </is>
      </c>
      <c r="K279" s="3" t="n">
        <v>18013</v>
      </c>
      <c r="L279" s="3" t="n">
        <v>1968</v>
      </c>
      <c r="M279" s="3" t="n">
        <v>41</v>
      </c>
      <c r="N279" s="4">
        <f>IFERROR(L279/K279,0)</f>
        <v/>
      </c>
      <c r="O279" s="4">
        <f>IFERROR(M279/L279,0)</f>
        <v/>
      </c>
      <c r="P279" t="n">
        <v>542</v>
      </c>
      <c r="Q279" s="5" t="n">
        <v>1</v>
      </c>
      <c r="R279" s="7" t="n">
        <v>1</v>
      </c>
      <c r="S279">
        <f>IF(OR(N279&lt;$T$1*0.5,O279&lt;$U$1*0.5),"код для проверки","нормальный код")</f>
        <v/>
      </c>
      <c r="T279">
        <f>IF(N279&lt;$T$1*0.5,"Низшая четверть",IF(N279&lt;$T$1,"Вторая четверть","Больше половины"))</f>
        <v/>
      </c>
      <c r="U279">
        <f>IF(O279&lt;$U$1*0.5,"Низшая четверть",IF(O279&lt;$U$1,"Вторая четверть","Больше половины"))</f>
        <v/>
      </c>
      <c r="V279">
        <f>IF(OR(N279&lt;SUMIFS(L:L,R:R,1,E:E,E279)/SUMIFS(K:K,R:R,1,E:E,E279)*0.5,O279&lt;SUMIFS(M:M,R:R,1,E:E,E279)/SUMIFS(L:L,R:R,1,E:E,E279)*0.5),"код для проверки","нормальный код")</f>
        <v/>
      </c>
      <c r="W279">
        <f>IF(N279&lt;SUMIFS(L:L,R:R,1,E:E,E279)/SUMIFS(K:K,R:R,1,E:E,E279)*0.5,"Низшая четверть",IF(N279&lt;SUMIFS(L:L,R:R,1,E:E,E279)/SUMIFS(K:K,R:R,1,E:E,E279),"Вторая четверть","Больше половины"))</f>
        <v/>
      </c>
      <c r="X279">
        <f>IF(O279&lt;SUMIFS(M:M,R:R,1,E:E,E279)/SUMIFS(L:L,R:R,1,E:E,E279)*0.5,"Низшая четверть",IF(O279&lt;SUMIFS(M:M,R:R,1,E:E,E279)/SUMIFS(L:L,R:R,1,E:E,E279),"Вторая четверть","Больше половины"))</f>
        <v/>
      </c>
      <c r="Y279" t="n">
        <v>13</v>
      </c>
    </row>
    <row r="280">
      <c r="A280" s="1" t="inlineStr">
        <is>
          <t>30200280</t>
        </is>
      </c>
      <c r="B280" s="2" t="inlineStr">
        <is>
          <t>716072390</t>
        </is>
      </c>
      <c r="C280" s="3" t="inlineStr">
        <is>
          <t>Одежда для детей</t>
        </is>
      </c>
      <c r="D280" s="2" t="inlineStr">
        <is>
          <t>Платья, майки, футболки детские для девочек</t>
        </is>
      </c>
      <c r="E280" s="3" t="inlineStr">
        <is>
          <t>302 Юбка детская для девочек</t>
        </is>
      </c>
      <c r="F280" s="2" t="inlineStr">
        <is>
          <t>всесезонный</t>
        </is>
      </c>
      <c r="G280" s="3" t="inlineStr">
        <is>
          <t>kari</t>
        </is>
      </c>
      <c r="H280" s="2" t="inlineStr">
        <is>
          <t>Зиннуров Ильнур</t>
        </is>
      </c>
      <c r="J280" s="3" t="inlineStr">
        <is>
          <t>2026SS</t>
        </is>
      </c>
      <c r="K280" s="3" t="n">
        <v>17958</v>
      </c>
      <c r="L280" s="3" t="n">
        <v>1531</v>
      </c>
      <c r="M280" s="3" t="n">
        <v>20</v>
      </c>
      <c r="N280" s="4">
        <f>IFERROR(L280/K280,0)</f>
        <v/>
      </c>
      <c r="O280" s="4">
        <f>IFERROR(M280/L280,0)</f>
        <v/>
      </c>
      <c r="P280" t="n">
        <v>406</v>
      </c>
      <c r="Q280" s="5" t="n">
        <v>1</v>
      </c>
      <c r="R280" s="7" t="n">
        <v>1</v>
      </c>
      <c r="S280">
        <f>IF(OR(N280&lt;$T$1*0.5,O280&lt;$U$1*0.5),"код для проверки","нормальный код")</f>
        <v/>
      </c>
      <c r="T280">
        <f>IF(N280&lt;$T$1*0.5,"Низшая четверть",IF(N280&lt;$T$1,"Вторая четверть","Больше половины"))</f>
        <v/>
      </c>
      <c r="U280">
        <f>IF(O280&lt;$U$1*0.5,"Низшая четверть",IF(O280&lt;$U$1,"Вторая четверть","Больше половины"))</f>
        <v/>
      </c>
      <c r="V280">
        <f>IF(OR(N280&lt;SUMIFS(L:L,R:R,1,E:E,E280)/SUMIFS(K:K,R:R,1,E:E,E280)*0.5,O280&lt;SUMIFS(M:M,R:R,1,E:E,E280)/SUMIFS(L:L,R:R,1,E:E,E280)*0.5),"код для проверки","нормальный код")</f>
        <v/>
      </c>
      <c r="W280">
        <f>IF(N280&lt;SUMIFS(L:L,R:R,1,E:E,E280)/SUMIFS(K:K,R:R,1,E:E,E280)*0.5,"Низшая четверть",IF(N280&lt;SUMIFS(L:L,R:R,1,E:E,E280)/SUMIFS(K:K,R:R,1,E:E,E280),"Вторая четверть","Больше половины"))</f>
        <v/>
      </c>
      <c r="X280">
        <f>IF(O280&lt;SUMIFS(M:M,R:R,1,E:E,E280)/SUMIFS(L:L,R:R,1,E:E,E280)*0.5,"Низшая четверть",IF(O280&lt;SUMIFS(M:M,R:R,1,E:E,E280)/SUMIFS(L:L,R:R,1,E:E,E280),"Вторая четверть","Больше половины"))</f>
        <v/>
      </c>
      <c r="Y280" t="n">
        <v>19</v>
      </c>
    </row>
    <row r="281">
      <c r="A281" s="1" t="inlineStr">
        <is>
          <t>31000920</t>
        </is>
      </c>
      <c r="B281" s="2" t="inlineStr">
        <is>
          <t>728624330</t>
        </is>
      </c>
      <c r="C281" s="3" t="inlineStr">
        <is>
          <t>Одежда для детей</t>
        </is>
      </c>
      <c r="D281" s="2" t="inlineStr">
        <is>
          <t>Футболки, майки, рубашки детские для мальчиков</t>
        </is>
      </c>
      <c r="E281" s="3" t="inlineStr">
        <is>
          <t>310 Футболка детская для мальчиков</t>
        </is>
      </c>
      <c r="F281" s="2" t="inlineStr">
        <is>
          <t>всесезонный</t>
        </is>
      </c>
      <c r="G281" s="3" t="inlineStr">
        <is>
          <t>Kari KIDS</t>
        </is>
      </c>
      <c r="H281" s="2" t="inlineStr">
        <is>
          <t>Зиннуров Ильнур</t>
        </is>
      </c>
      <c r="J281" s="3" t="inlineStr">
        <is>
          <t>2026SS</t>
        </is>
      </c>
      <c r="K281" s="3" t="n">
        <v>17827</v>
      </c>
      <c r="L281" s="3" t="n">
        <v>1956</v>
      </c>
      <c r="M281" s="3" t="n">
        <v>96</v>
      </c>
      <c r="N281" s="4">
        <f>IFERROR(L281/K281,0)</f>
        <v/>
      </c>
      <c r="O281" s="4">
        <f>IFERROR(M281/L281,0)</f>
        <v/>
      </c>
      <c r="P281" t="n">
        <v>903</v>
      </c>
      <c r="Q281" s="5" t="n">
        <v>1</v>
      </c>
      <c r="R281" s="7" t="n">
        <v>1</v>
      </c>
      <c r="S281">
        <f>IF(OR(N281&lt;$T$1*0.5,O281&lt;$U$1*0.5),"код для проверки","нормальный код")</f>
        <v/>
      </c>
      <c r="T281">
        <f>IF(N281&lt;$T$1*0.5,"Низшая четверть",IF(N281&lt;$T$1,"Вторая четверть","Больше половины"))</f>
        <v/>
      </c>
      <c r="U281">
        <f>IF(O281&lt;$U$1*0.5,"Низшая четверть",IF(O281&lt;$U$1,"Вторая четверть","Больше половины"))</f>
        <v/>
      </c>
      <c r="V281">
        <f>IF(OR(N281&lt;SUMIFS(L:L,R:R,1,E:E,E281)/SUMIFS(K:K,R:R,1,E:E,E281)*0.5,O281&lt;SUMIFS(M:M,R:R,1,E:E,E281)/SUMIFS(L:L,R:R,1,E:E,E281)*0.5),"код для проверки","нормальный код")</f>
        <v/>
      </c>
      <c r="W281">
        <f>IF(N281&lt;SUMIFS(L:L,R:R,1,E:E,E281)/SUMIFS(K:K,R:R,1,E:E,E281)*0.5,"Низшая четверть",IF(N281&lt;SUMIFS(L:L,R:R,1,E:E,E281)/SUMIFS(K:K,R:R,1,E:E,E281),"Вторая четверть","Больше половины"))</f>
        <v/>
      </c>
      <c r="X281">
        <f>IF(O281&lt;SUMIFS(M:M,R:R,1,E:E,E281)/SUMIFS(L:L,R:R,1,E:E,E281)*0.5,"Низшая четверть",IF(O281&lt;SUMIFS(M:M,R:R,1,E:E,E281)/SUMIFS(L:L,R:R,1,E:E,E281),"Вторая четверть","Больше половины"))</f>
        <v/>
      </c>
      <c r="Y281" t="n">
        <v>13</v>
      </c>
    </row>
    <row r="282">
      <c r="A282" s="1" t="inlineStr">
        <is>
          <t>91100050</t>
        </is>
      </c>
      <c r="B282" s="2" t="inlineStr">
        <is>
          <t>775472391</t>
        </is>
      </c>
      <c r="C282" s="3" t="inlineStr">
        <is>
          <t>Одежда для детей</t>
        </is>
      </c>
      <c r="D282" s="2" t="inlineStr">
        <is>
          <t>Одежда для новорожденных</t>
        </is>
      </c>
      <c r="E282" s="3" t="inlineStr">
        <is>
          <t>911 Джемпер для маленькой девочки</t>
        </is>
      </c>
      <c r="F282" s="2" t="inlineStr">
        <is>
          <t>всесезонный</t>
        </is>
      </c>
      <c r="G282" s="3" t="inlineStr">
        <is>
          <t>Kari baby</t>
        </is>
      </c>
      <c r="H282" s="2" t="inlineStr">
        <is>
          <t>Зиннуров Ильнур</t>
        </is>
      </c>
      <c r="J282" s="3" t="inlineStr">
        <is>
          <t>2026SS</t>
        </is>
      </c>
      <c r="K282" s="3" t="n">
        <v>17795</v>
      </c>
      <c r="L282" s="3" t="n">
        <v>1172</v>
      </c>
      <c r="M282" s="3" t="n">
        <v>34</v>
      </c>
      <c r="N282" s="4">
        <f>IFERROR(L282/K282,0)</f>
        <v/>
      </c>
      <c r="O282" s="4">
        <f>IFERROR(M282/L282,0)</f>
        <v/>
      </c>
      <c r="P282" t="n">
        <v>200</v>
      </c>
      <c r="Q282" s="5" t="n">
        <v>1</v>
      </c>
      <c r="R282" s="7" t="n">
        <v>1</v>
      </c>
      <c r="S282">
        <f>IF(OR(N282&lt;$T$1*0.5,O282&lt;$U$1*0.5),"код для проверки","нормальный код")</f>
        <v/>
      </c>
      <c r="T282">
        <f>IF(N282&lt;$T$1*0.5,"Низшая четверть",IF(N282&lt;$T$1,"Вторая четверть","Больше половины"))</f>
        <v/>
      </c>
      <c r="U282">
        <f>IF(O282&lt;$U$1*0.5,"Низшая четверть",IF(O282&lt;$U$1,"Вторая четверть","Больше половины"))</f>
        <v/>
      </c>
      <c r="V282">
        <f>IF(OR(N282&lt;SUMIFS(L:L,R:R,1,E:E,E282)/SUMIFS(K:K,R:R,1,E:E,E282)*0.5,O282&lt;SUMIFS(M:M,R:R,1,E:E,E282)/SUMIFS(L:L,R:R,1,E:E,E282)*0.5),"код для проверки","нормальный код")</f>
        <v/>
      </c>
      <c r="W282">
        <f>IF(N282&lt;SUMIFS(L:L,R:R,1,E:E,E282)/SUMIFS(K:K,R:R,1,E:E,E282)*0.5,"Низшая четверть",IF(N282&lt;SUMIFS(L:L,R:R,1,E:E,E282)/SUMIFS(K:K,R:R,1,E:E,E282),"Вторая четверть","Больше половины"))</f>
        <v/>
      </c>
      <c r="X282">
        <f>IF(O282&lt;SUMIFS(M:M,R:R,1,E:E,E282)/SUMIFS(L:L,R:R,1,E:E,E282)*0.5,"Низшая четверть",IF(O282&lt;SUMIFS(M:M,R:R,1,E:E,E282)/SUMIFS(L:L,R:R,1,E:E,E282),"Вторая четверть","Больше половины"))</f>
        <v/>
      </c>
      <c r="Y282" t="n">
        <v>11</v>
      </c>
    </row>
    <row r="283">
      <c r="A283" s="1" t="inlineStr">
        <is>
          <t>57300140</t>
        </is>
      </c>
      <c r="B283" s="2" t="inlineStr">
        <is>
          <t>776072616</t>
        </is>
      </c>
      <c r="C283" s="3" t="inlineStr">
        <is>
          <t>Одежда для детей</t>
        </is>
      </c>
      <c r="D283" s="2" t="inlineStr">
        <is>
          <t>Одежда для новорожденных</t>
        </is>
      </c>
      <c r="E283" s="3" t="inlineStr">
        <is>
          <t>573 Штанишки для маленькой девочки</t>
        </is>
      </c>
      <c r="F283" s="2" t="inlineStr">
        <is>
          <t>всесезонный</t>
        </is>
      </c>
      <c r="G283" s="3" t="inlineStr">
        <is>
          <t>Kari baby</t>
        </is>
      </c>
      <c r="H283" s="2" t="inlineStr">
        <is>
          <t>Зиннуров Ильнур</t>
        </is>
      </c>
      <c r="J283" s="3" t="inlineStr">
        <is>
          <t>2026SS</t>
        </is>
      </c>
      <c r="K283" s="3" t="n">
        <v>17739</v>
      </c>
      <c r="L283" s="3" t="n">
        <v>1025</v>
      </c>
      <c r="M283" s="3" t="n">
        <v>34</v>
      </c>
      <c r="N283" s="4">
        <f>IFERROR(L283/K283,0)</f>
        <v/>
      </c>
      <c r="O283" s="4">
        <f>IFERROR(M283/L283,0)</f>
        <v/>
      </c>
      <c r="P283" t="n">
        <v>111</v>
      </c>
      <c r="Q283" s="5" t="n">
        <v>1</v>
      </c>
      <c r="R283" s="7" t="n">
        <v>1</v>
      </c>
      <c r="S283">
        <f>IF(OR(N283&lt;$T$1*0.5,O283&lt;$U$1*0.5),"код для проверки","нормальный код")</f>
        <v/>
      </c>
      <c r="T283">
        <f>IF(N283&lt;$T$1*0.5,"Низшая четверть",IF(N283&lt;$T$1,"Вторая четверть","Больше половины"))</f>
        <v/>
      </c>
      <c r="U283">
        <f>IF(O283&lt;$U$1*0.5,"Низшая четверть",IF(O283&lt;$U$1,"Вторая четверть","Больше половины"))</f>
        <v/>
      </c>
      <c r="V283">
        <f>IF(OR(N283&lt;SUMIFS(L:L,R:R,1,E:E,E283)/SUMIFS(K:K,R:R,1,E:E,E283)*0.5,O283&lt;SUMIFS(M:M,R:R,1,E:E,E283)/SUMIFS(L:L,R:R,1,E:E,E283)*0.5),"код для проверки","нормальный код")</f>
        <v/>
      </c>
      <c r="W283">
        <f>IF(N283&lt;SUMIFS(L:L,R:R,1,E:E,E283)/SUMIFS(K:K,R:R,1,E:E,E283)*0.5,"Низшая четверть",IF(N283&lt;SUMIFS(L:L,R:R,1,E:E,E283)/SUMIFS(K:K,R:R,1,E:E,E283),"Вторая четверть","Больше половины"))</f>
        <v/>
      </c>
      <c r="X283">
        <f>IF(O283&lt;SUMIFS(M:M,R:R,1,E:E,E283)/SUMIFS(L:L,R:R,1,E:E,E283)*0.5,"Низшая четверть",IF(O283&lt;SUMIFS(M:M,R:R,1,E:E,E283)/SUMIFS(L:L,R:R,1,E:E,E283),"Вторая четверть","Больше половины"))</f>
        <v/>
      </c>
      <c r="Y283" t="n">
        <v>17</v>
      </c>
    </row>
    <row r="284">
      <c r="A284" s="1" t="inlineStr">
        <is>
          <t>89000110</t>
        </is>
      </c>
      <c r="B284" s="2" t="inlineStr">
        <is>
          <t>722704820</t>
        </is>
      </c>
      <c r="C284" s="3" t="inlineStr">
        <is>
          <t>Одежда для детей</t>
        </is>
      </c>
      <c r="D284" s="2" t="inlineStr">
        <is>
          <t>Одежда для новорожденных</t>
        </is>
      </c>
      <c r="E284" s="3" t="inlineStr">
        <is>
          <t>890 Платье для маленькой девочки</t>
        </is>
      </c>
      <c r="F284" s="2" t="inlineStr">
        <is>
          <t>всесезонный</t>
        </is>
      </c>
      <c r="G284" s="3" t="inlineStr">
        <is>
          <t>Kari baby</t>
        </is>
      </c>
      <c r="H284" s="2" t="inlineStr">
        <is>
          <t>Зиннуров Ильнур</t>
        </is>
      </c>
      <c r="J284" s="3" t="inlineStr">
        <is>
          <t>2026SS</t>
        </is>
      </c>
      <c r="K284" s="3" t="n">
        <v>17568</v>
      </c>
      <c r="L284" s="3" t="n">
        <v>2079</v>
      </c>
      <c r="M284" s="3" t="n">
        <v>21</v>
      </c>
      <c r="N284" s="4">
        <f>IFERROR(L284/K284,0)</f>
        <v/>
      </c>
      <c r="O284" s="4">
        <f>IFERROR(M284/L284,0)</f>
        <v/>
      </c>
      <c r="P284" t="n">
        <v>455</v>
      </c>
      <c r="Q284" s="5" t="n">
        <v>1</v>
      </c>
      <c r="R284" s="7" t="n">
        <v>1</v>
      </c>
      <c r="S284">
        <f>IF(OR(N284&lt;$T$1*0.5,O284&lt;$U$1*0.5),"код для проверки","нормальный код")</f>
        <v/>
      </c>
      <c r="T284">
        <f>IF(N284&lt;$T$1*0.5,"Низшая четверть",IF(N284&lt;$T$1,"Вторая четверть","Больше половины"))</f>
        <v/>
      </c>
      <c r="U284">
        <f>IF(O284&lt;$U$1*0.5,"Низшая четверть",IF(O284&lt;$U$1,"Вторая четверть","Больше половины"))</f>
        <v/>
      </c>
      <c r="V284">
        <f>IF(OR(N284&lt;SUMIFS(L:L,R:R,1,E:E,E284)/SUMIFS(K:K,R:R,1,E:E,E284)*0.5,O284&lt;SUMIFS(M:M,R:R,1,E:E,E284)/SUMIFS(L:L,R:R,1,E:E,E284)*0.5),"код для проверки","нормальный код")</f>
        <v/>
      </c>
      <c r="W284">
        <f>IF(N284&lt;SUMIFS(L:L,R:R,1,E:E,E284)/SUMIFS(K:K,R:R,1,E:E,E284)*0.5,"Низшая четверть",IF(N284&lt;SUMIFS(L:L,R:R,1,E:E,E284)/SUMIFS(K:K,R:R,1,E:E,E284),"Вторая четверть","Больше половины"))</f>
        <v/>
      </c>
      <c r="X284">
        <f>IF(O284&lt;SUMIFS(M:M,R:R,1,E:E,E284)/SUMIFS(L:L,R:R,1,E:E,E284)*0.5,"Низшая четверть",IF(O284&lt;SUMIFS(M:M,R:R,1,E:E,E284)/SUMIFS(L:L,R:R,1,E:E,E284),"Вторая четверть","Больше половины"))</f>
        <v/>
      </c>
      <c r="Y284" t="n">
        <v>24</v>
      </c>
    </row>
    <row r="285">
      <c r="A285" s="1" t="inlineStr">
        <is>
          <t>93900390</t>
        </is>
      </c>
      <c r="B285" s="2" t="inlineStr">
        <is>
          <t>839629673</t>
        </is>
      </c>
      <c r="C285" s="3" t="inlineStr">
        <is>
          <t>Одежда для детей</t>
        </is>
      </c>
      <c r="D285" s="2" t="inlineStr">
        <is>
          <t>Одежда для новорожденных</t>
        </is>
      </c>
      <c r="E285" s="3" t="inlineStr">
        <is>
          <t>939 Футболка для маленькой девочки</t>
        </is>
      </c>
      <c r="F285" s="2" t="inlineStr">
        <is>
          <t>всесезонный</t>
        </is>
      </c>
      <c r="G285" s="3" t="inlineStr">
        <is>
          <t>Kari baby</t>
        </is>
      </c>
      <c r="H285" s="2" t="inlineStr">
        <is>
          <t>Зиннуров Ильнур</t>
        </is>
      </c>
      <c r="J285" s="3" t="inlineStr">
        <is>
          <t>2026SS</t>
        </is>
      </c>
      <c r="K285" s="3" t="n">
        <v>17502</v>
      </c>
      <c r="L285" s="3" t="n">
        <v>1935</v>
      </c>
      <c r="M285" s="3" t="n">
        <v>96</v>
      </c>
      <c r="N285" s="4">
        <f>IFERROR(L285/K285,0)</f>
        <v/>
      </c>
      <c r="O285" s="4">
        <f>IFERROR(M285/L285,0)</f>
        <v/>
      </c>
      <c r="P285" t="n">
        <v>423</v>
      </c>
      <c r="Q285" s="5" t="n">
        <v>1</v>
      </c>
      <c r="R285" s="7" t="n">
        <v>1</v>
      </c>
      <c r="S285">
        <f>IF(OR(N285&lt;$T$1*0.5,O285&lt;$U$1*0.5),"код для проверки","нормальный код")</f>
        <v/>
      </c>
      <c r="T285">
        <f>IF(N285&lt;$T$1*0.5,"Низшая четверть",IF(N285&lt;$T$1,"Вторая четверть","Больше половины"))</f>
        <v/>
      </c>
      <c r="U285">
        <f>IF(O285&lt;$U$1*0.5,"Низшая четверть",IF(O285&lt;$U$1,"Вторая четверть","Больше половины"))</f>
        <v/>
      </c>
      <c r="V285">
        <f>IF(OR(N285&lt;SUMIFS(L:L,R:R,1,E:E,E285)/SUMIFS(K:K,R:R,1,E:E,E285)*0.5,O285&lt;SUMIFS(M:M,R:R,1,E:E,E285)/SUMIFS(L:L,R:R,1,E:E,E285)*0.5),"код для проверки","нормальный код")</f>
        <v/>
      </c>
      <c r="W285">
        <f>IF(N285&lt;SUMIFS(L:L,R:R,1,E:E,E285)/SUMIFS(K:K,R:R,1,E:E,E285)*0.5,"Низшая четверть",IF(N285&lt;SUMIFS(L:L,R:R,1,E:E,E285)/SUMIFS(K:K,R:R,1,E:E,E285),"Вторая четверть","Больше половины"))</f>
        <v/>
      </c>
      <c r="X285">
        <f>IF(O285&lt;SUMIFS(M:M,R:R,1,E:E,E285)/SUMIFS(L:L,R:R,1,E:E,E285)*0.5,"Низшая четверть",IF(O285&lt;SUMIFS(M:M,R:R,1,E:E,E285)/SUMIFS(L:L,R:R,1,E:E,E285),"Вторая четверть","Больше половины"))</f>
        <v/>
      </c>
      <c r="Y285" t="n">
        <v>5</v>
      </c>
    </row>
    <row r="286">
      <c r="A286" s="1" t="inlineStr">
        <is>
          <t>19600000</t>
        </is>
      </c>
      <c r="B286" s="2" t="inlineStr">
        <is>
          <t>768078842</t>
        </is>
      </c>
      <c r="C286" s="3" t="inlineStr">
        <is>
          <t>Одежда и аксессуары</t>
        </is>
      </c>
      <c r="D286" s="2" t="inlineStr">
        <is>
          <t>Майки и платья женские</t>
        </is>
      </c>
      <c r="E286" s="3" t="inlineStr">
        <is>
          <t>196 Майка женская</t>
        </is>
      </c>
      <c r="F286" s="2" t="inlineStr">
        <is>
          <t>всесезонный</t>
        </is>
      </c>
      <c r="G286" s="3" t="inlineStr">
        <is>
          <t>kari</t>
        </is>
      </c>
      <c r="H286" s="2" t="inlineStr">
        <is>
          <t>Зиннуров Ильнур</t>
        </is>
      </c>
      <c r="J286" s="3" t="inlineStr">
        <is>
          <t>2026SS</t>
        </is>
      </c>
      <c r="K286" s="3" t="n">
        <v>17486</v>
      </c>
      <c r="L286" s="3" t="n">
        <v>405</v>
      </c>
      <c r="M286" s="3" t="n">
        <v>3</v>
      </c>
      <c r="N286" s="4">
        <f>IFERROR(L286/K286,0)</f>
        <v/>
      </c>
      <c r="O286" s="4">
        <f>IFERROR(M286/L286,0)</f>
        <v/>
      </c>
      <c r="P286" t="n">
        <v>215</v>
      </c>
      <c r="Q286" s="5" t="n">
        <v>1</v>
      </c>
      <c r="R286" s="7" t="n">
        <v>1</v>
      </c>
      <c r="S286">
        <f>IF(OR(N286&lt;$T$1*0.5,O286&lt;$U$1*0.5),"код для проверки","нормальный код")</f>
        <v/>
      </c>
      <c r="T286">
        <f>IF(N286&lt;$T$1*0.5,"Низшая четверть",IF(N286&lt;$T$1,"Вторая четверть","Больше половины"))</f>
        <v/>
      </c>
      <c r="U286">
        <f>IF(O286&lt;$U$1*0.5,"Низшая четверть",IF(O286&lt;$U$1,"Вторая четверть","Больше половины"))</f>
        <v/>
      </c>
      <c r="V286">
        <f>IF(OR(N286&lt;SUMIFS(L:L,R:R,1,E:E,E286)/SUMIFS(K:K,R:R,1,E:E,E286)*0.5,O286&lt;SUMIFS(M:M,R:R,1,E:E,E286)/SUMIFS(L:L,R:R,1,E:E,E286)*0.5),"код для проверки","нормальный код")</f>
        <v/>
      </c>
      <c r="W286">
        <f>IF(N286&lt;SUMIFS(L:L,R:R,1,E:E,E286)/SUMIFS(K:K,R:R,1,E:E,E286)*0.5,"Низшая четверть",IF(N286&lt;SUMIFS(L:L,R:R,1,E:E,E286)/SUMIFS(K:K,R:R,1,E:E,E286),"Вторая четверть","Больше половины"))</f>
        <v/>
      </c>
      <c r="X286">
        <f>IF(O286&lt;SUMIFS(M:M,R:R,1,E:E,E286)/SUMIFS(L:L,R:R,1,E:E,E286)*0.5,"Низшая четверть",IF(O286&lt;SUMIFS(M:M,R:R,1,E:E,E286)/SUMIFS(L:L,R:R,1,E:E,E286),"Вторая четверть","Больше половины"))</f>
        <v/>
      </c>
      <c r="Y286" t="n">
        <v>14</v>
      </c>
    </row>
    <row r="287">
      <c r="A287" s="1" t="inlineStr">
        <is>
          <t>09400370</t>
        </is>
      </c>
      <c r="B287" s="2" t="inlineStr">
        <is>
          <t>822827137</t>
        </is>
      </c>
      <c r="C287" s="3" t="inlineStr">
        <is>
          <t>Одежда и аксессуары</t>
        </is>
      </c>
      <c r="D287" s="2" t="inlineStr">
        <is>
          <t>Купальники женские</t>
        </is>
      </c>
      <c r="E287" s="3" t="inlineStr">
        <is>
          <t>094 Купальник</t>
        </is>
      </c>
      <c r="F287" s="2" t="inlineStr">
        <is>
          <t>лето</t>
        </is>
      </c>
      <c r="G287" s="3" t="inlineStr">
        <is>
          <t>kari</t>
        </is>
      </c>
      <c r="H287" s="2" t="inlineStr">
        <is>
          <t>Никонорова Алина</t>
        </is>
      </c>
      <c r="J287" s="3" t="inlineStr">
        <is>
          <t>2026SS</t>
        </is>
      </c>
      <c r="K287" s="3" t="n">
        <v>17373</v>
      </c>
      <c r="L287" s="3" t="n">
        <v>6668</v>
      </c>
      <c r="M287" s="3" t="n">
        <v>93</v>
      </c>
      <c r="N287" s="4">
        <f>IFERROR(L287/K287,0)</f>
        <v/>
      </c>
      <c r="O287" s="4">
        <f>IFERROR(M287/L287,0)</f>
        <v/>
      </c>
      <c r="P287" t="n">
        <v>1940</v>
      </c>
      <c r="Q287" s="5" t="n">
        <v>0.7777777777777778</v>
      </c>
      <c r="R287" s="7" t="n">
        <v>1</v>
      </c>
      <c r="S287">
        <f>IF(OR(N287&lt;$T$1*0.5,O287&lt;$U$1*0.5),"код для проверки","нормальный код")</f>
        <v/>
      </c>
      <c r="T287">
        <f>IF(N287&lt;$T$1*0.5,"Низшая четверть",IF(N287&lt;$T$1,"Вторая четверть","Больше половины"))</f>
        <v/>
      </c>
      <c r="U287">
        <f>IF(O287&lt;$U$1*0.5,"Низшая четверть",IF(O287&lt;$U$1,"Вторая четверть","Больше половины"))</f>
        <v/>
      </c>
      <c r="V287">
        <f>IF(OR(N287&lt;SUMIFS(L:L,R:R,1,E:E,E287)/SUMIFS(K:K,R:R,1,E:E,E287)*0.5,O287&lt;SUMIFS(M:M,R:R,1,E:E,E287)/SUMIFS(L:L,R:R,1,E:E,E287)*0.5),"код для проверки","нормальный код")</f>
        <v/>
      </c>
      <c r="W287">
        <f>IF(N287&lt;SUMIFS(L:L,R:R,1,E:E,E287)/SUMIFS(K:K,R:R,1,E:E,E287)*0.5,"Низшая четверть",IF(N287&lt;SUMIFS(L:L,R:R,1,E:E,E287)/SUMIFS(K:K,R:R,1,E:E,E287),"Вторая четверть","Больше половины"))</f>
        <v/>
      </c>
      <c r="X287">
        <f>IF(O287&lt;SUMIFS(M:M,R:R,1,E:E,E287)/SUMIFS(L:L,R:R,1,E:E,E287)*0.5,"Низшая четверть",IF(O287&lt;SUMIFS(M:M,R:R,1,E:E,E287)/SUMIFS(L:L,R:R,1,E:E,E287),"Вторая четверть","Больше половины"))</f>
        <v/>
      </c>
      <c r="Y287" t="n">
        <v>23</v>
      </c>
    </row>
    <row r="288">
      <c r="A288" s="1" t="inlineStr">
        <is>
          <t>95200090</t>
        </is>
      </c>
      <c r="B288" s="2" t="inlineStr">
        <is>
          <t>762222687</t>
        </is>
      </c>
      <c r="C288" s="3" t="inlineStr">
        <is>
          <t>Одежда для детей</t>
        </is>
      </c>
      <c r="D288" s="2" t="inlineStr">
        <is>
          <t>Верхняя одежда детская для мальчиков</t>
        </is>
      </c>
      <c r="E288" s="3" t="inlineStr">
        <is>
          <t>952 Ветровка детская для мальчиков</t>
        </is>
      </c>
      <c r="F288" s="2" t="inlineStr">
        <is>
          <t>демисезонный</t>
        </is>
      </c>
      <c r="G288" s="3" t="inlineStr">
        <is>
          <t>Kari KIDS</t>
        </is>
      </c>
      <c r="H288" s="2" t="inlineStr">
        <is>
          <t>Зиннуров Ильнур</t>
        </is>
      </c>
      <c r="J288" s="3" t="inlineStr">
        <is>
          <t>2026SS</t>
        </is>
      </c>
      <c r="K288" s="3" t="n">
        <v>17351</v>
      </c>
      <c r="L288" s="3" t="n">
        <v>1643</v>
      </c>
      <c r="M288" s="3" t="n">
        <v>22</v>
      </c>
      <c r="N288" s="4">
        <f>IFERROR(L288/K288,0)</f>
        <v/>
      </c>
      <c r="O288" s="4">
        <f>IFERROR(M288/L288,0)</f>
        <v/>
      </c>
      <c r="P288" t="n">
        <v>377</v>
      </c>
      <c r="Q288" s="5" t="n">
        <v>0.8</v>
      </c>
      <c r="R288" s="7" t="n">
        <v>1</v>
      </c>
      <c r="S288">
        <f>IF(OR(N288&lt;$T$1*0.5,O288&lt;$U$1*0.5),"код для проверки","нормальный код")</f>
        <v/>
      </c>
      <c r="T288">
        <f>IF(N288&lt;$T$1*0.5,"Низшая четверть",IF(N288&lt;$T$1,"Вторая четверть","Больше половины"))</f>
        <v/>
      </c>
      <c r="U288">
        <f>IF(O288&lt;$U$1*0.5,"Низшая четверть",IF(O288&lt;$U$1,"Вторая четверть","Больше половины"))</f>
        <v/>
      </c>
      <c r="V288">
        <f>IF(OR(N288&lt;SUMIFS(L:L,R:R,1,E:E,E288)/SUMIFS(K:K,R:R,1,E:E,E288)*0.5,O288&lt;SUMIFS(M:M,R:R,1,E:E,E288)/SUMIFS(L:L,R:R,1,E:E,E288)*0.5),"код для проверки","нормальный код")</f>
        <v/>
      </c>
      <c r="W288">
        <f>IF(N288&lt;SUMIFS(L:L,R:R,1,E:E,E288)/SUMIFS(K:K,R:R,1,E:E,E288)*0.5,"Низшая четверть",IF(N288&lt;SUMIFS(L:L,R:R,1,E:E,E288)/SUMIFS(K:K,R:R,1,E:E,E288),"Вторая четверть","Больше половины"))</f>
        <v/>
      </c>
      <c r="X288">
        <f>IF(O288&lt;SUMIFS(M:M,R:R,1,E:E,E288)/SUMIFS(L:L,R:R,1,E:E,E288)*0.5,"Низшая четверть",IF(O288&lt;SUMIFS(M:M,R:R,1,E:E,E288)/SUMIFS(L:L,R:R,1,E:E,E288),"Вторая четверть","Больше половины"))</f>
        <v/>
      </c>
      <c r="Y288" t="n">
        <v>7</v>
      </c>
    </row>
    <row r="289">
      <c r="A289" s="1" t="inlineStr">
        <is>
          <t>a8800040</t>
        </is>
      </c>
      <c r="B289" s="2" t="inlineStr">
        <is>
          <t>799835616</t>
        </is>
      </c>
      <c r="C289" s="3" t="inlineStr">
        <is>
          <t>Одежда для детей</t>
        </is>
      </c>
      <c r="D289" s="2" t="inlineStr">
        <is>
          <t>Свитера детские для девочек</t>
        </is>
      </c>
      <c r="E289" s="3" t="inlineStr">
        <is>
          <t>a88 Толстовка на молнии для девочек</t>
        </is>
      </c>
      <c r="F289" s="2" t="inlineStr">
        <is>
          <t>весна, лето, осень</t>
        </is>
      </c>
      <c r="G289" s="3" t="inlineStr">
        <is>
          <t>kari</t>
        </is>
      </c>
      <c r="H289" s="2" t="inlineStr">
        <is>
          <t>Зиннуров Ильнур</t>
        </is>
      </c>
      <c r="J289" s="3" t="inlineStr">
        <is>
          <t>2026SS</t>
        </is>
      </c>
      <c r="K289" s="3" t="n">
        <v>17121</v>
      </c>
      <c r="L289" s="3" t="n">
        <v>1129</v>
      </c>
      <c r="M289" s="3" t="n">
        <v>35</v>
      </c>
      <c r="N289" s="4">
        <f>IFERROR(L289/K289,0)</f>
        <v/>
      </c>
      <c r="O289" s="4">
        <f>IFERROR(M289/L289,0)</f>
        <v/>
      </c>
      <c r="P289" t="n">
        <v>321</v>
      </c>
      <c r="Q289" s="5" t="n">
        <v>1</v>
      </c>
      <c r="R289" s="7" t="n">
        <v>1</v>
      </c>
      <c r="S289">
        <f>IF(OR(N289&lt;$T$1*0.5,O289&lt;$U$1*0.5),"код для проверки","нормальный код")</f>
        <v/>
      </c>
      <c r="T289">
        <f>IF(N289&lt;$T$1*0.5,"Низшая четверть",IF(N289&lt;$T$1,"Вторая четверть","Больше половины"))</f>
        <v/>
      </c>
      <c r="U289">
        <f>IF(O289&lt;$U$1*0.5,"Низшая четверть",IF(O289&lt;$U$1,"Вторая четверть","Больше половины"))</f>
        <v/>
      </c>
      <c r="V289">
        <f>IF(OR(N289&lt;SUMIFS(L:L,R:R,1,E:E,E289)/SUMIFS(K:K,R:R,1,E:E,E289)*0.5,O289&lt;SUMIFS(M:M,R:R,1,E:E,E289)/SUMIFS(L:L,R:R,1,E:E,E289)*0.5),"код для проверки","нормальный код")</f>
        <v/>
      </c>
      <c r="W289">
        <f>IF(N289&lt;SUMIFS(L:L,R:R,1,E:E,E289)/SUMIFS(K:K,R:R,1,E:E,E289)*0.5,"Низшая четверть",IF(N289&lt;SUMIFS(L:L,R:R,1,E:E,E289)/SUMIFS(K:K,R:R,1,E:E,E289),"Вторая четверть","Больше половины"))</f>
        <v/>
      </c>
      <c r="X289">
        <f>IF(O289&lt;SUMIFS(M:M,R:R,1,E:E,E289)/SUMIFS(L:L,R:R,1,E:E,E289)*0.5,"Низшая четверть",IF(O289&lt;SUMIFS(M:M,R:R,1,E:E,E289)/SUMIFS(L:L,R:R,1,E:E,E289),"Вторая четверть","Больше половины"))</f>
        <v/>
      </c>
      <c r="Y289" t="n">
        <v>24</v>
      </c>
    </row>
    <row r="290">
      <c r="A290" s="1" t="inlineStr">
        <is>
          <t>12304102</t>
        </is>
      </c>
      <c r="B290" s="2" t="inlineStr">
        <is>
          <t>378959507</t>
        </is>
      </c>
      <c r="C290" s="3" t="inlineStr">
        <is>
          <t>Одежда и аксессуары</t>
        </is>
      </c>
      <c r="D290" s="2" t="inlineStr">
        <is>
          <t>Чулочные и носочные изделия для женщин</t>
        </is>
      </c>
      <c r="E290" s="3" t="inlineStr">
        <is>
          <t>123 Гольфы эластичные женские</t>
        </is>
      </c>
      <c r="F290" s="2" t="inlineStr">
        <is>
          <t>всесезонный</t>
        </is>
      </c>
      <c r="G290" s="3" t="inlineStr">
        <is>
          <t>kari</t>
        </is>
      </c>
      <c r="H290" s="2" t="inlineStr">
        <is>
          <t>Зиннуров Ильнур</t>
        </is>
      </c>
      <c r="J290" s="3" t="inlineStr">
        <is>
          <t>2026SS</t>
        </is>
      </c>
      <c r="K290" s="3" t="n">
        <v>17041</v>
      </c>
      <c r="L290" s="3" t="n">
        <v>1683</v>
      </c>
      <c r="M290" s="3" t="n">
        <v>192</v>
      </c>
      <c r="N290" s="4">
        <f>IFERROR(L290/K290,0)</f>
        <v/>
      </c>
      <c r="O290" s="4">
        <f>IFERROR(M290/L290,0)</f>
        <v/>
      </c>
      <c r="P290" t="n">
        <v>1379</v>
      </c>
      <c r="Q290" s="5" t="n">
        <v>1</v>
      </c>
      <c r="R290" s="7" t="n">
        <v>1</v>
      </c>
      <c r="S290">
        <f>IF(OR(N290&lt;$T$1*0.5,O290&lt;$U$1*0.5),"код для проверки","нормальный код")</f>
        <v/>
      </c>
      <c r="T290">
        <f>IF(N290&lt;$T$1*0.5,"Низшая четверть",IF(N290&lt;$T$1,"Вторая четверть","Больше половины"))</f>
        <v/>
      </c>
      <c r="U290">
        <f>IF(O290&lt;$U$1*0.5,"Низшая четверть",IF(O290&lt;$U$1,"Вторая четверть","Больше половины"))</f>
        <v/>
      </c>
      <c r="V290">
        <f>IF(OR(N290&lt;SUMIFS(L:L,R:R,1,E:E,E290)/SUMIFS(K:K,R:R,1,E:E,E290)*0.5,O290&lt;SUMIFS(M:M,R:R,1,E:E,E290)/SUMIFS(L:L,R:R,1,E:E,E290)*0.5),"код для проверки","нормальный код")</f>
        <v/>
      </c>
      <c r="W290">
        <f>IF(N290&lt;SUMIFS(L:L,R:R,1,E:E,E290)/SUMIFS(K:K,R:R,1,E:E,E290)*0.5,"Низшая четверть",IF(N290&lt;SUMIFS(L:L,R:R,1,E:E,E290)/SUMIFS(K:K,R:R,1,E:E,E290),"Вторая четверть","Больше половины"))</f>
        <v/>
      </c>
      <c r="X290">
        <f>IF(O290&lt;SUMIFS(M:M,R:R,1,E:E,E290)/SUMIFS(L:L,R:R,1,E:E,E290)*0.5,"Низшая четверть",IF(O290&lt;SUMIFS(M:M,R:R,1,E:E,E290)/SUMIFS(L:L,R:R,1,E:E,E290),"Вторая четверть","Больше половины"))</f>
        <v/>
      </c>
      <c r="Y290" t="n">
        <v>6</v>
      </c>
    </row>
    <row r="291">
      <c r="A291" s="1" t="inlineStr">
        <is>
          <t>20100290</t>
        </is>
      </c>
      <c r="B291" s="2" t="inlineStr">
        <is>
          <t>820479768</t>
        </is>
      </c>
      <c r="C291" s="3" t="inlineStr">
        <is>
          <t>Одежда для детей</t>
        </is>
      </c>
      <c r="D291" s="2" t="inlineStr">
        <is>
          <t>Головные детские уборы для девочек</t>
        </is>
      </c>
      <c r="E291" s="3" t="inlineStr">
        <is>
          <t>201 Бейсболка детская для девочек</t>
        </is>
      </c>
      <c r="F291" s="2" t="inlineStr">
        <is>
          <t>весна, лето</t>
        </is>
      </c>
      <c r="G291" s="3" t="inlineStr">
        <is>
          <t>kari</t>
        </is>
      </c>
      <c r="H291" s="2" t="inlineStr">
        <is>
          <t>Никонорова Алина</t>
        </is>
      </c>
      <c r="J291" s="3" t="inlineStr">
        <is>
          <t>2026SS</t>
        </is>
      </c>
      <c r="K291" s="3" t="n">
        <v>17026</v>
      </c>
      <c r="L291" s="3" t="n">
        <v>1261</v>
      </c>
      <c r="M291" s="3" t="n">
        <v>33</v>
      </c>
      <c r="N291" s="4">
        <f>IFERROR(L291/K291,0)</f>
        <v/>
      </c>
      <c r="O291" s="4">
        <f>IFERROR(M291/L291,0)</f>
        <v/>
      </c>
      <c r="P291" t="n">
        <v>537</v>
      </c>
      <c r="Q291" s="5" t="n">
        <v>1</v>
      </c>
      <c r="R291" s="7" t="n">
        <v>1</v>
      </c>
      <c r="S291">
        <f>IF(OR(N291&lt;$T$1*0.5,O291&lt;$U$1*0.5),"код для проверки","нормальный код")</f>
        <v/>
      </c>
      <c r="T291">
        <f>IF(N291&lt;$T$1*0.5,"Низшая четверть",IF(N291&lt;$T$1,"Вторая четверть","Больше половины"))</f>
        <v/>
      </c>
      <c r="U291">
        <f>IF(O291&lt;$U$1*0.5,"Низшая четверть",IF(O291&lt;$U$1,"Вторая четверть","Больше половины"))</f>
        <v/>
      </c>
      <c r="V291">
        <f>IF(OR(N291&lt;SUMIFS(L:L,R:R,1,E:E,E291)/SUMIFS(K:K,R:R,1,E:E,E291)*0.5,O291&lt;SUMIFS(M:M,R:R,1,E:E,E291)/SUMIFS(L:L,R:R,1,E:E,E291)*0.5),"код для проверки","нормальный код")</f>
        <v/>
      </c>
      <c r="W291">
        <f>IF(N291&lt;SUMIFS(L:L,R:R,1,E:E,E291)/SUMIFS(K:K,R:R,1,E:E,E291)*0.5,"Низшая четверть",IF(N291&lt;SUMIFS(L:L,R:R,1,E:E,E291)/SUMIFS(K:K,R:R,1,E:E,E291),"Вторая четверть","Больше половины"))</f>
        <v/>
      </c>
      <c r="X291">
        <f>IF(O291&lt;SUMIFS(M:M,R:R,1,E:E,E291)/SUMIFS(L:L,R:R,1,E:E,E291)*0.5,"Низшая четверть",IF(O291&lt;SUMIFS(M:M,R:R,1,E:E,E291)/SUMIFS(L:L,R:R,1,E:E,E291),"Вторая четверть","Больше половины"))</f>
        <v/>
      </c>
      <c r="Y291" t="n">
        <v>9</v>
      </c>
    </row>
    <row r="292">
      <c r="A292" s="1" t="inlineStr">
        <is>
          <t>42400110</t>
        </is>
      </c>
      <c r="B292" s="2" t="inlineStr">
        <is>
          <t>781411941</t>
        </is>
      </c>
      <c r="C292" s="3" t="inlineStr">
        <is>
          <t>Одежда для детей</t>
        </is>
      </c>
      <c r="D292" s="2" t="inlineStr">
        <is>
          <t>Одежда для новорожденных</t>
        </is>
      </c>
      <c r="E292" s="3" t="inlineStr">
        <is>
          <t>424 Комбинезон для новорожденных утепленный</t>
        </is>
      </c>
      <c r="F292" s="2" t="inlineStr">
        <is>
          <t>весна, осень, зима</t>
        </is>
      </c>
      <c r="G292" s="3" t="inlineStr">
        <is>
          <t>Kari baby</t>
        </is>
      </c>
      <c r="H292" s="2" t="inlineStr">
        <is>
          <t>Зиннуров Ильнур</t>
        </is>
      </c>
      <c r="J292" s="3" t="inlineStr">
        <is>
          <t>2026SS</t>
        </is>
      </c>
      <c r="K292" s="3" t="n">
        <v>17025</v>
      </c>
      <c r="L292" s="3" t="n">
        <v>1503</v>
      </c>
      <c r="M292" s="3" t="n">
        <v>11</v>
      </c>
      <c r="N292" s="4">
        <f>IFERROR(L292/K292,0)</f>
        <v/>
      </c>
      <c r="O292" s="4">
        <f>IFERROR(M292/L292,0)</f>
        <v/>
      </c>
      <c r="P292" t="n">
        <v>200</v>
      </c>
      <c r="Q292" s="5" t="n">
        <v>0.8333333333333334</v>
      </c>
      <c r="R292" s="7" t="n">
        <v>1</v>
      </c>
      <c r="S292">
        <f>IF(OR(N292&lt;$T$1*0.5,O292&lt;$U$1*0.5),"код для проверки","нормальный код")</f>
        <v/>
      </c>
      <c r="T292">
        <f>IF(N292&lt;$T$1*0.5,"Низшая четверть",IF(N292&lt;$T$1,"Вторая четверть","Больше половины"))</f>
        <v/>
      </c>
      <c r="U292">
        <f>IF(O292&lt;$U$1*0.5,"Низшая четверть",IF(O292&lt;$U$1,"Вторая четверть","Больше половины"))</f>
        <v/>
      </c>
      <c r="V292">
        <f>IF(OR(N292&lt;SUMIFS(L:L,R:R,1,E:E,E292)/SUMIFS(K:K,R:R,1,E:E,E292)*0.5,O292&lt;SUMIFS(M:M,R:R,1,E:E,E292)/SUMIFS(L:L,R:R,1,E:E,E292)*0.5),"код для проверки","нормальный код")</f>
        <v/>
      </c>
      <c r="W292">
        <f>IF(N292&lt;SUMIFS(L:L,R:R,1,E:E,E292)/SUMIFS(K:K,R:R,1,E:E,E292)*0.5,"Низшая четверть",IF(N292&lt;SUMIFS(L:L,R:R,1,E:E,E292)/SUMIFS(K:K,R:R,1,E:E,E292),"Вторая четверть","Больше половины"))</f>
        <v/>
      </c>
      <c r="X292">
        <f>IF(O292&lt;SUMIFS(M:M,R:R,1,E:E,E292)/SUMIFS(L:L,R:R,1,E:E,E292)*0.5,"Низшая четверть",IF(O292&lt;SUMIFS(M:M,R:R,1,E:E,E292)/SUMIFS(L:L,R:R,1,E:E,E292),"Вторая четверть","Больше половины"))</f>
        <v/>
      </c>
      <c r="Y292" t="n">
        <v>16</v>
      </c>
    </row>
    <row r="293">
      <c r="A293" s="1" t="inlineStr">
        <is>
          <t>96100100</t>
        </is>
      </c>
      <c r="B293" s="2" t="inlineStr">
        <is>
          <t>913192708</t>
        </is>
      </c>
      <c r="C293" s="3" t="inlineStr">
        <is>
          <t>Одежда для детей</t>
        </is>
      </c>
      <c r="D293" s="2" t="inlineStr">
        <is>
          <t>Одежда для новорожденных</t>
        </is>
      </c>
      <c r="E293" s="3" t="inlineStr">
        <is>
          <t>961 Комплект летней одежды для маленькой девочки</t>
        </is>
      </c>
      <c r="F293" s="2" t="inlineStr">
        <is>
          <t>весна, лето</t>
        </is>
      </c>
      <c r="G293" s="3" t="inlineStr">
        <is>
          <t>Kari baby</t>
        </is>
      </c>
      <c r="H293" s="2" t="inlineStr">
        <is>
          <t>Зиннуров Ильнур</t>
        </is>
      </c>
      <c r="J293" s="3" t="inlineStr">
        <is>
          <t>2026SS</t>
        </is>
      </c>
      <c r="K293" s="3" t="n">
        <v>16907</v>
      </c>
      <c r="L293" s="3" t="n">
        <v>1542</v>
      </c>
      <c r="M293" s="3" t="n">
        <v>27</v>
      </c>
      <c r="N293" s="4">
        <f>IFERROR(L293/K293,0)</f>
        <v/>
      </c>
      <c r="O293" s="4">
        <f>IFERROR(M293/L293,0)</f>
        <v/>
      </c>
      <c r="P293" t="n">
        <v>720</v>
      </c>
      <c r="Q293" s="5" t="n">
        <v>1</v>
      </c>
      <c r="R293" s="7" t="n">
        <v>1</v>
      </c>
      <c r="S293">
        <f>IF(OR(N293&lt;$T$1*0.5,O293&lt;$U$1*0.5),"код для проверки","нормальный код")</f>
        <v/>
      </c>
      <c r="T293">
        <f>IF(N293&lt;$T$1*0.5,"Низшая четверть",IF(N293&lt;$T$1,"Вторая четверть","Больше половины"))</f>
        <v/>
      </c>
      <c r="U293">
        <f>IF(O293&lt;$U$1*0.5,"Низшая четверть",IF(O293&lt;$U$1,"Вторая четверть","Больше половины"))</f>
        <v/>
      </c>
      <c r="V293">
        <f>IF(OR(N293&lt;SUMIFS(L:L,R:R,1,E:E,E293)/SUMIFS(K:K,R:R,1,E:E,E293)*0.5,O293&lt;SUMIFS(M:M,R:R,1,E:E,E293)/SUMIFS(L:L,R:R,1,E:E,E293)*0.5),"код для проверки","нормальный код")</f>
        <v/>
      </c>
      <c r="W293">
        <f>IF(N293&lt;SUMIFS(L:L,R:R,1,E:E,E293)/SUMIFS(K:K,R:R,1,E:E,E293)*0.5,"Низшая четверть",IF(N293&lt;SUMIFS(L:L,R:R,1,E:E,E293)/SUMIFS(K:K,R:R,1,E:E,E293),"Вторая четверть","Больше половины"))</f>
        <v/>
      </c>
      <c r="X293">
        <f>IF(O293&lt;SUMIFS(M:M,R:R,1,E:E,E293)/SUMIFS(L:L,R:R,1,E:E,E293)*0.5,"Низшая четверть",IF(O293&lt;SUMIFS(M:M,R:R,1,E:E,E293)/SUMIFS(L:L,R:R,1,E:E,E293),"Вторая четверть","Больше половины"))</f>
        <v/>
      </c>
      <c r="Y293" t="n">
        <v>7</v>
      </c>
    </row>
    <row r="294">
      <c r="A294" s="1" t="inlineStr">
        <is>
          <t>a6000070</t>
        </is>
      </c>
      <c r="B294" s="2" t="inlineStr">
        <is>
          <t>815191830</t>
        </is>
      </c>
      <c r="C294" s="3" t="inlineStr">
        <is>
          <t>Одежда для детей</t>
        </is>
      </c>
      <c r="D294" s="2" t="inlineStr">
        <is>
          <t>Платья, майки, футболки детские для девочек</t>
        </is>
      </c>
      <c r="E294" s="3" t="inlineStr">
        <is>
          <t>a60 Футболка детская для девочек</t>
        </is>
      </c>
      <c r="F294" s="2" t="inlineStr">
        <is>
          <t>всесезонный</t>
        </is>
      </c>
      <c r="G294" s="3" t="inlineStr">
        <is>
          <t>Kari KIDS</t>
        </is>
      </c>
      <c r="H294" s="2" t="inlineStr">
        <is>
          <t>Зиннуров Ильнур</t>
        </is>
      </c>
      <c r="J294" s="3" t="inlineStr">
        <is>
          <t>2026SS</t>
        </is>
      </c>
      <c r="K294" s="3" t="n">
        <v>16609</v>
      </c>
      <c r="L294" s="3" t="n">
        <v>3520</v>
      </c>
      <c r="M294" s="3" t="n">
        <v>27</v>
      </c>
      <c r="N294" s="4">
        <f>IFERROR(L294/K294,0)</f>
        <v/>
      </c>
      <c r="O294" s="4">
        <f>IFERROR(M294/L294,0)</f>
        <v/>
      </c>
      <c r="P294" t="n">
        <v>486</v>
      </c>
      <c r="Q294" s="5" t="n">
        <v>0.8</v>
      </c>
      <c r="R294" s="7" t="n">
        <v>1</v>
      </c>
      <c r="S294">
        <f>IF(OR(N294&lt;$T$1*0.5,O294&lt;$U$1*0.5),"код для проверки","нормальный код")</f>
        <v/>
      </c>
      <c r="T294">
        <f>IF(N294&lt;$T$1*0.5,"Низшая четверть",IF(N294&lt;$T$1,"Вторая четверть","Больше половины"))</f>
        <v/>
      </c>
      <c r="U294">
        <f>IF(O294&lt;$U$1*0.5,"Низшая четверть",IF(O294&lt;$U$1,"Вторая четверть","Больше половины"))</f>
        <v/>
      </c>
      <c r="V294">
        <f>IF(OR(N294&lt;SUMIFS(L:L,R:R,1,E:E,E294)/SUMIFS(K:K,R:R,1,E:E,E294)*0.5,O294&lt;SUMIFS(M:M,R:R,1,E:E,E294)/SUMIFS(L:L,R:R,1,E:E,E294)*0.5),"код для проверки","нормальный код")</f>
        <v/>
      </c>
      <c r="W294">
        <f>IF(N294&lt;SUMIFS(L:L,R:R,1,E:E,E294)/SUMIFS(K:K,R:R,1,E:E,E294)*0.5,"Низшая четверть",IF(N294&lt;SUMIFS(L:L,R:R,1,E:E,E294)/SUMIFS(K:K,R:R,1,E:E,E294),"Вторая четверть","Больше половины"))</f>
        <v/>
      </c>
      <c r="X294">
        <f>IF(O294&lt;SUMIFS(M:M,R:R,1,E:E,E294)/SUMIFS(L:L,R:R,1,E:E,E294)*0.5,"Низшая четверть",IF(O294&lt;SUMIFS(M:M,R:R,1,E:E,E294)/SUMIFS(L:L,R:R,1,E:E,E294),"Вторая четверть","Больше половины"))</f>
        <v/>
      </c>
      <c r="Y294" t="n">
        <v>13</v>
      </c>
    </row>
    <row r="295">
      <c r="A295" s="1" t="inlineStr">
        <is>
          <t>94400100</t>
        </is>
      </c>
      <c r="B295" s="2" t="inlineStr">
        <is>
          <t>800126661</t>
        </is>
      </c>
      <c r="C295" s="3" t="inlineStr">
        <is>
          <t>Одежда для детей</t>
        </is>
      </c>
      <c r="D295" s="2" t="inlineStr">
        <is>
          <t>Одежда для новорожденных</t>
        </is>
      </c>
      <c r="E295" s="3" t="inlineStr">
        <is>
          <t>944 Комплект одежды для маленькой девочки</t>
        </is>
      </c>
      <c r="F295" s="2" t="inlineStr">
        <is>
          <t>всесезонный</t>
        </is>
      </c>
      <c r="G295" s="3" t="inlineStr">
        <is>
          <t>Kari baby</t>
        </is>
      </c>
      <c r="H295" s="2" t="inlineStr">
        <is>
          <t>Зиннуров Ильнур</t>
        </is>
      </c>
      <c r="J295" s="3" t="inlineStr">
        <is>
          <t>2026SS</t>
        </is>
      </c>
      <c r="K295" s="3" t="n">
        <v>16569</v>
      </c>
      <c r="L295" s="3" t="n">
        <v>1281</v>
      </c>
      <c r="M295" s="3" t="n">
        <v>10</v>
      </c>
      <c r="N295" s="4">
        <f>IFERROR(L295/K295,0)</f>
        <v/>
      </c>
      <c r="O295" s="4">
        <f>IFERROR(M295/L295,0)</f>
        <v/>
      </c>
      <c r="P295" t="n">
        <v>227</v>
      </c>
      <c r="Q295" s="5" t="n">
        <v>1</v>
      </c>
      <c r="R295" s="7" t="n">
        <v>1</v>
      </c>
      <c r="S295">
        <f>IF(OR(N295&lt;$T$1*0.5,O295&lt;$U$1*0.5),"код для проверки","нормальный код")</f>
        <v/>
      </c>
      <c r="T295">
        <f>IF(N295&lt;$T$1*0.5,"Низшая четверть",IF(N295&lt;$T$1,"Вторая четверть","Больше половины"))</f>
        <v/>
      </c>
      <c r="U295">
        <f>IF(O295&lt;$U$1*0.5,"Низшая четверть",IF(O295&lt;$U$1,"Вторая четверть","Больше половины"))</f>
        <v/>
      </c>
      <c r="V295">
        <f>IF(OR(N295&lt;SUMIFS(L:L,R:R,1,E:E,E295)/SUMIFS(K:K,R:R,1,E:E,E295)*0.5,O295&lt;SUMIFS(M:M,R:R,1,E:E,E295)/SUMIFS(L:L,R:R,1,E:E,E295)*0.5),"код для проверки","нормальный код")</f>
        <v/>
      </c>
      <c r="W295">
        <f>IF(N295&lt;SUMIFS(L:L,R:R,1,E:E,E295)/SUMIFS(K:K,R:R,1,E:E,E295)*0.5,"Низшая четверть",IF(N295&lt;SUMIFS(L:L,R:R,1,E:E,E295)/SUMIFS(K:K,R:R,1,E:E,E295),"Вторая четверть","Больше половины"))</f>
        <v/>
      </c>
      <c r="X295">
        <f>IF(O295&lt;SUMIFS(M:M,R:R,1,E:E,E295)/SUMIFS(L:L,R:R,1,E:E,E295)*0.5,"Низшая четверть",IF(O295&lt;SUMIFS(M:M,R:R,1,E:E,E295)/SUMIFS(L:L,R:R,1,E:E,E295),"Вторая четверть","Больше половины"))</f>
        <v/>
      </c>
      <c r="Y295" t="n">
        <v>27</v>
      </c>
    </row>
    <row r="296">
      <c r="A296" s="1" t="inlineStr">
        <is>
          <t>a6000010</t>
        </is>
      </c>
      <c r="B296" s="2" t="inlineStr">
        <is>
          <t>806662782</t>
        </is>
      </c>
      <c r="C296" s="3" t="inlineStr">
        <is>
          <t>Одежда для детей</t>
        </is>
      </c>
      <c r="D296" s="2" t="inlineStr">
        <is>
          <t>Платья, майки, футболки детские для девочек</t>
        </is>
      </c>
      <c r="E296" s="3" t="inlineStr">
        <is>
          <t>a60 Футболка детская для девочек</t>
        </is>
      </c>
      <c r="F296" s="2" t="inlineStr">
        <is>
          <t>всесезонный</t>
        </is>
      </c>
      <c r="G296" s="3" t="inlineStr">
        <is>
          <t>Kari KIDS</t>
        </is>
      </c>
      <c r="H296" s="2" t="inlineStr">
        <is>
          <t>Зиннуров Ильнур</t>
        </is>
      </c>
      <c r="J296" s="3" t="inlineStr">
        <is>
          <t>2026SS</t>
        </is>
      </c>
      <c r="K296" s="3" t="n">
        <v>16406</v>
      </c>
      <c r="L296" s="3" t="n">
        <v>6353</v>
      </c>
      <c r="M296" s="3" t="n">
        <v>107</v>
      </c>
      <c r="N296" s="4">
        <f>IFERROR(L296/K296,0)</f>
        <v/>
      </c>
      <c r="O296" s="4">
        <f>IFERROR(M296/L296,0)</f>
        <v/>
      </c>
      <c r="P296" t="n">
        <v>117</v>
      </c>
      <c r="Q296" s="5" t="n">
        <v>1</v>
      </c>
      <c r="R296" s="7" t="n">
        <v>1</v>
      </c>
      <c r="S296">
        <f>IF(OR(N296&lt;$T$1*0.5,O296&lt;$U$1*0.5),"код для проверки","нормальный код")</f>
        <v/>
      </c>
      <c r="T296">
        <f>IF(N296&lt;$T$1*0.5,"Низшая четверть",IF(N296&lt;$T$1,"Вторая четверть","Больше половины"))</f>
        <v/>
      </c>
      <c r="U296">
        <f>IF(O296&lt;$U$1*0.5,"Низшая четверть",IF(O296&lt;$U$1,"Вторая четверть","Больше половины"))</f>
        <v/>
      </c>
      <c r="V296">
        <f>IF(OR(N296&lt;SUMIFS(L:L,R:R,1,E:E,E296)/SUMIFS(K:K,R:R,1,E:E,E296)*0.5,O296&lt;SUMIFS(M:M,R:R,1,E:E,E296)/SUMIFS(L:L,R:R,1,E:E,E296)*0.5),"код для проверки","нормальный код")</f>
        <v/>
      </c>
      <c r="W296">
        <f>IF(N296&lt;SUMIFS(L:L,R:R,1,E:E,E296)/SUMIFS(K:K,R:R,1,E:E,E296)*0.5,"Низшая четверть",IF(N296&lt;SUMIFS(L:L,R:R,1,E:E,E296)/SUMIFS(K:K,R:R,1,E:E,E296),"Вторая четверть","Больше половины"))</f>
        <v/>
      </c>
      <c r="X296">
        <f>IF(O296&lt;SUMIFS(M:M,R:R,1,E:E,E296)/SUMIFS(L:L,R:R,1,E:E,E296)*0.5,"Низшая четверть",IF(O296&lt;SUMIFS(M:M,R:R,1,E:E,E296)/SUMIFS(L:L,R:R,1,E:E,E296),"Вторая четверть","Больше половины"))</f>
        <v/>
      </c>
      <c r="Y296" t="n">
        <v>13</v>
      </c>
    </row>
    <row r="297">
      <c r="A297" s="1" t="inlineStr">
        <is>
          <t>310001B0</t>
        </is>
      </c>
      <c r="B297" s="2" t="inlineStr">
        <is>
          <t>879308905</t>
        </is>
      </c>
      <c r="C297" s="3" t="inlineStr">
        <is>
          <t>Одежда для детей</t>
        </is>
      </c>
      <c r="D297" s="2" t="inlineStr">
        <is>
          <t>Футболки, майки, рубашки детские для мальчиков</t>
        </is>
      </c>
      <c r="E297" s="3" t="inlineStr">
        <is>
          <t>310 Футболка детская для мальчиков</t>
        </is>
      </c>
      <c r="F297" s="2" t="inlineStr">
        <is>
          <t>всесезонный</t>
        </is>
      </c>
      <c r="G297" s="3" t="inlineStr">
        <is>
          <t>Kari KIDS</t>
        </is>
      </c>
      <c r="H297" s="2" t="inlineStr">
        <is>
          <t>Зиннуров Ильнур</t>
        </is>
      </c>
      <c r="J297" s="3" t="inlineStr">
        <is>
          <t>2026SS</t>
        </is>
      </c>
      <c r="K297" s="3" t="n">
        <v>16402</v>
      </c>
      <c r="L297" s="3" t="n">
        <v>499</v>
      </c>
      <c r="M297" s="3" t="n">
        <v>19</v>
      </c>
      <c r="N297" s="4">
        <f>IFERROR(L297/K297,0)</f>
        <v/>
      </c>
      <c r="O297" s="4">
        <f>IFERROR(M297/L297,0)</f>
        <v/>
      </c>
      <c r="P297" t="n">
        <v>363</v>
      </c>
      <c r="Q297" s="5" t="n">
        <v>1</v>
      </c>
      <c r="R297" s="7" t="n">
        <v>1</v>
      </c>
      <c r="S297">
        <f>IF(OR(N297&lt;$T$1*0.5,O297&lt;$U$1*0.5),"код для проверки","нормальный код")</f>
        <v/>
      </c>
      <c r="T297">
        <f>IF(N297&lt;$T$1*0.5,"Низшая четверть",IF(N297&lt;$T$1,"Вторая четверть","Больше половины"))</f>
        <v/>
      </c>
      <c r="U297">
        <f>IF(O297&lt;$U$1*0.5,"Низшая четверть",IF(O297&lt;$U$1,"Вторая четверть","Больше половины"))</f>
        <v/>
      </c>
      <c r="V297">
        <f>IF(OR(N297&lt;SUMIFS(L:L,R:R,1,E:E,E297)/SUMIFS(K:K,R:R,1,E:E,E297)*0.5,O297&lt;SUMIFS(M:M,R:R,1,E:E,E297)/SUMIFS(L:L,R:R,1,E:E,E297)*0.5),"код для проверки","нормальный код")</f>
        <v/>
      </c>
      <c r="W297">
        <f>IF(N297&lt;SUMIFS(L:L,R:R,1,E:E,E297)/SUMIFS(K:K,R:R,1,E:E,E297)*0.5,"Низшая четверть",IF(N297&lt;SUMIFS(L:L,R:R,1,E:E,E297)/SUMIFS(K:K,R:R,1,E:E,E297),"Вторая четверть","Больше половины"))</f>
        <v/>
      </c>
      <c r="X297">
        <f>IF(O297&lt;SUMIFS(M:M,R:R,1,E:E,E297)/SUMIFS(L:L,R:R,1,E:E,E297)*0.5,"Низшая четверть",IF(O297&lt;SUMIFS(M:M,R:R,1,E:E,E297)/SUMIFS(L:L,R:R,1,E:E,E297),"Вторая четверть","Больше половины"))</f>
        <v/>
      </c>
      <c r="Y297" t="n">
        <v>6</v>
      </c>
    </row>
    <row r="298">
      <c r="A298" s="1" t="inlineStr">
        <is>
          <t>56800170</t>
        </is>
      </c>
      <c r="B298" s="2" t="inlineStr">
        <is>
          <t>848722563</t>
        </is>
      </c>
      <c r="C298" s="3" t="inlineStr">
        <is>
          <t>Одежда для детей</t>
        </is>
      </c>
      <c r="D298" s="2" t="inlineStr">
        <is>
          <t>Одежда для новорожденных</t>
        </is>
      </c>
      <c r="E298" s="3" t="inlineStr">
        <is>
          <t>568 Боди с коротким рукавом для девочек</t>
        </is>
      </c>
      <c r="F298" s="2" t="inlineStr">
        <is>
          <t>всесезонный</t>
        </is>
      </c>
      <c r="G298" s="3" t="inlineStr">
        <is>
          <t>Kari baby</t>
        </is>
      </c>
      <c r="H298" s="2" t="inlineStr">
        <is>
          <t>Зиннуров Ильнур</t>
        </is>
      </c>
      <c r="J298" s="3" t="inlineStr">
        <is>
          <t>2026SS</t>
        </is>
      </c>
      <c r="K298" s="3" t="n">
        <v>16348</v>
      </c>
      <c r="L298" s="3" t="n">
        <v>1591</v>
      </c>
      <c r="M298" s="3" t="n">
        <v>24</v>
      </c>
      <c r="N298" s="4">
        <f>IFERROR(L298/K298,0)</f>
        <v/>
      </c>
      <c r="O298" s="4">
        <f>IFERROR(M298/L298,0)</f>
        <v/>
      </c>
      <c r="P298" t="n">
        <v>750</v>
      </c>
      <c r="Q298" s="5" t="n">
        <v>1</v>
      </c>
      <c r="R298" s="7" t="n">
        <v>1</v>
      </c>
      <c r="S298">
        <f>IF(OR(N298&lt;$T$1*0.5,O298&lt;$U$1*0.5),"код для проверки","нормальный код")</f>
        <v/>
      </c>
      <c r="T298">
        <f>IF(N298&lt;$T$1*0.5,"Низшая четверть",IF(N298&lt;$T$1,"Вторая четверть","Больше половины"))</f>
        <v/>
      </c>
      <c r="U298">
        <f>IF(O298&lt;$U$1*0.5,"Низшая четверть",IF(O298&lt;$U$1,"Вторая четверть","Больше половины"))</f>
        <v/>
      </c>
      <c r="V298">
        <f>IF(OR(N298&lt;SUMIFS(L:L,R:R,1,E:E,E298)/SUMIFS(K:K,R:R,1,E:E,E298)*0.5,O298&lt;SUMIFS(M:M,R:R,1,E:E,E298)/SUMIFS(L:L,R:R,1,E:E,E298)*0.5),"код для проверки","нормальный код")</f>
        <v/>
      </c>
      <c r="W298">
        <f>IF(N298&lt;SUMIFS(L:L,R:R,1,E:E,E298)/SUMIFS(K:K,R:R,1,E:E,E298)*0.5,"Низшая четверть",IF(N298&lt;SUMIFS(L:L,R:R,1,E:E,E298)/SUMIFS(K:K,R:R,1,E:E,E298),"Вторая четверть","Больше половины"))</f>
        <v/>
      </c>
      <c r="X298">
        <f>IF(O298&lt;SUMIFS(M:M,R:R,1,E:E,E298)/SUMIFS(L:L,R:R,1,E:E,E298)*0.5,"Низшая четверть",IF(O298&lt;SUMIFS(M:M,R:R,1,E:E,E298)/SUMIFS(L:L,R:R,1,E:E,E298),"Вторая четверть","Больше половины"))</f>
        <v/>
      </c>
      <c r="Y298" t="n">
        <v>11</v>
      </c>
    </row>
    <row r="299">
      <c r="A299" s="1" t="inlineStr">
        <is>
          <t>23800120</t>
        </is>
      </c>
      <c r="B299" s="2" t="inlineStr">
        <is>
          <t>797255036</t>
        </is>
      </c>
      <c r="C299" s="3" t="inlineStr">
        <is>
          <t>Одежда для детей</t>
        </is>
      </c>
      <c r="D299" s="2" t="inlineStr">
        <is>
          <t>Платья, майки, футболки детские для девочек</t>
        </is>
      </c>
      <c r="E299" s="3" t="inlineStr">
        <is>
          <t>238 Платье детское для девочек</t>
        </is>
      </c>
      <c r="F299" s="2" t="inlineStr">
        <is>
          <t>всесезонный</t>
        </is>
      </c>
      <c r="G299" s="3" t="inlineStr">
        <is>
          <t>kari</t>
        </is>
      </c>
      <c r="H299" s="2" t="inlineStr">
        <is>
          <t>Зиннуров Ильнур</t>
        </is>
      </c>
      <c r="J299" s="3" t="inlineStr">
        <is>
          <t>2026SS</t>
        </is>
      </c>
      <c r="K299" s="3" t="n">
        <v>16115</v>
      </c>
      <c r="L299" s="3" t="n">
        <v>1149</v>
      </c>
      <c r="M299" s="3" t="n">
        <v>13</v>
      </c>
      <c r="N299" s="4">
        <f>IFERROR(L299/K299,0)</f>
        <v/>
      </c>
      <c r="O299" s="4">
        <f>IFERROR(M299/L299,0)</f>
        <v/>
      </c>
      <c r="P299" t="n">
        <v>536</v>
      </c>
      <c r="Q299" s="5" t="n">
        <v>1</v>
      </c>
      <c r="R299" s="7" t="n">
        <v>1</v>
      </c>
      <c r="S299">
        <f>IF(OR(N299&lt;$T$1*0.5,O299&lt;$U$1*0.5),"код для проверки","нормальный код")</f>
        <v/>
      </c>
      <c r="T299">
        <f>IF(N299&lt;$T$1*0.5,"Низшая четверть",IF(N299&lt;$T$1,"Вторая четверть","Больше половины"))</f>
        <v/>
      </c>
      <c r="U299">
        <f>IF(O299&lt;$U$1*0.5,"Низшая четверть",IF(O299&lt;$U$1,"Вторая четверть","Больше половины"))</f>
        <v/>
      </c>
      <c r="V299">
        <f>IF(OR(N299&lt;SUMIFS(L:L,R:R,1,E:E,E299)/SUMIFS(K:K,R:R,1,E:E,E299)*0.5,O299&lt;SUMIFS(M:M,R:R,1,E:E,E299)/SUMIFS(L:L,R:R,1,E:E,E299)*0.5),"код для проверки","нормальный код")</f>
        <v/>
      </c>
      <c r="W299">
        <f>IF(N299&lt;SUMIFS(L:L,R:R,1,E:E,E299)/SUMIFS(K:K,R:R,1,E:E,E299)*0.5,"Низшая четверть",IF(N299&lt;SUMIFS(L:L,R:R,1,E:E,E299)/SUMIFS(K:K,R:R,1,E:E,E299),"Вторая четверть","Больше половины"))</f>
        <v/>
      </c>
      <c r="X299">
        <f>IF(O299&lt;SUMIFS(M:M,R:R,1,E:E,E299)/SUMIFS(L:L,R:R,1,E:E,E299)*0.5,"Низшая четверть",IF(O299&lt;SUMIFS(M:M,R:R,1,E:E,E299)/SUMIFS(L:L,R:R,1,E:E,E299),"Вторая четверть","Больше половины"))</f>
        <v/>
      </c>
      <c r="Y299" t="n">
        <v>18</v>
      </c>
    </row>
    <row r="300">
      <c r="A300" s="1" t="inlineStr">
        <is>
          <t>16808070</t>
        </is>
      </c>
      <c r="B300" s="2" t="inlineStr">
        <is>
          <t>355550913</t>
        </is>
      </c>
      <c r="C300" s="3" t="inlineStr">
        <is>
          <t>Одежда и аксессуары</t>
        </is>
      </c>
      <c r="D300" s="2" t="inlineStr">
        <is>
          <t>Головные уборы женские</t>
        </is>
      </c>
      <c r="E300" s="3" t="inlineStr">
        <is>
          <t>168 Шляпа женская летняя</t>
        </is>
      </c>
      <c r="F300" s="2" t="inlineStr">
        <is>
          <t>лето</t>
        </is>
      </c>
      <c r="G300" s="3" t="inlineStr">
        <is>
          <t>kari</t>
        </is>
      </c>
      <c r="H300" s="2" t="inlineStr">
        <is>
          <t>Никонорова Алина</t>
        </is>
      </c>
      <c r="J300" s="3" t="inlineStr">
        <is>
          <t>2026SS</t>
        </is>
      </c>
      <c r="K300" s="3" t="n">
        <v>16009</v>
      </c>
      <c r="L300" s="3" t="n">
        <v>3698</v>
      </c>
      <c r="M300" s="3" t="n">
        <v>27</v>
      </c>
      <c r="N300" s="4">
        <f>IFERROR(L300/K300,0)</f>
        <v/>
      </c>
      <c r="O300" s="4">
        <f>IFERROR(M300/L300,0)</f>
        <v/>
      </c>
      <c r="P300" t="n">
        <v>920</v>
      </c>
      <c r="Q300" s="5" t="n">
        <v>1</v>
      </c>
      <c r="R300" s="7" t="n">
        <v>1</v>
      </c>
      <c r="S300">
        <f>IF(OR(N300&lt;$T$1*0.5,O300&lt;$U$1*0.5),"код для проверки","нормальный код")</f>
        <v/>
      </c>
      <c r="T300">
        <f>IF(N300&lt;$T$1*0.5,"Низшая четверть",IF(N300&lt;$T$1,"Вторая четверть","Больше половины"))</f>
        <v/>
      </c>
      <c r="U300">
        <f>IF(O300&lt;$U$1*0.5,"Низшая четверть",IF(O300&lt;$U$1,"Вторая четверть","Больше половины"))</f>
        <v/>
      </c>
      <c r="V300">
        <f>IF(OR(N300&lt;SUMIFS(L:L,R:R,1,E:E,E300)/SUMIFS(K:K,R:R,1,E:E,E300)*0.5,O300&lt;SUMIFS(M:M,R:R,1,E:E,E300)/SUMIFS(L:L,R:R,1,E:E,E300)*0.5),"код для проверки","нормальный код")</f>
        <v/>
      </c>
      <c r="W300">
        <f>IF(N300&lt;SUMIFS(L:L,R:R,1,E:E,E300)/SUMIFS(K:K,R:R,1,E:E,E300)*0.5,"Низшая четверть",IF(N300&lt;SUMIFS(L:L,R:R,1,E:E,E300)/SUMIFS(K:K,R:R,1,E:E,E300),"Вторая четверть","Больше половины"))</f>
        <v/>
      </c>
      <c r="X300">
        <f>IF(O300&lt;SUMIFS(M:M,R:R,1,E:E,E300)/SUMIFS(L:L,R:R,1,E:E,E300)*0.5,"Низшая четверть",IF(O300&lt;SUMIFS(M:M,R:R,1,E:E,E300)/SUMIFS(L:L,R:R,1,E:E,E300),"Вторая четверть","Больше половины"))</f>
        <v/>
      </c>
      <c r="Y300" t="n">
        <v>13</v>
      </c>
    </row>
    <row r="301">
      <c r="A301" s="1" t="inlineStr">
        <is>
          <t>a5700020</t>
        </is>
      </c>
      <c r="B301" s="2" t="inlineStr">
        <is>
          <t>770505936</t>
        </is>
      </c>
      <c r="C301" s="3" t="inlineStr">
        <is>
          <t>Одежда для детей</t>
        </is>
      </c>
      <c r="D301" s="2" t="inlineStr">
        <is>
          <t>Одежда для новорожденных</t>
        </is>
      </c>
      <c r="E301" s="3" t="inlineStr">
        <is>
          <t>a57 Летнее платье для маленькой девочки</t>
        </is>
      </c>
      <c r="F301" s="2" t="inlineStr">
        <is>
          <t>весна, лето</t>
        </is>
      </c>
      <c r="G301" s="3" t="inlineStr">
        <is>
          <t>Kari baby</t>
        </is>
      </c>
      <c r="H301" s="2" t="inlineStr">
        <is>
          <t>Зиннуров Ильнур</t>
        </is>
      </c>
      <c r="J301" s="3" t="inlineStr">
        <is>
          <t>2026SS</t>
        </is>
      </c>
      <c r="K301" s="3" t="n">
        <v>15970</v>
      </c>
      <c r="L301" s="3" t="n">
        <v>1228</v>
      </c>
      <c r="M301" s="3" t="n">
        <v>16</v>
      </c>
      <c r="N301" s="4">
        <f>IFERROR(L301/K301,0)</f>
        <v/>
      </c>
      <c r="O301" s="4">
        <f>IFERROR(M301/L301,0)</f>
        <v/>
      </c>
      <c r="P301" t="n">
        <v>465</v>
      </c>
      <c r="Q301" s="5" t="n">
        <v>1</v>
      </c>
      <c r="R301" s="7" t="n">
        <v>1</v>
      </c>
      <c r="S301">
        <f>IF(OR(N301&lt;$T$1*0.5,O301&lt;$U$1*0.5),"код для проверки","нормальный код")</f>
        <v/>
      </c>
      <c r="T301">
        <f>IF(N301&lt;$T$1*0.5,"Низшая четверть",IF(N301&lt;$T$1,"Вторая четверть","Больше половины"))</f>
        <v/>
      </c>
      <c r="U301">
        <f>IF(O301&lt;$U$1*0.5,"Низшая четверть",IF(O301&lt;$U$1,"Вторая четверть","Больше половины"))</f>
        <v/>
      </c>
      <c r="V301">
        <f>IF(OR(N301&lt;SUMIFS(L:L,R:R,1,E:E,E301)/SUMIFS(K:K,R:R,1,E:E,E301)*0.5,O301&lt;SUMIFS(M:M,R:R,1,E:E,E301)/SUMIFS(L:L,R:R,1,E:E,E301)*0.5),"код для проверки","нормальный код")</f>
        <v/>
      </c>
      <c r="W301">
        <f>IF(N301&lt;SUMIFS(L:L,R:R,1,E:E,E301)/SUMIFS(K:K,R:R,1,E:E,E301)*0.5,"Низшая четверть",IF(N301&lt;SUMIFS(L:L,R:R,1,E:E,E301)/SUMIFS(K:K,R:R,1,E:E,E301),"Вторая четверть","Больше половины"))</f>
        <v/>
      </c>
      <c r="X301">
        <f>IF(O301&lt;SUMIFS(M:M,R:R,1,E:E,E301)/SUMIFS(L:L,R:R,1,E:E,E301)*0.5,"Низшая четверть",IF(O301&lt;SUMIFS(M:M,R:R,1,E:E,E301)/SUMIFS(L:L,R:R,1,E:E,E301),"Вторая четверть","Больше половины"))</f>
        <v/>
      </c>
      <c r="Y301" t="n">
        <v>11</v>
      </c>
    </row>
    <row r="302">
      <c r="A302" s="1" t="inlineStr">
        <is>
          <t>56700040</t>
        </is>
      </c>
      <c r="B302" s="2" t="inlineStr">
        <is>
          <t>766639227</t>
        </is>
      </c>
      <c r="C302" s="3" t="inlineStr">
        <is>
          <t>Одежда для детей</t>
        </is>
      </c>
      <c r="D302" s="2" t="inlineStr">
        <is>
          <t>Одежда для новорожденных</t>
        </is>
      </c>
      <c r="E302" s="3" t="inlineStr">
        <is>
          <t>567 Боди с длинным рукавом для девочек</t>
        </is>
      </c>
      <c r="F302" s="2" t="inlineStr">
        <is>
          <t>всесезонный</t>
        </is>
      </c>
      <c r="G302" s="3" t="inlineStr">
        <is>
          <t>Kari baby</t>
        </is>
      </c>
      <c r="H302" s="2" t="inlineStr">
        <is>
          <t>Зиннуров Ильнур</t>
        </is>
      </c>
      <c r="J302" s="3" t="inlineStr">
        <is>
          <t>2026SS</t>
        </is>
      </c>
      <c r="K302" s="3" t="n">
        <v>15964</v>
      </c>
      <c r="L302" s="3" t="n">
        <v>1121</v>
      </c>
      <c r="M302" s="3" t="n">
        <v>16</v>
      </c>
      <c r="N302" s="4">
        <f>IFERROR(L302/K302,0)</f>
        <v/>
      </c>
      <c r="O302" s="4">
        <f>IFERROR(M302/L302,0)</f>
        <v/>
      </c>
      <c r="P302" t="n">
        <v>274</v>
      </c>
      <c r="Q302" s="5" t="n">
        <v>0.8333333333333334</v>
      </c>
      <c r="R302" s="7" t="n">
        <v>1</v>
      </c>
      <c r="S302">
        <f>IF(OR(N302&lt;$T$1*0.5,O302&lt;$U$1*0.5),"код для проверки","нормальный код")</f>
        <v/>
      </c>
      <c r="T302">
        <f>IF(N302&lt;$T$1*0.5,"Низшая четверть",IF(N302&lt;$T$1,"Вторая четверть","Больше половины"))</f>
        <v/>
      </c>
      <c r="U302">
        <f>IF(O302&lt;$U$1*0.5,"Низшая четверть",IF(O302&lt;$U$1,"Вторая четверть","Больше половины"))</f>
        <v/>
      </c>
      <c r="V302">
        <f>IF(OR(N302&lt;SUMIFS(L:L,R:R,1,E:E,E302)/SUMIFS(K:K,R:R,1,E:E,E302)*0.5,O302&lt;SUMIFS(M:M,R:R,1,E:E,E302)/SUMIFS(L:L,R:R,1,E:E,E302)*0.5),"код для проверки","нормальный код")</f>
        <v/>
      </c>
      <c r="W302">
        <f>IF(N302&lt;SUMIFS(L:L,R:R,1,E:E,E302)/SUMIFS(K:K,R:R,1,E:E,E302)*0.5,"Низшая четверть",IF(N302&lt;SUMIFS(L:L,R:R,1,E:E,E302)/SUMIFS(K:K,R:R,1,E:E,E302),"Вторая четверть","Больше половины"))</f>
        <v/>
      </c>
      <c r="X302">
        <f>IF(O302&lt;SUMIFS(M:M,R:R,1,E:E,E302)/SUMIFS(L:L,R:R,1,E:E,E302)*0.5,"Низшая четверть",IF(O302&lt;SUMIFS(M:M,R:R,1,E:E,E302)/SUMIFS(L:L,R:R,1,E:E,E302),"Вторая четверть","Больше половины"))</f>
        <v/>
      </c>
      <c r="Y302" t="n">
        <v>14</v>
      </c>
    </row>
    <row r="303">
      <c r="A303" s="1" t="inlineStr">
        <is>
          <t>a8600000</t>
        </is>
      </c>
      <c r="B303" s="2" t="inlineStr">
        <is>
          <t>695348276</t>
        </is>
      </c>
      <c r="C303" s="3" t="inlineStr">
        <is>
          <t>Одежда для детей</t>
        </is>
      </c>
      <c r="D303" s="2" t="inlineStr">
        <is>
          <t>Свитера детские для девочек</t>
        </is>
      </c>
      <c r="E303" s="3" t="inlineStr">
        <is>
          <t>a86 Толстовка-бомбер для девочек</t>
        </is>
      </c>
      <c r="F303" s="2" t="inlineStr">
        <is>
          <t>весна, лето, осень</t>
        </is>
      </c>
      <c r="G303" s="3" t="inlineStr">
        <is>
          <t>Kari KIDS</t>
        </is>
      </c>
      <c r="H303" s="2" t="inlineStr">
        <is>
          <t>Зиннуров Ильнур</t>
        </is>
      </c>
      <c r="J303" s="3" t="inlineStr">
        <is>
          <t>2026SS</t>
        </is>
      </c>
      <c r="K303" s="3" t="n">
        <v>15959</v>
      </c>
      <c r="L303" s="3" t="n">
        <v>1011</v>
      </c>
      <c r="M303" s="3" t="n">
        <v>25</v>
      </c>
      <c r="N303" s="4">
        <f>IFERROR(L303/K303,0)</f>
        <v/>
      </c>
      <c r="O303" s="4">
        <f>IFERROR(M303/L303,0)</f>
        <v/>
      </c>
      <c r="P303" t="n">
        <v>529</v>
      </c>
      <c r="Q303" s="5" t="n">
        <v>1</v>
      </c>
      <c r="R303" s="7" t="n">
        <v>1</v>
      </c>
      <c r="S303">
        <f>IF(OR(N303&lt;$T$1*0.5,O303&lt;$U$1*0.5),"код для проверки","нормальный код")</f>
        <v/>
      </c>
      <c r="T303">
        <f>IF(N303&lt;$T$1*0.5,"Низшая четверть",IF(N303&lt;$T$1,"Вторая четверть","Больше половины"))</f>
        <v/>
      </c>
      <c r="U303">
        <f>IF(O303&lt;$U$1*0.5,"Низшая четверть",IF(O303&lt;$U$1,"Вторая четверть","Больше половины"))</f>
        <v/>
      </c>
      <c r="V303">
        <f>IF(OR(N303&lt;SUMIFS(L:L,R:R,1,E:E,E303)/SUMIFS(K:K,R:R,1,E:E,E303)*0.5,O303&lt;SUMIFS(M:M,R:R,1,E:E,E303)/SUMIFS(L:L,R:R,1,E:E,E303)*0.5),"код для проверки","нормальный код")</f>
        <v/>
      </c>
      <c r="W303">
        <f>IF(N303&lt;SUMIFS(L:L,R:R,1,E:E,E303)/SUMIFS(K:K,R:R,1,E:E,E303)*0.5,"Низшая четверть",IF(N303&lt;SUMIFS(L:L,R:R,1,E:E,E303)/SUMIFS(K:K,R:R,1,E:E,E303),"Вторая четверть","Больше половины"))</f>
        <v/>
      </c>
      <c r="X303">
        <f>IF(O303&lt;SUMIFS(M:M,R:R,1,E:E,E303)/SUMIFS(L:L,R:R,1,E:E,E303)*0.5,"Низшая четверть",IF(O303&lt;SUMIFS(M:M,R:R,1,E:E,E303)/SUMIFS(L:L,R:R,1,E:E,E303),"Вторая четверть","Больше половины"))</f>
        <v/>
      </c>
      <c r="Y303" t="n">
        <v>25</v>
      </c>
    </row>
    <row r="304">
      <c r="A304" s="1" t="inlineStr">
        <is>
          <t>310061J0</t>
        </is>
      </c>
      <c r="B304" s="2" t="inlineStr">
        <is>
          <t>218537489</t>
        </is>
      </c>
      <c r="C304" s="3" t="inlineStr">
        <is>
          <t>Одежда для детей</t>
        </is>
      </c>
      <c r="D304" s="2" t="inlineStr">
        <is>
          <t>Футболки, майки, рубашки детские для мальчиков</t>
        </is>
      </c>
      <c r="E304" s="3" t="inlineStr">
        <is>
          <t>310 Футболка детская для мальчиков</t>
        </is>
      </c>
      <c r="F304" s="2" t="inlineStr">
        <is>
          <t>всесезонный</t>
        </is>
      </c>
      <c r="G304" s="3" t="inlineStr">
        <is>
          <t>Kari KIDS</t>
        </is>
      </c>
      <c r="H304" s="2" t="inlineStr">
        <is>
          <t>Зиннуров Ильнур</t>
        </is>
      </c>
      <c r="J304" s="3" t="inlineStr">
        <is>
          <t>2026SS</t>
        </is>
      </c>
      <c r="K304" s="3" t="n">
        <v>15955</v>
      </c>
      <c r="L304" s="3" t="n">
        <v>2058</v>
      </c>
      <c r="M304" s="3" t="n">
        <v>14</v>
      </c>
      <c r="N304" s="4">
        <f>IFERROR(L304/K304,0)</f>
        <v/>
      </c>
      <c r="O304" s="4">
        <f>IFERROR(M304/L304,0)</f>
        <v/>
      </c>
      <c r="P304" t="n">
        <v>304</v>
      </c>
      <c r="Q304" s="5" t="n">
        <v>1</v>
      </c>
      <c r="R304" s="7" t="n">
        <v>1</v>
      </c>
      <c r="S304">
        <f>IF(OR(N304&lt;$T$1*0.5,O304&lt;$U$1*0.5),"код для проверки","нормальный код")</f>
        <v/>
      </c>
      <c r="T304">
        <f>IF(N304&lt;$T$1*0.5,"Низшая четверть",IF(N304&lt;$T$1,"Вторая четверть","Больше половины"))</f>
        <v/>
      </c>
      <c r="U304">
        <f>IF(O304&lt;$U$1*0.5,"Низшая четверть",IF(O304&lt;$U$1,"Вторая четверть","Больше половины"))</f>
        <v/>
      </c>
      <c r="V304">
        <f>IF(OR(N304&lt;SUMIFS(L:L,R:R,1,E:E,E304)/SUMIFS(K:K,R:R,1,E:E,E304)*0.5,O304&lt;SUMIFS(M:M,R:R,1,E:E,E304)/SUMIFS(L:L,R:R,1,E:E,E304)*0.5),"код для проверки","нормальный код")</f>
        <v/>
      </c>
      <c r="W304">
        <f>IF(N304&lt;SUMIFS(L:L,R:R,1,E:E,E304)/SUMIFS(K:K,R:R,1,E:E,E304)*0.5,"Низшая четверть",IF(N304&lt;SUMIFS(L:L,R:R,1,E:E,E304)/SUMIFS(K:K,R:R,1,E:E,E304),"Вторая четверть","Больше половины"))</f>
        <v/>
      </c>
      <c r="X304">
        <f>IF(O304&lt;SUMIFS(M:M,R:R,1,E:E,E304)/SUMIFS(L:L,R:R,1,E:E,E304)*0.5,"Низшая четверть",IF(O304&lt;SUMIFS(M:M,R:R,1,E:E,E304)/SUMIFS(L:L,R:R,1,E:E,E304),"Вторая четверть","Больше половины"))</f>
        <v/>
      </c>
      <c r="Y304" t="n">
        <v>11</v>
      </c>
    </row>
    <row r="305">
      <c r="A305" s="1" t="inlineStr">
        <is>
          <t>29000120</t>
        </is>
      </c>
      <c r="B305" s="2" t="inlineStr">
        <is>
          <t>769002379</t>
        </is>
      </c>
      <c r="C305" s="3" t="inlineStr">
        <is>
          <t>Одежда для детей</t>
        </is>
      </c>
      <c r="D305" s="2" t="inlineStr">
        <is>
          <t>Брюки детские для девочек</t>
        </is>
      </c>
      <c r="E305" s="3" t="inlineStr">
        <is>
          <t>290 Штаны детские для девочек</t>
        </is>
      </c>
      <c r="F305" s="2" t="inlineStr">
        <is>
          <t>всесезонный</t>
        </is>
      </c>
      <c r="G305" s="3" t="inlineStr">
        <is>
          <t>Kari KIDS</t>
        </is>
      </c>
      <c r="H305" s="2" t="inlineStr">
        <is>
          <t>Зиннуров Ильнур</t>
        </is>
      </c>
      <c r="J305" s="3" t="inlineStr">
        <is>
          <t>2026SS</t>
        </is>
      </c>
      <c r="K305" s="3" t="n">
        <v>15938</v>
      </c>
      <c r="L305" s="3" t="n">
        <v>1245</v>
      </c>
      <c r="M305" s="3" t="n">
        <v>26</v>
      </c>
      <c r="N305" s="4">
        <f>IFERROR(L305/K305,0)</f>
        <v/>
      </c>
      <c r="O305" s="4">
        <f>IFERROR(M305/L305,0)</f>
        <v/>
      </c>
      <c r="P305" t="n">
        <v>705</v>
      </c>
      <c r="Q305" s="5" t="n">
        <v>1</v>
      </c>
      <c r="R305" s="7" t="n">
        <v>1</v>
      </c>
      <c r="S305">
        <f>IF(OR(N305&lt;$T$1*0.5,O305&lt;$U$1*0.5),"код для проверки","нормальный код")</f>
        <v/>
      </c>
      <c r="T305">
        <f>IF(N305&lt;$T$1*0.5,"Низшая четверть",IF(N305&lt;$T$1,"Вторая четверть","Больше половины"))</f>
        <v/>
      </c>
      <c r="U305">
        <f>IF(O305&lt;$U$1*0.5,"Низшая четверть",IF(O305&lt;$U$1,"Вторая четверть","Больше половины"))</f>
        <v/>
      </c>
      <c r="V305">
        <f>IF(OR(N305&lt;SUMIFS(L:L,R:R,1,E:E,E305)/SUMIFS(K:K,R:R,1,E:E,E305)*0.5,O305&lt;SUMIFS(M:M,R:R,1,E:E,E305)/SUMIFS(L:L,R:R,1,E:E,E305)*0.5),"код для проверки","нормальный код")</f>
        <v/>
      </c>
      <c r="W305">
        <f>IF(N305&lt;SUMIFS(L:L,R:R,1,E:E,E305)/SUMIFS(K:K,R:R,1,E:E,E305)*0.5,"Низшая четверть",IF(N305&lt;SUMIFS(L:L,R:R,1,E:E,E305)/SUMIFS(K:K,R:R,1,E:E,E305),"Вторая четверть","Больше половины"))</f>
        <v/>
      </c>
      <c r="X305">
        <f>IF(O305&lt;SUMIFS(M:M,R:R,1,E:E,E305)/SUMIFS(L:L,R:R,1,E:E,E305)*0.5,"Низшая четверть",IF(O305&lt;SUMIFS(M:M,R:R,1,E:E,E305)/SUMIFS(L:L,R:R,1,E:E,E305),"Вторая четверть","Больше половины"))</f>
        <v/>
      </c>
      <c r="Y305" t="n">
        <v>16</v>
      </c>
    </row>
    <row r="306">
      <c r="A306" s="1" t="inlineStr">
        <is>
          <t>56808140</t>
        </is>
      </c>
      <c r="B306" s="2" t="inlineStr">
        <is>
          <t>343058736</t>
        </is>
      </c>
      <c r="C306" s="3" t="inlineStr">
        <is>
          <t>Одежда для детей</t>
        </is>
      </c>
      <c r="D306" s="2" t="inlineStr">
        <is>
          <t>Одежда для новорожденных</t>
        </is>
      </c>
      <c r="E306" s="3" t="inlineStr">
        <is>
          <t>568 Боди с коротким рукавом для девочек</t>
        </is>
      </c>
      <c r="F306" s="2" t="inlineStr">
        <is>
          <t>всесезонный</t>
        </is>
      </c>
      <c r="G306" s="3" t="inlineStr">
        <is>
          <t>Kari baby</t>
        </is>
      </c>
      <c r="H306" s="2" t="inlineStr">
        <is>
          <t>Зиннуров Ильнур</t>
        </is>
      </c>
      <c r="J306" s="3" t="inlineStr">
        <is>
          <t>2026SS</t>
        </is>
      </c>
      <c r="K306" s="3" t="n">
        <v>15788</v>
      </c>
      <c r="L306" s="3" t="n">
        <v>2024</v>
      </c>
      <c r="M306" s="3" t="n">
        <v>41</v>
      </c>
      <c r="N306" s="4">
        <f>IFERROR(L306/K306,0)</f>
        <v/>
      </c>
      <c r="O306" s="4">
        <f>IFERROR(M306/L306,0)</f>
        <v/>
      </c>
      <c r="P306" t="n">
        <v>823</v>
      </c>
      <c r="Q306" s="5" t="n">
        <v>1</v>
      </c>
      <c r="R306" s="7" t="n">
        <v>1</v>
      </c>
      <c r="S306">
        <f>IF(OR(N306&lt;$T$1*0.5,O306&lt;$U$1*0.5),"код для проверки","нормальный код")</f>
        <v/>
      </c>
      <c r="T306">
        <f>IF(N306&lt;$T$1*0.5,"Низшая четверть",IF(N306&lt;$T$1,"Вторая четверть","Больше половины"))</f>
        <v/>
      </c>
      <c r="U306">
        <f>IF(O306&lt;$U$1*0.5,"Низшая четверть",IF(O306&lt;$U$1,"Вторая четверть","Больше половины"))</f>
        <v/>
      </c>
      <c r="V306">
        <f>IF(OR(N306&lt;SUMIFS(L:L,R:R,1,E:E,E306)/SUMIFS(K:K,R:R,1,E:E,E306)*0.5,O306&lt;SUMIFS(M:M,R:R,1,E:E,E306)/SUMIFS(L:L,R:R,1,E:E,E306)*0.5),"код для проверки","нормальный код")</f>
        <v/>
      </c>
      <c r="W306">
        <f>IF(N306&lt;SUMIFS(L:L,R:R,1,E:E,E306)/SUMIFS(K:K,R:R,1,E:E,E306)*0.5,"Низшая четверть",IF(N306&lt;SUMIFS(L:L,R:R,1,E:E,E306)/SUMIFS(K:K,R:R,1,E:E,E306),"Вторая четверть","Больше половины"))</f>
        <v/>
      </c>
      <c r="X306">
        <f>IF(O306&lt;SUMIFS(M:M,R:R,1,E:E,E306)/SUMIFS(L:L,R:R,1,E:E,E306)*0.5,"Низшая четверть",IF(O306&lt;SUMIFS(M:M,R:R,1,E:E,E306)/SUMIFS(L:L,R:R,1,E:E,E306),"Вторая четверть","Больше половины"))</f>
        <v/>
      </c>
      <c r="Y306" t="n">
        <v>11</v>
      </c>
    </row>
    <row r="307">
      <c r="A307" s="1" t="inlineStr">
        <is>
          <t>09400420</t>
        </is>
      </c>
      <c r="B307" s="2" t="inlineStr">
        <is>
          <t>712237385</t>
        </is>
      </c>
      <c r="C307" s="3" t="inlineStr">
        <is>
          <t>Одежда и аксессуары</t>
        </is>
      </c>
      <c r="D307" s="2" t="inlineStr">
        <is>
          <t>Купальники женские</t>
        </is>
      </c>
      <c r="E307" s="3" t="inlineStr">
        <is>
          <t>094 Купальник</t>
        </is>
      </c>
      <c r="F307" s="2" t="inlineStr">
        <is>
          <t>лето</t>
        </is>
      </c>
      <c r="G307" s="3" t="inlineStr">
        <is>
          <t>kari</t>
        </is>
      </c>
      <c r="H307" s="2" t="inlineStr">
        <is>
          <t>Никонорова Алина</t>
        </is>
      </c>
      <c r="J307" s="3" t="inlineStr">
        <is>
          <t>2026SS</t>
        </is>
      </c>
      <c r="K307" s="3" t="n">
        <v>15721</v>
      </c>
      <c r="L307" s="3" t="n">
        <v>5810</v>
      </c>
      <c r="M307" s="3" t="n">
        <v>19</v>
      </c>
      <c r="N307" s="4">
        <f>IFERROR(L307/K307,0)</f>
        <v/>
      </c>
      <c r="O307" s="4">
        <f>IFERROR(M307/L307,0)</f>
        <v/>
      </c>
      <c r="P307" t="n">
        <v>1962</v>
      </c>
      <c r="Q307" s="5" t="n">
        <v>0.5555555555555556</v>
      </c>
      <c r="R307" s="7" t="n">
        <v>1</v>
      </c>
      <c r="S307">
        <f>IF(OR(N307&lt;$T$1*0.5,O307&lt;$U$1*0.5),"код для проверки","нормальный код")</f>
        <v/>
      </c>
      <c r="T307">
        <f>IF(N307&lt;$T$1*0.5,"Низшая четверть",IF(N307&lt;$T$1,"Вторая четверть","Больше половины"))</f>
        <v/>
      </c>
      <c r="U307">
        <f>IF(O307&lt;$U$1*0.5,"Низшая четверть",IF(O307&lt;$U$1,"Вторая четверть","Больше половины"))</f>
        <v/>
      </c>
      <c r="V307">
        <f>IF(OR(N307&lt;SUMIFS(L:L,R:R,1,E:E,E307)/SUMIFS(K:K,R:R,1,E:E,E307)*0.5,O307&lt;SUMIFS(M:M,R:R,1,E:E,E307)/SUMIFS(L:L,R:R,1,E:E,E307)*0.5),"код для проверки","нормальный код")</f>
        <v/>
      </c>
      <c r="W307">
        <f>IF(N307&lt;SUMIFS(L:L,R:R,1,E:E,E307)/SUMIFS(K:K,R:R,1,E:E,E307)*0.5,"Низшая четверть",IF(N307&lt;SUMIFS(L:L,R:R,1,E:E,E307)/SUMIFS(K:K,R:R,1,E:E,E307),"Вторая четверть","Больше половины"))</f>
        <v/>
      </c>
      <c r="X307">
        <f>IF(O307&lt;SUMIFS(M:M,R:R,1,E:E,E307)/SUMIFS(L:L,R:R,1,E:E,E307)*0.5,"Низшая четверть",IF(O307&lt;SUMIFS(M:M,R:R,1,E:E,E307)/SUMIFS(L:L,R:R,1,E:E,E307),"Вторая четверть","Больше половины"))</f>
        <v/>
      </c>
      <c r="Y307" t="n">
        <v>27</v>
      </c>
    </row>
    <row r="308">
      <c r="A308" s="1" t="inlineStr">
        <is>
          <t>11008140</t>
        </is>
      </c>
      <c r="B308" s="2" t="inlineStr">
        <is>
          <t>378959575</t>
        </is>
      </c>
      <c r="C308" s="3" t="inlineStr">
        <is>
          <t>Одежда и аксессуары</t>
        </is>
      </c>
      <c r="D308" s="2" t="inlineStr">
        <is>
          <t>Шарфы женские</t>
        </is>
      </c>
      <c r="E308" s="3" t="inlineStr">
        <is>
          <t>110 Платок женский</t>
        </is>
      </c>
      <c r="F308" s="2" t="inlineStr">
        <is>
          <t>демисезонный</t>
        </is>
      </c>
      <c r="G308" s="3" t="inlineStr">
        <is>
          <t>kari</t>
        </is>
      </c>
      <c r="H308" s="2" t="inlineStr">
        <is>
          <t>Никонорова Алина</t>
        </is>
      </c>
      <c r="J308" s="3" t="inlineStr">
        <is>
          <t>2026SS</t>
        </is>
      </c>
      <c r="K308" s="3" t="n">
        <v>15559</v>
      </c>
      <c r="L308" s="3" t="n">
        <v>5099</v>
      </c>
      <c r="M308" s="3" t="n">
        <v>111</v>
      </c>
      <c r="N308" s="4">
        <f>IFERROR(L308/K308,0)</f>
        <v/>
      </c>
      <c r="O308" s="4">
        <f>IFERROR(M308/L308,0)</f>
        <v/>
      </c>
      <c r="P308" t="n">
        <v>531</v>
      </c>
      <c r="Q308" s="5" t="n">
        <v>1</v>
      </c>
      <c r="R308" s="7" t="n">
        <v>1</v>
      </c>
      <c r="S308">
        <f>IF(OR(N308&lt;$T$1*0.5,O308&lt;$U$1*0.5),"код для проверки","нормальный код")</f>
        <v/>
      </c>
      <c r="T308">
        <f>IF(N308&lt;$T$1*0.5,"Низшая четверть",IF(N308&lt;$T$1,"Вторая четверть","Больше половины"))</f>
        <v/>
      </c>
      <c r="U308">
        <f>IF(O308&lt;$U$1*0.5,"Низшая четверть",IF(O308&lt;$U$1,"Вторая четверть","Больше половины"))</f>
        <v/>
      </c>
      <c r="V308">
        <f>IF(OR(N308&lt;SUMIFS(L:L,R:R,1,E:E,E308)/SUMIFS(K:K,R:R,1,E:E,E308)*0.5,O308&lt;SUMIFS(M:M,R:R,1,E:E,E308)/SUMIFS(L:L,R:R,1,E:E,E308)*0.5),"код для проверки","нормальный код")</f>
        <v/>
      </c>
      <c r="W308">
        <f>IF(N308&lt;SUMIFS(L:L,R:R,1,E:E,E308)/SUMIFS(K:K,R:R,1,E:E,E308)*0.5,"Низшая четверть",IF(N308&lt;SUMIFS(L:L,R:R,1,E:E,E308)/SUMIFS(K:K,R:R,1,E:E,E308),"Вторая четверть","Больше половины"))</f>
        <v/>
      </c>
      <c r="X308">
        <f>IF(O308&lt;SUMIFS(M:M,R:R,1,E:E,E308)/SUMIFS(L:L,R:R,1,E:E,E308)*0.5,"Низшая четверть",IF(O308&lt;SUMIFS(M:M,R:R,1,E:E,E308)/SUMIFS(L:L,R:R,1,E:E,E308),"Вторая четверть","Больше половины"))</f>
        <v/>
      </c>
      <c r="Y308" t="n">
        <v>11</v>
      </c>
    </row>
    <row r="309">
      <c r="A309" s="1" t="inlineStr">
        <is>
          <t>10900010</t>
        </is>
      </c>
      <c r="B309" s="2" t="inlineStr">
        <is>
          <t>692819864</t>
        </is>
      </c>
      <c r="C309" s="3" t="inlineStr">
        <is>
          <t>Одежда и аксессуары</t>
        </is>
      </c>
      <c r="D309" s="2" t="inlineStr">
        <is>
          <t>Шарфы женские</t>
        </is>
      </c>
      <c r="E309" s="3" t="inlineStr">
        <is>
          <t>109 Палантин женский</t>
        </is>
      </c>
      <c r="F309" s="2" t="inlineStr">
        <is>
          <t>весна, осень, зима</t>
        </is>
      </c>
      <c r="G309" s="3" t="inlineStr">
        <is>
          <t>kari</t>
        </is>
      </c>
      <c r="H309" s="2" t="inlineStr">
        <is>
          <t>Никонорова Алина</t>
        </is>
      </c>
      <c r="J309" s="3" t="inlineStr">
        <is>
          <t>2026SS</t>
        </is>
      </c>
      <c r="K309" s="3" t="n">
        <v>15548</v>
      </c>
      <c r="L309" s="3" t="n">
        <v>1645</v>
      </c>
      <c r="M309" s="3" t="n">
        <v>9</v>
      </c>
      <c r="N309" s="4">
        <f>IFERROR(L309/K309,0)</f>
        <v/>
      </c>
      <c r="O309" s="4">
        <f>IFERROR(M309/L309,0)</f>
        <v/>
      </c>
      <c r="P309" t="n">
        <v>307</v>
      </c>
      <c r="Q309" s="5" t="n">
        <v>1</v>
      </c>
      <c r="R309" s="7" t="n">
        <v>1</v>
      </c>
      <c r="S309">
        <f>IF(OR(N309&lt;$T$1*0.5,O309&lt;$U$1*0.5),"код для проверки","нормальный код")</f>
        <v/>
      </c>
      <c r="T309">
        <f>IF(N309&lt;$T$1*0.5,"Низшая четверть",IF(N309&lt;$T$1,"Вторая четверть","Больше половины"))</f>
        <v/>
      </c>
      <c r="U309">
        <f>IF(O309&lt;$U$1*0.5,"Низшая четверть",IF(O309&lt;$U$1,"Вторая четверть","Больше половины"))</f>
        <v/>
      </c>
      <c r="V309">
        <f>IF(OR(N309&lt;SUMIFS(L:L,R:R,1,E:E,E309)/SUMIFS(K:K,R:R,1,E:E,E309)*0.5,O309&lt;SUMIFS(M:M,R:R,1,E:E,E309)/SUMIFS(L:L,R:R,1,E:E,E309)*0.5),"код для проверки","нормальный код")</f>
        <v/>
      </c>
      <c r="W309">
        <f>IF(N309&lt;SUMIFS(L:L,R:R,1,E:E,E309)/SUMIFS(K:K,R:R,1,E:E,E309)*0.5,"Низшая четверть",IF(N309&lt;SUMIFS(L:L,R:R,1,E:E,E309)/SUMIFS(K:K,R:R,1,E:E,E309),"Вторая четверть","Больше половины"))</f>
        <v/>
      </c>
      <c r="X309">
        <f>IF(O309&lt;SUMIFS(M:M,R:R,1,E:E,E309)/SUMIFS(L:L,R:R,1,E:E,E309)*0.5,"Низшая четверть",IF(O309&lt;SUMIFS(M:M,R:R,1,E:E,E309)/SUMIFS(L:L,R:R,1,E:E,E309),"Вторая четверть","Больше половины"))</f>
        <v/>
      </c>
      <c r="Y309" t="n">
        <v>12</v>
      </c>
    </row>
    <row r="310">
      <c r="A310" s="1" t="inlineStr">
        <is>
          <t>39300600</t>
        </is>
      </c>
      <c r="B310" s="2" t="inlineStr">
        <is>
          <t>721063878</t>
        </is>
      </c>
      <c r="C310" s="3" t="inlineStr">
        <is>
          <t>Одежда для детей</t>
        </is>
      </c>
      <c r="D310" s="2" t="inlineStr">
        <is>
          <t>Чулочные и носочные детские изделия для девочек</t>
        </is>
      </c>
      <c r="E310" s="3" t="inlineStr">
        <is>
          <t>393 Детские легинсы</t>
        </is>
      </c>
      <c r="F310" s="2" t="inlineStr">
        <is>
          <t>всесезонный</t>
        </is>
      </c>
      <c r="G310" s="3" t="inlineStr">
        <is>
          <t>Kari KIDS</t>
        </is>
      </c>
      <c r="H310" s="2" t="inlineStr">
        <is>
          <t>Зиннуров Ильнур</t>
        </is>
      </c>
      <c r="J310" s="3" t="inlineStr">
        <is>
          <t>2026SS</t>
        </is>
      </c>
      <c r="K310" s="3" t="n">
        <v>15429</v>
      </c>
      <c r="L310" s="3" t="n">
        <v>1929</v>
      </c>
      <c r="M310" s="3" t="n">
        <v>41</v>
      </c>
      <c r="N310" s="4">
        <f>IFERROR(L310/K310,0)</f>
        <v/>
      </c>
      <c r="O310" s="4">
        <f>IFERROR(M310/L310,0)</f>
        <v/>
      </c>
      <c r="P310" t="n">
        <v>553</v>
      </c>
      <c r="Q310" s="5" t="n">
        <v>1</v>
      </c>
      <c r="R310" s="7" t="n">
        <v>1</v>
      </c>
      <c r="S310">
        <f>IF(OR(N310&lt;$T$1*0.5,O310&lt;$U$1*0.5),"код для проверки","нормальный код")</f>
        <v/>
      </c>
      <c r="T310">
        <f>IF(N310&lt;$T$1*0.5,"Низшая четверть",IF(N310&lt;$T$1,"Вторая четверть","Больше половины"))</f>
        <v/>
      </c>
      <c r="U310">
        <f>IF(O310&lt;$U$1*0.5,"Низшая четверть",IF(O310&lt;$U$1,"Вторая четверть","Больше половины"))</f>
        <v/>
      </c>
      <c r="V310">
        <f>IF(OR(N310&lt;SUMIFS(L:L,R:R,1,E:E,E310)/SUMIFS(K:K,R:R,1,E:E,E310)*0.5,O310&lt;SUMIFS(M:M,R:R,1,E:E,E310)/SUMIFS(L:L,R:R,1,E:E,E310)*0.5),"код для проверки","нормальный код")</f>
        <v/>
      </c>
      <c r="W310">
        <f>IF(N310&lt;SUMIFS(L:L,R:R,1,E:E,E310)/SUMIFS(K:K,R:R,1,E:E,E310)*0.5,"Низшая четверть",IF(N310&lt;SUMIFS(L:L,R:R,1,E:E,E310)/SUMIFS(K:K,R:R,1,E:E,E310),"Вторая четверть","Больше половины"))</f>
        <v/>
      </c>
      <c r="X310">
        <f>IF(O310&lt;SUMIFS(M:M,R:R,1,E:E,E310)/SUMIFS(L:L,R:R,1,E:E,E310)*0.5,"Низшая четверть",IF(O310&lt;SUMIFS(M:M,R:R,1,E:E,E310)/SUMIFS(L:L,R:R,1,E:E,E310),"Вторая четверть","Больше половины"))</f>
        <v/>
      </c>
      <c r="Y310" t="n">
        <v>13</v>
      </c>
    </row>
    <row r="311">
      <c r="A311" s="1" t="inlineStr">
        <is>
          <t>94400090</t>
        </is>
      </c>
      <c r="B311" s="2" t="inlineStr">
        <is>
          <t>773138752</t>
        </is>
      </c>
      <c r="C311" s="3" t="inlineStr">
        <is>
          <t>Одежда для детей</t>
        </is>
      </c>
      <c r="D311" s="2" t="inlineStr">
        <is>
          <t>Одежда для новорожденных</t>
        </is>
      </c>
      <c r="E311" s="3" t="inlineStr">
        <is>
          <t>944 Комплект одежды для маленькой девочки</t>
        </is>
      </c>
      <c r="F311" s="2" t="inlineStr">
        <is>
          <t>всесезонный</t>
        </is>
      </c>
      <c r="G311" s="3" t="inlineStr">
        <is>
          <t>Kari baby</t>
        </is>
      </c>
      <c r="H311" s="2" t="inlineStr">
        <is>
          <t>Зиннуров Ильнур</t>
        </is>
      </c>
      <c r="J311" s="3" t="inlineStr">
        <is>
          <t>2026SS</t>
        </is>
      </c>
      <c r="K311" s="3" t="n">
        <v>15379</v>
      </c>
      <c r="L311" s="3" t="n">
        <v>1339</v>
      </c>
      <c r="M311" s="3" t="n">
        <v>20</v>
      </c>
      <c r="N311" s="4">
        <f>IFERROR(L311/K311,0)</f>
        <v/>
      </c>
      <c r="O311" s="4">
        <f>IFERROR(M311/L311,0)</f>
        <v/>
      </c>
      <c r="P311" t="n">
        <v>366</v>
      </c>
      <c r="Q311" s="5" t="n">
        <v>1</v>
      </c>
      <c r="R311" s="7" t="n">
        <v>1</v>
      </c>
      <c r="S311">
        <f>IF(OR(N311&lt;$T$1*0.5,O311&lt;$U$1*0.5),"код для проверки","нормальный код")</f>
        <v/>
      </c>
      <c r="T311">
        <f>IF(N311&lt;$T$1*0.5,"Низшая четверть",IF(N311&lt;$T$1,"Вторая четверть","Больше половины"))</f>
        <v/>
      </c>
      <c r="U311">
        <f>IF(O311&lt;$U$1*0.5,"Низшая четверть",IF(O311&lt;$U$1,"Вторая четверть","Больше половины"))</f>
        <v/>
      </c>
      <c r="V311">
        <f>IF(OR(N311&lt;SUMIFS(L:L,R:R,1,E:E,E311)/SUMIFS(K:K,R:R,1,E:E,E311)*0.5,O311&lt;SUMIFS(M:M,R:R,1,E:E,E311)/SUMIFS(L:L,R:R,1,E:E,E311)*0.5),"код для проверки","нормальный код")</f>
        <v/>
      </c>
      <c r="W311">
        <f>IF(N311&lt;SUMIFS(L:L,R:R,1,E:E,E311)/SUMIFS(K:K,R:R,1,E:E,E311)*0.5,"Низшая четверть",IF(N311&lt;SUMIFS(L:L,R:R,1,E:E,E311)/SUMIFS(K:K,R:R,1,E:E,E311),"Вторая четверть","Больше половины"))</f>
        <v/>
      </c>
      <c r="X311">
        <f>IF(O311&lt;SUMIFS(M:M,R:R,1,E:E,E311)/SUMIFS(L:L,R:R,1,E:E,E311)*0.5,"Низшая четверть",IF(O311&lt;SUMIFS(M:M,R:R,1,E:E,E311)/SUMIFS(L:L,R:R,1,E:E,E311),"Вторая четверть","Больше половины"))</f>
        <v/>
      </c>
      <c r="Y311" t="n">
        <v>25</v>
      </c>
    </row>
    <row r="312">
      <c r="A312" s="1" t="inlineStr">
        <is>
          <t>31100010</t>
        </is>
      </c>
      <c r="B312" s="2" t="inlineStr">
        <is>
          <t>754824642</t>
        </is>
      </c>
      <c r="C312" s="3" t="inlineStr">
        <is>
          <t>Одежда и аксессуары</t>
        </is>
      </c>
      <c r="D312" s="2" t="inlineStr">
        <is>
          <t>Майки и платья женские</t>
        </is>
      </c>
      <c r="E312" s="3" t="inlineStr">
        <is>
          <t>311 Рубашка женская</t>
        </is>
      </c>
      <c r="F312" s="2" t="inlineStr">
        <is>
          <t>всесезонный</t>
        </is>
      </c>
      <c r="G312" s="3" t="inlineStr">
        <is>
          <t>kari</t>
        </is>
      </c>
      <c r="H312" s="2" t="inlineStr">
        <is>
          <t>Зиннуров Ильнур</t>
        </is>
      </c>
      <c r="J312" s="3" t="inlineStr">
        <is>
          <t>2026SS</t>
        </is>
      </c>
      <c r="K312" s="3" t="n">
        <v>15364</v>
      </c>
      <c r="L312" s="3" t="n">
        <v>984</v>
      </c>
      <c r="M312" s="3" t="n">
        <v>77</v>
      </c>
      <c r="N312" s="4">
        <f>IFERROR(L312/K312,0)</f>
        <v/>
      </c>
      <c r="O312" s="4">
        <f>IFERROR(M312/L312,0)</f>
        <v/>
      </c>
      <c r="P312" t="n">
        <v>1156</v>
      </c>
      <c r="Q312" s="5" t="n">
        <v>1</v>
      </c>
      <c r="R312" s="7" t="n">
        <v>1</v>
      </c>
      <c r="S312">
        <f>IF(OR(N312&lt;$T$1*0.5,O312&lt;$U$1*0.5),"код для проверки","нормальный код")</f>
        <v/>
      </c>
      <c r="T312">
        <f>IF(N312&lt;$T$1*0.5,"Низшая четверть",IF(N312&lt;$T$1,"Вторая четверть","Больше половины"))</f>
        <v/>
      </c>
      <c r="U312">
        <f>IF(O312&lt;$U$1*0.5,"Низшая четверть",IF(O312&lt;$U$1,"Вторая четверть","Больше половины"))</f>
        <v/>
      </c>
      <c r="V312">
        <f>IF(OR(N312&lt;SUMIFS(L:L,R:R,1,E:E,E312)/SUMIFS(K:K,R:R,1,E:E,E312)*0.5,O312&lt;SUMIFS(M:M,R:R,1,E:E,E312)/SUMIFS(L:L,R:R,1,E:E,E312)*0.5),"код для проверки","нормальный код")</f>
        <v/>
      </c>
      <c r="W312">
        <f>IF(N312&lt;SUMIFS(L:L,R:R,1,E:E,E312)/SUMIFS(K:K,R:R,1,E:E,E312)*0.5,"Низшая четверть",IF(N312&lt;SUMIFS(L:L,R:R,1,E:E,E312)/SUMIFS(K:K,R:R,1,E:E,E312),"Вторая четверть","Больше половины"))</f>
        <v/>
      </c>
      <c r="X312">
        <f>IF(O312&lt;SUMIFS(M:M,R:R,1,E:E,E312)/SUMIFS(L:L,R:R,1,E:E,E312)*0.5,"Низшая четверть",IF(O312&lt;SUMIFS(M:M,R:R,1,E:E,E312)/SUMIFS(L:L,R:R,1,E:E,E312),"Вторая четверть","Больше половины"))</f>
        <v/>
      </c>
      <c r="Y312" t="n">
        <v>22</v>
      </c>
    </row>
    <row r="313">
      <c r="A313" s="1" t="inlineStr">
        <is>
          <t>55709160</t>
        </is>
      </c>
      <c r="B313" s="2" t="inlineStr">
        <is>
          <t>475734513</t>
        </is>
      </c>
      <c r="C313" s="3" t="inlineStr">
        <is>
          <t>Одежда для детей</t>
        </is>
      </c>
      <c r="D313" s="2" t="inlineStr">
        <is>
          <t>Свитера детские для мальчиков</t>
        </is>
      </c>
      <c r="E313" s="3" t="inlineStr">
        <is>
          <t>557 Кофта детская для мальчиков</t>
        </is>
      </c>
      <c r="F313" s="2" t="inlineStr">
        <is>
          <t>осень, зима</t>
        </is>
      </c>
      <c r="G313" s="3" t="inlineStr">
        <is>
          <t>Kari KIDS</t>
        </is>
      </c>
      <c r="H313" s="2" t="inlineStr">
        <is>
          <t>Зиннуров Ильнур</t>
        </is>
      </c>
      <c r="J313" s="3" t="inlineStr">
        <is>
          <t>2026SS</t>
        </is>
      </c>
      <c r="K313" s="3" t="n">
        <v>15238</v>
      </c>
      <c r="L313" s="3" t="n">
        <v>1978</v>
      </c>
      <c r="M313" s="3" t="n">
        <v>21</v>
      </c>
      <c r="N313" s="4">
        <f>IFERROR(L313/K313,0)</f>
        <v/>
      </c>
      <c r="O313" s="4">
        <f>IFERROR(M313/L313,0)</f>
        <v/>
      </c>
      <c r="P313" t="n">
        <v>32</v>
      </c>
      <c r="Q313" s="5" t="n">
        <v>1</v>
      </c>
      <c r="R313" s="7" t="n">
        <v>1</v>
      </c>
      <c r="S313">
        <f>IF(OR(N313&lt;$T$1*0.5,O313&lt;$U$1*0.5),"код для проверки","нормальный код")</f>
        <v/>
      </c>
      <c r="T313">
        <f>IF(N313&lt;$T$1*0.5,"Низшая четверть",IF(N313&lt;$T$1,"Вторая четверть","Больше половины"))</f>
        <v/>
      </c>
      <c r="U313">
        <f>IF(O313&lt;$U$1*0.5,"Низшая четверть",IF(O313&lt;$U$1,"Вторая четверть","Больше половины"))</f>
        <v/>
      </c>
      <c r="V313">
        <f>IF(OR(N313&lt;SUMIFS(L:L,R:R,1,E:E,E313)/SUMIFS(K:K,R:R,1,E:E,E313)*0.5,O313&lt;SUMIFS(M:M,R:R,1,E:E,E313)/SUMIFS(L:L,R:R,1,E:E,E313)*0.5),"код для проверки","нормальный код")</f>
        <v/>
      </c>
      <c r="W313">
        <f>IF(N313&lt;SUMIFS(L:L,R:R,1,E:E,E313)/SUMIFS(K:K,R:R,1,E:E,E313)*0.5,"Низшая четверть",IF(N313&lt;SUMIFS(L:L,R:R,1,E:E,E313)/SUMIFS(K:K,R:R,1,E:E,E313),"Вторая четверть","Больше половины"))</f>
        <v/>
      </c>
      <c r="X313">
        <f>IF(O313&lt;SUMIFS(M:M,R:R,1,E:E,E313)/SUMIFS(L:L,R:R,1,E:E,E313)*0.5,"Низшая четверть",IF(O313&lt;SUMIFS(M:M,R:R,1,E:E,E313)/SUMIFS(L:L,R:R,1,E:E,E313),"Вторая четверть","Больше половины"))</f>
        <v/>
      </c>
      <c r="Y313" t="n">
        <v>7</v>
      </c>
    </row>
    <row r="314">
      <c r="A314" s="1" t="inlineStr">
        <is>
          <t>96600030</t>
        </is>
      </c>
      <c r="B314" s="2" t="inlineStr">
        <is>
          <t>775686348</t>
        </is>
      </c>
      <c r="C314" s="3" t="inlineStr">
        <is>
          <t>Одежда для детей</t>
        </is>
      </c>
      <c r="D314" s="2" t="inlineStr">
        <is>
          <t>Платья, майки, футболки детские для девочек</t>
        </is>
      </c>
      <c r="E314" s="3" t="inlineStr">
        <is>
          <t>966 Сарафан джинсовый детский для девочек</t>
        </is>
      </c>
      <c r="F314" s="2" t="inlineStr">
        <is>
          <t>весна, лето</t>
        </is>
      </c>
      <c r="G314" s="3" t="inlineStr">
        <is>
          <t>kari</t>
        </is>
      </c>
      <c r="H314" s="2" t="inlineStr">
        <is>
          <t>Зиннуров Ильнур</t>
        </is>
      </c>
      <c r="J314" s="3" t="inlineStr">
        <is>
          <t>2026SS</t>
        </is>
      </c>
      <c r="K314" s="3" t="n">
        <v>14965</v>
      </c>
      <c r="L314" s="3" t="n">
        <v>1170</v>
      </c>
      <c r="M314" s="3" t="n">
        <v>24</v>
      </c>
      <c r="N314" s="4">
        <f>IFERROR(L314/K314,0)</f>
        <v/>
      </c>
      <c r="O314" s="4">
        <f>IFERROR(M314/L314,0)</f>
        <v/>
      </c>
      <c r="P314" t="n">
        <v>296</v>
      </c>
      <c r="Q314" s="5" t="n">
        <v>1</v>
      </c>
      <c r="R314" s="7" t="n">
        <v>1</v>
      </c>
      <c r="S314">
        <f>IF(OR(N314&lt;$T$1*0.5,O314&lt;$U$1*0.5),"код для проверки","нормальный код")</f>
        <v/>
      </c>
      <c r="T314">
        <f>IF(N314&lt;$T$1*0.5,"Низшая четверть",IF(N314&lt;$T$1,"Вторая четверть","Больше половины"))</f>
        <v/>
      </c>
      <c r="U314">
        <f>IF(O314&lt;$U$1*0.5,"Низшая четверть",IF(O314&lt;$U$1,"Вторая четверть","Больше половины"))</f>
        <v/>
      </c>
      <c r="V314">
        <f>IF(OR(N314&lt;SUMIFS(L:L,R:R,1,E:E,E314)/SUMIFS(K:K,R:R,1,E:E,E314)*0.5,O314&lt;SUMIFS(M:M,R:R,1,E:E,E314)/SUMIFS(L:L,R:R,1,E:E,E314)*0.5),"код для проверки","нормальный код")</f>
        <v/>
      </c>
      <c r="W314">
        <f>IF(N314&lt;SUMIFS(L:L,R:R,1,E:E,E314)/SUMIFS(K:K,R:R,1,E:E,E314)*0.5,"Низшая четверть",IF(N314&lt;SUMIFS(L:L,R:R,1,E:E,E314)/SUMIFS(K:K,R:R,1,E:E,E314),"Вторая четверть","Больше половины"))</f>
        <v/>
      </c>
      <c r="X314">
        <f>IF(O314&lt;SUMIFS(M:M,R:R,1,E:E,E314)/SUMIFS(L:L,R:R,1,E:E,E314)*0.5,"Низшая четверть",IF(O314&lt;SUMIFS(M:M,R:R,1,E:E,E314)/SUMIFS(L:L,R:R,1,E:E,E314),"Вторая четверть","Больше половины"))</f>
        <v/>
      </c>
      <c r="Y314" t="n">
        <v>18</v>
      </c>
    </row>
    <row r="315">
      <c r="A315" s="1" t="inlineStr">
        <is>
          <t>23208070</t>
        </is>
      </c>
      <c r="B315" s="2" t="inlineStr">
        <is>
          <t>316075908</t>
        </is>
      </c>
      <c r="C315" s="3" t="inlineStr">
        <is>
          <t>Одежда для детей</t>
        </is>
      </c>
      <c r="D315" s="2" t="inlineStr">
        <is>
          <t>Нижнее белье детское для мальчиков</t>
        </is>
      </c>
      <c r="E315" s="3" t="inlineStr">
        <is>
          <t>232 Пижама детская для мальчиков</t>
        </is>
      </c>
      <c r="F315" s="2" t="inlineStr">
        <is>
          <t>всесезонный</t>
        </is>
      </c>
      <c r="G315" s="3" t="inlineStr">
        <is>
          <t>Kari KIDS</t>
        </is>
      </c>
      <c r="H315" s="2" t="inlineStr">
        <is>
          <t>Зиннуров Ильнур</t>
        </is>
      </c>
      <c r="J315" s="3" t="inlineStr">
        <is>
          <t>2026SS</t>
        </is>
      </c>
      <c r="K315" s="3" t="n">
        <v>14939</v>
      </c>
      <c r="L315" s="3" t="n">
        <v>1316</v>
      </c>
      <c r="M315" s="3" t="n">
        <v>41</v>
      </c>
      <c r="N315" s="4">
        <f>IFERROR(L315/K315,0)</f>
        <v/>
      </c>
      <c r="O315" s="4">
        <f>IFERROR(M315/L315,0)</f>
        <v/>
      </c>
      <c r="P315" t="n">
        <v>489</v>
      </c>
      <c r="Q315" s="5" t="n">
        <v>1</v>
      </c>
      <c r="R315" s="7" t="n">
        <v>1</v>
      </c>
      <c r="S315">
        <f>IF(OR(N315&lt;$T$1*0.5,O315&lt;$U$1*0.5),"код для проверки","нормальный код")</f>
        <v/>
      </c>
      <c r="T315">
        <f>IF(N315&lt;$T$1*0.5,"Низшая четверть",IF(N315&lt;$T$1,"Вторая четверть","Больше половины"))</f>
        <v/>
      </c>
      <c r="U315">
        <f>IF(O315&lt;$U$1*0.5,"Низшая четверть",IF(O315&lt;$U$1,"Вторая четверть","Больше половины"))</f>
        <v/>
      </c>
      <c r="V315">
        <f>IF(OR(N315&lt;SUMIFS(L:L,R:R,1,E:E,E315)/SUMIFS(K:K,R:R,1,E:E,E315)*0.5,O315&lt;SUMIFS(M:M,R:R,1,E:E,E315)/SUMIFS(L:L,R:R,1,E:E,E315)*0.5),"код для проверки","нормальный код")</f>
        <v/>
      </c>
      <c r="W315">
        <f>IF(N315&lt;SUMIFS(L:L,R:R,1,E:E,E315)/SUMIFS(K:K,R:R,1,E:E,E315)*0.5,"Низшая четверть",IF(N315&lt;SUMIFS(L:L,R:R,1,E:E,E315)/SUMIFS(K:K,R:R,1,E:E,E315),"Вторая четверть","Больше половины"))</f>
        <v/>
      </c>
      <c r="X315">
        <f>IF(O315&lt;SUMIFS(M:M,R:R,1,E:E,E315)/SUMIFS(L:L,R:R,1,E:E,E315)*0.5,"Низшая четверть",IF(O315&lt;SUMIFS(M:M,R:R,1,E:E,E315)/SUMIFS(L:L,R:R,1,E:E,E315),"Вторая четверть","Больше половины"))</f>
        <v/>
      </c>
      <c r="Y315" t="n">
        <v>25</v>
      </c>
    </row>
    <row r="316">
      <c r="A316" s="1" t="inlineStr">
        <is>
          <t>y9708290</t>
        </is>
      </c>
      <c r="B316" s="2" t="inlineStr">
        <is>
          <t>321683812</t>
        </is>
      </c>
      <c r="C316" s="3" t="inlineStr">
        <is>
          <t>Одежда и аксессуары</t>
        </is>
      </c>
      <c r="D316" s="2" t="inlineStr">
        <is>
          <t>Футболки, рубашки мужские</t>
        </is>
      </c>
      <c r="E316" s="3" t="inlineStr">
        <is>
          <t>h10 Футболка мужская</t>
        </is>
      </c>
      <c r="F316" s="2" t="inlineStr">
        <is>
          <t>всесезонный</t>
        </is>
      </c>
      <c r="G316" s="3" t="inlineStr">
        <is>
          <t>kari</t>
        </is>
      </c>
      <c r="H316" s="2" t="inlineStr">
        <is>
          <t>Зиннуров Ильнур</t>
        </is>
      </c>
      <c r="J316" s="3" t="inlineStr">
        <is>
          <t>2026SS</t>
        </is>
      </c>
      <c r="K316" s="3" t="n">
        <v>14903</v>
      </c>
      <c r="L316" s="3" t="n">
        <v>3278</v>
      </c>
      <c r="M316" s="3" t="n">
        <v>189</v>
      </c>
      <c r="N316" s="4">
        <f>IFERROR(L316/K316,0)</f>
        <v/>
      </c>
      <c r="O316" s="4">
        <f>IFERROR(M316/L316,0)</f>
        <v/>
      </c>
      <c r="P316" t="n">
        <v>48</v>
      </c>
      <c r="Q316" s="5" t="n">
        <v>1</v>
      </c>
      <c r="R316" s="7" t="n">
        <v>1</v>
      </c>
      <c r="S316">
        <f>IF(OR(N316&lt;$T$1*0.5,O316&lt;$U$1*0.5),"код для проверки","нормальный код")</f>
        <v/>
      </c>
      <c r="T316">
        <f>IF(N316&lt;$T$1*0.5,"Низшая четверть",IF(N316&lt;$T$1,"Вторая четверть","Больше половины"))</f>
        <v/>
      </c>
      <c r="U316">
        <f>IF(O316&lt;$U$1*0.5,"Низшая четверть",IF(O316&lt;$U$1,"Вторая четверть","Больше половины"))</f>
        <v/>
      </c>
      <c r="V316">
        <f>IF(OR(N316&lt;SUMIFS(L:L,R:R,1,E:E,E316)/SUMIFS(K:K,R:R,1,E:E,E316)*0.5,O316&lt;SUMIFS(M:M,R:R,1,E:E,E316)/SUMIFS(L:L,R:R,1,E:E,E316)*0.5),"код для проверки","нормальный код")</f>
        <v/>
      </c>
      <c r="W316">
        <f>IF(N316&lt;SUMIFS(L:L,R:R,1,E:E,E316)/SUMIFS(K:K,R:R,1,E:E,E316)*0.5,"Низшая четверть",IF(N316&lt;SUMIFS(L:L,R:R,1,E:E,E316)/SUMIFS(K:K,R:R,1,E:E,E316),"Вторая четверть","Больше половины"))</f>
        <v/>
      </c>
      <c r="X316">
        <f>IF(O316&lt;SUMIFS(M:M,R:R,1,E:E,E316)/SUMIFS(L:L,R:R,1,E:E,E316)*0.5,"Низшая четверть",IF(O316&lt;SUMIFS(M:M,R:R,1,E:E,E316)/SUMIFS(L:L,R:R,1,E:E,E316),"Вторая четверть","Больше половины"))</f>
        <v/>
      </c>
      <c r="Y316" t="n">
        <v>11</v>
      </c>
    </row>
    <row r="317">
      <c r="A317" s="1" t="inlineStr">
        <is>
          <t>09400910</t>
        </is>
      </c>
      <c r="B317" s="2" t="inlineStr">
        <is>
          <t>684740657</t>
        </is>
      </c>
      <c r="C317" s="3" t="inlineStr">
        <is>
          <t>Одежда и аксессуары</t>
        </is>
      </c>
      <c r="D317" s="2" t="inlineStr">
        <is>
          <t>Купальники женские</t>
        </is>
      </c>
      <c r="E317" s="3" t="inlineStr">
        <is>
          <t>094 Купальник</t>
        </is>
      </c>
      <c r="F317" s="2" t="inlineStr">
        <is>
          <t>лето</t>
        </is>
      </c>
      <c r="G317" s="3" t="inlineStr">
        <is>
          <t>kari</t>
        </is>
      </c>
      <c r="H317" s="2" t="inlineStr">
        <is>
          <t>Никонорова Алина</t>
        </is>
      </c>
      <c r="J317" s="3" t="inlineStr">
        <is>
          <t>2026SS</t>
        </is>
      </c>
      <c r="K317" s="3" t="n">
        <v>14903</v>
      </c>
      <c r="L317" s="3" t="n">
        <v>3060</v>
      </c>
      <c r="M317" s="3" t="n">
        <v>6</v>
      </c>
      <c r="N317" s="4">
        <f>IFERROR(L317/K317,0)</f>
        <v/>
      </c>
      <c r="O317" s="4">
        <f>IFERROR(M317/L317,0)</f>
        <v/>
      </c>
      <c r="P317" t="n">
        <v>1811</v>
      </c>
      <c r="Q317" s="5" t="n">
        <v>0.5555555555555556</v>
      </c>
      <c r="R317" s="7" t="n">
        <v>1</v>
      </c>
      <c r="S317">
        <f>IF(OR(N317&lt;$T$1*0.5,O317&lt;$U$1*0.5),"код для проверки","нормальный код")</f>
        <v/>
      </c>
      <c r="T317">
        <f>IF(N317&lt;$T$1*0.5,"Низшая четверть",IF(N317&lt;$T$1,"Вторая четверть","Больше половины"))</f>
        <v/>
      </c>
      <c r="U317">
        <f>IF(O317&lt;$U$1*0.5,"Низшая четверть",IF(O317&lt;$U$1,"Вторая четверть","Больше половины"))</f>
        <v/>
      </c>
      <c r="V317">
        <f>IF(OR(N317&lt;SUMIFS(L:L,R:R,1,E:E,E317)/SUMIFS(K:K,R:R,1,E:E,E317)*0.5,O317&lt;SUMIFS(M:M,R:R,1,E:E,E317)/SUMIFS(L:L,R:R,1,E:E,E317)*0.5),"код для проверки","нормальный код")</f>
        <v/>
      </c>
      <c r="W317">
        <f>IF(N317&lt;SUMIFS(L:L,R:R,1,E:E,E317)/SUMIFS(K:K,R:R,1,E:E,E317)*0.5,"Низшая четверть",IF(N317&lt;SUMIFS(L:L,R:R,1,E:E,E317)/SUMIFS(K:K,R:R,1,E:E,E317),"Вторая четверть","Больше половины"))</f>
        <v/>
      </c>
      <c r="X317">
        <f>IF(O317&lt;SUMIFS(M:M,R:R,1,E:E,E317)/SUMIFS(L:L,R:R,1,E:E,E317)*0.5,"Низшая четверть",IF(O317&lt;SUMIFS(M:M,R:R,1,E:E,E317)/SUMIFS(L:L,R:R,1,E:E,E317),"Вторая четверть","Больше половины"))</f>
        <v/>
      </c>
      <c r="Y317" t="n">
        <v>20</v>
      </c>
    </row>
    <row r="318">
      <c r="A318" s="1" t="inlineStr">
        <is>
          <t>23204120</t>
        </is>
      </c>
      <c r="B318" s="2" t="inlineStr">
        <is>
          <t>151510775</t>
        </is>
      </c>
      <c r="C318" s="3" t="inlineStr">
        <is>
          <t>Одежда для детей</t>
        </is>
      </c>
      <c r="D318" s="2" t="inlineStr">
        <is>
          <t>Нижнее белье детское для мальчиков</t>
        </is>
      </c>
      <c r="E318" s="3" t="inlineStr">
        <is>
          <t>232 Пижама детская для мальчиков</t>
        </is>
      </c>
      <c r="F318" s="2" t="inlineStr">
        <is>
          <t>всесезонный</t>
        </is>
      </c>
      <c r="G318" s="3" t="inlineStr">
        <is>
          <t>Max&amp;Jessi</t>
        </is>
      </c>
      <c r="H318" s="2" t="inlineStr">
        <is>
          <t>Зиннуров Ильнур</t>
        </is>
      </c>
      <c r="J318" s="3" t="inlineStr">
        <is>
          <t>2026SS</t>
        </is>
      </c>
      <c r="K318" s="3" t="n">
        <v>14864</v>
      </c>
      <c r="L318" s="3" t="n">
        <v>791</v>
      </c>
      <c r="M318" s="3" t="n">
        <v>48</v>
      </c>
      <c r="N318" s="4">
        <f>IFERROR(L318/K318,0)</f>
        <v/>
      </c>
      <c r="O318" s="4">
        <f>IFERROR(M318/L318,0)</f>
        <v/>
      </c>
      <c r="P318" t="n">
        <v>1273</v>
      </c>
      <c r="Q318" s="5" t="n">
        <v>1</v>
      </c>
      <c r="R318" s="7" t="n">
        <v>1</v>
      </c>
      <c r="S318">
        <f>IF(OR(N318&lt;$T$1*0.5,O318&lt;$U$1*0.5),"код для проверки","нормальный код")</f>
        <v/>
      </c>
      <c r="T318">
        <f>IF(N318&lt;$T$1*0.5,"Низшая четверть",IF(N318&lt;$T$1,"Вторая четверть","Больше половины"))</f>
        <v/>
      </c>
      <c r="U318">
        <f>IF(O318&lt;$U$1*0.5,"Низшая четверть",IF(O318&lt;$U$1,"Вторая четверть","Больше половины"))</f>
        <v/>
      </c>
      <c r="V318">
        <f>IF(OR(N318&lt;SUMIFS(L:L,R:R,1,E:E,E318)/SUMIFS(K:K,R:R,1,E:E,E318)*0.5,O318&lt;SUMIFS(M:M,R:R,1,E:E,E318)/SUMIFS(L:L,R:R,1,E:E,E318)*0.5),"код для проверки","нормальный код")</f>
        <v/>
      </c>
      <c r="W318">
        <f>IF(N318&lt;SUMIFS(L:L,R:R,1,E:E,E318)/SUMIFS(K:K,R:R,1,E:E,E318)*0.5,"Низшая четверть",IF(N318&lt;SUMIFS(L:L,R:R,1,E:E,E318)/SUMIFS(K:K,R:R,1,E:E,E318),"Вторая четверть","Больше половины"))</f>
        <v/>
      </c>
      <c r="X318">
        <f>IF(O318&lt;SUMIFS(M:M,R:R,1,E:E,E318)/SUMIFS(L:L,R:R,1,E:E,E318)*0.5,"Низшая четверть",IF(O318&lt;SUMIFS(M:M,R:R,1,E:E,E318)/SUMIFS(L:L,R:R,1,E:E,E318),"Вторая четверть","Больше половины"))</f>
        <v/>
      </c>
      <c r="Y318" t="n">
        <v>23</v>
      </c>
    </row>
    <row r="319">
      <c r="A319" s="1" t="inlineStr">
        <is>
          <t>11008150</t>
        </is>
      </c>
      <c r="B319" s="2" t="inlineStr">
        <is>
          <t>378959523</t>
        </is>
      </c>
      <c r="C319" s="3" t="inlineStr">
        <is>
          <t>Одежда и аксессуары</t>
        </is>
      </c>
      <c r="D319" s="2" t="inlineStr">
        <is>
          <t>Шарфы женские</t>
        </is>
      </c>
      <c r="E319" s="3" t="inlineStr">
        <is>
          <t>110 Платок женский</t>
        </is>
      </c>
      <c r="F319" s="2" t="inlineStr">
        <is>
          <t>демисезонный</t>
        </is>
      </c>
      <c r="G319" s="3" t="inlineStr">
        <is>
          <t>kari</t>
        </is>
      </c>
      <c r="H319" s="2" t="inlineStr">
        <is>
          <t>Никонорова Алина</t>
        </is>
      </c>
      <c r="J319" s="3" t="inlineStr">
        <is>
          <t>2026SS</t>
        </is>
      </c>
      <c r="K319" s="3" t="n">
        <v>14790</v>
      </c>
      <c r="L319" s="3" t="n">
        <v>4255</v>
      </c>
      <c r="M319" s="3" t="n">
        <v>49</v>
      </c>
      <c r="N319" s="4">
        <f>IFERROR(L319/K319,0)</f>
        <v/>
      </c>
      <c r="O319" s="4">
        <f>IFERROR(M319/L319,0)</f>
        <v/>
      </c>
      <c r="P319" t="n">
        <v>599</v>
      </c>
      <c r="Q319" s="5" t="n">
        <v>1</v>
      </c>
      <c r="R319" s="7" t="n">
        <v>1</v>
      </c>
      <c r="S319">
        <f>IF(OR(N319&lt;$T$1*0.5,O319&lt;$U$1*0.5),"код для проверки","нормальный код")</f>
        <v/>
      </c>
      <c r="T319">
        <f>IF(N319&lt;$T$1*0.5,"Низшая четверть",IF(N319&lt;$T$1,"Вторая четверть","Больше половины"))</f>
        <v/>
      </c>
      <c r="U319">
        <f>IF(O319&lt;$U$1*0.5,"Низшая четверть",IF(O319&lt;$U$1,"Вторая четверть","Больше половины"))</f>
        <v/>
      </c>
      <c r="V319">
        <f>IF(OR(N319&lt;SUMIFS(L:L,R:R,1,E:E,E319)/SUMIFS(K:K,R:R,1,E:E,E319)*0.5,O319&lt;SUMIFS(M:M,R:R,1,E:E,E319)/SUMIFS(L:L,R:R,1,E:E,E319)*0.5),"код для проверки","нормальный код")</f>
        <v/>
      </c>
      <c r="W319">
        <f>IF(N319&lt;SUMIFS(L:L,R:R,1,E:E,E319)/SUMIFS(K:K,R:R,1,E:E,E319)*0.5,"Низшая четверть",IF(N319&lt;SUMIFS(L:L,R:R,1,E:E,E319)/SUMIFS(K:K,R:R,1,E:E,E319),"Вторая четверть","Больше половины"))</f>
        <v/>
      </c>
      <c r="X319">
        <f>IF(O319&lt;SUMIFS(M:M,R:R,1,E:E,E319)/SUMIFS(L:L,R:R,1,E:E,E319)*0.5,"Низшая четверть",IF(O319&lt;SUMIFS(M:M,R:R,1,E:E,E319)/SUMIFS(L:L,R:R,1,E:E,E319),"Вторая четверть","Больше половины"))</f>
        <v/>
      </c>
      <c r="Y319" t="n">
        <v>18</v>
      </c>
    </row>
    <row r="320">
      <c r="A320" s="1" t="inlineStr">
        <is>
          <t>094001G0</t>
        </is>
      </c>
      <c r="B320" s="2" t="inlineStr">
        <is>
          <t>756548649</t>
        </is>
      </c>
      <c r="C320" s="3" t="inlineStr">
        <is>
          <t>Одежда и аксессуары</t>
        </is>
      </c>
      <c r="D320" s="2" t="inlineStr">
        <is>
          <t>Купальники женские</t>
        </is>
      </c>
      <c r="E320" s="3" t="inlineStr">
        <is>
          <t>094 Купальник</t>
        </is>
      </c>
      <c r="F320" s="2" t="inlineStr">
        <is>
          <t>лето</t>
        </is>
      </c>
      <c r="G320" s="3" t="inlineStr">
        <is>
          <t>kari</t>
        </is>
      </c>
      <c r="H320" s="2" t="inlineStr">
        <is>
          <t>Никонорова Алина</t>
        </is>
      </c>
      <c r="J320" s="3" t="inlineStr">
        <is>
          <t>2026SS</t>
        </is>
      </c>
      <c r="K320" s="3" t="n">
        <v>14527</v>
      </c>
      <c r="L320" s="3" t="n">
        <v>17981</v>
      </c>
      <c r="M320" s="3" t="n">
        <v>109</v>
      </c>
      <c r="N320" s="4">
        <f>IFERROR(L320/K320,0)</f>
        <v/>
      </c>
      <c r="O320" s="4">
        <f>IFERROR(M320/L320,0)</f>
        <v/>
      </c>
      <c r="P320" t="n">
        <v>2539</v>
      </c>
      <c r="Q320" s="5" t="n">
        <v>0.6666666666666666</v>
      </c>
      <c r="R320" s="7" t="n">
        <v>1</v>
      </c>
      <c r="S320">
        <f>IF(OR(N320&lt;$T$1*0.5,O320&lt;$U$1*0.5),"код для проверки","нормальный код")</f>
        <v/>
      </c>
      <c r="T320">
        <f>IF(N320&lt;$T$1*0.5,"Низшая четверть",IF(N320&lt;$T$1,"Вторая четверть","Больше половины"))</f>
        <v/>
      </c>
      <c r="U320">
        <f>IF(O320&lt;$U$1*0.5,"Низшая четверть",IF(O320&lt;$U$1,"Вторая четверть","Больше половины"))</f>
        <v/>
      </c>
      <c r="V320">
        <f>IF(OR(N320&lt;SUMIFS(L:L,R:R,1,E:E,E320)/SUMIFS(K:K,R:R,1,E:E,E320)*0.5,O320&lt;SUMIFS(M:M,R:R,1,E:E,E320)/SUMIFS(L:L,R:R,1,E:E,E320)*0.5),"код для проверки","нормальный код")</f>
        <v/>
      </c>
      <c r="W320">
        <f>IF(N320&lt;SUMIFS(L:L,R:R,1,E:E,E320)/SUMIFS(K:K,R:R,1,E:E,E320)*0.5,"Низшая четверть",IF(N320&lt;SUMIFS(L:L,R:R,1,E:E,E320)/SUMIFS(K:K,R:R,1,E:E,E320),"Вторая четверть","Больше половины"))</f>
        <v/>
      </c>
      <c r="X320">
        <f>IF(O320&lt;SUMIFS(M:M,R:R,1,E:E,E320)/SUMIFS(L:L,R:R,1,E:E,E320)*0.5,"Низшая четверть",IF(O320&lt;SUMIFS(M:M,R:R,1,E:E,E320)/SUMIFS(L:L,R:R,1,E:E,E320),"Вторая четверть","Больше половины"))</f>
        <v/>
      </c>
      <c r="Y320" t="n">
        <v>16</v>
      </c>
    </row>
    <row r="321">
      <c r="A321" s="1" t="inlineStr">
        <is>
          <t>a6000030</t>
        </is>
      </c>
      <c r="B321" s="2" t="inlineStr">
        <is>
          <t>806662784</t>
        </is>
      </c>
      <c r="C321" s="3" t="inlineStr">
        <is>
          <t>Одежда для детей</t>
        </is>
      </c>
      <c r="D321" s="2" t="inlineStr">
        <is>
          <t>Платья, майки, футболки детские для девочек</t>
        </is>
      </c>
      <c r="E321" s="3" t="inlineStr">
        <is>
          <t>a60 Футболка детская для девочек</t>
        </is>
      </c>
      <c r="F321" s="2" t="inlineStr">
        <is>
          <t>всесезонный</t>
        </is>
      </c>
      <c r="G321" s="3" t="inlineStr">
        <is>
          <t>Kari KIDS</t>
        </is>
      </c>
      <c r="H321" s="2" t="inlineStr">
        <is>
          <t>Зиннуров Ильнур</t>
        </is>
      </c>
      <c r="J321" s="3" t="inlineStr">
        <is>
          <t>2026SS</t>
        </is>
      </c>
      <c r="K321" s="3" t="n">
        <v>14318</v>
      </c>
      <c r="L321" s="3" t="n">
        <v>886</v>
      </c>
      <c r="M321" s="3" t="n">
        <v>18</v>
      </c>
      <c r="N321" s="4">
        <f>IFERROR(L321/K321,0)</f>
        <v/>
      </c>
      <c r="O321" s="4">
        <f>IFERROR(M321/L321,0)</f>
        <v/>
      </c>
      <c r="P321" t="n">
        <v>21</v>
      </c>
      <c r="Q321" s="5" t="n">
        <v>0.8</v>
      </c>
      <c r="R321" s="7" t="n">
        <v>1</v>
      </c>
      <c r="S321">
        <f>IF(OR(N321&lt;$T$1*0.5,O321&lt;$U$1*0.5),"код для проверки","нормальный код")</f>
        <v/>
      </c>
      <c r="T321">
        <f>IF(N321&lt;$T$1*0.5,"Низшая четверть",IF(N321&lt;$T$1,"Вторая четверть","Больше половины"))</f>
        <v/>
      </c>
      <c r="U321">
        <f>IF(O321&lt;$U$1*0.5,"Низшая четверть",IF(O321&lt;$U$1,"Вторая четверть","Больше половины"))</f>
        <v/>
      </c>
      <c r="V321">
        <f>IF(OR(N321&lt;SUMIFS(L:L,R:R,1,E:E,E321)/SUMIFS(K:K,R:R,1,E:E,E321)*0.5,O321&lt;SUMIFS(M:M,R:R,1,E:E,E321)/SUMIFS(L:L,R:R,1,E:E,E321)*0.5),"код для проверки","нормальный код")</f>
        <v/>
      </c>
      <c r="W321">
        <f>IF(N321&lt;SUMIFS(L:L,R:R,1,E:E,E321)/SUMIFS(K:K,R:R,1,E:E,E321)*0.5,"Низшая четверть",IF(N321&lt;SUMIFS(L:L,R:R,1,E:E,E321)/SUMIFS(K:K,R:R,1,E:E,E321),"Вторая четверть","Больше половины"))</f>
        <v/>
      </c>
      <c r="X321">
        <f>IF(O321&lt;SUMIFS(M:M,R:R,1,E:E,E321)/SUMIFS(L:L,R:R,1,E:E,E321)*0.5,"Низшая четверть",IF(O321&lt;SUMIFS(M:M,R:R,1,E:E,E321)/SUMIFS(L:L,R:R,1,E:E,E321),"Вторая четверть","Больше половины"))</f>
        <v/>
      </c>
      <c r="Y321" t="n">
        <v>11</v>
      </c>
    </row>
    <row r="322">
      <c r="A322" s="1" t="inlineStr">
        <is>
          <t>094000J0</t>
        </is>
      </c>
      <c r="B322" s="2" t="inlineStr">
        <is>
          <t>815107338</t>
        </is>
      </c>
      <c r="C322" s="3" t="inlineStr">
        <is>
          <t>Одежда и аксессуары</t>
        </is>
      </c>
      <c r="D322" s="2" t="inlineStr">
        <is>
          <t>Купальники женские</t>
        </is>
      </c>
      <c r="E322" s="3" t="inlineStr">
        <is>
          <t>094 Купальник</t>
        </is>
      </c>
      <c r="F322" s="2" t="inlineStr">
        <is>
          <t>лето</t>
        </is>
      </c>
      <c r="G322" s="3" t="inlineStr">
        <is>
          <t>kari</t>
        </is>
      </c>
      <c r="H322" s="2" t="inlineStr">
        <is>
          <t>Никонорова Алина</t>
        </is>
      </c>
      <c r="J322" s="3" t="inlineStr">
        <is>
          <t>2026SS</t>
        </is>
      </c>
      <c r="K322" s="3" t="n">
        <v>14160</v>
      </c>
      <c r="L322" s="3" t="n">
        <v>3436</v>
      </c>
      <c r="M322" s="3" t="n">
        <v>54</v>
      </c>
      <c r="N322" s="4">
        <f>IFERROR(L322/K322,0)</f>
        <v/>
      </c>
      <c r="O322" s="4">
        <f>IFERROR(M322/L322,0)</f>
        <v/>
      </c>
      <c r="P322" t="n">
        <v>4220</v>
      </c>
      <c r="Q322" s="5" t="n">
        <v>0.7777777777777778</v>
      </c>
      <c r="R322" s="7" t="n">
        <v>1</v>
      </c>
      <c r="S322">
        <f>IF(OR(N322&lt;$T$1*0.5,O322&lt;$U$1*0.5),"код для проверки","нормальный код")</f>
        <v/>
      </c>
      <c r="T322">
        <f>IF(N322&lt;$T$1*0.5,"Низшая четверть",IF(N322&lt;$T$1,"Вторая четверть","Больше половины"))</f>
        <v/>
      </c>
      <c r="U322">
        <f>IF(O322&lt;$U$1*0.5,"Низшая четверть",IF(O322&lt;$U$1,"Вторая четверть","Больше половины"))</f>
        <v/>
      </c>
      <c r="V322">
        <f>IF(OR(N322&lt;SUMIFS(L:L,R:R,1,E:E,E322)/SUMIFS(K:K,R:R,1,E:E,E322)*0.5,O322&lt;SUMIFS(M:M,R:R,1,E:E,E322)/SUMIFS(L:L,R:R,1,E:E,E322)*0.5),"код для проверки","нормальный код")</f>
        <v/>
      </c>
      <c r="W322">
        <f>IF(N322&lt;SUMIFS(L:L,R:R,1,E:E,E322)/SUMIFS(K:K,R:R,1,E:E,E322)*0.5,"Низшая четверть",IF(N322&lt;SUMIFS(L:L,R:R,1,E:E,E322)/SUMIFS(K:K,R:R,1,E:E,E322),"Вторая четверть","Больше половины"))</f>
        <v/>
      </c>
      <c r="X322">
        <f>IF(O322&lt;SUMIFS(M:M,R:R,1,E:E,E322)/SUMIFS(L:L,R:R,1,E:E,E322)*0.5,"Низшая четверть",IF(O322&lt;SUMIFS(M:M,R:R,1,E:E,E322)/SUMIFS(L:L,R:R,1,E:E,E322),"Вторая четверть","Больше половины"))</f>
        <v/>
      </c>
      <c r="Y322" t="n">
        <v>15</v>
      </c>
    </row>
    <row r="323">
      <c r="A323" s="1" t="inlineStr">
        <is>
          <t>18700040</t>
        </is>
      </c>
      <c r="B323" s="2" t="inlineStr">
        <is>
          <t>840057920</t>
        </is>
      </c>
      <c r="C323" s="3" t="inlineStr">
        <is>
          <t>Одежда и аксессуары</t>
        </is>
      </c>
      <c r="D323" s="2" t="inlineStr">
        <is>
          <t>Майки и платья женские</t>
        </is>
      </c>
      <c r="E323" s="3" t="inlineStr">
        <is>
          <t>187 Платье женское</t>
        </is>
      </c>
      <c r="F323" s="2" t="inlineStr">
        <is>
          <t>весна, лето</t>
        </is>
      </c>
      <c r="G323" s="3" t="inlineStr">
        <is>
          <t>kari</t>
        </is>
      </c>
      <c r="H323" s="2" t="inlineStr">
        <is>
          <t>Зиннуров Ильнур</t>
        </is>
      </c>
      <c r="J323" s="3" t="inlineStr">
        <is>
          <t>2026SS</t>
        </is>
      </c>
      <c r="K323" s="3" t="n">
        <v>14120</v>
      </c>
      <c r="L323" s="3" t="n">
        <v>740</v>
      </c>
      <c r="M323" s="3" t="n">
        <v>7</v>
      </c>
      <c r="N323" s="4">
        <f>IFERROR(L323/K323,0)</f>
        <v/>
      </c>
      <c r="O323" s="4">
        <f>IFERROR(M323/L323,0)</f>
        <v/>
      </c>
      <c r="P323" t="n">
        <v>208</v>
      </c>
      <c r="Q323" s="5" t="n">
        <v>1</v>
      </c>
      <c r="R323" s="7" t="n">
        <v>1</v>
      </c>
      <c r="S323">
        <f>IF(OR(N323&lt;$T$1*0.5,O323&lt;$U$1*0.5),"код для проверки","нормальный код")</f>
        <v/>
      </c>
      <c r="T323">
        <f>IF(N323&lt;$T$1*0.5,"Низшая четверть",IF(N323&lt;$T$1,"Вторая четверть","Больше половины"))</f>
        <v/>
      </c>
      <c r="U323">
        <f>IF(O323&lt;$U$1*0.5,"Низшая четверть",IF(O323&lt;$U$1,"Вторая четверть","Больше половины"))</f>
        <v/>
      </c>
      <c r="V323">
        <f>IF(OR(N323&lt;SUMIFS(L:L,R:R,1,E:E,E323)/SUMIFS(K:K,R:R,1,E:E,E323)*0.5,O323&lt;SUMIFS(M:M,R:R,1,E:E,E323)/SUMIFS(L:L,R:R,1,E:E,E323)*0.5),"код для проверки","нормальный код")</f>
        <v/>
      </c>
      <c r="W323">
        <f>IF(N323&lt;SUMIFS(L:L,R:R,1,E:E,E323)/SUMIFS(K:K,R:R,1,E:E,E323)*0.5,"Низшая четверть",IF(N323&lt;SUMIFS(L:L,R:R,1,E:E,E323)/SUMIFS(K:K,R:R,1,E:E,E323),"Вторая четверть","Больше половины"))</f>
        <v/>
      </c>
      <c r="X323">
        <f>IF(O323&lt;SUMIFS(M:M,R:R,1,E:E,E323)/SUMIFS(L:L,R:R,1,E:E,E323)*0.5,"Низшая четверть",IF(O323&lt;SUMIFS(M:M,R:R,1,E:E,E323)/SUMIFS(L:L,R:R,1,E:E,E323),"Вторая четверть","Больше половины"))</f>
        <v/>
      </c>
      <c r="Y323" t="n">
        <v>27</v>
      </c>
    </row>
    <row r="324">
      <c r="A324" s="1" t="inlineStr">
        <is>
          <t>07200740</t>
        </is>
      </c>
      <c r="B324" s="2" t="inlineStr">
        <is>
          <t>901030050</t>
        </is>
      </c>
      <c r="C324" s="3" t="inlineStr">
        <is>
          <t>Одежда и аксессуары</t>
        </is>
      </c>
      <c r="D324" s="2" t="inlineStr">
        <is>
          <t>Нижнее белье женское</t>
        </is>
      </c>
      <c r="E324" s="3" t="inlineStr">
        <is>
          <t>072 Трусы женские</t>
        </is>
      </c>
      <c r="F324" s="2" t="inlineStr">
        <is>
          <t>всесезонный</t>
        </is>
      </c>
      <c r="G324" s="3" t="inlineStr">
        <is>
          <t>kari</t>
        </is>
      </c>
      <c r="H324" s="2" t="inlineStr">
        <is>
          <t>Никонорова Алина</t>
        </is>
      </c>
      <c r="J324" s="3" t="inlineStr">
        <is>
          <t>2026SS</t>
        </is>
      </c>
      <c r="K324" s="3" t="n">
        <v>14030</v>
      </c>
      <c r="L324" s="3" t="n">
        <v>405</v>
      </c>
      <c r="M324" s="3" t="n">
        <v>0</v>
      </c>
      <c r="N324" s="4">
        <f>IFERROR(L324/K324,0)</f>
        <v/>
      </c>
      <c r="O324" s="4">
        <f>IFERROR(M324/L324,0)</f>
        <v/>
      </c>
      <c r="P324" t="n">
        <v>1850</v>
      </c>
      <c r="Q324" s="5" t="n">
        <v>1</v>
      </c>
      <c r="R324" s="7" t="n">
        <v>1</v>
      </c>
      <c r="S324">
        <f>IF(OR(N324&lt;$T$1*0.5,O324&lt;$U$1*0.5),"код для проверки","нормальный код")</f>
        <v/>
      </c>
      <c r="T324">
        <f>IF(N324&lt;$T$1*0.5,"Низшая четверть",IF(N324&lt;$T$1,"Вторая четверть","Больше половины"))</f>
        <v/>
      </c>
      <c r="U324">
        <f>IF(O324&lt;$U$1*0.5,"Низшая четверть",IF(O324&lt;$U$1,"Вторая четверть","Больше половины"))</f>
        <v/>
      </c>
      <c r="V324">
        <f>IF(OR(N324&lt;SUMIFS(L:L,R:R,1,E:E,E324)/SUMIFS(K:K,R:R,1,E:E,E324)*0.5,O324&lt;SUMIFS(M:M,R:R,1,E:E,E324)/SUMIFS(L:L,R:R,1,E:E,E324)*0.5),"код для проверки","нормальный код")</f>
        <v/>
      </c>
      <c r="W324">
        <f>IF(N324&lt;SUMIFS(L:L,R:R,1,E:E,E324)/SUMIFS(K:K,R:R,1,E:E,E324)*0.5,"Низшая четверть",IF(N324&lt;SUMIFS(L:L,R:R,1,E:E,E324)/SUMIFS(K:K,R:R,1,E:E,E324),"Вторая четверть","Больше половины"))</f>
        <v/>
      </c>
      <c r="X324">
        <f>IF(O324&lt;SUMIFS(M:M,R:R,1,E:E,E324)/SUMIFS(L:L,R:R,1,E:E,E324)*0.5,"Низшая четверть",IF(O324&lt;SUMIFS(M:M,R:R,1,E:E,E324)/SUMIFS(L:L,R:R,1,E:E,E324),"Вторая четверть","Больше половины"))</f>
        <v/>
      </c>
      <c r="Y324" t="n">
        <v>16</v>
      </c>
    </row>
    <row r="325">
      <c r="A325" s="1" t="inlineStr">
        <is>
          <t>18700050</t>
        </is>
      </c>
      <c r="B325" s="2" t="inlineStr">
        <is>
          <t>840057931</t>
        </is>
      </c>
      <c r="C325" s="3" t="inlineStr">
        <is>
          <t>Одежда и аксессуары</t>
        </is>
      </c>
      <c r="D325" s="2" t="inlineStr">
        <is>
          <t>Майки и платья женские</t>
        </is>
      </c>
      <c r="E325" s="3" t="inlineStr">
        <is>
          <t>187 Платье женское</t>
        </is>
      </c>
      <c r="F325" s="2" t="inlineStr">
        <is>
          <t>весна, лето</t>
        </is>
      </c>
      <c r="G325" s="3" t="inlineStr">
        <is>
          <t>kari</t>
        </is>
      </c>
      <c r="H325" s="2" t="inlineStr">
        <is>
          <t>Зиннуров Ильнур</t>
        </is>
      </c>
      <c r="J325" s="3" t="inlineStr">
        <is>
          <t>2026SS</t>
        </is>
      </c>
      <c r="K325" s="3" t="n">
        <v>13589</v>
      </c>
      <c r="L325" s="3" t="n">
        <v>439</v>
      </c>
      <c r="M325" s="3" t="n">
        <v>2</v>
      </c>
      <c r="N325" s="4">
        <f>IFERROR(L325/K325,0)</f>
        <v/>
      </c>
      <c r="O325" s="4">
        <f>IFERROR(M325/L325,0)</f>
        <v/>
      </c>
      <c r="P325" t="n">
        <v>419</v>
      </c>
      <c r="Q325" s="5" t="n">
        <v>1</v>
      </c>
      <c r="R325" s="7" t="n">
        <v>1</v>
      </c>
      <c r="S325">
        <f>IF(OR(N325&lt;$T$1*0.5,O325&lt;$U$1*0.5),"код для проверки","нормальный код")</f>
        <v/>
      </c>
      <c r="T325">
        <f>IF(N325&lt;$T$1*0.5,"Низшая четверть",IF(N325&lt;$T$1,"Вторая четверть","Больше половины"))</f>
        <v/>
      </c>
      <c r="U325">
        <f>IF(O325&lt;$U$1*0.5,"Низшая четверть",IF(O325&lt;$U$1,"Вторая четверть","Больше половины"))</f>
        <v/>
      </c>
      <c r="V325">
        <f>IF(OR(N325&lt;SUMIFS(L:L,R:R,1,E:E,E325)/SUMIFS(K:K,R:R,1,E:E,E325)*0.5,O325&lt;SUMIFS(M:M,R:R,1,E:E,E325)/SUMIFS(L:L,R:R,1,E:E,E325)*0.5),"код для проверки","нормальный код")</f>
        <v/>
      </c>
      <c r="W325">
        <f>IF(N325&lt;SUMIFS(L:L,R:R,1,E:E,E325)/SUMIFS(K:K,R:R,1,E:E,E325)*0.5,"Низшая четверть",IF(N325&lt;SUMIFS(L:L,R:R,1,E:E,E325)/SUMIFS(K:K,R:R,1,E:E,E325),"Вторая четверть","Больше половины"))</f>
        <v/>
      </c>
      <c r="X325">
        <f>IF(O325&lt;SUMIFS(M:M,R:R,1,E:E,E325)/SUMIFS(L:L,R:R,1,E:E,E325)*0.5,"Низшая четверть",IF(O325&lt;SUMIFS(M:M,R:R,1,E:E,E325)/SUMIFS(L:L,R:R,1,E:E,E325),"Вторая четверть","Больше половины"))</f>
        <v/>
      </c>
      <c r="Y325" t="n">
        <v>25</v>
      </c>
    </row>
    <row r="326">
      <c r="A326" s="1" t="inlineStr">
        <is>
          <t>y9708260</t>
        </is>
      </c>
      <c r="B326" s="2" t="inlineStr">
        <is>
          <t>321683802</t>
        </is>
      </c>
      <c r="C326" s="3" t="inlineStr">
        <is>
          <t>Одежда и аксессуары</t>
        </is>
      </c>
      <c r="D326" s="2" t="inlineStr">
        <is>
          <t>Футболки, рубашки мужские</t>
        </is>
      </c>
      <c r="E326" s="3" t="inlineStr">
        <is>
          <t>h10 Футболка мужская</t>
        </is>
      </c>
      <c r="F326" s="2" t="inlineStr">
        <is>
          <t>всесезонный</t>
        </is>
      </c>
      <c r="G326" s="3" t="inlineStr">
        <is>
          <t>kari</t>
        </is>
      </c>
      <c r="H326" s="2" t="inlineStr">
        <is>
          <t>Зиннуров Ильнур</t>
        </is>
      </c>
      <c r="J326" s="3" t="inlineStr">
        <is>
          <t>2026SS</t>
        </is>
      </c>
      <c r="K326" s="3" t="n">
        <v>13538</v>
      </c>
      <c r="L326" s="3" t="n">
        <v>2762</v>
      </c>
      <c r="M326" s="3" t="n">
        <v>91</v>
      </c>
      <c r="N326" s="4">
        <f>IFERROR(L326/K326,0)</f>
        <v/>
      </c>
      <c r="O326" s="4">
        <f>IFERROR(M326/L326,0)</f>
        <v/>
      </c>
      <c r="P326" t="n">
        <v>511</v>
      </c>
      <c r="Q326" s="5" t="n">
        <v>1</v>
      </c>
      <c r="R326" s="7" t="n">
        <v>1</v>
      </c>
      <c r="S326">
        <f>IF(OR(N326&lt;$T$1*0.5,O326&lt;$U$1*0.5),"код для проверки","нормальный код")</f>
        <v/>
      </c>
      <c r="T326">
        <f>IF(N326&lt;$T$1*0.5,"Низшая четверть",IF(N326&lt;$T$1,"Вторая четверть","Больше половины"))</f>
        <v/>
      </c>
      <c r="U326">
        <f>IF(O326&lt;$U$1*0.5,"Низшая четверть",IF(O326&lt;$U$1,"Вторая четверть","Больше половины"))</f>
        <v/>
      </c>
      <c r="V326">
        <f>IF(OR(N326&lt;SUMIFS(L:L,R:R,1,E:E,E326)/SUMIFS(K:K,R:R,1,E:E,E326)*0.5,O326&lt;SUMIFS(M:M,R:R,1,E:E,E326)/SUMIFS(L:L,R:R,1,E:E,E326)*0.5),"код для проверки","нормальный код")</f>
        <v/>
      </c>
      <c r="W326">
        <f>IF(N326&lt;SUMIFS(L:L,R:R,1,E:E,E326)/SUMIFS(K:K,R:R,1,E:E,E326)*0.5,"Низшая четверть",IF(N326&lt;SUMIFS(L:L,R:R,1,E:E,E326)/SUMIFS(K:K,R:R,1,E:E,E326),"Вторая четверть","Больше половины"))</f>
        <v/>
      </c>
      <c r="X326">
        <f>IF(O326&lt;SUMIFS(M:M,R:R,1,E:E,E326)/SUMIFS(L:L,R:R,1,E:E,E326)*0.5,"Низшая четверть",IF(O326&lt;SUMIFS(M:M,R:R,1,E:E,E326)/SUMIFS(L:L,R:R,1,E:E,E326),"Вторая четверть","Больше половины"))</f>
        <v/>
      </c>
      <c r="Y326" t="n">
        <v>11</v>
      </c>
    </row>
    <row r="327">
      <c r="A327" s="1" t="inlineStr">
        <is>
          <t>43500180</t>
        </is>
      </c>
      <c r="B327" s="2" t="inlineStr">
        <is>
          <t>710462736</t>
        </is>
      </c>
      <c r="C327" s="3" t="inlineStr">
        <is>
          <t>Одежда для детей</t>
        </is>
      </c>
      <c r="D327" s="2" t="inlineStr">
        <is>
          <t>Брюки детские для мальчиков</t>
        </is>
      </c>
      <c r="E327" s="3" t="inlineStr">
        <is>
          <t>435 Брюки спортивные утепленные для мальчиков</t>
        </is>
      </c>
      <c r="F327" s="2" t="inlineStr">
        <is>
          <t>весна, осень, зима</t>
        </is>
      </c>
      <c r="G327" s="3" t="inlineStr">
        <is>
          <t>Kari KIDS</t>
        </is>
      </c>
      <c r="H327" s="2" t="inlineStr">
        <is>
          <t>Зиннуров Ильнур</t>
        </is>
      </c>
      <c r="J327" s="3" t="inlineStr">
        <is>
          <t>2026SS</t>
        </is>
      </c>
      <c r="K327" s="3" t="n">
        <v>13521</v>
      </c>
      <c r="L327" s="3" t="n">
        <v>2041</v>
      </c>
      <c r="M327" s="3" t="n">
        <v>38</v>
      </c>
      <c r="N327" s="4">
        <f>IFERROR(L327/K327,0)</f>
        <v/>
      </c>
      <c r="O327" s="4">
        <f>IFERROR(M327/L327,0)</f>
        <v/>
      </c>
      <c r="P327" t="n">
        <v>349</v>
      </c>
      <c r="Q327" s="5" t="n">
        <v>1</v>
      </c>
      <c r="R327" s="7" t="n">
        <v>1</v>
      </c>
      <c r="S327">
        <f>IF(OR(N327&lt;$T$1*0.5,O327&lt;$U$1*0.5),"код для проверки","нормальный код")</f>
        <v/>
      </c>
      <c r="T327">
        <f>IF(N327&lt;$T$1*0.5,"Низшая четверть",IF(N327&lt;$T$1,"Вторая четверть","Больше половины"))</f>
        <v/>
      </c>
      <c r="U327">
        <f>IF(O327&lt;$U$1*0.5,"Низшая четверть",IF(O327&lt;$U$1,"Вторая четверть","Больше половины"))</f>
        <v/>
      </c>
      <c r="V327">
        <f>IF(OR(N327&lt;SUMIFS(L:L,R:R,1,E:E,E327)/SUMIFS(K:K,R:R,1,E:E,E327)*0.5,O327&lt;SUMIFS(M:M,R:R,1,E:E,E327)/SUMIFS(L:L,R:R,1,E:E,E327)*0.5),"код для проверки","нормальный код")</f>
        <v/>
      </c>
      <c r="W327">
        <f>IF(N327&lt;SUMIFS(L:L,R:R,1,E:E,E327)/SUMIFS(K:K,R:R,1,E:E,E327)*0.5,"Низшая четверть",IF(N327&lt;SUMIFS(L:L,R:R,1,E:E,E327)/SUMIFS(K:K,R:R,1,E:E,E327),"Вторая четверть","Больше половины"))</f>
        <v/>
      </c>
      <c r="X327">
        <f>IF(O327&lt;SUMIFS(M:M,R:R,1,E:E,E327)/SUMIFS(L:L,R:R,1,E:E,E327)*0.5,"Низшая четверть",IF(O327&lt;SUMIFS(M:M,R:R,1,E:E,E327)/SUMIFS(L:L,R:R,1,E:E,E327),"Вторая четверть","Больше половины"))</f>
        <v/>
      </c>
      <c r="Y327" t="n">
        <v>18</v>
      </c>
    </row>
    <row r="328">
      <c r="A328" s="1" t="inlineStr">
        <is>
          <t>29100190</t>
        </is>
      </c>
      <c r="B328" s="2" t="inlineStr">
        <is>
          <t>710462791</t>
        </is>
      </c>
      <c r="C328" s="3" t="inlineStr">
        <is>
          <t>Одежда для детей</t>
        </is>
      </c>
      <c r="D328" s="2" t="inlineStr">
        <is>
          <t>Брюки детские для мальчиков</t>
        </is>
      </c>
      <c r="E328" s="3" t="inlineStr">
        <is>
          <t>291 Штаны детские для мальчиков</t>
        </is>
      </c>
      <c r="F328" s="2" t="inlineStr">
        <is>
          <t>всесезонный</t>
        </is>
      </c>
      <c r="G328" s="3" t="inlineStr">
        <is>
          <t>Kari KIDS</t>
        </is>
      </c>
      <c r="H328" s="2" t="inlineStr">
        <is>
          <t>Зиннуров Ильнур</t>
        </is>
      </c>
      <c r="J328" s="3" t="inlineStr">
        <is>
          <t>2026SS</t>
        </is>
      </c>
      <c r="K328" s="3" t="n">
        <v>13511</v>
      </c>
      <c r="L328" s="3" t="n">
        <v>614</v>
      </c>
      <c r="M328" s="3" t="n">
        <v>9</v>
      </c>
      <c r="N328" s="4">
        <f>IFERROR(L328/K328,0)</f>
        <v/>
      </c>
      <c r="O328" s="4">
        <f>IFERROR(M328/L328,0)</f>
        <v/>
      </c>
      <c r="P328" t="n">
        <v>634</v>
      </c>
      <c r="Q328" s="5" t="n">
        <v>1</v>
      </c>
      <c r="R328" s="7" t="n">
        <v>1</v>
      </c>
      <c r="S328">
        <f>IF(OR(N328&lt;$T$1*0.5,O328&lt;$U$1*0.5),"код для проверки","нормальный код")</f>
        <v/>
      </c>
      <c r="T328">
        <f>IF(N328&lt;$T$1*0.5,"Низшая четверть",IF(N328&lt;$T$1,"Вторая четверть","Больше половины"))</f>
        <v/>
      </c>
      <c r="U328">
        <f>IF(O328&lt;$U$1*0.5,"Низшая четверть",IF(O328&lt;$U$1,"Вторая четверть","Больше половины"))</f>
        <v/>
      </c>
      <c r="V328">
        <f>IF(OR(N328&lt;SUMIFS(L:L,R:R,1,E:E,E328)/SUMIFS(K:K,R:R,1,E:E,E328)*0.5,O328&lt;SUMIFS(M:M,R:R,1,E:E,E328)/SUMIFS(L:L,R:R,1,E:E,E328)*0.5),"код для проверки","нормальный код")</f>
        <v/>
      </c>
      <c r="W328">
        <f>IF(N328&lt;SUMIFS(L:L,R:R,1,E:E,E328)/SUMIFS(K:K,R:R,1,E:E,E328)*0.5,"Низшая четверть",IF(N328&lt;SUMIFS(L:L,R:R,1,E:E,E328)/SUMIFS(K:K,R:R,1,E:E,E328),"Вторая четверть","Больше половины"))</f>
        <v/>
      </c>
      <c r="X328">
        <f>IF(O328&lt;SUMIFS(M:M,R:R,1,E:E,E328)/SUMIFS(L:L,R:R,1,E:E,E328)*0.5,"Низшая четверть",IF(O328&lt;SUMIFS(M:M,R:R,1,E:E,E328)/SUMIFS(L:L,R:R,1,E:E,E328),"Вторая четверть","Больше половины"))</f>
        <v/>
      </c>
      <c r="Y328" t="n">
        <v>13</v>
      </c>
    </row>
    <row r="329">
      <c r="A329" s="1" t="inlineStr">
        <is>
          <t>29000070</t>
        </is>
      </c>
      <c r="B329" s="2" t="inlineStr">
        <is>
          <t>698694765</t>
        </is>
      </c>
      <c r="C329" s="3" t="inlineStr">
        <is>
          <t>Одежда для детей</t>
        </is>
      </c>
      <c r="D329" s="2" t="inlineStr">
        <is>
          <t>Брюки детские для девочек</t>
        </is>
      </c>
      <c r="E329" s="3" t="inlineStr">
        <is>
          <t>290 Штаны детские для девочек</t>
        </is>
      </c>
      <c r="F329" s="2" t="inlineStr">
        <is>
          <t>всесезонный</t>
        </is>
      </c>
      <c r="G329" s="3" t="inlineStr">
        <is>
          <t>Kari KIDS</t>
        </is>
      </c>
      <c r="H329" s="2" t="inlineStr">
        <is>
          <t>Зиннуров Ильнур</t>
        </is>
      </c>
      <c r="J329" s="3" t="inlineStr">
        <is>
          <t>2026SS</t>
        </is>
      </c>
      <c r="K329" s="3" t="n">
        <v>13471</v>
      </c>
      <c r="L329" s="3" t="n">
        <v>953</v>
      </c>
      <c r="M329" s="3" t="n">
        <v>11</v>
      </c>
      <c r="N329" s="4">
        <f>IFERROR(L329/K329,0)</f>
        <v/>
      </c>
      <c r="O329" s="4">
        <f>IFERROR(M329/L329,0)</f>
        <v/>
      </c>
      <c r="P329" t="n">
        <v>341</v>
      </c>
      <c r="Q329" s="5" t="n">
        <v>1</v>
      </c>
      <c r="R329" s="7" t="n">
        <v>1</v>
      </c>
      <c r="S329">
        <f>IF(OR(N329&lt;$T$1*0.5,O329&lt;$U$1*0.5),"код для проверки","нормальный код")</f>
        <v/>
      </c>
      <c r="T329">
        <f>IF(N329&lt;$T$1*0.5,"Низшая четверть",IF(N329&lt;$T$1,"Вторая четверть","Больше половины"))</f>
        <v/>
      </c>
      <c r="U329">
        <f>IF(O329&lt;$U$1*0.5,"Низшая четверть",IF(O329&lt;$U$1,"Вторая четверть","Больше половины"))</f>
        <v/>
      </c>
      <c r="V329">
        <f>IF(OR(N329&lt;SUMIFS(L:L,R:R,1,E:E,E329)/SUMIFS(K:K,R:R,1,E:E,E329)*0.5,O329&lt;SUMIFS(M:M,R:R,1,E:E,E329)/SUMIFS(L:L,R:R,1,E:E,E329)*0.5),"код для проверки","нормальный код")</f>
        <v/>
      </c>
      <c r="W329">
        <f>IF(N329&lt;SUMIFS(L:L,R:R,1,E:E,E329)/SUMIFS(K:K,R:R,1,E:E,E329)*0.5,"Низшая четверть",IF(N329&lt;SUMIFS(L:L,R:R,1,E:E,E329)/SUMIFS(K:K,R:R,1,E:E,E329),"Вторая четверть","Больше половины"))</f>
        <v/>
      </c>
      <c r="X329">
        <f>IF(O329&lt;SUMIFS(M:M,R:R,1,E:E,E329)/SUMIFS(L:L,R:R,1,E:E,E329)*0.5,"Низшая четверть",IF(O329&lt;SUMIFS(M:M,R:R,1,E:E,E329)/SUMIFS(L:L,R:R,1,E:E,E329),"Вторая четверть","Больше половины"))</f>
        <v/>
      </c>
      <c r="Y329" t="n">
        <v>16</v>
      </c>
    </row>
    <row r="330">
      <c r="A330" s="1" t="inlineStr">
        <is>
          <t>29709030</t>
        </is>
      </c>
      <c r="B330" s="2" t="inlineStr">
        <is>
          <t>443729792</t>
        </is>
      </c>
      <c r="C330" s="3" t="inlineStr">
        <is>
          <t>Одежда для детей</t>
        </is>
      </c>
      <c r="D330" s="2" t="inlineStr">
        <is>
          <t>Пиджаки, костюмы детские для девочек</t>
        </is>
      </c>
      <c r="E330" s="3" t="inlineStr">
        <is>
          <t>297 Кофта детская для девочек</t>
        </is>
      </c>
      <c r="F330" s="2" t="inlineStr">
        <is>
          <t>осень, зима</t>
        </is>
      </c>
      <c r="G330" s="3" t="inlineStr">
        <is>
          <t>kari</t>
        </is>
      </c>
      <c r="H330" s="2" t="inlineStr">
        <is>
          <t>Зиннуров Ильнур</t>
        </is>
      </c>
      <c r="J330" s="3" t="inlineStr">
        <is>
          <t>2026SS</t>
        </is>
      </c>
      <c r="K330" s="3" t="n">
        <v>13446</v>
      </c>
      <c r="L330" s="3" t="n">
        <v>1331</v>
      </c>
      <c r="M330" s="3" t="n">
        <v>16</v>
      </c>
      <c r="N330" s="4">
        <f>IFERROR(L330/K330,0)</f>
        <v/>
      </c>
      <c r="O330" s="4">
        <f>IFERROR(M330/L330,0)</f>
        <v/>
      </c>
      <c r="P330" t="n">
        <v>15</v>
      </c>
      <c r="Q330" s="5" t="n">
        <v>0.8</v>
      </c>
      <c r="R330" s="7" t="n">
        <v>1</v>
      </c>
      <c r="S330">
        <f>IF(OR(N330&lt;$T$1*0.5,O330&lt;$U$1*0.5),"код для проверки","нормальный код")</f>
        <v/>
      </c>
      <c r="T330">
        <f>IF(N330&lt;$T$1*0.5,"Низшая четверть",IF(N330&lt;$T$1,"Вторая четверть","Больше половины"))</f>
        <v/>
      </c>
      <c r="U330">
        <f>IF(O330&lt;$U$1*0.5,"Низшая четверть",IF(O330&lt;$U$1,"Вторая четверть","Больше половины"))</f>
        <v/>
      </c>
      <c r="V330">
        <f>IF(OR(N330&lt;SUMIFS(L:L,R:R,1,E:E,E330)/SUMIFS(K:K,R:R,1,E:E,E330)*0.5,O330&lt;SUMIFS(M:M,R:R,1,E:E,E330)/SUMIFS(L:L,R:R,1,E:E,E330)*0.5),"код для проверки","нормальный код")</f>
        <v/>
      </c>
      <c r="W330">
        <f>IF(N330&lt;SUMIFS(L:L,R:R,1,E:E,E330)/SUMIFS(K:K,R:R,1,E:E,E330)*0.5,"Низшая четверть",IF(N330&lt;SUMIFS(L:L,R:R,1,E:E,E330)/SUMIFS(K:K,R:R,1,E:E,E330),"Вторая четверть","Больше половины"))</f>
        <v/>
      </c>
      <c r="X330">
        <f>IF(O330&lt;SUMIFS(M:M,R:R,1,E:E,E330)/SUMIFS(L:L,R:R,1,E:E,E330)*0.5,"Низшая четверть",IF(O330&lt;SUMIFS(M:M,R:R,1,E:E,E330)/SUMIFS(L:L,R:R,1,E:E,E330),"Вторая четверть","Больше половины"))</f>
        <v/>
      </c>
      <c r="Y330" t="n">
        <v>15</v>
      </c>
    </row>
    <row r="331">
      <c r="A331" s="1" t="inlineStr">
        <is>
          <t>11000060</t>
        </is>
      </c>
      <c r="B331" s="2" t="inlineStr">
        <is>
          <t>707522640</t>
        </is>
      </c>
      <c r="C331" s="3" t="inlineStr">
        <is>
          <t>Одежда и аксессуары</t>
        </is>
      </c>
      <c r="D331" s="2" t="inlineStr">
        <is>
          <t>Шарфы женские</t>
        </is>
      </c>
      <c r="E331" s="3" t="inlineStr">
        <is>
          <t>110 Платок женский</t>
        </is>
      </c>
      <c r="F331" s="2" t="inlineStr">
        <is>
          <t>демисезонный</t>
        </is>
      </c>
      <c r="G331" s="3" t="inlineStr">
        <is>
          <t>kari</t>
        </is>
      </c>
      <c r="H331" s="2" t="inlineStr">
        <is>
          <t>Никонорова Алина</t>
        </is>
      </c>
      <c r="J331" s="3" t="inlineStr">
        <is>
          <t>2026SS</t>
        </is>
      </c>
      <c r="K331" s="3" t="n">
        <v>13444</v>
      </c>
      <c r="L331" s="3" t="n">
        <v>4436</v>
      </c>
      <c r="M331" s="3" t="n">
        <v>124</v>
      </c>
      <c r="N331" s="4">
        <f>IFERROR(L331/K331,0)</f>
        <v/>
      </c>
      <c r="O331" s="4">
        <f>IFERROR(M331/L331,0)</f>
        <v/>
      </c>
      <c r="P331" t="n">
        <v>491</v>
      </c>
      <c r="Q331" s="5" t="n">
        <v>1</v>
      </c>
      <c r="R331" s="7" t="n">
        <v>1</v>
      </c>
      <c r="S331">
        <f>IF(OR(N331&lt;$T$1*0.5,O331&lt;$U$1*0.5),"код для проверки","нормальный код")</f>
        <v/>
      </c>
      <c r="T331">
        <f>IF(N331&lt;$T$1*0.5,"Низшая четверть",IF(N331&lt;$T$1,"Вторая четверть","Больше половины"))</f>
        <v/>
      </c>
      <c r="U331">
        <f>IF(O331&lt;$U$1*0.5,"Низшая четверть",IF(O331&lt;$U$1,"Вторая четверть","Больше половины"))</f>
        <v/>
      </c>
      <c r="V331">
        <f>IF(OR(N331&lt;SUMIFS(L:L,R:R,1,E:E,E331)/SUMIFS(K:K,R:R,1,E:E,E331)*0.5,O331&lt;SUMIFS(M:M,R:R,1,E:E,E331)/SUMIFS(L:L,R:R,1,E:E,E331)*0.5),"код для проверки","нормальный код")</f>
        <v/>
      </c>
      <c r="W331">
        <f>IF(N331&lt;SUMIFS(L:L,R:R,1,E:E,E331)/SUMIFS(K:K,R:R,1,E:E,E331)*0.5,"Низшая четверть",IF(N331&lt;SUMIFS(L:L,R:R,1,E:E,E331)/SUMIFS(K:K,R:R,1,E:E,E331),"Вторая четверть","Больше половины"))</f>
        <v/>
      </c>
      <c r="X331">
        <f>IF(O331&lt;SUMIFS(M:M,R:R,1,E:E,E331)/SUMIFS(L:L,R:R,1,E:E,E331)*0.5,"Низшая четверть",IF(O331&lt;SUMIFS(M:M,R:R,1,E:E,E331)/SUMIFS(L:L,R:R,1,E:E,E331),"Вторая четверть","Больше половины"))</f>
        <v/>
      </c>
      <c r="Y331" t="n">
        <v>13</v>
      </c>
    </row>
    <row r="332">
      <c r="A332" s="1" t="inlineStr">
        <is>
          <t>12304103</t>
        </is>
      </c>
      <c r="B332" s="2" t="inlineStr">
        <is>
          <t>372165510</t>
        </is>
      </c>
      <c r="C332" s="3" t="inlineStr">
        <is>
          <t>Одежда и аксессуары</t>
        </is>
      </c>
      <c r="D332" s="2" t="inlineStr">
        <is>
          <t>Чулочные и носочные изделия для женщин</t>
        </is>
      </c>
      <c r="E332" s="3" t="inlineStr">
        <is>
          <t>123 Гольфы эластичные женские</t>
        </is>
      </c>
      <c r="F332" s="2" t="inlineStr">
        <is>
          <t>всесезонный</t>
        </is>
      </c>
      <c r="G332" s="3" t="inlineStr">
        <is>
          <t>kari</t>
        </is>
      </c>
      <c r="H332" s="2" t="inlineStr">
        <is>
          <t>Зиннуров Ильнур</t>
        </is>
      </c>
      <c r="J332" s="3" t="inlineStr">
        <is>
          <t>2026SS</t>
        </is>
      </c>
      <c r="K332" s="3" t="n">
        <v>13341</v>
      </c>
      <c r="L332" s="3" t="n">
        <v>1473</v>
      </c>
      <c r="M332" s="3" t="n">
        <v>117</v>
      </c>
      <c r="N332" s="4">
        <f>IFERROR(L332/K332,0)</f>
        <v/>
      </c>
      <c r="O332" s="4">
        <f>IFERROR(M332/L332,0)</f>
        <v/>
      </c>
      <c r="P332" t="n">
        <v>1613</v>
      </c>
      <c r="Q332" s="5" t="n">
        <v>1</v>
      </c>
      <c r="R332" s="7" t="n">
        <v>1</v>
      </c>
      <c r="S332">
        <f>IF(OR(N332&lt;$T$1*0.5,O332&lt;$U$1*0.5),"код для проверки","нормальный код")</f>
        <v/>
      </c>
      <c r="T332">
        <f>IF(N332&lt;$T$1*0.5,"Низшая четверть",IF(N332&lt;$T$1,"Вторая четверть","Больше половины"))</f>
        <v/>
      </c>
      <c r="U332">
        <f>IF(O332&lt;$U$1*0.5,"Низшая четверть",IF(O332&lt;$U$1,"Вторая четверть","Больше половины"))</f>
        <v/>
      </c>
      <c r="V332">
        <f>IF(OR(N332&lt;SUMIFS(L:L,R:R,1,E:E,E332)/SUMIFS(K:K,R:R,1,E:E,E332)*0.5,O332&lt;SUMIFS(M:M,R:R,1,E:E,E332)/SUMIFS(L:L,R:R,1,E:E,E332)*0.5),"код для проверки","нормальный код")</f>
        <v/>
      </c>
      <c r="W332">
        <f>IF(N332&lt;SUMIFS(L:L,R:R,1,E:E,E332)/SUMIFS(K:K,R:R,1,E:E,E332)*0.5,"Низшая четверть",IF(N332&lt;SUMIFS(L:L,R:R,1,E:E,E332)/SUMIFS(K:K,R:R,1,E:E,E332),"Вторая четверть","Больше половины"))</f>
        <v/>
      </c>
      <c r="X332">
        <f>IF(O332&lt;SUMIFS(M:M,R:R,1,E:E,E332)/SUMIFS(L:L,R:R,1,E:E,E332)*0.5,"Низшая четверть",IF(O332&lt;SUMIFS(M:M,R:R,1,E:E,E332)/SUMIFS(L:L,R:R,1,E:E,E332),"Вторая четверть","Больше половины"))</f>
        <v/>
      </c>
      <c r="Y332" t="n">
        <v>6</v>
      </c>
    </row>
    <row r="333">
      <c r="A333" s="1" t="inlineStr">
        <is>
          <t>19608060</t>
        </is>
      </c>
      <c r="B333" s="2" t="inlineStr">
        <is>
          <t>341720520</t>
        </is>
      </c>
      <c r="C333" s="3" t="inlineStr">
        <is>
          <t>Одежда и аксессуары</t>
        </is>
      </c>
      <c r="D333" s="2" t="inlineStr">
        <is>
          <t>Майки и платья женские</t>
        </is>
      </c>
      <c r="E333" s="3" t="inlineStr">
        <is>
          <t>196 Майка женская</t>
        </is>
      </c>
      <c r="F333" s="2" t="inlineStr">
        <is>
          <t>всесезонный</t>
        </is>
      </c>
      <c r="G333" s="3" t="inlineStr">
        <is>
          <t>kari</t>
        </is>
      </c>
      <c r="H333" s="2" t="inlineStr">
        <is>
          <t>Зиннуров Ильнур</t>
        </is>
      </c>
      <c r="J333" s="3" t="inlineStr">
        <is>
          <t>2026SS</t>
        </is>
      </c>
      <c r="K333" s="3" t="n">
        <v>13316</v>
      </c>
      <c r="L333" s="3" t="n">
        <v>625</v>
      </c>
      <c r="M333" s="3" t="n">
        <v>28</v>
      </c>
      <c r="N333" s="4">
        <f>IFERROR(L333/K333,0)</f>
        <v/>
      </c>
      <c r="O333" s="4">
        <f>IFERROR(M333/L333,0)</f>
        <v/>
      </c>
      <c r="P333" t="n">
        <v>1176</v>
      </c>
      <c r="Q333" s="5" t="n">
        <v>0.8333333333333334</v>
      </c>
      <c r="R333" s="7" t="n">
        <v>1</v>
      </c>
      <c r="S333">
        <f>IF(OR(N333&lt;$T$1*0.5,O333&lt;$U$1*0.5),"код для проверки","нормальный код")</f>
        <v/>
      </c>
      <c r="T333">
        <f>IF(N333&lt;$T$1*0.5,"Низшая четверть",IF(N333&lt;$T$1,"Вторая четверть","Больше половины"))</f>
        <v/>
      </c>
      <c r="U333">
        <f>IF(O333&lt;$U$1*0.5,"Низшая четверть",IF(O333&lt;$U$1,"Вторая четверть","Больше половины"))</f>
        <v/>
      </c>
      <c r="V333">
        <f>IF(OR(N333&lt;SUMIFS(L:L,R:R,1,E:E,E333)/SUMIFS(K:K,R:R,1,E:E,E333)*0.5,O333&lt;SUMIFS(M:M,R:R,1,E:E,E333)/SUMIFS(L:L,R:R,1,E:E,E333)*0.5),"код для проверки","нормальный код")</f>
        <v/>
      </c>
      <c r="W333">
        <f>IF(N333&lt;SUMIFS(L:L,R:R,1,E:E,E333)/SUMIFS(K:K,R:R,1,E:E,E333)*0.5,"Низшая четверть",IF(N333&lt;SUMIFS(L:L,R:R,1,E:E,E333)/SUMIFS(K:K,R:R,1,E:E,E333),"Вторая четверть","Больше половины"))</f>
        <v/>
      </c>
      <c r="X333">
        <f>IF(O333&lt;SUMIFS(M:M,R:R,1,E:E,E333)/SUMIFS(L:L,R:R,1,E:E,E333)*0.5,"Низшая четверть",IF(O333&lt;SUMIFS(M:M,R:R,1,E:E,E333)/SUMIFS(L:L,R:R,1,E:E,E333),"Вторая четверть","Больше половины"))</f>
        <v/>
      </c>
      <c r="Y333" t="n">
        <v>7</v>
      </c>
    </row>
    <row r="334">
      <c r="A334" s="1" t="inlineStr">
        <is>
          <t>a6200000</t>
        </is>
      </c>
      <c r="B334" s="2" t="inlineStr">
        <is>
          <t>708423056</t>
        </is>
      </c>
      <c r="C334" s="3" t="inlineStr">
        <is>
          <t>Одежда для детей</t>
        </is>
      </c>
      <c r="D334" s="2" t="inlineStr">
        <is>
          <t>Брюки детские для девочек</t>
        </is>
      </c>
      <c r="E334" s="3" t="inlineStr">
        <is>
          <t>a62 Треггинсы детские для девочек</t>
        </is>
      </c>
      <c r="F334" s="2" t="inlineStr">
        <is>
          <t>весна, осень, зима</t>
        </is>
      </c>
      <c r="G334" s="3" t="inlineStr">
        <is>
          <t>Kari KIDS</t>
        </is>
      </c>
      <c r="H334" s="2" t="inlineStr">
        <is>
          <t>Зиннуров Ильнур</t>
        </is>
      </c>
      <c r="J334" s="3" t="inlineStr">
        <is>
          <t>2026SS</t>
        </is>
      </c>
      <c r="K334" s="3" t="n">
        <v>13248</v>
      </c>
      <c r="L334" s="3" t="n">
        <v>1219</v>
      </c>
      <c r="M334" s="3" t="n">
        <v>19</v>
      </c>
      <c r="N334" s="4">
        <f>IFERROR(L334/K334,0)</f>
        <v/>
      </c>
      <c r="O334" s="4">
        <f>IFERROR(M334/L334,0)</f>
        <v/>
      </c>
      <c r="P334" t="n">
        <v>85</v>
      </c>
      <c r="Q334" s="5" t="n">
        <v>1</v>
      </c>
      <c r="R334" s="7" t="n">
        <v>1</v>
      </c>
      <c r="S334">
        <f>IF(OR(N334&lt;$T$1*0.5,O334&lt;$U$1*0.5),"код для проверки","нормальный код")</f>
        <v/>
      </c>
      <c r="T334">
        <f>IF(N334&lt;$T$1*0.5,"Низшая четверть",IF(N334&lt;$T$1,"Вторая четверть","Больше половины"))</f>
        <v/>
      </c>
      <c r="U334">
        <f>IF(O334&lt;$U$1*0.5,"Низшая четверть",IF(O334&lt;$U$1,"Вторая четверть","Больше половины"))</f>
        <v/>
      </c>
      <c r="V334">
        <f>IF(OR(N334&lt;SUMIFS(L:L,R:R,1,E:E,E334)/SUMIFS(K:K,R:R,1,E:E,E334)*0.5,O334&lt;SUMIFS(M:M,R:R,1,E:E,E334)/SUMIFS(L:L,R:R,1,E:E,E334)*0.5),"код для проверки","нормальный код")</f>
        <v/>
      </c>
      <c r="W334">
        <f>IF(N334&lt;SUMIFS(L:L,R:R,1,E:E,E334)/SUMIFS(K:K,R:R,1,E:E,E334)*0.5,"Низшая четверть",IF(N334&lt;SUMIFS(L:L,R:R,1,E:E,E334)/SUMIFS(K:K,R:R,1,E:E,E334),"Вторая четверть","Больше половины"))</f>
        <v/>
      </c>
      <c r="X334">
        <f>IF(O334&lt;SUMIFS(M:M,R:R,1,E:E,E334)/SUMIFS(L:L,R:R,1,E:E,E334)*0.5,"Низшая четверть",IF(O334&lt;SUMIFS(M:M,R:R,1,E:E,E334)/SUMIFS(L:L,R:R,1,E:E,E334),"Вторая четверть","Больше половины"))</f>
        <v/>
      </c>
      <c r="Y334" t="n">
        <v>15</v>
      </c>
    </row>
    <row r="335">
      <c r="A335" s="1" t="inlineStr">
        <is>
          <t>h1300060</t>
        </is>
      </c>
      <c r="B335" s="2" t="inlineStr">
        <is>
          <t>928508606</t>
        </is>
      </c>
      <c r="C335" s="3" t="inlineStr">
        <is>
          <t>Одежда и аксессуары</t>
        </is>
      </c>
      <c r="D335" s="2" t="inlineStr">
        <is>
          <t>Брюки, шорты женские</t>
        </is>
      </c>
      <c r="E335" s="3" t="inlineStr">
        <is>
          <t>h13 Шорты женские</t>
        </is>
      </c>
      <c r="F335" s="2" t="inlineStr">
        <is>
          <t>весна, лето</t>
        </is>
      </c>
      <c r="G335" s="3" t="inlineStr">
        <is>
          <t>kari</t>
        </is>
      </c>
      <c r="H335" s="2" t="inlineStr">
        <is>
          <t>Зиннуров Ильнур</t>
        </is>
      </c>
      <c r="J335" s="3" t="inlineStr">
        <is>
          <t>2026SS</t>
        </is>
      </c>
      <c r="K335" s="3" t="n">
        <v>13188</v>
      </c>
      <c r="L335" s="3" t="n">
        <v>262</v>
      </c>
      <c r="M335" s="3" t="n">
        <v>4</v>
      </c>
      <c r="N335" s="4">
        <f>IFERROR(L335/K335,0)</f>
        <v/>
      </c>
      <c r="O335" s="4">
        <f>IFERROR(M335/L335,0)</f>
        <v/>
      </c>
      <c r="P335" t="n">
        <v>564</v>
      </c>
      <c r="Q335" s="5" t="n">
        <v>1</v>
      </c>
      <c r="R335" s="7" t="n">
        <v>1</v>
      </c>
      <c r="S335">
        <f>IF(OR(N335&lt;$T$1*0.5,O335&lt;$U$1*0.5),"код для проверки","нормальный код")</f>
        <v/>
      </c>
      <c r="T335">
        <f>IF(N335&lt;$T$1*0.5,"Низшая четверть",IF(N335&lt;$T$1,"Вторая четверть","Больше половины"))</f>
        <v/>
      </c>
      <c r="U335">
        <f>IF(O335&lt;$U$1*0.5,"Низшая четверть",IF(O335&lt;$U$1,"Вторая четверть","Больше половины"))</f>
        <v/>
      </c>
      <c r="V335">
        <f>IF(OR(N335&lt;SUMIFS(L:L,R:R,1,E:E,E335)/SUMIFS(K:K,R:R,1,E:E,E335)*0.5,O335&lt;SUMIFS(M:M,R:R,1,E:E,E335)/SUMIFS(L:L,R:R,1,E:E,E335)*0.5),"код для проверки","нормальный код")</f>
        <v/>
      </c>
      <c r="W335">
        <f>IF(N335&lt;SUMIFS(L:L,R:R,1,E:E,E335)/SUMIFS(K:K,R:R,1,E:E,E335)*0.5,"Низшая четверть",IF(N335&lt;SUMIFS(L:L,R:R,1,E:E,E335)/SUMIFS(K:K,R:R,1,E:E,E335),"Вторая четверть","Больше половины"))</f>
        <v/>
      </c>
      <c r="X335">
        <f>IF(O335&lt;SUMIFS(M:M,R:R,1,E:E,E335)/SUMIFS(L:L,R:R,1,E:E,E335)*0.5,"Низшая четверть",IF(O335&lt;SUMIFS(M:M,R:R,1,E:E,E335)/SUMIFS(L:L,R:R,1,E:E,E335),"Вторая четверть","Больше половины"))</f>
        <v/>
      </c>
      <c r="Y335" t="n">
        <v>20</v>
      </c>
    </row>
    <row r="336">
      <c r="A336" s="1" t="inlineStr">
        <is>
          <t>094001P0</t>
        </is>
      </c>
      <c r="B336" s="2" t="inlineStr">
        <is>
          <t>710405599</t>
        </is>
      </c>
      <c r="C336" s="3" t="inlineStr">
        <is>
          <t>Одежда и аксессуары</t>
        </is>
      </c>
      <c r="D336" s="2" t="inlineStr">
        <is>
          <t>Купальники женские</t>
        </is>
      </c>
      <c r="E336" s="3" t="inlineStr">
        <is>
          <t>094 Купальник</t>
        </is>
      </c>
      <c r="F336" s="2" t="inlineStr">
        <is>
          <t>лето</t>
        </is>
      </c>
      <c r="G336" s="3" t="inlineStr">
        <is>
          <t>kari</t>
        </is>
      </c>
      <c r="H336" s="2" t="inlineStr">
        <is>
          <t>Никонорова Алина</t>
        </is>
      </c>
      <c r="J336" s="3" t="inlineStr">
        <is>
          <t>2026SS</t>
        </is>
      </c>
      <c r="K336" s="3" t="n">
        <v>13136</v>
      </c>
      <c r="L336" s="3" t="n">
        <v>3245</v>
      </c>
      <c r="M336" s="3" t="n">
        <v>12</v>
      </c>
      <c r="N336" s="4">
        <f>IFERROR(L336/K336,0)</f>
        <v/>
      </c>
      <c r="O336" s="4">
        <f>IFERROR(M336/L336,0)</f>
        <v/>
      </c>
      <c r="P336" t="n">
        <v>1283</v>
      </c>
      <c r="Q336" s="5" t="n">
        <v>0.5555555555555556</v>
      </c>
      <c r="R336" s="7" t="n">
        <v>1</v>
      </c>
      <c r="S336">
        <f>IF(OR(N336&lt;$T$1*0.5,O336&lt;$U$1*0.5),"код для проверки","нормальный код")</f>
        <v/>
      </c>
      <c r="T336">
        <f>IF(N336&lt;$T$1*0.5,"Низшая четверть",IF(N336&lt;$T$1,"Вторая четверть","Больше половины"))</f>
        <v/>
      </c>
      <c r="U336">
        <f>IF(O336&lt;$U$1*0.5,"Низшая четверть",IF(O336&lt;$U$1,"Вторая четверть","Больше половины"))</f>
        <v/>
      </c>
      <c r="V336">
        <f>IF(OR(N336&lt;SUMIFS(L:L,R:R,1,E:E,E336)/SUMIFS(K:K,R:R,1,E:E,E336)*0.5,O336&lt;SUMIFS(M:M,R:R,1,E:E,E336)/SUMIFS(L:L,R:R,1,E:E,E336)*0.5),"код для проверки","нормальный код")</f>
        <v/>
      </c>
      <c r="W336">
        <f>IF(N336&lt;SUMIFS(L:L,R:R,1,E:E,E336)/SUMIFS(K:K,R:R,1,E:E,E336)*0.5,"Низшая четверть",IF(N336&lt;SUMIFS(L:L,R:R,1,E:E,E336)/SUMIFS(K:K,R:R,1,E:E,E336),"Вторая четверть","Больше половины"))</f>
        <v/>
      </c>
      <c r="X336">
        <f>IF(O336&lt;SUMIFS(M:M,R:R,1,E:E,E336)/SUMIFS(L:L,R:R,1,E:E,E336)*0.5,"Низшая четверть",IF(O336&lt;SUMIFS(M:M,R:R,1,E:E,E336)/SUMIFS(L:L,R:R,1,E:E,E336),"Вторая четверть","Больше половины"))</f>
        <v/>
      </c>
      <c r="Y336" t="n">
        <v>24</v>
      </c>
    </row>
    <row r="337">
      <c r="A337" s="1" t="inlineStr">
        <is>
          <t>h7700080</t>
        </is>
      </c>
      <c r="B337" s="2" t="inlineStr">
        <is>
          <t>797451318</t>
        </is>
      </c>
      <c r="C337" s="3" t="inlineStr">
        <is>
          <t>Одежда и аксессуары</t>
        </is>
      </c>
      <c r="D337" s="2" t="inlineStr">
        <is>
          <t>Купальники женские</t>
        </is>
      </c>
      <c r="E337" s="3" t="inlineStr">
        <is>
          <t>h77 Одежда пляжная женская</t>
        </is>
      </c>
      <c r="F337" s="2" t="inlineStr">
        <is>
          <t>лето</t>
        </is>
      </c>
      <c r="G337" s="3" t="inlineStr">
        <is>
          <t>kari</t>
        </is>
      </c>
      <c r="H337" s="2" t="inlineStr">
        <is>
          <t>Зиннуров Ильнур</t>
        </is>
      </c>
      <c r="J337" s="3" t="inlineStr">
        <is>
          <t>2026SS</t>
        </is>
      </c>
      <c r="K337" s="3" t="n">
        <v>13033</v>
      </c>
      <c r="L337" s="3" t="n">
        <v>1241</v>
      </c>
      <c r="M337" s="3" t="n">
        <v>8</v>
      </c>
      <c r="N337" s="4">
        <f>IFERROR(L337/K337,0)</f>
        <v/>
      </c>
      <c r="O337" s="4">
        <f>IFERROR(M337/L337,0)</f>
        <v/>
      </c>
      <c r="P337" t="n">
        <v>1243</v>
      </c>
      <c r="Q337" s="5" t="n">
        <v>1</v>
      </c>
      <c r="R337" s="7" t="n">
        <v>1</v>
      </c>
      <c r="S337">
        <f>IF(OR(N337&lt;$T$1*0.5,O337&lt;$U$1*0.5),"код для проверки","нормальный код")</f>
        <v/>
      </c>
      <c r="T337">
        <f>IF(N337&lt;$T$1*0.5,"Низшая четверть",IF(N337&lt;$T$1,"Вторая четверть","Больше половины"))</f>
        <v/>
      </c>
      <c r="U337">
        <f>IF(O337&lt;$U$1*0.5,"Низшая четверть",IF(O337&lt;$U$1,"Вторая четверть","Больше половины"))</f>
        <v/>
      </c>
      <c r="V337">
        <f>IF(OR(N337&lt;SUMIFS(L:L,R:R,1,E:E,E337)/SUMIFS(K:K,R:R,1,E:E,E337)*0.5,O337&lt;SUMIFS(M:M,R:R,1,E:E,E337)/SUMIFS(L:L,R:R,1,E:E,E337)*0.5),"код для проверки","нормальный код")</f>
        <v/>
      </c>
      <c r="W337">
        <f>IF(N337&lt;SUMIFS(L:L,R:R,1,E:E,E337)/SUMIFS(K:K,R:R,1,E:E,E337)*0.5,"Низшая четверть",IF(N337&lt;SUMIFS(L:L,R:R,1,E:E,E337)/SUMIFS(K:K,R:R,1,E:E,E337),"Вторая четверть","Больше половины"))</f>
        <v/>
      </c>
      <c r="X337">
        <f>IF(O337&lt;SUMIFS(M:M,R:R,1,E:E,E337)/SUMIFS(L:L,R:R,1,E:E,E337)*0.5,"Низшая четверть",IF(O337&lt;SUMIFS(M:M,R:R,1,E:E,E337)/SUMIFS(L:L,R:R,1,E:E,E337),"Вторая четверть","Больше половины"))</f>
        <v/>
      </c>
      <c r="Y337" t="n">
        <v>8</v>
      </c>
    </row>
    <row r="338">
      <c r="A338" s="1" t="inlineStr">
        <is>
          <t>310000O0</t>
        </is>
      </c>
      <c r="B338" s="2" t="inlineStr">
        <is>
          <t>721315689</t>
        </is>
      </c>
      <c r="C338" s="3" t="inlineStr">
        <is>
          <t>Одежда для детей</t>
        </is>
      </c>
      <c r="D338" s="2" t="inlineStr">
        <is>
          <t>Футболки, майки, рубашки детские для мальчиков</t>
        </is>
      </c>
      <c r="E338" s="3" t="inlineStr">
        <is>
          <t>310 Футболка детская для мальчиков</t>
        </is>
      </c>
      <c r="F338" s="2" t="inlineStr">
        <is>
          <t>всесезонный</t>
        </is>
      </c>
      <c r="G338" s="3" t="inlineStr">
        <is>
          <t>Kari KIDS</t>
        </is>
      </c>
      <c r="H338" s="2" t="inlineStr">
        <is>
          <t>Зиннуров Ильнур</t>
        </is>
      </c>
      <c r="J338" s="3" t="inlineStr">
        <is>
          <t>2026SS</t>
        </is>
      </c>
      <c r="K338" s="3" t="n">
        <v>12981</v>
      </c>
      <c r="L338" s="3" t="n">
        <v>1318</v>
      </c>
      <c r="M338" s="3" t="n">
        <v>7</v>
      </c>
      <c r="N338" s="4">
        <f>IFERROR(L338/K338,0)</f>
        <v/>
      </c>
      <c r="O338" s="4">
        <f>IFERROR(M338/L338,0)</f>
        <v/>
      </c>
      <c r="P338" t="n">
        <v>497</v>
      </c>
      <c r="Q338" s="5" t="n">
        <v>1</v>
      </c>
      <c r="R338" s="7" t="n">
        <v>1</v>
      </c>
      <c r="S338">
        <f>IF(OR(N338&lt;$T$1*0.5,O338&lt;$U$1*0.5),"код для проверки","нормальный код")</f>
        <v/>
      </c>
      <c r="T338">
        <f>IF(N338&lt;$T$1*0.5,"Низшая четверть",IF(N338&lt;$T$1,"Вторая четверть","Больше половины"))</f>
        <v/>
      </c>
      <c r="U338">
        <f>IF(O338&lt;$U$1*0.5,"Низшая четверть",IF(O338&lt;$U$1,"Вторая четверть","Больше половины"))</f>
        <v/>
      </c>
      <c r="V338">
        <f>IF(OR(N338&lt;SUMIFS(L:L,R:R,1,E:E,E338)/SUMIFS(K:K,R:R,1,E:E,E338)*0.5,O338&lt;SUMIFS(M:M,R:R,1,E:E,E338)/SUMIFS(L:L,R:R,1,E:E,E338)*0.5),"код для проверки","нормальный код")</f>
        <v/>
      </c>
      <c r="W338">
        <f>IF(N338&lt;SUMIFS(L:L,R:R,1,E:E,E338)/SUMIFS(K:K,R:R,1,E:E,E338)*0.5,"Низшая четверть",IF(N338&lt;SUMIFS(L:L,R:R,1,E:E,E338)/SUMIFS(K:K,R:R,1,E:E,E338),"Вторая четверть","Больше половины"))</f>
        <v/>
      </c>
      <c r="X338">
        <f>IF(O338&lt;SUMIFS(M:M,R:R,1,E:E,E338)/SUMIFS(L:L,R:R,1,E:E,E338)*0.5,"Низшая четверть",IF(O338&lt;SUMIFS(M:M,R:R,1,E:E,E338)/SUMIFS(L:L,R:R,1,E:E,E338),"Вторая четверть","Больше половины"))</f>
        <v/>
      </c>
      <c r="Y338" t="n">
        <v>25</v>
      </c>
    </row>
    <row r="339">
      <c r="A339" s="1" t="inlineStr">
        <is>
          <t>07200800</t>
        </is>
      </c>
      <c r="B339" s="2" t="inlineStr">
        <is>
          <t>770843412</t>
        </is>
      </c>
      <c r="C339" s="3" t="inlineStr">
        <is>
          <t>Одежда и аксессуары</t>
        </is>
      </c>
      <c r="D339" s="2" t="inlineStr">
        <is>
          <t>Нижнее белье женское</t>
        </is>
      </c>
      <c r="E339" s="3" t="inlineStr">
        <is>
          <t>072 Трусы женские</t>
        </is>
      </c>
      <c r="F339" s="2" t="inlineStr">
        <is>
          <t>всесезонный</t>
        </is>
      </c>
      <c r="G339" s="3" t="inlineStr">
        <is>
          <t>kari</t>
        </is>
      </c>
      <c r="H339" s="2" t="inlineStr">
        <is>
          <t>Никонорова Алина</t>
        </is>
      </c>
      <c r="J339" s="3" t="inlineStr">
        <is>
          <t>2026SS</t>
        </is>
      </c>
      <c r="K339" s="3" t="n">
        <v>12954</v>
      </c>
      <c r="L339" s="3" t="n">
        <v>313</v>
      </c>
      <c r="M339" s="3" t="n">
        <v>1</v>
      </c>
      <c r="N339" s="4">
        <f>IFERROR(L339/K339,0)</f>
        <v/>
      </c>
      <c r="O339" s="4">
        <f>IFERROR(M339/L339,0)</f>
        <v/>
      </c>
      <c r="P339" t="n">
        <v>3897</v>
      </c>
      <c r="Q339" s="5" t="n">
        <v>1</v>
      </c>
      <c r="R339" s="7" t="n">
        <v>1</v>
      </c>
      <c r="S339">
        <f>IF(OR(N339&lt;$T$1*0.5,O339&lt;$U$1*0.5),"код для проверки","нормальный код")</f>
        <v/>
      </c>
      <c r="T339">
        <f>IF(N339&lt;$T$1*0.5,"Низшая четверть",IF(N339&lt;$T$1,"Вторая четверть","Больше половины"))</f>
        <v/>
      </c>
      <c r="U339">
        <f>IF(O339&lt;$U$1*0.5,"Низшая четверть",IF(O339&lt;$U$1,"Вторая четверть","Больше половины"))</f>
        <v/>
      </c>
      <c r="V339">
        <f>IF(OR(N339&lt;SUMIFS(L:L,R:R,1,E:E,E339)/SUMIFS(K:K,R:R,1,E:E,E339)*0.5,O339&lt;SUMIFS(M:M,R:R,1,E:E,E339)/SUMIFS(L:L,R:R,1,E:E,E339)*0.5),"код для проверки","нормальный код")</f>
        <v/>
      </c>
      <c r="W339">
        <f>IF(N339&lt;SUMIFS(L:L,R:R,1,E:E,E339)/SUMIFS(K:K,R:R,1,E:E,E339)*0.5,"Низшая четверть",IF(N339&lt;SUMIFS(L:L,R:R,1,E:E,E339)/SUMIFS(K:K,R:R,1,E:E,E339),"Вторая четверть","Больше половины"))</f>
        <v/>
      </c>
      <c r="X339">
        <f>IF(O339&lt;SUMIFS(M:M,R:R,1,E:E,E339)/SUMIFS(L:L,R:R,1,E:E,E339)*0.5,"Низшая четверть",IF(O339&lt;SUMIFS(M:M,R:R,1,E:E,E339)/SUMIFS(L:L,R:R,1,E:E,E339),"Вторая четверть","Больше половины"))</f>
        <v/>
      </c>
      <c r="Y339" t="n">
        <v>17</v>
      </c>
    </row>
    <row r="340">
      <c r="A340" s="1" t="inlineStr">
        <is>
          <t>94608110</t>
        </is>
      </c>
      <c r="B340" s="2" t="inlineStr">
        <is>
          <t>330018659</t>
        </is>
      </c>
      <c r="C340" s="3" t="inlineStr">
        <is>
          <t>Одежда для детей</t>
        </is>
      </c>
      <c r="D340" s="2" t="inlineStr">
        <is>
          <t>Одежда для новорожденных</t>
        </is>
      </c>
      <c r="E340" s="3" t="inlineStr">
        <is>
          <t>946 Ромпер для мальчика</t>
        </is>
      </c>
      <c r="F340" s="2" t="inlineStr">
        <is>
          <t>лето</t>
        </is>
      </c>
      <c r="G340" s="3" t="inlineStr">
        <is>
          <t>Kari baby</t>
        </is>
      </c>
      <c r="H340" s="2" t="inlineStr">
        <is>
          <t>Зиннуров Ильнур</t>
        </is>
      </c>
      <c r="J340" s="3" t="inlineStr">
        <is>
          <t>2026SS</t>
        </is>
      </c>
      <c r="K340" s="3" t="n">
        <v>12884</v>
      </c>
      <c r="L340" s="3" t="n">
        <v>1322</v>
      </c>
      <c r="M340" s="3" t="n">
        <v>18</v>
      </c>
      <c r="N340" s="4">
        <f>IFERROR(L340/K340,0)</f>
        <v/>
      </c>
      <c r="O340" s="4">
        <f>IFERROR(M340/L340,0)</f>
        <v/>
      </c>
      <c r="P340" t="n">
        <v>1190</v>
      </c>
      <c r="Q340" s="5" t="n">
        <v>1</v>
      </c>
      <c r="R340" s="7" t="n">
        <v>1</v>
      </c>
      <c r="S340">
        <f>IF(OR(N340&lt;$T$1*0.5,O340&lt;$U$1*0.5),"код для проверки","нормальный код")</f>
        <v/>
      </c>
      <c r="T340">
        <f>IF(N340&lt;$T$1*0.5,"Низшая четверть",IF(N340&lt;$T$1,"Вторая четверть","Больше половины"))</f>
        <v/>
      </c>
      <c r="U340">
        <f>IF(O340&lt;$U$1*0.5,"Низшая четверть",IF(O340&lt;$U$1,"Вторая четверть","Больше половины"))</f>
        <v/>
      </c>
      <c r="V340">
        <f>IF(OR(N340&lt;SUMIFS(L:L,R:R,1,E:E,E340)/SUMIFS(K:K,R:R,1,E:E,E340)*0.5,O340&lt;SUMIFS(M:M,R:R,1,E:E,E340)/SUMIFS(L:L,R:R,1,E:E,E340)*0.5),"код для проверки","нормальный код")</f>
        <v/>
      </c>
      <c r="W340">
        <f>IF(N340&lt;SUMIFS(L:L,R:R,1,E:E,E340)/SUMIFS(K:K,R:R,1,E:E,E340)*0.5,"Низшая четверть",IF(N340&lt;SUMIFS(L:L,R:R,1,E:E,E340)/SUMIFS(K:K,R:R,1,E:E,E340),"Вторая четверть","Больше половины"))</f>
        <v/>
      </c>
      <c r="X340">
        <f>IF(O340&lt;SUMIFS(M:M,R:R,1,E:E,E340)/SUMIFS(L:L,R:R,1,E:E,E340)*0.5,"Низшая четверть",IF(O340&lt;SUMIFS(M:M,R:R,1,E:E,E340)/SUMIFS(L:L,R:R,1,E:E,E340),"Вторая четверть","Больше половины"))</f>
        <v/>
      </c>
      <c r="Y340" t="n">
        <v>13</v>
      </c>
    </row>
    <row r="341">
      <c r="A341" s="1" t="inlineStr">
        <is>
          <t>a6000240</t>
        </is>
      </c>
      <c r="B341" s="2" t="inlineStr">
        <is>
          <t>706058169</t>
        </is>
      </c>
      <c r="C341" s="3" t="inlineStr">
        <is>
          <t>Одежда для детей</t>
        </is>
      </c>
      <c r="D341" s="2" t="inlineStr">
        <is>
          <t>Платья, майки, футболки детские для девочек</t>
        </is>
      </c>
      <c r="E341" s="3" t="inlineStr">
        <is>
          <t>a60 Футболка детская для девочек</t>
        </is>
      </c>
      <c r="F341" s="2" t="inlineStr">
        <is>
          <t>всесезонный</t>
        </is>
      </c>
      <c r="G341" s="3" t="inlineStr">
        <is>
          <t>kari</t>
        </is>
      </c>
      <c r="H341" s="2" t="inlineStr">
        <is>
          <t>Зиннуров Ильнур</t>
        </is>
      </c>
      <c r="J341" s="3" t="inlineStr">
        <is>
          <t>2026SS</t>
        </is>
      </c>
      <c r="K341" s="3" t="n">
        <v>12864</v>
      </c>
      <c r="L341" s="3" t="n">
        <v>618</v>
      </c>
      <c r="M341" s="3" t="n">
        <v>20</v>
      </c>
      <c r="N341" s="4">
        <f>IFERROR(L341/K341,0)</f>
        <v/>
      </c>
      <c r="O341" s="4">
        <f>IFERROR(M341/L341,0)</f>
        <v/>
      </c>
      <c r="P341" t="n">
        <v>464</v>
      </c>
      <c r="Q341" s="5" t="n">
        <v>1</v>
      </c>
      <c r="R341" s="7" t="n">
        <v>1</v>
      </c>
      <c r="S341">
        <f>IF(OR(N341&lt;$T$1*0.5,O341&lt;$U$1*0.5),"код для проверки","нормальный код")</f>
        <v/>
      </c>
      <c r="T341">
        <f>IF(N341&lt;$T$1*0.5,"Низшая четверть",IF(N341&lt;$T$1,"Вторая четверть","Больше половины"))</f>
        <v/>
      </c>
      <c r="U341">
        <f>IF(O341&lt;$U$1*0.5,"Низшая четверть",IF(O341&lt;$U$1,"Вторая четверть","Больше половины"))</f>
        <v/>
      </c>
      <c r="V341">
        <f>IF(OR(N341&lt;SUMIFS(L:L,R:R,1,E:E,E341)/SUMIFS(K:K,R:R,1,E:E,E341)*0.5,O341&lt;SUMIFS(M:M,R:R,1,E:E,E341)/SUMIFS(L:L,R:R,1,E:E,E341)*0.5),"код для проверки","нормальный код")</f>
        <v/>
      </c>
      <c r="W341">
        <f>IF(N341&lt;SUMIFS(L:L,R:R,1,E:E,E341)/SUMIFS(K:K,R:R,1,E:E,E341)*0.5,"Низшая четверть",IF(N341&lt;SUMIFS(L:L,R:R,1,E:E,E341)/SUMIFS(K:K,R:R,1,E:E,E341),"Вторая четверть","Больше половины"))</f>
        <v/>
      </c>
      <c r="X341">
        <f>IF(O341&lt;SUMIFS(M:M,R:R,1,E:E,E341)/SUMIFS(L:L,R:R,1,E:E,E341)*0.5,"Низшая четверть",IF(O341&lt;SUMIFS(M:M,R:R,1,E:E,E341)/SUMIFS(L:L,R:R,1,E:E,E341),"Вторая четверть","Больше половины"))</f>
        <v/>
      </c>
      <c r="Y341" t="n">
        <v>7</v>
      </c>
    </row>
    <row r="342">
      <c r="A342" s="1" t="inlineStr">
        <is>
          <t>39300570</t>
        </is>
      </c>
      <c r="B342" s="2" t="inlineStr">
        <is>
          <t>697334147</t>
        </is>
      </c>
      <c r="C342" s="3" t="inlineStr">
        <is>
          <t>Одежда для детей</t>
        </is>
      </c>
      <c r="D342" s="2" t="inlineStr">
        <is>
          <t>Чулочные и носочные детские изделия для девочек</t>
        </is>
      </c>
      <c r="E342" s="3" t="inlineStr">
        <is>
          <t>393 Детские легинсы</t>
        </is>
      </c>
      <c r="F342" s="2" t="inlineStr">
        <is>
          <t>всесезонный</t>
        </is>
      </c>
      <c r="G342" s="3" t="inlineStr">
        <is>
          <t>kari</t>
        </is>
      </c>
      <c r="H342" s="2" t="inlineStr">
        <is>
          <t>Зиннуров Ильнур</t>
        </is>
      </c>
      <c r="J342" s="3" t="inlineStr">
        <is>
          <t>2026SS</t>
        </is>
      </c>
      <c r="K342" s="3" t="n">
        <v>12860</v>
      </c>
      <c r="L342" s="3" t="n">
        <v>1134</v>
      </c>
      <c r="M342" s="3" t="n">
        <v>63</v>
      </c>
      <c r="N342" s="4">
        <f>IFERROR(L342/K342,0)</f>
        <v/>
      </c>
      <c r="O342" s="4">
        <f>IFERROR(M342/L342,0)</f>
        <v/>
      </c>
      <c r="P342" t="n">
        <v>435</v>
      </c>
      <c r="Q342" s="5" t="n">
        <v>1</v>
      </c>
      <c r="R342" s="7" t="n">
        <v>1</v>
      </c>
      <c r="S342">
        <f>IF(OR(N342&lt;$T$1*0.5,O342&lt;$U$1*0.5),"код для проверки","нормальный код")</f>
        <v/>
      </c>
      <c r="T342">
        <f>IF(N342&lt;$T$1*0.5,"Низшая четверть",IF(N342&lt;$T$1,"Вторая четверть","Больше половины"))</f>
        <v/>
      </c>
      <c r="U342">
        <f>IF(O342&lt;$U$1*0.5,"Низшая четверть",IF(O342&lt;$U$1,"Вторая четверть","Больше половины"))</f>
        <v/>
      </c>
      <c r="V342">
        <f>IF(OR(N342&lt;SUMIFS(L:L,R:R,1,E:E,E342)/SUMIFS(K:K,R:R,1,E:E,E342)*0.5,O342&lt;SUMIFS(M:M,R:R,1,E:E,E342)/SUMIFS(L:L,R:R,1,E:E,E342)*0.5),"код для проверки","нормальный код")</f>
        <v/>
      </c>
      <c r="W342">
        <f>IF(N342&lt;SUMIFS(L:L,R:R,1,E:E,E342)/SUMIFS(K:K,R:R,1,E:E,E342)*0.5,"Низшая четверть",IF(N342&lt;SUMIFS(L:L,R:R,1,E:E,E342)/SUMIFS(K:K,R:R,1,E:E,E342),"Вторая четверть","Больше половины"))</f>
        <v/>
      </c>
      <c r="X342">
        <f>IF(O342&lt;SUMIFS(M:M,R:R,1,E:E,E342)/SUMIFS(L:L,R:R,1,E:E,E342)*0.5,"Низшая четверть",IF(O342&lt;SUMIFS(M:M,R:R,1,E:E,E342)/SUMIFS(L:L,R:R,1,E:E,E342),"Вторая четверть","Больше половины"))</f>
        <v/>
      </c>
      <c r="Y342" t="n">
        <v>10</v>
      </c>
    </row>
    <row r="343">
      <c r="A343" s="1" t="inlineStr">
        <is>
          <t>56900100</t>
        </is>
      </c>
      <c r="B343" s="2" t="inlineStr">
        <is>
          <t>721197634</t>
        </is>
      </c>
      <c r="C343" s="3" t="inlineStr">
        <is>
          <t>Одежда для детей</t>
        </is>
      </c>
      <c r="D343" s="2" t="inlineStr">
        <is>
          <t>Одежда для новорожденных</t>
        </is>
      </c>
      <c r="E343" s="3" t="inlineStr">
        <is>
          <t>569 Комбинезон для маленькой девочки</t>
        </is>
      </c>
      <c r="F343" s="2" t="inlineStr">
        <is>
          <t>всесезонный</t>
        </is>
      </c>
      <c r="G343" s="3" t="inlineStr">
        <is>
          <t>Kari baby</t>
        </is>
      </c>
      <c r="H343" s="2" t="inlineStr">
        <is>
          <t>Зиннуров Ильнур</t>
        </is>
      </c>
      <c r="J343" s="3" t="inlineStr">
        <is>
          <t>2026SS</t>
        </is>
      </c>
      <c r="K343" s="3" t="n">
        <v>12815</v>
      </c>
      <c r="L343" s="3" t="n">
        <v>831</v>
      </c>
      <c r="M343" s="3" t="n">
        <v>10</v>
      </c>
      <c r="N343" s="4">
        <f>IFERROR(L343/K343,0)</f>
        <v/>
      </c>
      <c r="O343" s="4">
        <f>IFERROR(M343/L343,0)</f>
        <v/>
      </c>
      <c r="P343" t="n">
        <v>427</v>
      </c>
      <c r="Q343" s="5" t="n">
        <v>1</v>
      </c>
      <c r="R343" s="7" t="n">
        <v>1</v>
      </c>
      <c r="S343">
        <f>IF(OR(N343&lt;$T$1*0.5,O343&lt;$U$1*0.5),"код для проверки","нормальный код")</f>
        <v/>
      </c>
      <c r="T343">
        <f>IF(N343&lt;$T$1*0.5,"Низшая четверть",IF(N343&lt;$T$1,"Вторая четверть","Больше половины"))</f>
        <v/>
      </c>
      <c r="U343">
        <f>IF(O343&lt;$U$1*0.5,"Низшая четверть",IF(O343&lt;$U$1,"Вторая четверть","Больше половины"))</f>
        <v/>
      </c>
      <c r="V343">
        <f>IF(OR(N343&lt;SUMIFS(L:L,R:R,1,E:E,E343)/SUMIFS(K:K,R:R,1,E:E,E343)*0.5,O343&lt;SUMIFS(M:M,R:R,1,E:E,E343)/SUMIFS(L:L,R:R,1,E:E,E343)*0.5),"код для проверки","нормальный код")</f>
        <v/>
      </c>
      <c r="W343">
        <f>IF(N343&lt;SUMIFS(L:L,R:R,1,E:E,E343)/SUMIFS(K:K,R:R,1,E:E,E343)*0.5,"Низшая четверть",IF(N343&lt;SUMIFS(L:L,R:R,1,E:E,E343)/SUMIFS(K:K,R:R,1,E:E,E343),"Вторая четверть","Больше половины"))</f>
        <v/>
      </c>
      <c r="X343">
        <f>IF(O343&lt;SUMIFS(M:M,R:R,1,E:E,E343)/SUMIFS(L:L,R:R,1,E:E,E343)*0.5,"Низшая четверть",IF(O343&lt;SUMIFS(M:M,R:R,1,E:E,E343)/SUMIFS(L:L,R:R,1,E:E,E343),"Вторая четверть","Больше половины"))</f>
        <v/>
      </c>
      <c r="Y343" t="n">
        <v>15</v>
      </c>
    </row>
    <row r="344">
      <c r="A344" s="1" t="inlineStr">
        <is>
          <t>95500360</t>
        </is>
      </c>
      <c r="B344" s="2" t="inlineStr">
        <is>
          <t>799656590</t>
        </is>
      </c>
      <c r="C344" s="3" t="inlineStr">
        <is>
          <t>Одежда для детей</t>
        </is>
      </c>
      <c r="D344" s="2" t="inlineStr">
        <is>
          <t>Платья, майки, футболки детские для девочек</t>
        </is>
      </c>
      <c r="E344" s="3" t="inlineStr">
        <is>
          <t>955 Топ детский для девочек</t>
        </is>
      </c>
      <c r="F344" s="2" t="inlineStr">
        <is>
          <t>лето</t>
        </is>
      </c>
      <c r="G344" s="3" t="inlineStr">
        <is>
          <t>kari</t>
        </is>
      </c>
      <c r="H344" s="2" t="inlineStr">
        <is>
          <t>Зиннуров Ильнур</t>
        </is>
      </c>
      <c r="J344" s="3" t="inlineStr">
        <is>
          <t>2026SS</t>
        </is>
      </c>
      <c r="K344" s="3" t="n">
        <v>12720</v>
      </c>
      <c r="L344" s="3" t="n">
        <v>1397</v>
      </c>
      <c r="M344" s="3" t="n">
        <v>29</v>
      </c>
      <c r="N344" s="4">
        <f>IFERROR(L344/K344,0)</f>
        <v/>
      </c>
      <c r="O344" s="4">
        <f>IFERROR(M344/L344,0)</f>
        <v/>
      </c>
      <c r="P344" t="n">
        <v>1186</v>
      </c>
      <c r="Q344" s="5" t="n">
        <v>1</v>
      </c>
      <c r="R344" s="7" t="n">
        <v>1</v>
      </c>
      <c r="S344">
        <f>IF(OR(N344&lt;$T$1*0.5,O344&lt;$U$1*0.5),"код для проверки","нормальный код")</f>
        <v/>
      </c>
      <c r="T344">
        <f>IF(N344&lt;$T$1*0.5,"Низшая четверть",IF(N344&lt;$T$1,"Вторая четверть","Больше половины"))</f>
        <v/>
      </c>
      <c r="U344">
        <f>IF(O344&lt;$U$1*0.5,"Низшая четверть",IF(O344&lt;$U$1,"Вторая четверть","Больше половины"))</f>
        <v/>
      </c>
      <c r="V344">
        <f>IF(OR(N344&lt;SUMIFS(L:L,R:R,1,E:E,E344)/SUMIFS(K:K,R:R,1,E:E,E344)*0.5,O344&lt;SUMIFS(M:M,R:R,1,E:E,E344)/SUMIFS(L:L,R:R,1,E:E,E344)*0.5),"код для проверки","нормальный код")</f>
        <v/>
      </c>
      <c r="W344">
        <f>IF(N344&lt;SUMIFS(L:L,R:R,1,E:E,E344)/SUMIFS(K:K,R:R,1,E:E,E344)*0.5,"Низшая четверть",IF(N344&lt;SUMIFS(L:L,R:R,1,E:E,E344)/SUMIFS(K:K,R:R,1,E:E,E344),"Вторая четверть","Больше половины"))</f>
        <v/>
      </c>
      <c r="X344">
        <f>IF(O344&lt;SUMIFS(M:M,R:R,1,E:E,E344)/SUMIFS(L:L,R:R,1,E:E,E344)*0.5,"Низшая четверть",IF(O344&lt;SUMIFS(M:M,R:R,1,E:E,E344)/SUMIFS(L:L,R:R,1,E:E,E344),"Вторая четверть","Больше половины"))</f>
        <v/>
      </c>
      <c r="Y344" t="n">
        <v>19</v>
      </c>
    </row>
    <row r="345">
      <c r="A345" s="1" t="inlineStr">
        <is>
          <t>39300650</t>
        </is>
      </c>
      <c r="B345" s="2" t="inlineStr">
        <is>
          <t>721063887</t>
        </is>
      </c>
      <c r="C345" s="3" t="inlineStr">
        <is>
          <t>Одежда для детей</t>
        </is>
      </c>
      <c r="D345" s="2" t="inlineStr">
        <is>
          <t>Чулочные и носочные детские изделия для девочек</t>
        </is>
      </c>
      <c r="E345" s="3" t="inlineStr">
        <is>
          <t>393 Детские легинсы</t>
        </is>
      </c>
      <c r="F345" s="2" t="inlineStr">
        <is>
          <t>всесезонный</t>
        </is>
      </c>
      <c r="G345" s="3" t="inlineStr">
        <is>
          <t>Kari KIDS</t>
        </is>
      </c>
      <c r="H345" s="2" t="inlineStr">
        <is>
          <t>Зиннуров Ильнур</t>
        </is>
      </c>
      <c r="J345" s="3" t="inlineStr">
        <is>
          <t>2026SS</t>
        </is>
      </c>
      <c r="K345" s="3" t="n">
        <v>12686</v>
      </c>
      <c r="L345" s="3" t="n">
        <v>676</v>
      </c>
      <c r="M345" s="3" t="n">
        <v>26</v>
      </c>
      <c r="N345" s="4">
        <f>IFERROR(L345/K345,0)</f>
        <v/>
      </c>
      <c r="O345" s="4">
        <f>IFERROR(M345/L345,0)</f>
        <v/>
      </c>
      <c r="P345" t="n">
        <v>124</v>
      </c>
      <c r="Q345" s="5" t="n">
        <v>0.6</v>
      </c>
      <c r="R345" s="7" t="n">
        <v>1</v>
      </c>
      <c r="S345">
        <f>IF(OR(N345&lt;$T$1*0.5,O345&lt;$U$1*0.5),"код для проверки","нормальный код")</f>
        <v/>
      </c>
      <c r="T345">
        <f>IF(N345&lt;$T$1*0.5,"Низшая четверть",IF(N345&lt;$T$1,"Вторая четверть","Больше половины"))</f>
        <v/>
      </c>
      <c r="U345">
        <f>IF(O345&lt;$U$1*0.5,"Низшая четверть",IF(O345&lt;$U$1,"Вторая четверть","Больше половины"))</f>
        <v/>
      </c>
      <c r="V345">
        <f>IF(OR(N345&lt;SUMIFS(L:L,R:R,1,E:E,E345)/SUMIFS(K:K,R:R,1,E:E,E345)*0.5,O345&lt;SUMIFS(M:M,R:R,1,E:E,E345)/SUMIFS(L:L,R:R,1,E:E,E345)*0.5),"код для проверки","нормальный код")</f>
        <v/>
      </c>
      <c r="W345">
        <f>IF(N345&lt;SUMIFS(L:L,R:R,1,E:E,E345)/SUMIFS(K:K,R:R,1,E:E,E345)*0.5,"Низшая четверть",IF(N345&lt;SUMIFS(L:L,R:R,1,E:E,E345)/SUMIFS(K:K,R:R,1,E:E,E345),"Вторая четверть","Больше половины"))</f>
        <v/>
      </c>
      <c r="X345">
        <f>IF(O345&lt;SUMIFS(M:M,R:R,1,E:E,E345)/SUMIFS(L:L,R:R,1,E:E,E345)*0.5,"Низшая четверть",IF(O345&lt;SUMIFS(M:M,R:R,1,E:E,E345)/SUMIFS(L:L,R:R,1,E:E,E345),"Вторая четверть","Больше половины"))</f>
        <v/>
      </c>
      <c r="Y345" t="n">
        <v>16</v>
      </c>
    </row>
    <row r="346">
      <c r="A346" s="1" t="inlineStr">
        <is>
          <t>19608040</t>
        </is>
      </c>
      <c r="B346" s="2" t="inlineStr">
        <is>
          <t>341720577</t>
        </is>
      </c>
      <c r="C346" s="3" t="inlineStr">
        <is>
          <t>Одежда и аксессуары</t>
        </is>
      </c>
      <c r="D346" s="2" t="inlineStr">
        <is>
          <t>Майки и платья женские</t>
        </is>
      </c>
      <c r="E346" s="3" t="inlineStr">
        <is>
          <t>196 Майка женская</t>
        </is>
      </c>
      <c r="F346" s="2" t="inlineStr">
        <is>
          <t>всесезонный</t>
        </is>
      </c>
      <c r="G346" s="3" t="inlineStr">
        <is>
          <t>kari</t>
        </is>
      </c>
      <c r="H346" s="2" t="inlineStr">
        <is>
          <t>Зиннуров Ильнур</t>
        </is>
      </c>
      <c r="J346" s="3" t="inlineStr">
        <is>
          <t>2026SS</t>
        </is>
      </c>
      <c r="K346" s="3" t="n">
        <v>12670</v>
      </c>
      <c r="L346" s="3" t="n">
        <v>760</v>
      </c>
      <c r="M346" s="3" t="n">
        <v>54</v>
      </c>
      <c r="N346" s="4">
        <f>IFERROR(L346/K346,0)</f>
        <v/>
      </c>
      <c r="O346" s="4">
        <f>IFERROR(M346/L346,0)</f>
        <v/>
      </c>
      <c r="P346" t="n">
        <v>293</v>
      </c>
      <c r="Q346" s="5" t="n">
        <v>1</v>
      </c>
      <c r="R346" s="7" t="n">
        <v>1</v>
      </c>
      <c r="S346">
        <f>IF(OR(N346&lt;$T$1*0.5,O346&lt;$U$1*0.5),"код для проверки","нормальный код")</f>
        <v/>
      </c>
      <c r="T346">
        <f>IF(N346&lt;$T$1*0.5,"Низшая четверть",IF(N346&lt;$T$1,"Вторая четверть","Больше половины"))</f>
        <v/>
      </c>
      <c r="U346">
        <f>IF(O346&lt;$U$1*0.5,"Низшая четверть",IF(O346&lt;$U$1,"Вторая четверть","Больше половины"))</f>
        <v/>
      </c>
      <c r="V346">
        <f>IF(OR(N346&lt;SUMIFS(L:L,R:R,1,E:E,E346)/SUMIFS(K:K,R:R,1,E:E,E346)*0.5,O346&lt;SUMIFS(M:M,R:R,1,E:E,E346)/SUMIFS(L:L,R:R,1,E:E,E346)*0.5),"код для проверки","нормальный код")</f>
        <v/>
      </c>
      <c r="W346">
        <f>IF(N346&lt;SUMIFS(L:L,R:R,1,E:E,E346)/SUMIFS(K:K,R:R,1,E:E,E346)*0.5,"Низшая четверть",IF(N346&lt;SUMIFS(L:L,R:R,1,E:E,E346)/SUMIFS(K:K,R:R,1,E:E,E346),"Вторая четверть","Больше половины"))</f>
        <v/>
      </c>
      <c r="X346">
        <f>IF(O346&lt;SUMIFS(M:M,R:R,1,E:E,E346)/SUMIFS(L:L,R:R,1,E:E,E346)*0.5,"Низшая четверть",IF(O346&lt;SUMIFS(M:M,R:R,1,E:E,E346)/SUMIFS(L:L,R:R,1,E:E,E346),"Вторая четверть","Больше половины"))</f>
        <v/>
      </c>
      <c r="Y346" t="n">
        <v>8</v>
      </c>
    </row>
    <row r="347">
      <c r="A347" s="1" t="inlineStr">
        <is>
          <t>310000L0</t>
        </is>
      </c>
      <c r="B347" s="2" t="inlineStr">
        <is>
          <t>706058151</t>
        </is>
      </c>
      <c r="C347" s="3" t="inlineStr">
        <is>
          <t>Одежда для детей</t>
        </is>
      </c>
      <c r="D347" s="2" t="inlineStr">
        <is>
          <t>Футболки, майки, рубашки детские для мальчиков</t>
        </is>
      </c>
      <c r="E347" s="3" t="inlineStr">
        <is>
          <t>310 Футболка детская для мальчиков</t>
        </is>
      </c>
      <c r="F347" s="2" t="inlineStr">
        <is>
          <t>всесезонный</t>
        </is>
      </c>
      <c r="G347" s="3" t="inlineStr">
        <is>
          <t>Kari KIDS</t>
        </is>
      </c>
      <c r="H347" s="2" t="inlineStr">
        <is>
          <t>Зиннуров Ильнур</t>
        </is>
      </c>
      <c r="J347" s="3" t="inlineStr">
        <is>
          <t>2026SS</t>
        </is>
      </c>
      <c r="K347" s="3" t="n">
        <v>12617</v>
      </c>
      <c r="L347" s="3" t="n">
        <v>1559</v>
      </c>
      <c r="M347" s="3" t="n">
        <v>18</v>
      </c>
      <c r="N347" s="4">
        <f>IFERROR(L347/K347,0)</f>
        <v/>
      </c>
      <c r="O347" s="4">
        <f>IFERROR(M347/L347,0)</f>
        <v/>
      </c>
      <c r="P347" t="n">
        <v>952</v>
      </c>
      <c r="Q347" s="5" t="n">
        <v>1</v>
      </c>
      <c r="R347" s="7" t="n">
        <v>1</v>
      </c>
      <c r="S347">
        <f>IF(OR(N347&lt;$T$1*0.5,O347&lt;$U$1*0.5),"код для проверки","нормальный код")</f>
        <v/>
      </c>
      <c r="T347">
        <f>IF(N347&lt;$T$1*0.5,"Низшая четверть",IF(N347&lt;$T$1,"Вторая четверть","Больше половины"))</f>
        <v/>
      </c>
      <c r="U347">
        <f>IF(O347&lt;$U$1*0.5,"Низшая четверть",IF(O347&lt;$U$1,"Вторая четверть","Больше половины"))</f>
        <v/>
      </c>
      <c r="V347">
        <f>IF(OR(N347&lt;SUMIFS(L:L,R:R,1,E:E,E347)/SUMIFS(K:K,R:R,1,E:E,E347)*0.5,O347&lt;SUMIFS(M:M,R:R,1,E:E,E347)/SUMIFS(L:L,R:R,1,E:E,E347)*0.5),"код для проверки","нормальный код")</f>
        <v/>
      </c>
      <c r="W347">
        <f>IF(N347&lt;SUMIFS(L:L,R:R,1,E:E,E347)/SUMIFS(K:K,R:R,1,E:E,E347)*0.5,"Низшая четверть",IF(N347&lt;SUMIFS(L:L,R:R,1,E:E,E347)/SUMIFS(K:K,R:R,1,E:E,E347),"Вторая четверть","Больше половины"))</f>
        <v/>
      </c>
      <c r="X347">
        <f>IF(O347&lt;SUMIFS(M:M,R:R,1,E:E,E347)/SUMIFS(L:L,R:R,1,E:E,E347)*0.5,"Низшая четверть",IF(O347&lt;SUMIFS(M:M,R:R,1,E:E,E347)/SUMIFS(L:L,R:R,1,E:E,E347),"Вторая четверть","Больше половины"))</f>
        <v/>
      </c>
      <c r="Y347" t="n">
        <v>25</v>
      </c>
    </row>
    <row r="348">
      <c r="A348" s="1" t="inlineStr">
        <is>
          <t>94000190</t>
        </is>
      </c>
      <c r="B348" s="2" t="inlineStr">
        <is>
          <t>839629692</t>
        </is>
      </c>
      <c r="C348" s="3" t="inlineStr">
        <is>
          <t>Одежда для детей</t>
        </is>
      </c>
      <c r="D348" s="2" t="inlineStr">
        <is>
          <t>Одежда для новорожденных</t>
        </is>
      </c>
      <c r="E348" s="3" t="inlineStr">
        <is>
          <t>940 Футболка для маленького мальчика</t>
        </is>
      </c>
      <c r="F348" s="2" t="inlineStr">
        <is>
          <t>всесезонный</t>
        </is>
      </c>
      <c r="G348" s="3" t="inlineStr">
        <is>
          <t>Kari baby</t>
        </is>
      </c>
      <c r="H348" s="2" t="inlineStr">
        <is>
          <t>Зиннуров Ильнур</t>
        </is>
      </c>
      <c r="J348" s="3" t="inlineStr">
        <is>
          <t>2026SS</t>
        </is>
      </c>
      <c r="K348" s="3" t="n">
        <v>12535</v>
      </c>
      <c r="L348" s="3" t="n">
        <v>2408</v>
      </c>
      <c r="M348" s="3" t="n">
        <v>98</v>
      </c>
      <c r="N348" s="4">
        <f>IFERROR(L348/K348,0)</f>
        <v/>
      </c>
      <c r="O348" s="4">
        <f>IFERROR(M348/L348,0)</f>
        <v/>
      </c>
      <c r="P348" t="n">
        <v>541</v>
      </c>
      <c r="Q348" s="5" t="n">
        <v>1</v>
      </c>
      <c r="R348" s="7" t="n">
        <v>1</v>
      </c>
      <c r="S348">
        <f>IF(OR(N348&lt;$T$1*0.5,O348&lt;$U$1*0.5),"код для проверки","нормальный код")</f>
        <v/>
      </c>
      <c r="T348">
        <f>IF(N348&lt;$T$1*0.5,"Низшая четверть",IF(N348&lt;$T$1,"Вторая четверть","Больше половины"))</f>
        <v/>
      </c>
      <c r="U348">
        <f>IF(O348&lt;$U$1*0.5,"Низшая четверть",IF(O348&lt;$U$1,"Вторая четверть","Больше половины"))</f>
        <v/>
      </c>
      <c r="V348">
        <f>IF(OR(N348&lt;SUMIFS(L:L,R:R,1,E:E,E348)/SUMIFS(K:K,R:R,1,E:E,E348)*0.5,O348&lt;SUMIFS(M:M,R:R,1,E:E,E348)/SUMIFS(L:L,R:R,1,E:E,E348)*0.5),"код для проверки","нормальный код")</f>
        <v/>
      </c>
      <c r="W348">
        <f>IF(N348&lt;SUMIFS(L:L,R:R,1,E:E,E348)/SUMIFS(K:K,R:R,1,E:E,E348)*0.5,"Низшая четверть",IF(N348&lt;SUMIFS(L:L,R:R,1,E:E,E348)/SUMIFS(K:K,R:R,1,E:E,E348),"Вторая четверть","Больше половины"))</f>
        <v/>
      </c>
      <c r="X348">
        <f>IF(O348&lt;SUMIFS(M:M,R:R,1,E:E,E348)/SUMIFS(L:L,R:R,1,E:E,E348)*0.5,"Низшая четверть",IF(O348&lt;SUMIFS(M:M,R:R,1,E:E,E348)/SUMIFS(L:L,R:R,1,E:E,E348),"Вторая четверть","Больше половины"))</f>
        <v/>
      </c>
      <c r="Y348" t="n">
        <v>14</v>
      </c>
    </row>
    <row r="349">
      <c r="A349" s="1" t="inlineStr">
        <is>
          <t>19600140</t>
        </is>
      </c>
      <c r="B349" s="2" t="inlineStr">
        <is>
          <t>734337888</t>
        </is>
      </c>
      <c r="C349" s="3" t="inlineStr">
        <is>
          <t>Одежда и аксессуары</t>
        </is>
      </c>
      <c r="D349" s="2" t="inlineStr">
        <is>
          <t>Майки и платья женские</t>
        </is>
      </c>
      <c r="E349" s="3" t="inlineStr">
        <is>
          <t>196 Майка женская</t>
        </is>
      </c>
      <c r="F349" s="2" t="inlineStr">
        <is>
          <t>всесезонный</t>
        </is>
      </c>
      <c r="G349" s="3" t="inlineStr">
        <is>
          <t>kari</t>
        </is>
      </c>
      <c r="H349" s="2" t="inlineStr">
        <is>
          <t>Зиннуров Ильнур</t>
        </is>
      </c>
      <c r="J349" s="3" t="inlineStr">
        <is>
          <t>2026SS</t>
        </is>
      </c>
      <c r="K349" s="3" t="n">
        <v>12507</v>
      </c>
      <c r="L349" s="3" t="n">
        <v>1203</v>
      </c>
      <c r="M349" s="3" t="n">
        <v>34</v>
      </c>
      <c r="N349" s="4">
        <f>IFERROR(L349/K349,0)</f>
        <v/>
      </c>
      <c r="O349" s="4">
        <f>IFERROR(M349/L349,0)</f>
        <v/>
      </c>
      <c r="P349" t="n">
        <v>274</v>
      </c>
      <c r="Q349" s="5" t="n">
        <v>1</v>
      </c>
      <c r="R349" s="7" t="n">
        <v>1</v>
      </c>
      <c r="S349">
        <f>IF(OR(N349&lt;$T$1*0.5,O349&lt;$U$1*0.5),"код для проверки","нормальный код")</f>
        <v/>
      </c>
      <c r="T349">
        <f>IF(N349&lt;$T$1*0.5,"Низшая четверть",IF(N349&lt;$T$1,"Вторая четверть","Больше половины"))</f>
        <v/>
      </c>
      <c r="U349">
        <f>IF(O349&lt;$U$1*0.5,"Низшая четверть",IF(O349&lt;$U$1,"Вторая четверть","Больше половины"))</f>
        <v/>
      </c>
      <c r="V349">
        <f>IF(OR(N349&lt;SUMIFS(L:L,R:R,1,E:E,E349)/SUMIFS(K:K,R:R,1,E:E,E349)*0.5,O349&lt;SUMIFS(M:M,R:R,1,E:E,E349)/SUMIFS(L:L,R:R,1,E:E,E349)*0.5),"код для проверки","нормальный код")</f>
        <v/>
      </c>
      <c r="W349">
        <f>IF(N349&lt;SUMIFS(L:L,R:R,1,E:E,E349)/SUMIFS(K:K,R:R,1,E:E,E349)*0.5,"Низшая четверть",IF(N349&lt;SUMIFS(L:L,R:R,1,E:E,E349)/SUMIFS(K:K,R:R,1,E:E,E349),"Вторая четверть","Больше половины"))</f>
        <v/>
      </c>
      <c r="X349">
        <f>IF(O349&lt;SUMIFS(M:M,R:R,1,E:E,E349)/SUMIFS(L:L,R:R,1,E:E,E349)*0.5,"Низшая четверть",IF(O349&lt;SUMIFS(M:M,R:R,1,E:E,E349)/SUMIFS(L:L,R:R,1,E:E,E349),"Вторая четверть","Больше половины"))</f>
        <v/>
      </c>
      <c r="Y349" t="n">
        <v>24</v>
      </c>
    </row>
    <row r="350">
      <c r="A350" s="1" t="inlineStr">
        <is>
          <t>11000040</t>
        </is>
      </c>
      <c r="B350" s="2" t="inlineStr">
        <is>
          <t>707522624</t>
        </is>
      </c>
      <c r="C350" s="3" t="inlineStr">
        <is>
          <t>Одежда и аксессуары</t>
        </is>
      </c>
      <c r="D350" s="2" t="inlineStr">
        <is>
          <t>Шарфы женские</t>
        </is>
      </c>
      <c r="E350" s="3" t="inlineStr">
        <is>
          <t>110 Платок женский</t>
        </is>
      </c>
      <c r="F350" s="2" t="inlineStr">
        <is>
          <t>демисезонный</t>
        </is>
      </c>
      <c r="G350" s="3" t="inlineStr">
        <is>
          <t>kari</t>
        </is>
      </c>
      <c r="H350" s="2" t="inlineStr">
        <is>
          <t>Никонорова Алина</t>
        </is>
      </c>
      <c r="J350" s="3" t="inlineStr">
        <is>
          <t>2026SS</t>
        </is>
      </c>
      <c r="K350" s="3" t="n">
        <v>12444</v>
      </c>
      <c r="L350" s="3" t="n">
        <v>3678</v>
      </c>
      <c r="M350" s="3" t="n">
        <v>48</v>
      </c>
      <c r="N350" s="4">
        <f>IFERROR(L350/K350,0)</f>
        <v/>
      </c>
      <c r="O350" s="4">
        <f>IFERROR(M350/L350,0)</f>
        <v/>
      </c>
      <c r="P350" t="n">
        <v>487</v>
      </c>
      <c r="Q350" s="5" t="n">
        <v>1</v>
      </c>
      <c r="R350" s="7" t="n">
        <v>1</v>
      </c>
      <c r="S350">
        <f>IF(OR(N350&lt;$T$1*0.5,O350&lt;$U$1*0.5),"код для проверки","нормальный код")</f>
        <v/>
      </c>
      <c r="T350">
        <f>IF(N350&lt;$T$1*0.5,"Низшая четверть",IF(N350&lt;$T$1,"Вторая четверть","Больше половины"))</f>
        <v/>
      </c>
      <c r="U350">
        <f>IF(O350&lt;$U$1*0.5,"Низшая четверть",IF(O350&lt;$U$1,"Вторая четверть","Больше половины"))</f>
        <v/>
      </c>
      <c r="V350">
        <f>IF(OR(N350&lt;SUMIFS(L:L,R:R,1,E:E,E350)/SUMIFS(K:K,R:R,1,E:E,E350)*0.5,O350&lt;SUMIFS(M:M,R:R,1,E:E,E350)/SUMIFS(L:L,R:R,1,E:E,E350)*0.5),"код для проверки","нормальный код")</f>
        <v/>
      </c>
      <c r="W350">
        <f>IF(N350&lt;SUMIFS(L:L,R:R,1,E:E,E350)/SUMIFS(K:K,R:R,1,E:E,E350)*0.5,"Низшая четверть",IF(N350&lt;SUMIFS(L:L,R:R,1,E:E,E350)/SUMIFS(K:K,R:R,1,E:E,E350),"Вторая четверть","Больше половины"))</f>
        <v/>
      </c>
      <c r="X350">
        <f>IF(O350&lt;SUMIFS(M:M,R:R,1,E:E,E350)/SUMIFS(L:L,R:R,1,E:E,E350)*0.5,"Низшая четверть",IF(O350&lt;SUMIFS(M:M,R:R,1,E:E,E350)/SUMIFS(L:L,R:R,1,E:E,E350),"Вторая четверть","Больше половины"))</f>
        <v/>
      </c>
      <c r="Y350" t="n">
        <v>9</v>
      </c>
    </row>
    <row r="351">
      <c r="A351" s="1" t="inlineStr">
        <is>
          <t>a9100010</t>
        </is>
      </c>
      <c r="B351" s="2" t="inlineStr">
        <is>
          <t>711885807</t>
        </is>
      </c>
      <c r="C351" s="3" t="inlineStr">
        <is>
          <t>Одежда для детей</t>
        </is>
      </c>
      <c r="D351" s="2" t="inlineStr">
        <is>
          <t>Свитера детские для мальчиков</t>
        </is>
      </c>
      <c r="E351" s="3" t="inlineStr">
        <is>
          <t>a91 Свитшот для мальчика</t>
        </is>
      </c>
      <c r="F351" s="2" t="inlineStr">
        <is>
          <t>весна, лето, осень</t>
        </is>
      </c>
      <c r="G351" s="3" t="inlineStr">
        <is>
          <t>Kari KIDS</t>
        </is>
      </c>
      <c r="H351" s="2" t="inlineStr">
        <is>
          <t>Зиннуров Ильнур</t>
        </is>
      </c>
      <c r="J351" s="3" t="inlineStr">
        <is>
          <t>2026SS</t>
        </is>
      </c>
      <c r="K351" s="3" t="n">
        <v>12303</v>
      </c>
      <c r="L351" s="3" t="n">
        <v>647</v>
      </c>
      <c r="M351" s="3" t="n">
        <v>12</v>
      </c>
      <c r="N351" s="4">
        <f>IFERROR(L351/K351,0)</f>
        <v/>
      </c>
      <c r="O351" s="4">
        <f>IFERROR(M351/L351,0)</f>
        <v/>
      </c>
      <c r="P351" t="n">
        <v>99</v>
      </c>
      <c r="Q351" s="5" t="n">
        <v>1</v>
      </c>
      <c r="R351" s="7" t="n">
        <v>1</v>
      </c>
      <c r="S351">
        <f>IF(OR(N351&lt;$T$1*0.5,O351&lt;$U$1*0.5),"код для проверки","нормальный код")</f>
        <v/>
      </c>
      <c r="T351">
        <f>IF(N351&lt;$T$1*0.5,"Низшая четверть",IF(N351&lt;$T$1,"Вторая четверть","Больше половины"))</f>
        <v/>
      </c>
      <c r="U351">
        <f>IF(O351&lt;$U$1*0.5,"Низшая четверть",IF(O351&lt;$U$1,"Вторая четверть","Больше половины"))</f>
        <v/>
      </c>
      <c r="V351">
        <f>IF(OR(N351&lt;SUMIFS(L:L,R:R,1,E:E,E351)/SUMIFS(K:K,R:R,1,E:E,E351)*0.5,O351&lt;SUMIFS(M:M,R:R,1,E:E,E351)/SUMIFS(L:L,R:R,1,E:E,E351)*0.5),"код для проверки","нормальный код")</f>
        <v/>
      </c>
      <c r="W351">
        <f>IF(N351&lt;SUMIFS(L:L,R:R,1,E:E,E351)/SUMIFS(K:K,R:R,1,E:E,E351)*0.5,"Низшая четверть",IF(N351&lt;SUMIFS(L:L,R:R,1,E:E,E351)/SUMIFS(K:K,R:R,1,E:E,E351),"Вторая четверть","Больше половины"))</f>
        <v/>
      </c>
      <c r="X351">
        <f>IF(O351&lt;SUMIFS(M:M,R:R,1,E:E,E351)/SUMIFS(L:L,R:R,1,E:E,E351)*0.5,"Низшая четверть",IF(O351&lt;SUMIFS(M:M,R:R,1,E:E,E351)/SUMIFS(L:L,R:R,1,E:E,E351),"Вторая четверть","Больше половины"))</f>
        <v/>
      </c>
      <c r="Y351" t="n">
        <v>20</v>
      </c>
    </row>
    <row r="352">
      <c r="A352" s="1" t="inlineStr">
        <is>
          <t>94400070</t>
        </is>
      </c>
      <c r="B352" s="2" t="inlineStr">
        <is>
          <t>773138663</t>
        </is>
      </c>
      <c r="C352" s="3" t="inlineStr">
        <is>
          <t>Одежда для детей</t>
        </is>
      </c>
      <c r="D352" s="2" t="inlineStr">
        <is>
          <t>Одежда для новорожденных</t>
        </is>
      </c>
      <c r="E352" s="3" t="inlineStr">
        <is>
          <t>944 Комплект одежды для маленькой девочки</t>
        </is>
      </c>
      <c r="F352" s="2" t="inlineStr">
        <is>
          <t>всесезонный</t>
        </is>
      </c>
      <c r="G352" s="3" t="inlineStr">
        <is>
          <t>Kari baby</t>
        </is>
      </c>
      <c r="H352" s="2" t="inlineStr">
        <is>
          <t>Зиннуров Ильнур</t>
        </is>
      </c>
      <c r="J352" s="3" t="inlineStr">
        <is>
          <t>2026SS</t>
        </is>
      </c>
      <c r="K352" s="3" t="n">
        <v>12299</v>
      </c>
      <c r="L352" s="3" t="n">
        <v>1880</v>
      </c>
      <c r="M352" s="3" t="n">
        <v>43</v>
      </c>
      <c r="N352" s="4">
        <f>IFERROR(L352/K352,0)</f>
        <v/>
      </c>
      <c r="O352" s="4">
        <f>IFERROR(M352/L352,0)</f>
        <v/>
      </c>
      <c r="P352" t="n">
        <v>470</v>
      </c>
      <c r="Q352" s="5" t="n">
        <v>1</v>
      </c>
      <c r="R352" s="7" t="n">
        <v>1</v>
      </c>
      <c r="S352">
        <f>IF(OR(N352&lt;$T$1*0.5,O352&lt;$U$1*0.5),"код для проверки","нормальный код")</f>
        <v/>
      </c>
      <c r="T352">
        <f>IF(N352&lt;$T$1*0.5,"Низшая четверть",IF(N352&lt;$T$1,"Вторая четверть","Больше половины"))</f>
        <v/>
      </c>
      <c r="U352">
        <f>IF(O352&lt;$U$1*0.5,"Низшая четверть",IF(O352&lt;$U$1,"Вторая четверть","Больше половины"))</f>
        <v/>
      </c>
      <c r="V352">
        <f>IF(OR(N352&lt;SUMIFS(L:L,R:R,1,E:E,E352)/SUMIFS(K:K,R:R,1,E:E,E352)*0.5,O352&lt;SUMIFS(M:M,R:R,1,E:E,E352)/SUMIFS(L:L,R:R,1,E:E,E352)*0.5),"код для проверки","нормальный код")</f>
        <v/>
      </c>
      <c r="W352">
        <f>IF(N352&lt;SUMIFS(L:L,R:R,1,E:E,E352)/SUMIFS(K:K,R:R,1,E:E,E352)*0.5,"Низшая четверть",IF(N352&lt;SUMIFS(L:L,R:R,1,E:E,E352)/SUMIFS(K:K,R:R,1,E:E,E352),"Вторая четверть","Больше половины"))</f>
        <v/>
      </c>
      <c r="X352">
        <f>IF(O352&lt;SUMIFS(M:M,R:R,1,E:E,E352)/SUMIFS(L:L,R:R,1,E:E,E352)*0.5,"Низшая четверть",IF(O352&lt;SUMIFS(M:M,R:R,1,E:E,E352)/SUMIFS(L:L,R:R,1,E:E,E352),"Вторая четверть","Больше половины"))</f>
        <v/>
      </c>
      <c r="Y352" t="n">
        <v>23</v>
      </c>
    </row>
    <row r="353">
      <c r="A353" s="1" t="inlineStr">
        <is>
          <t>16808050</t>
        </is>
      </c>
      <c r="B353" s="2" t="inlineStr">
        <is>
          <t>355550909</t>
        </is>
      </c>
      <c r="C353" s="3" t="inlineStr">
        <is>
          <t>Одежда и аксессуары</t>
        </is>
      </c>
      <c r="D353" s="2" t="inlineStr">
        <is>
          <t>Головные уборы женские</t>
        </is>
      </c>
      <c r="E353" s="3" t="inlineStr">
        <is>
          <t>168 Шляпа женская летняя</t>
        </is>
      </c>
      <c r="F353" s="2" t="inlineStr">
        <is>
          <t>лето</t>
        </is>
      </c>
      <c r="G353" s="3" t="inlineStr">
        <is>
          <t>kari</t>
        </is>
      </c>
      <c r="H353" s="2" t="inlineStr">
        <is>
          <t>Никонорова Алина</t>
        </is>
      </c>
      <c r="J353" s="3" t="inlineStr">
        <is>
          <t>2026SS</t>
        </is>
      </c>
      <c r="K353" s="3" t="n">
        <v>12269</v>
      </c>
      <c r="L353" s="3" t="n">
        <v>1983</v>
      </c>
      <c r="M353" s="3" t="n">
        <v>17</v>
      </c>
      <c r="N353" s="4">
        <f>IFERROR(L353/K353,0)</f>
        <v/>
      </c>
      <c r="O353" s="4">
        <f>IFERROR(M353/L353,0)</f>
        <v/>
      </c>
      <c r="P353" t="n">
        <v>644</v>
      </c>
      <c r="Q353" s="5" t="n">
        <v>1</v>
      </c>
      <c r="R353" s="7" t="n">
        <v>1</v>
      </c>
      <c r="S353">
        <f>IF(OR(N353&lt;$T$1*0.5,O353&lt;$U$1*0.5),"код для проверки","нормальный код")</f>
        <v/>
      </c>
      <c r="T353">
        <f>IF(N353&lt;$T$1*0.5,"Низшая четверть",IF(N353&lt;$T$1,"Вторая четверть","Больше половины"))</f>
        <v/>
      </c>
      <c r="U353">
        <f>IF(O353&lt;$U$1*0.5,"Низшая четверть",IF(O353&lt;$U$1,"Вторая четверть","Больше половины"))</f>
        <v/>
      </c>
      <c r="V353">
        <f>IF(OR(N353&lt;SUMIFS(L:L,R:R,1,E:E,E353)/SUMIFS(K:K,R:R,1,E:E,E353)*0.5,O353&lt;SUMIFS(M:M,R:R,1,E:E,E353)/SUMIFS(L:L,R:R,1,E:E,E353)*0.5),"код для проверки","нормальный код")</f>
        <v/>
      </c>
      <c r="W353">
        <f>IF(N353&lt;SUMIFS(L:L,R:R,1,E:E,E353)/SUMIFS(K:K,R:R,1,E:E,E353)*0.5,"Низшая четверть",IF(N353&lt;SUMIFS(L:L,R:R,1,E:E,E353)/SUMIFS(K:K,R:R,1,E:E,E353),"Вторая четверть","Больше половины"))</f>
        <v/>
      </c>
      <c r="X353">
        <f>IF(O353&lt;SUMIFS(M:M,R:R,1,E:E,E353)/SUMIFS(L:L,R:R,1,E:E,E353)*0.5,"Низшая четверть",IF(O353&lt;SUMIFS(M:M,R:R,1,E:E,E353)/SUMIFS(L:L,R:R,1,E:E,E353),"Вторая четверть","Больше половины"))</f>
        <v/>
      </c>
      <c r="Y353" t="n">
        <v>13</v>
      </c>
    </row>
    <row r="354">
      <c r="A354" s="1" t="inlineStr">
        <is>
          <t>20200380</t>
        </is>
      </c>
      <c r="B354" s="2" t="inlineStr">
        <is>
          <t>820479839</t>
        </is>
      </c>
      <c r="C354" s="3" t="inlineStr">
        <is>
          <t>Одежда для детей</t>
        </is>
      </c>
      <c r="D354" s="2" t="inlineStr">
        <is>
          <t>Головные уборы детские для мальчиков</t>
        </is>
      </c>
      <c r="E354" s="3" t="inlineStr">
        <is>
          <t>202 Бейсболка детская для мальчиков</t>
        </is>
      </c>
      <c r="F354" s="2" t="inlineStr">
        <is>
          <t>весна, лето</t>
        </is>
      </c>
      <c r="G354" s="3" t="inlineStr">
        <is>
          <t>kari</t>
        </is>
      </c>
      <c r="H354" s="2" t="inlineStr">
        <is>
          <t>Никонорова Алина</t>
        </is>
      </c>
      <c r="J354" s="3" t="inlineStr">
        <is>
          <t>2026SS</t>
        </is>
      </c>
      <c r="K354" s="3" t="n">
        <v>12195</v>
      </c>
      <c r="L354" s="3" t="n">
        <v>747</v>
      </c>
      <c r="M354" s="3" t="n">
        <v>23</v>
      </c>
      <c r="N354" s="4">
        <f>IFERROR(L354/K354,0)</f>
        <v/>
      </c>
      <c r="O354" s="4">
        <f>IFERROR(M354/L354,0)</f>
        <v/>
      </c>
      <c r="P354" t="n">
        <v>481</v>
      </c>
      <c r="Q354" s="5" t="n">
        <v>1</v>
      </c>
      <c r="R354" s="7" t="n">
        <v>1</v>
      </c>
      <c r="S354">
        <f>IF(OR(N354&lt;$T$1*0.5,O354&lt;$U$1*0.5),"код для проверки","нормальный код")</f>
        <v/>
      </c>
      <c r="T354">
        <f>IF(N354&lt;$T$1*0.5,"Низшая четверть",IF(N354&lt;$T$1,"Вторая четверть","Больше половины"))</f>
        <v/>
      </c>
      <c r="U354">
        <f>IF(O354&lt;$U$1*0.5,"Низшая четверть",IF(O354&lt;$U$1,"Вторая четверть","Больше половины"))</f>
        <v/>
      </c>
      <c r="V354">
        <f>IF(OR(N354&lt;SUMIFS(L:L,R:R,1,E:E,E354)/SUMIFS(K:K,R:R,1,E:E,E354)*0.5,O354&lt;SUMIFS(M:M,R:R,1,E:E,E354)/SUMIFS(L:L,R:R,1,E:E,E354)*0.5),"код для проверки","нормальный код")</f>
        <v/>
      </c>
      <c r="W354">
        <f>IF(N354&lt;SUMIFS(L:L,R:R,1,E:E,E354)/SUMIFS(K:K,R:R,1,E:E,E354)*0.5,"Низшая четверть",IF(N354&lt;SUMIFS(L:L,R:R,1,E:E,E354)/SUMIFS(K:K,R:R,1,E:E,E354),"Вторая четверть","Больше половины"))</f>
        <v/>
      </c>
      <c r="X354">
        <f>IF(O354&lt;SUMIFS(M:M,R:R,1,E:E,E354)/SUMIFS(L:L,R:R,1,E:E,E354)*0.5,"Низшая четверть",IF(O354&lt;SUMIFS(M:M,R:R,1,E:E,E354)/SUMIFS(L:L,R:R,1,E:E,E354),"Вторая четверть","Больше половины"))</f>
        <v/>
      </c>
      <c r="Y354" t="n">
        <v>9</v>
      </c>
    </row>
    <row r="355">
      <c r="A355" s="1" t="inlineStr">
        <is>
          <t>29900110</t>
        </is>
      </c>
      <c r="B355" s="2" t="inlineStr">
        <is>
          <t>722604245</t>
        </is>
      </c>
      <c r="C355" s="3" t="inlineStr">
        <is>
          <t>Одежда для детей</t>
        </is>
      </c>
      <c r="D355" s="2" t="inlineStr">
        <is>
          <t>Платья, майки, футболки детские для девочек</t>
        </is>
      </c>
      <c r="E355" s="3" t="inlineStr">
        <is>
          <t>299 Платье длинный рукав детское для девочек</t>
        </is>
      </c>
      <c r="F355" s="2" t="inlineStr">
        <is>
          <t>весна, осень, зима</t>
        </is>
      </c>
      <c r="G355" s="3" t="inlineStr">
        <is>
          <t>Kari KIDS</t>
        </is>
      </c>
      <c r="H355" s="2" t="inlineStr">
        <is>
          <t>Зиннуров Ильнур</t>
        </is>
      </c>
      <c r="J355" s="3" t="inlineStr">
        <is>
          <t>2026SS</t>
        </is>
      </c>
      <c r="K355" s="3" t="n">
        <v>12184</v>
      </c>
      <c r="L355" s="3" t="n">
        <v>918</v>
      </c>
      <c r="M355" s="3" t="n">
        <v>14</v>
      </c>
      <c r="N355" s="4">
        <f>IFERROR(L355/K355,0)</f>
        <v/>
      </c>
      <c r="O355" s="4">
        <f>IFERROR(M355/L355,0)</f>
        <v/>
      </c>
      <c r="P355" t="n">
        <v>65</v>
      </c>
      <c r="Q355" s="5" t="n">
        <v>1</v>
      </c>
      <c r="R355" s="7" t="n">
        <v>1</v>
      </c>
      <c r="S355">
        <f>IF(OR(N355&lt;$T$1*0.5,O355&lt;$U$1*0.5),"код для проверки","нормальный код")</f>
        <v/>
      </c>
      <c r="T355">
        <f>IF(N355&lt;$T$1*0.5,"Низшая четверть",IF(N355&lt;$T$1,"Вторая четверть","Больше половины"))</f>
        <v/>
      </c>
      <c r="U355">
        <f>IF(O355&lt;$U$1*0.5,"Низшая четверть",IF(O355&lt;$U$1,"Вторая четверть","Больше половины"))</f>
        <v/>
      </c>
      <c r="V355">
        <f>IF(OR(N355&lt;SUMIFS(L:L,R:R,1,E:E,E355)/SUMIFS(K:K,R:R,1,E:E,E355)*0.5,O355&lt;SUMIFS(M:M,R:R,1,E:E,E355)/SUMIFS(L:L,R:R,1,E:E,E355)*0.5),"код для проверки","нормальный код")</f>
        <v/>
      </c>
      <c r="W355">
        <f>IF(N355&lt;SUMIFS(L:L,R:R,1,E:E,E355)/SUMIFS(K:K,R:R,1,E:E,E355)*0.5,"Низшая четверть",IF(N355&lt;SUMIFS(L:L,R:R,1,E:E,E355)/SUMIFS(K:K,R:R,1,E:E,E355),"Вторая четверть","Больше половины"))</f>
        <v/>
      </c>
      <c r="X355">
        <f>IF(O355&lt;SUMIFS(M:M,R:R,1,E:E,E355)/SUMIFS(L:L,R:R,1,E:E,E355)*0.5,"Низшая четверть",IF(O355&lt;SUMIFS(M:M,R:R,1,E:E,E355)/SUMIFS(L:L,R:R,1,E:E,E355),"Вторая четверть","Больше половины"))</f>
        <v/>
      </c>
      <c r="Y355" t="n">
        <v>19</v>
      </c>
    </row>
    <row r="356">
      <c r="A356" s="1" t="inlineStr">
        <is>
          <t>56809010</t>
        </is>
      </c>
      <c r="B356" s="2" t="inlineStr">
        <is>
          <t>13766300</t>
        </is>
      </c>
      <c r="C356" s="3" t="inlineStr">
        <is>
          <t>Одежда для детей</t>
        </is>
      </c>
      <c r="D356" s="2" t="inlineStr">
        <is>
          <t>Одежда для новорожденных</t>
        </is>
      </c>
      <c r="E356" s="3" t="inlineStr">
        <is>
          <t>568 Боди с коротким рукавом для девочек</t>
        </is>
      </c>
      <c r="F356" s="2" t="inlineStr">
        <is>
          <t>всесезонный</t>
        </is>
      </c>
      <c r="G356" s="3" t="inlineStr">
        <is>
          <t>Kari baby</t>
        </is>
      </c>
      <c r="H356" s="2" t="inlineStr">
        <is>
          <t>Зиннуров Ильнур</t>
        </is>
      </c>
      <c r="J356" s="3" t="inlineStr">
        <is>
          <t>2026SS</t>
        </is>
      </c>
      <c r="K356" s="3" t="n">
        <v>12170</v>
      </c>
      <c r="L356" s="3" t="n">
        <v>1517</v>
      </c>
      <c r="M356" s="3" t="n">
        <v>20</v>
      </c>
      <c r="N356" s="4">
        <f>IFERROR(L356/K356,0)</f>
        <v/>
      </c>
      <c r="O356" s="4">
        <f>IFERROR(M356/L356,0)</f>
        <v/>
      </c>
      <c r="P356" t="n">
        <v>107</v>
      </c>
      <c r="Q356" s="5" t="n">
        <v>1</v>
      </c>
      <c r="R356" s="7" t="n">
        <v>1</v>
      </c>
      <c r="S356">
        <f>IF(OR(N356&lt;$T$1*0.5,O356&lt;$U$1*0.5),"код для проверки","нормальный код")</f>
        <v/>
      </c>
      <c r="T356">
        <f>IF(N356&lt;$T$1*0.5,"Низшая четверть",IF(N356&lt;$T$1,"Вторая четверть","Больше половины"))</f>
        <v/>
      </c>
      <c r="U356">
        <f>IF(O356&lt;$U$1*0.5,"Низшая четверть",IF(O356&lt;$U$1,"Вторая четверть","Больше половины"))</f>
        <v/>
      </c>
      <c r="V356">
        <f>IF(OR(N356&lt;SUMIFS(L:L,R:R,1,E:E,E356)/SUMIFS(K:K,R:R,1,E:E,E356)*0.5,O356&lt;SUMIFS(M:M,R:R,1,E:E,E356)/SUMIFS(L:L,R:R,1,E:E,E356)*0.5),"код для проверки","нормальный код")</f>
        <v/>
      </c>
      <c r="W356">
        <f>IF(N356&lt;SUMIFS(L:L,R:R,1,E:E,E356)/SUMIFS(K:K,R:R,1,E:E,E356)*0.5,"Низшая четверть",IF(N356&lt;SUMIFS(L:L,R:R,1,E:E,E356)/SUMIFS(K:K,R:R,1,E:E,E356),"Вторая четверть","Больше половины"))</f>
        <v/>
      </c>
      <c r="X356">
        <f>IF(O356&lt;SUMIFS(M:M,R:R,1,E:E,E356)/SUMIFS(L:L,R:R,1,E:E,E356)*0.5,"Низшая четверть",IF(O356&lt;SUMIFS(M:M,R:R,1,E:E,E356)/SUMIFS(L:L,R:R,1,E:E,E356),"Вторая четверть","Больше половины"))</f>
        <v/>
      </c>
      <c r="Y356" t="n">
        <v>12</v>
      </c>
    </row>
    <row r="357">
      <c r="A357" s="1" t="inlineStr">
        <is>
          <t>93900240</t>
        </is>
      </c>
      <c r="B357" s="2" t="inlineStr">
        <is>
          <t>766736593</t>
        </is>
      </c>
      <c r="C357" s="3" t="inlineStr">
        <is>
          <t>Одежда для детей</t>
        </is>
      </c>
      <c r="D357" s="2" t="inlineStr">
        <is>
          <t>Одежда для новорожденных</t>
        </is>
      </c>
      <c r="E357" s="3" t="inlineStr">
        <is>
          <t>939 Футболка для маленькой девочки</t>
        </is>
      </c>
      <c r="F357" s="2" t="inlineStr">
        <is>
          <t>всесезонный</t>
        </is>
      </c>
      <c r="G357" s="3" t="inlineStr">
        <is>
          <t>Kari baby</t>
        </is>
      </c>
      <c r="H357" s="2" t="inlineStr">
        <is>
          <t>Зиннуров Ильнур</t>
        </is>
      </c>
      <c r="J357" s="3" t="inlineStr">
        <is>
          <t>2026SS</t>
        </is>
      </c>
      <c r="K357" s="3" t="n">
        <v>12052</v>
      </c>
      <c r="L357" s="3" t="n">
        <v>1141</v>
      </c>
      <c r="M357" s="3" t="n">
        <v>14</v>
      </c>
      <c r="N357" s="4">
        <f>IFERROR(L357/K357,0)</f>
        <v/>
      </c>
      <c r="O357" s="4">
        <f>IFERROR(M357/L357,0)</f>
        <v/>
      </c>
      <c r="P357" t="n">
        <v>397</v>
      </c>
      <c r="Q357" s="5" t="n">
        <v>1</v>
      </c>
      <c r="R357" s="7" t="n">
        <v>1</v>
      </c>
      <c r="S357">
        <f>IF(OR(N357&lt;$T$1*0.5,O357&lt;$U$1*0.5),"код для проверки","нормальный код")</f>
        <v/>
      </c>
      <c r="T357">
        <f>IF(N357&lt;$T$1*0.5,"Низшая четверть",IF(N357&lt;$T$1,"Вторая четверть","Больше половины"))</f>
        <v/>
      </c>
      <c r="U357">
        <f>IF(O357&lt;$U$1*0.5,"Низшая четверть",IF(O357&lt;$U$1,"Вторая четверть","Больше половины"))</f>
        <v/>
      </c>
      <c r="V357">
        <f>IF(OR(N357&lt;SUMIFS(L:L,R:R,1,E:E,E357)/SUMIFS(K:K,R:R,1,E:E,E357)*0.5,O357&lt;SUMIFS(M:M,R:R,1,E:E,E357)/SUMIFS(L:L,R:R,1,E:E,E357)*0.5),"код для проверки","нормальный код")</f>
        <v/>
      </c>
      <c r="W357">
        <f>IF(N357&lt;SUMIFS(L:L,R:R,1,E:E,E357)/SUMIFS(K:K,R:R,1,E:E,E357)*0.5,"Низшая четверть",IF(N357&lt;SUMIFS(L:L,R:R,1,E:E,E357)/SUMIFS(K:K,R:R,1,E:E,E357),"Вторая четверть","Больше половины"))</f>
        <v/>
      </c>
      <c r="X357">
        <f>IF(O357&lt;SUMIFS(M:M,R:R,1,E:E,E357)/SUMIFS(L:L,R:R,1,E:E,E357)*0.5,"Низшая четверть",IF(O357&lt;SUMIFS(M:M,R:R,1,E:E,E357)/SUMIFS(L:L,R:R,1,E:E,E357),"Вторая четверть","Больше половины"))</f>
        <v/>
      </c>
      <c r="Y357" t="n">
        <v>7</v>
      </c>
    </row>
    <row r="358">
      <c r="A358" s="1" t="inlineStr">
        <is>
          <t>42400120</t>
        </is>
      </c>
      <c r="B358" s="2" t="inlineStr">
        <is>
          <t>790045803</t>
        </is>
      </c>
      <c r="C358" s="3" t="inlineStr">
        <is>
          <t>Одежда для детей</t>
        </is>
      </c>
      <c r="D358" s="2" t="inlineStr">
        <is>
          <t>Одежда для новорожденных</t>
        </is>
      </c>
      <c r="E358" s="3" t="inlineStr">
        <is>
          <t>424 Комбинезон для новорожденных утепленный</t>
        </is>
      </c>
      <c r="F358" s="2" t="inlineStr">
        <is>
          <t>весна, осень, зима</t>
        </is>
      </c>
      <c r="G358" s="3" t="inlineStr">
        <is>
          <t>Kari baby</t>
        </is>
      </c>
      <c r="H358" s="2" t="inlineStr">
        <is>
          <t>Зиннуров Ильнур</t>
        </is>
      </c>
      <c r="J358" s="3" t="inlineStr">
        <is>
          <t>2026SS</t>
        </is>
      </c>
      <c r="K358" s="3" t="n">
        <v>12047</v>
      </c>
      <c r="L358" s="3" t="n">
        <v>1247</v>
      </c>
      <c r="M358" s="3" t="n">
        <v>20</v>
      </c>
      <c r="N358" s="4">
        <f>IFERROR(L358/K358,0)</f>
        <v/>
      </c>
      <c r="O358" s="4">
        <f>IFERROR(M358/L358,0)</f>
        <v/>
      </c>
      <c r="P358" t="n">
        <v>126</v>
      </c>
      <c r="Q358" s="5" t="n">
        <v>1</v>
      </c>
      <c r="R358" s="7" t="n">
        <v>1</v>
      </c>
      <c r="S358">
        <f>IF(OR(N358&lt;$T$1*0.5,O358&lt;$U$1*0.5),"код для проверки","нормальный код")</f>
        <v/>
      </c>
      <c r="T358">
        <f>IF(N358&lt;$T$1*0.5,"Низшая четверть",IF(N358&lt;$T$1,"Вторая четверть","Больше половины"))</f>
        <v/>
      </c>
      <c r="U358">
        <f>IF(O358&lt;$U$1*0.5,"Низшая четверть",IF(O358&lt;$U$1,"Вторая четверть","Больше половины"))</f>
        <v/>
      </c>
      <c r="V358">
        <f>IF(OR(N358&lt;SUMIFS(L:L,R:R,1,E:E,E358)/SUMIFS(K:K,R:R,1,E:E,E358)*0.5,O358&lt;SUMIFS(M:M,R:R,1,E:E,E358)/SUMIFS(L:L,R:R,1,E:E,E358)*0.5),"код для проверки","нормальный код")</f>
        <v/>
      </c>
      <c r="W358">
        <f>IF(N358&lt;SUMIFS(L:L,R:R,1,E:E,E358)/SUMIFS(K:K,R:R,1,E:E,E358)*0.5,"Низшая четверть",IF(N358&lt;SUMIFS(L:L,R:R,1,E:E,E358)/SUMIFS(K:K,R:R,1,E:E,E358),"Вторая четверть","Больше половины"))</f>
        <v/>
      </c>
      <c r="X358">
        <f>IF(O358&lt;SUMIFS(M:M,R:R,1,E:E,E358)/SUMIFS(L:L,R:R,1,E:E,E358)*0.5,"Низшая четверть",IF(O358&lt;SUMIFS(M:M,R:R,1,E:E,E358)/SUMIFS(L:L,R:R,1,E:E,E358),"Вторая четверть","Больше половины"))</f>
        <v/>
      </c>
      <c r="Y358" t="n">
        <v>16</v>
      </c>
    </row>
    <row r="359">
      <c r="A359" s="1" t="inlineStr">
        <is>
          <t>07200850</t>
        </is>
      </c>
      <c r="B359" s="2" t="inlineStr">
        <is>
          <t>770843367</t>
        </is>
      </c>
      <c r="C359" s="3" t="inlineStr">
        <is>
          <t>Одежда и аксессуары</t>
        </is>
      </c>
      <c r="D359" s="2" t="inlineStr">
        <is>
          <t>Нижнее белье женское</t>
        </is>
      </c>
      <c r="E359" s="3" t="inlineStr">
        <is>
          <t>072 Трусы женские</t>
        </is>
      </c>
      <c r="F359" s="2" t="inlineStr">
        <is>
          <t>всесезонный</t>
        </is>
      </c>
      <c r="G359" s="3" t="inlineStr">
        <is>
          <t>kari</t>
        </is>
      </c>
      <c r="H359" s="2" t="inlineStr">
        <is>
          <t>Никонорова Алина</t>
        </is>
      </c>
      <c r="J359" s="3" t="inlineStr">
        <is>
          <t>2026SS</t>
        </is>
      </c>
      <c r="K359" s="3" t="n">
        <v>11981</v>
      </c>
      <c r="L359" s="3" t="n">
        <v>297</v>
      </c>
      <c r="M359" s="3" t="n">
        <v>3</v>
      </c>
      <c r="N359" s="4">
        <f>IFERROR(L359/K359,0)</f>
        <v/>
      </c>
      <c r="O359" s="4">
        <f>IFERROR(M359/L359,0)</f>
        <v/>
      </c>
      <c r="P359" t="n">
        <v>1396</v>
      </c>
      <c r="Q359" s="5" t="n">
        <v>0.8</v>
      </c>
      <c r="R359" s="7" t="n">
        <v>1</v>
      </c>
      <c r="S359">
        <f>IF(OR(N359&lt;$T$1*0.5,O359&lt;$U$1*0.5),"код для проверки","нормальный код")</f>
        <v/>
      </c>
      <c r="T359">
        <f>IF(N359&lt;$T$1*0.5,"Низшая четверть",IF(N359&lt;$T$1,"Вторая четверть","Больше половины"))</f>
        <v/>
      </c>
      <c r="U359">
        <f>IF(O359&lt;$U$1*0.5,"Низшая четверть",IF(O359&lt;$U$1,"Вторая четверть","Больше половины"))</f>
        <v/>
      </c>
      <c r="V359">
        <f>IF(OR(N359&lt;SUMIFS(L:L,R:R,1,E:E,E359)/SUMIFS(K:K,R:R,1,E:E,E359)*0.5,O359&lt;SUMIFS(M:M,R:R,1,E:E,E359)/SUMIFS(L:L,R:R,1,E:E,E359)*0.5),"код для проверки","нормальный код")</f>
        <v/>
      </c>
      <c r="W359">
        <f>IF(N359&lt;SUMIFS(L:L,R:R,1,E:E,E359)/SUMIFS(K:K,R:R,1,E:E,E359)*0.5,"Низшая четверть",IF(N359&lt;SUMIFS(L:L,R:R,1,E:E,E359)/SUMIFS(K:K,R:R,1,E:E,E359),"Вторая четверть","Больше половины"))</f>
        <v/>
      </c>
      <c r="X359">
        <f>IF(O359&lt;SUMIFS(M:M,R:R,1,E:E,E359)/SUMIFS(L:L,R:R,1,E:E,E359)*0.5,"Низшая четверть",IF(O359&lt;SUMIFS(M:M,R:R,1,E:E,E359)/SUMIFS(L:L,R:R,1,E:E,E359),"Вторая четверть","Больше половины"))</f>
        <v/>
      </c>
      <c r="Y359" t="n">
        <v>13</v>
      </c>
    </row>
    <row r="360">
      <c r="A360" s="1" t="inlineStr">
        <is>
          <t>16808110</t>
        </is>
      </c>
      <c r="B360" s="2" t="inlineStr">
        <is>
          <t>355550871</t>
        </is>
      </c>
      <c r="C360" s="3" t="inlineStr">
        <is>
          <t>Одежда и аксессуары</t>
        </is>
      </c>
      <c r="D360" s="2" t="inlineStr">
        <is>
          <t>Головные уборы женские</t>
        </is>
      </c>
      <c r="E360" s="3" t="inlineStr">
        <is>
          <t>168 Шляпа женская летняя</t>
        </is>
      </c>
      <c r="F360" s="2" t="inlineStr">
        <is>
          <t>лето</t>
        </is>
      </c>
      <c r="G360" s="3" t="inlineStr">
        <is>
          <t>kari</t>
        </is>
      </c>
      <c r="H360" s="2" t="inlineStr">
        <is>
          <t>Никонорова Алина</t>
        </is>
      </c>
      <c r="J360" s="3" t="inlineStr">
        <is>
          <t>2026SS</t>
        </is>
      </c>
      <c r="K360" s="3" t="n">
        <v>11853</v>
      </c>
      <c r="L360" s="3" t="n">
        <v>2348</v>
      </c>
      <c r="M360" s="3" t="n">
        <v>31</v>
      </c>
      <c r="N360" s="4">
        <f>IFERROR(L360/K360,0)</f>
        <v/>
      </c>
      <c r="O360" s="4">
        <f>IFERROR(M360/L360,0)</f>
        <v/>
      </c>
      <c r="P360" t="n">
        <v>1360</v>
      </c>
      <c r="Q360" s="5" t="n">
        <v>1</v>
      </c>
      <c r="R360" s="7" t="n">
        <v>1</v>
      </c>
      <c r="S360">
        <f>IF(OR(N360&lt;$T$1*0.5,O360&lt;$U$1*0.5),"код для проверки","нормальный код")</f>
        <v/>
      </c>
      <c r="T360">
        <f>IF(N360&lt;$T$1*0.5,"Низшая четверть",IF(N360&lt;$T$1,"Вторая четверть","Больше половины"))</f>
        <v/>
      </c>
      <c r="U360">
        <f>IF(O360&lt;$U$1*0.5,"Низшая четверть",IF(O360&lt;$U$1,"Вторая четверть","Больше половины"))</f>
        <v/>
      </c>
      <c r="V360">
        <f>IF(OR(N360&lt;SUMIFS(L:L,R:R,1,E:E,E360)/SUMIFS(K:K,R:R,1,E:E,E360)*0.5,O360&lt;SUMIFS(M:M,R:R,1,E:E,E360)/SUMIFS(L:L,R:R,1,E:E,E360)*0.5),"код для проверки","нормальный код")</f>
        <v/>
      </c>
      <c r="W360">
        <f>IF(N360&lt;SUMIFS(L:L,R:R,1,E:E,E360)/SUMIFS(K:K,R:R,1,E:E,E360)*0.5,"Низшая четверть",IF(N360&lt;SUMIFS(L:L,R:R,1,E:E,E360)/SUMIFS(K:K,R:R,1,E:E,E360),"Вторая четверть","Больше половины"))</f>
        <v/>
      </c>
      <c r="X360">
        <f>IF(O360&lt;SUMIFS(M:M,R:R,1,E:E,E360)/SUMIFS(L:L,R:R,1,E:E,E360)*0.5,"Низшая четверть",IF(O360&lt;SUMIFS(M:M,R:R,1,E:E,E360)/SUMIFS(L:L,R:R,1,E:E,E360),"Вторая четверть","Больше половины"))</f>
        <v/>
      </c>
      <c r="Y360" t="n">
        <v>13</v>
      </c>
    </row>
    <row r="361">
      <c r="A361" s="1" t="inlineStr">
        <is>
          <t>a8200000</t>
        </is>
      </c>
      <c r="B361" s="2" t="inlineStr">
        <is>
          <t>716561242</t>
        </is>
      </c>
      <c r="C361" s="3" t="inlineStr">
        <is>
          <t>Одежда для детей</t>
        </is>
      </c>
      <c r="D361" s="2" t="inlineStr">
        <is>
          <t>Свитера детские для мальчиков</t>
        </is>
      </c>
      <c r="E361" s="3" t="inlineStr">
        <is>
          <t>a82 Толстовка на молнии для мальчиков</t>
        </is>
      </c>
      <c r="F361" s="2" t="inlineStr">
        <is>
          <t>весна, лето, осень</t>
        </is>
      </c>
      <c r="G361" s="3" t="inlineStr">
        <is>
          <t>Kari KIDS</t>
        </is>
      </c>
      <c r="H361" s="2" t="inlineStr">
        <is>
          <t>Зиннуров Ильнур</t>
        </is>
      </c>
      <c r="J361" s="3" t="inlineStr">
        <is>
          <t>2026SS</t>
        </is>
      </c>
      <c r="K361" s="3" t="n">
        <v>11852</v>
      </c>
      <c r="L361" s="3" t="n">
        <v>792</v>
      </c>
      <c r="M361" s="3" t="n">
        <v>10</v>
      </c>
      <c r="N361" s="4">
        <f>IFERROR(L361/K361,0)</f>
        <v/>
      </c>
      <c r="O361" s="4">
        <f>IFERROR(M361/L361,0)</f>
        <v/>
      </c>
      <c r="P361" t="n">
        <v>172</v>
      </c>
      <c r="Q361" s="5" t="n">
        <v>1</v>
      </c>
      <c r="R361" s="7" t="n">
        <v>1</v>
      </c>
      <c r="S361">
        <f>IF(OR(N361&lt;$T$1*0.5,O361&lt;$U$1*0.5),"код для проверки","нормальный код")</f>
        <v/>
      </c>
      <c r="T361">
        <f>IF(N361&lt;$T$1*0.5,"Низшая четверть",IF(N361&lt;$T$1,"Вторая четверть","Больше половины"))</f>
        <v/>
      </c>
      <c r="U361">
        <f>IF(O361&lt;$U$1*0.5,"Низшая четверть",IF(O361&lt;$U$1,"Вторая четверть","Больше половины"))</f>
        <v/>
      </c>
      <c r="V361">
        <f>IF(OR(N361&lt;SUMIFS(L:L,R:R,1,E:E,E361)/SUMIFS(K:K,R:R,1,E:E,E361)*0.5,O361&lt;SUMIFS(M:M,R:R,1,E:E,E361)/SUMIFS(L:L,R:R,1,E:E,E361)*0.5),"код для проверки","нормальный код")</f>
        <v/>
      </c>
      <c r="W361">
        <f>IF(N361&lt;SUMIFS(L:L,R:R,1,E:E,E361)/SUMIFS(K:K,R:R,1,E:E,E361)*0.5,"Низшая четверть",IF(N361&lt;SUMIFS(L:L,R:R,1,E:E,E361)/SUMIFS(K:K,R:R,1,E:E,E361),"Вторая четверть","Больше половины"))</f>
        <v/>
      </c>
      <c r="X361">
        <f>IF(O361&lt;SUMIFS(M:M,R:R,1,E:E,E361)/SUMIFS(L:L,R:R,1,E:E,E361)*0.5,"Низшая четверть",IF(O361&lt;SUMIFS(M:M,R:R,1,E:E,E361)/SUMIFS(L:L,R:R,1,E:E,E361),"Вторая четверть","Больше половины"))</f>
        <v/>
      </c>
      <c r="Y361" t="n">
        <v>18</v>
      </c>
    </row>
    <row r="362">
      <c r="A362" s="1" t="inlineStr">
        <is>
          <t>56700050</t>
        </is>
      </c>
      <c r="B362" s="2" t="inlineStr">
        <is>
          <t>766639235</t>
        </is>
      </c>
      <c r="C362" s="3" t="inlineStr">
        <is>
          <t>Одежда для детей</t>
        </is>
      </c>
      <c r="D362" s="2" t="inlineStr">
        <is>
          <t>Одежда для новорожденных</t>
        </is>
      </c>
      <c r="E362" s="3" t="inlineStr">
        <is>
          <t>567 Боди с длинным рукавом для девочек</t>
        </is>
      </c>
      <c r="F362" s="2" t="inlineStr">
        <is>
          <t>всесезонный</t>
        </is>
      </c>
      <c r="G362" s="3" t="inlineStr">
        <is>
          <t>Kari baby</t>
        </is>
      </c>
      <c r="H362" s="2" t="inlineStr">
        <is>
          <t>Зиннуров Ильнур</t>
        </is>
      </c>
      <c r="J362" s="3" t="inlineStr">
        <is>
          <t>2026SS</t>
        </is>
      </c>
      <c r="K362" s="3" t="n">
        <v>11846</v>
      </c>
      <c r="L362" s="3" t="n">
        <v>941</v>
      </c>
      <c r="M362" s="3" t="n">
        <v>15</v>
      </c>
      <c r="N362" s="4">
        <f>IFERROR(L362/K362,0)</f>
        <v/>
      </c>
      <c r="O362" s="4">
        <f>IFERROR(M362/L362,0)</f>
        <v/>
      </c>
      <c r="P362" t="n">
        <v>273</v>
      </c>
      <c r="Q362" s="5" t="n">
        <v>0.8333333333333334</v>
      </c>
      <c r="R362" s="7" t="n">
        <v>1</v>
      </c>
      <c r="S362">
        <f>IF(OR(N362&lt;$T$1*0.5,O362&lt;$U$1*0.5),"код для проверки","нормальный код")</f>
        <v/>
      </c>
      <c r="T362">
        <f>IF(N362&lt;$T$1*0.5,"Низшая четверть",IF(N362&lt;$T$1,"Вторая четверть","Больше половины"))</f>
        <v/>
      </c>
      <c r="U362">
        <f>IF(O362&lt;$U$1*0.5,"Низшая четверть",IF(O362&lt;$U$1,"Вторая четверть","Больше половины"))</f>
        <v/>
      </c>
      <c r="V362">
        <f>IF(OR(N362&lt;SUMIFS(L:L,R:R,1,E:E,E362)/SUMIFS(K:K,R:R,1,E:E,E362)*0.5,O362&lt;SUMIFS(M:M,R:R,1,E:E,E362)/SUMIFS(L:L,R:R,1,E:E,E362)*0.5),"код для проверки","нормальный код")</f>
        <v/>
      </c>
      <c r="W362">
        <f>IF(N362&lt;SUMIFS(L:L,R:R,1,E:E,E362)/SUMIFS(K:K,R:R,1,E:E,E362)*0.5,"Низшая четверть",IF(N362&lt;SUMIFS(L:L,R:R,1,E:E,E362)/SUMIFS(K:K,R:R,1,E:E,E362),"Вторая четверть","Больше половины"))</f>
        <v/>
      </c>
      <c r="X362">
        <f>IF(O362&lt;SUMIFS(M:M,R:R,1,E:E,E362)/SUMIFS(L:L,R:R,1,E:E,E362)*0.5,"Низшая четверть",IF(O362&lt;SUMIFS(M:M,R:R,1,E:E,E362)/SUMIFS(L:L,R:R,1,E:E,E362),"Вторая четверть","Больше половины"))</f>
        <v/>
      </c>
      <c r="Y362" t="n">
        <v>14</v>
      </c>
    </row>
    <row r="363">
      <c r="A363" s="1" t="inlineStr">
        <is>
          <t>42400070</t>
        </is>
      </c>
      <c r="B363" s="2" t="inlineStr">
        <is>
          <t>721197630</t>
        </is>
      </c>
      <c r="C363" s="3" t="inlineStr">
        <is>
          <t>Одежда для детей</t>
        </is>
      </c>
      <c r="D363" s="2" t="inlineStr">
        <is>
          <t>Одежда для новорожденных</t>
        </is>
      </c>
      <c r="E363" s="3" t="inlineStr">
        <is>
          <t>424 Комбинезон для новорожденных утепленный</t>
        </is>
      </c>
      <c r="F363" s="2" t="inlineStr">
        <is>
          <t>весна, осень, зима</t>
        </is>
      </c>
      <c r="G363" s="3" t="inlineStr">
        <is>
          <t>Kari baby</t>
        </is>
      </c>
      <c r="H363" s="2" t="inlineStr">
        <is>
          <t>Зиннуров Ильнур</t>
        </is>
      </c>
      <c r="J363" s="3" t="inlineStr">
        <is>
          <t>2026SS</t>
        </is>
      </c>
      <c r="K363" s="3" t="n">
        <v>11530</v>
      </c>
      <c r="L363" s="3" t="n">
        <v>2486</v>
      </c>
      <c r="M363" s="3" t="n">
        <v>14</v>
      </c>
      <c r="N363" s="4">
        <f>IFERROR(L363/K363,0)</f>
        <v/>
      </c>
      <c r="O363" s="4">
        <f>IFERROR(M363/L363,0)</f>
        <v/>
      </c>
      <c r="P363" t="n">
        <v>352</v>
      </c>
      <c r="Q363" s="5" t="n">
        <v>1</v>
      </c>
      <c r="R363" s="7" t="n">
        <v>1</v>
      </c>
      <c r="S363">
        <f>IF(OR(N363&lt;$T$1*0.5,O363&lt;$U$1*0.5),"код для проверки","нормальный код")</f>
        <v/>
      </c>
      <c r="T363">
        <f>IF(N363&lt;$T$1*0.5,"Низшая четверть",IF(N363&lt;$T$1,"Вторая четверть","Больше половины"))</f>
        <v/>
      </c>
      <c r="U363">
        <f>IF(O363&lt;$U$1*0.5,"Низшая четверть",IF(O363&lt;$U$1,"Вторая четверть","Больше половины"))</f>
        <v/>
      </c>
      <c r="V363">
        <f>IF(OR(N363&lt;SUMIFS(L:L,R:R,1,E:E,E363)/SUMIFS(K:K,R:R,1,E:E,E363)*0.5,O363&lt;SUMIFS(M:M,R:R,1,E:E,E363)/SUMIFS(L:L,R:R,1,E:E,E363)*0.5),"код для проверки","нормальный код")</f>
        <v/>
      </c>
      <c r="W363">
        <f>IF(N363&lt;SUMIFS(L:L,R:R,1,E:E,E363)/SUMIFS(K:K,R:R,1,E:E,E363)*0.5,"Низшая четверть",IF(N363&lt;SUMIFS(L:L,R:R,1,E:E,E363)/SUMIFS(K:K,R:R,1,E:E,E363),"Вторая четверть","Больше половины"))</f>
        <v/>
      </c>
      <c r="X363">
        <f>IF(O363&lt;SUMIFS(M:M,R:R,1,E:E,E363)/SUMIFS(L:L,R:R,1,E:E,E363)*0.5,"Низшая четверть",IF(O363&lt;SUMIFS(M:M,R:R,1,E:E,E363)/SUMIFS(L:L,R:R,1,E:E,E363),"Вторая четверть","Больше половины"))</f>
        <v/>
      </c>
      <c r="Y363" t="n">
        <v>17</v>
      </c>
    </row>
    <row r="364">
      <c r="A364" s="1" t="inlineStr">
        <is>
          <t>16806070</t>
        </is>
      </c>
      <c r="B364" s="2" t="inlineStr">
        <is>
          <t>211431667</t>
        </is>
      </c>
      <c r="C364" s="3" t="inlineStr">
        <is>
          <t>Одежда и аксессуары</t>
        </is>
      </c>
      <c r="D364" s="2" t="inlineStr">
        <is>
          <t>Головные уборы женские</t>
        </is>
      </c>
      <c r="E364" s="3" t="inlineStr">
        <is>
          <t>168 Шляпа женская летняя</t>
        </is>
      </c>
      <c r="F364" s="2" t="inlineStr">
        <is>
          <t>лето</t>
        </is>
      </c>
      <c r="G364" s="3" t="inlineStr">
        <is>
          <t>kari</t>
        </is>
      </c>
      <c r="H364" s="2" t="inlineStr">
        <is>
          <t>Никонорова Алина</t>
        </is>
      </c>
      <c r="J364" s="3" t="inlineStr">
        <is>
          <t>2026SS</t>
        </is>
      </c>
      <c r="K364" s="3" t="n">
        <v>11507</v>
      </c>
      <c r="L364" s="3" t="n">
        <v>2669</v>
      </c>
      <c r="M364" s="3" t="n">
        <v>23</v>
      </c>
      <c r="N364" s="4">
        <f>IFERROR(L364/K364,0)</f>
        <v/>
      </c>
      <c r="O364" s="4">
        <f>IFERROR(M364/L364,0)</f>
        <v/>
      </c>
      <c r="P364" t="n">
        <v>811</v>
      </c>
      <c r="Q364" s="5" t="n">
        <v>1</v>
      </c>
      <c r="R364" s="7" t="n">
        <v>1</v>
      </c>
      <c r="S364">
        <f>IF(OR(N364&lt;$T$1*0.5,O364&lt;$U$1*0.5),"код для проверки","нормальный код")</f>
        <v/>
      </c>
      <c r="T364">
        <f>IF(N364&lt;$T$1*0.5,"Низшая четверть",IF(N364&lt;$T$1,"Вторая четверть","Больше половины"))</f>
        <v/>
      </c>
      <c r="U364">
        <f>IF(O364&lt;$U$1*0.5,"Низшая четверть",IF(O364&lt;$U$1,"Вторая четверть","Больше половины"))</f>
        <v/>
      </c>
      <c r="V364">
        <f>IF(OR(N364&lt;SUMIFS(L:L,R:R,1,E:E,E364)/SUMIFS(K:K,R:R,1,E:E,E364)*0.5,O364&lt;SUMIFS(M:M,R:R,1,E:E,E364)/SUMIFS(L:L,R:R,1,E:E,E364)*0.5),"код для проверки","нормальный код")</f>
        <v/>
      </c>
      <c r="W364">
        <f>IF(N364&lt;SUMIFS(L:L,R:R,1,E:E,E364)/SUMIFS(K:K,R:R,1,E:E,E364)*0.5,"Низшая четверть",IF(N364&lt;SUMIFS(L:L,R:R,1,E:E,E364)/SUMIFS(K:K,R:R,1,E:E,E364),"Вторая четверть","Больше половины"))</f>
        <v/>
      </c>
      <c r="X364">
        <f>IF(O364&lt;SUMIFS(M:M,R:R,1,E:E,E364)/SUMIFS(L:L,R:R,1,E:E,E364)*0.5,"Низшая четверть",IF(O364&lt;SUMIFS(M:M,R:R,1,E:E,E364)/SUMIFS(L:L,R:R,1,E:E,E364),"Вторая четверть","Больше половины"))</f>
        <v/>
      </c>
      <c r="Y364" t="n">
        <v>14</v>
      </c>
    </row>
    <row r="365">
      <c r="A365" s="1" t="inlineStr">
        <is>
          <t>39300540</t>
        </is>
      </c>
      <c r="B365" s="2" t="inlineStr">
        <is>
          <t>697334104</t>
        </is>
      </c>
      <c r="C365" s="3" t="inlineStr">
        <is>
          <t>Одежда для детей</t>
        </is>
      </c>
      <c r="D365" s="2" t="inlineStr">
        <is>
          <t>Чулочные и носочные детские изделия для девочек</t>
        </is>
      </c>
      <c r="E365" s="3" t="inlineStr">
        <is>
          <t>393 Детские легинсы</t>
        </is>
      </c>
      <c r="F365" s="2" t="inlineStr">
        <is>
          <t>всесезонный</t>
        </is>
      </c>
      <c r="G365" s="3" t="inlineStr">
        <is>
          <t>Kari KIDS</t>
        </is>
      </c>
      <c r="H365" s="2" t="inlineStr">
        <is>
          <t>Зиннуров Ильнур</t>
        </is>
      </c>
      <c r="J365" s="3" t="inlineStr">
        <is>
          <t>2026SS</t>
        </is>
      </c>
      <c r="K365" s="3" t="n">
        <v>11473</v>
      </c>
      <c r="L365" s="3" t="n">
        <v>1639</v>
      </c>
      <c r="M365" s="3" t="n">
        <v>39</v>
      </c>
      <c r="N365" s="4">
        <f>IFERROR(L365/K365,0)</f>
        <v/>
      </c>
      <c r="O365" s="4">
        <f>IFERROR(M365/L365,0)</f>
        <v/>
      </c>
      <c r="P365" t="n">
        <v>450</v>
      </c>
      <c r="Q365" s="5" t="n">
        <v>1</v>
      </c>
      <c r="R365" s="7" t="n">
        <v>1</v>
      </c>
      <c r="S365">
        <f>IF(OR(N365&lt;$T$1*0.5,O365&lt;$U$1*0.5),"код для проверки","нормальный код")</f>
        <v/>
      </c>
      <c r="T365">
        <f>IF(N365&lt;$T$1*0.5,"Низшая четверть",IF(N365&lt;$T$1,"Вторая четверть","Больше половины"))</f>
        <v/>
      </c>
      <c r="U365">
        <f>IF(O365&lt;$U$1*0.5,"Низшая четверть",IF(O365&lt;$U$1,"Вторая четверть","Больше половины"))</f>
        <v/>
      </c>
      <c r="V365">
        <f>IF(OR(N365&lt;SUMIFS(L:L,R:R,1,E:E,E365)/SUMIFS(K:K,R:R,1,E:E,E365)*0.5,O365&lt;SUMIFS(M:M,R:R,1,E:E,E365)/SUMIFS(L:L,R:R,1,E:E,E365)*0.5),"код для проверки","нормальный код")</f>
        <v/>
      </c>
      <c r="W365">
        <f>IF(N365&lt;SUMIFS(L:L,R:R,1,E:E,E365)/SUMIFS(K:K,R:R,1,E:E,E365)*0.5,"Низшая четверть",IF(N365&lt;SUMIFS(L:L,R:R,1,E:E,E365)/SUMIFS(K:K,R:R,1,E:E,E365),"Вторая четверть","Больше половины"))</f>
        <v/>
      </c>
      <c r="X365">
        <f>IF(O365&lt;SUMIFS(M:M,R:R,1,E:E,E365)/SUMIFS(L:L,R:R,1,E:E,E365)*0.5,"Низшая четверть",IF(O365&lt;SUMIFS(M:M,R:R,1,E:E,E365)/SUMIFS(L:L,R:R,1,E:E,E365),"Вторая четверть","Больше половины"))</f>
        <v/>
      </c>
      <c r="Y365" t="n">
        <v>13</v>
      </c>
    </row>
    <row r="366">
      <c r="A366" s="1" t="inlineStr">
        <is>
          <t>93606080</t>
        </is>
      </c>
      <c r="B366" s="2" t="inlineStr">
        <is>
          <t>216453926</t>
        </is>
      </c>
      <c r="C366" s="3" t="inlineStr">
        <is>
          <t>Одежда для детей</t>
        </is>
      </c>
      <c r="D366" s="2" t="inlineStr">
        <is>
          <t>Одежда для новорожденных</t>
        </is>
      </c>
      <c r="E366" s="3" t="inlineStr">
        <is>
          <t>936 Боди с длинным рукавом для мальчиков</t>
        </is>
      </c>
      <c r="F366" s="2" t="inlineStr">
        <is>
          <t>всесезонный</t>
        </is>
      </c>
      <c r="G366" s="3" t="inlineStr">
        <is>
          <t>Kari baby</t>
        </is>
      </c>
      <c r="H366" s="2" t="inlineStr">
        <is>
          <t>Зиннуров Ильнур</t>
        </is>
      </c>
      <c r="J366" s="3" t="inlineStr">
        <is>
          <t>2026SS</t>
        </is>
      </c>
      <c r="K366" s="3" t="n">
        <v>11381</v>
      </c>
      <c r="L366" s="3" t="n">
        <v>832</v>
      </c>
      <c r="M366" s="3" t="n">
        <v>6</v>
      </c>
      <c r="N366" s="4">
        <f>IFERROR(L366/K366,0)</f>
        <v/>
      </c>
      <c r="O366" s="4">
        <f>IFERROR(M366/L366,0)</f>
        <v/>
      </c>
      <c r="P366" t="n">
        <v>586</v>
      </c>
      <c r="Q366" s="5" t="n">
        <v>1</v>
      </c>
      <c r="R366" s="7" t="n">
        <v>1</v>
      </c>
      <c r="S366">
        <f>IF(OR(N366&lt;$T$1*0.5,O366&lt;$U$1*0.5),"код для проверки","нормальный код")</f>
        <v/>
      </c>
      <c r="T366">
        <f>IF(N366&lt;$T$1*0.5,"Низшая четверть",IF(N366&lt;$T$1,"Вторая четверть","Больше половины"))</f>
        <v/>
      </c>
      <c r="U366">
        <f>IF(O366&lt;$U$1*0.5,"Низшая четверть",IF(O366&lt;$U$1,"Вторая четверть","Больше половины"))</f>
        <v/>
      </c>
      <c r="V366">
        <f>IF(OR(N366&lt;SUMIFS(L:L,R:R,1,E:E,E366)/SUMIFS(K:K,R:R,1,E:E,E366)*0.5,O366&lt;SUMIFS(M:M,R:R,1,E:E,E366)/SUMIFS(L:L,R:R,1,E:E,E366)*0.5),"код для проверки","нормальный код")</f>
        <v/>
      </c>
      <c r="W366">
        <f>IF(N366&lt;SUMIFS(L:L,R:R,1,E:E,E366)/SUMIFS(K:K,R:R,1,E:E,E366)*0.5,"Низшая четверть",IF(N366&lt;SUMIFS(L:L,R:R,1,E:E,E366)/SUMIFS(K:K,R:R,1,E:E,E366),"Вторая четверть","Больше половины"))</f>
        <v/>
      </c>
      <c r="X366">
        <f>IF(O366&lt;SUMIFS(M:M,R:R,1,E:E,E366)/SUMIFS(L:L,R:R,1,E:E,E366)*0.5,"Низшая четверть",IF(O366&lt;SUMIFS(M:M,R:R,1,E:E,E366)/SUMIFS(L:L,R:R,1,E:E,E366),"Вторая четверть","Больше половины"))</f>
        <v/>
      </c>
      <c r="Y366" t="n">
        <v>10</v>
      </c>
    </row>
    <row r="367">
      <c r="A367" s="1" t="inlineStr">
        <is>
          <t>10900040</t>
        </is>
      </c>
      <c r="B367" s="2" t="inlineStr">
        <is>
          <t>692729296</t>
        </is>
      </c>
      <c r="C367" s="3" t="inlineStr">
        <is>
          <t>Одежда и аксессуары</t>
        </is>
      </c>
      <c r="D367" s="2" t="inlineStr">
        <is>
          <t>Шарфы женские</t>
        </is>
      </c>
      <c r="E367" s="3" t="inlineStr">
        <is>
          <t>109 Палантин женский</t>
        </is>
      </c>
      <c r="F367" s="2" t="inlineStr">
        <is>
          <t>весна, осень, зима</t>
        </is>
      </c>
      <c r="G367" s="3" t="inlineStr">
        <is>
          <t>kari</t>
        </is>
      </c>
      <c r="H367" s="2" t="inlineStr">
        <is>
          <t>Никонорова Алина</t>
        </is>
      </c>
      <c r="J367" s="3" t="inlineStr">
        <is>
          <t>2026SS</t>
        </is>
      </c>
      <c r="K367" s="3" t="n">
        <v>11331</v>
      </c>
      <c r="L367" s="3" t="n">
        <v>735</v>
      </c>
      <c r="M367" s="3" t="n">
        <v>16</v>
      </c>
      <c r="N367" s="4">
        <f>IFERROR(L367/K367,0)</f>
        <v/>
      </c>
      <c r="O367" s="4">
        <f>IFERROR(M367/L367,0)</f>
        <v/>
      </c>
      <c r="P367" t="n">
        <v>217</v>
      </c>
      <c r="Q367" s="5" t="n">
        <v>1</v>
      </c>
      <c r="R367" s="7" t="n">
        <v>1</v>
      </c>
      <c r="S367">
        <f>IF(OR(N367&lt;$T$1*0.5,O367&lt;$U$1*0.5),"код для проверки","нормальный код")</f>
        <v/>
      </c>
      <c r="T367">
        <f>IF(N367&lt;$T$1*0.5,"Низшая четверть",IF(N367&lt;$T$1,"Вторая четверть","Больше половины"))</f>
        <v/>
      </c>
      <c r="U367">
        <f>IF(O367&lt;$U$1*0.5,"Низшая четверть",IF(O367&lt;$U$1,"Вторая четверть","Больше половины"))</f>
        <v/>
      </c>
      <c r="V367">
        <f>IF(OR(N367&lt;SUMIFS(L:L,R:R,1,E:E,E367)/SUMIFS(K:K,R:R,1,E:E,E367)*0.5,O367&lt;SUMIFS(M:M,R:R,1,E:E,E367)/SUMIFS(L:L,R:R,1,E:E,E367)*0.5),"код для проверки","нормальный код")</f>
        <v/>
      </c>
      <c r="W367">
        <f>IF(N367&lt;SUMIFS(L:L,R:R,1,E:E,E367)/SUMIFS(K:K,R:R,1,E:E,E367)*0.5,"Низшая четверть",IF(N367&lt;SUMIFS(L:L,R:R,1,E:E,E367)/SUMIFS(K:K,R:R,1,E:E,E367),"Вторая четверть","Больше половины"))</f>
        <v/>
      </c>
      <c r="X367">
        <f>IF(O367&lt;SUMIFS(M:M,R:R,1,E:E,E367)/SUMIFS(L:L,R:R,1,E:E,E367)*0.5,"Низшая четверть",IF(O367&lt;SUMIFS(M:M,R:R,1,E:E,E367)/SUMIFS(L:L,R:R,1,E:E,E367),"Вторая четверть","Больше половины"))</f>
        <v/>
      </c>
      <c r="Y367" t="n">
        <v>9</v>
      </c>
    </row>
    <row r="368">
      <c r="A368" s="1" t="inlineStr">
        <is>
          <t>07200870</t>
        </is>
      </c>
      <c r="B368" s="2" t="inlineStr">
        <is>
          <t>770843381</t>
        </is>
      </c>
      <c r="C368" s="3" t="inlineStr">
        <is>
          <t>Одежда и аксессуары</t>
        </is>
      </c>
      <c r="D368" s="2" t="inlineStr">
        <is>
          <t>Нижнее белье женское</t>
        </is>
      </c>
      <c r="E368" s="3" t="inlineStr">
        <is>
          <t>072 Трусы женские</t>
        </is>
      </c>
      <c r="F368" s="2" t="inlineStr">
        <is>
          <t>всесезонный</t>
        </is>
      </c>
      <c r="G368" s="3" t="inlineStr">
        <is>
          <t>kari</t>
        </is>
      </c>
      <c r="H368" s="2" t="inlineStr">
        <is>
          <t>Никонорова Алина</t>
        </is>
      </c>
      <c r="J368" s="3" t="inlineStr">
        <is>
          <t>2026SS</t>
        </is>
      </c>
      <c r="K368" s="3" t="n">
        <v>11315</v>
      </c>
      <c r="L368" s="3" t="n">
        <v>234</v>
      </c>
      <c r="M368" s="3" t="n">
        <v>3</v>
      </c>
      <c r="N368" s="4">
        <f>IFERROR(L368/K368,0)</f>
        <v/>
      </c>
      <c r="O368" s="4">
        <f>IFERROR(M368/L368,0)</f>
        <v/>
      </c>
      <c r="P368" t="n">
        <v>1045</v>
      </c>
      <c r="Q368" s="5" t="n">
        <v>0.8</v>
      </c>
      <c r="R368" s="7" t="n">
        <v>1</v>
      </c>
      <c r="S368">
        <f>IF(OR(N368&lt;$T$1*0.5,O368&lt;$U$1*0.5),"код для проверки","нормальный код")</f>
        <v/>
      </c>
      <c r="T368">
        <f>IF(N368&lt;$T$1*0.5,"Низшая четверть",IF(N368&lt;$T$1,"Вторая четверть","Больше половины"))</f>
        <v/>
      </c>
      <c r="U368">
        <f>IF(O368&lt;$U$1*0.5,"Низшая четверть",IF(O368&lt;$U$1,"Вторая четверть","Больше половины"))</f>
        <v/>
      </c>
      <c r="V368">
        <f>IF(OR(N368&lt;SUMIFS(L:L,R:R,1,E:E,E368)/SUMIFS(K:K,R:R,1,E:E,E368)*0.5,O368&lt;SUMIFS(M:M,R:R,1,E:E,E368)/SUMIFS(L:L,R:R,1,E:E,E368)*0.5),"код для проверки","нормальный код")</f>
        <v/>
      </c>
      <c r="W368">
        <f>IF(N368&lt;SUMIFS(L:L,R:R,1,E:E,E368)/SUMIFS(K:K,R:R,1,E:E,E368)*0.5,"Низшая четверть",IF(N368&lt;SUMIFS(L:L,R:R,1,E:E,E368)/SUMIFS(K:K,R:R,1,E:E,E368),"Вторая четверть","Больше половины"))</f>
        <v/>
      </c>
      <c r="X368">
        <f>IF(O368&lt;SUMIFS(M:M,R:R,1,E:E,E368)/SUMIFS(L:L,R:R,1,E:E,E368)*0.5,"Низшая четверть",IF(O368&lt;SUMIFS(M:M,R:R,1,E:E,E368)/SUMIFS(L:L,R:R,1,E:E,E368),"Вторая четверть","Больше половины"))</f>
        <v/>
      </c>
      <c r="Y368" t="n">
        <v>12</v>
      </c>
    </row>
    <row r="369">
      <c r="A369" s="1" t="inlineStr">
        <is>
          <t>18700010</t>
        </is>
      </c>
      <c r="B369" s="2" t="inlineStr">
        <is>
          <t>840057965</t>
        </is>
      </c>
      <c r="C369" s="3" t="inlineStr">
        <is>
          <t>Одежда и аксессуары</t>
        </is>
      </c>
      <c r="D369" s="2" t="inlineStr">
        <is>
          <t>Майки и платья женские</t>
        </is>
      </c>
      <c r="E369" s="3" t="inlineStr">
        <is>
          <t>187 Платье женское</t>
        </is>
      </c>
      <c r="F369" s="2" t="inlineStr">
        <is>
          <t>весна, лето</t>
        </is>
      </c>
      <c r="G369" s="3" t="inlineStr">
        <is>
          <t>kari</t>
        </is>
      </c>
      <c r="H369" s="2" t="inlineStr">
        <is>
          <t>Зиннуров Ильнур</t>
        </is>
      </c>
      <c r="J369" s="3" t="inlineStr">
        <is>
          <t>2026SS</t>
        </is>
      </c>
      <c r="K369" s="3" t="n">
        <v>11100</v>
      </c>
      <c r="L369" s="3" t="n">
        <v>525</v>
      </c>
      <c r="M369" s="3" t="n">
        <v>10</v>
      </c>
      <c r="N369" s="4">
        <f>IFERROR(L369/K369,0)</f>
        <v/>
      </c>
      <c r="O369" s="4">
        <f>IFERROR(M369/L369,0)</f>
        <v/>
      </c>
      <c r="P369" t="n">
        <v>544</v>
      </c>
      <c r="Q369" s="5" t="n">
        <v>1</v>
      </c>
      <c r="R369" s="7" t="n">
        <v>1</v>
      </c>
      <c r="S369">
        <f>IF(OR(N369&lt;$T$1*0.5,O369&lt;$U$1*0.5),"код для проверки","нормальный код")</f>
        <v/>
      </c>
      <c r="T369">
        <f>IF(N369&lt;$T$1*0.5,"Низшая четверть",IF(N369&lt;$T$1,"Вторая четверть","Больше половины"))</f>
        <v/>
      </c>
      <c r="U369">
        <f>IF(O369&lt;$U$1*0.5,"Низшая четверть",IF(O369&lt;$U$1,"Вторая четверть","Больше половины"))</f>
        <v/>
      </c>
      <c r="V369">
        <f>IF(OR(N369&lt;SUMIFS(L:L,R:R,1,E:E,E369)/SUMIFS(K:K,R:R,1,E:E,E369)*0.5,O369&lt;SUMIFS(M:M,R:R,1,E:E,E369)/SUMIFS(L:L,R:R,1,E:E,E369)*0.5),"код для проверки","нормальный код")</f>
        <v/>
      </c>
      <c r="W369">
        <f>IF(N369&lt;SUMIFS(L:L,R:R,1,E:E,E369)/SUMIFS(K:K,R:R,1,E:E,E369)*0.5,"Низшая четверть",IF(N369&lt;SUMIFS(L:L,R:R,1,E:E,E369)/SUMIFS(K:K,R:R,1,E:E,E369),"Вторая четверть","Больше половины"))</f>
        <v/>
      </c>
      <c r="X369">
        <f>IF(O369&lt;SUMIFS(M:M,R:R,1,E:E,E369)/SUMIFS(L:L,R:R,1,E:E,E369)*0.5,"Низшая четверть",IF(O369&lt;SUMIFS(M:M,R:R,1,E:E,E369)/SUMIFS(L:L,R:R,1,E:E,E369),"Вторая четверть","Больше половины"))</f>
        <v/>
      </c>
      <c r="Y369" t="n">
        <v>27</v>
      </c>
    </row>
    <row r="370">
      <c r="A370" s="1" t="inlineStr">
        <is>
          <t>a8000000</t>
        </is>
      </c>
      <c r="B370" s="2" t="inlineStr">
        <is>
          <t>695348228</t>
        </is>
      </c>
      <c r="C370" s="3" t="inlineStr">
        <is>
          <t>Одежда для детей</t>
        </is>
      </c>
      <c r="D370" s="2" t="inlineStr">
        <is>
          <t>Свитера детские для мальчиков</t>
        </is>
      </c>
      <c r="E370" s="3" t="inlineStr">
        <is>
          <t>a80 Толстовка-бомбер для мальчиков</t>
        </is>
      </c>
      <c r="F370" s="2" t="inlineStr">
        <is>
          <t>весна, лето, осень</t>
        </is>
      </c>
      <c r="G370" s="3" t="inlineStr">
        <is>
          <t>Kari KIDS</t>
        </is>
      </c>
      <c r="H370" s="2" t="inlineStr">
        <is>
          <t>Зиннуров Ильнур</t>
        </is>
      </c>
      <c r="J370" s="3" t="inlineStr">
        <is>
          <t>2026SS</t>
        </is>
      </c>
      <c r="K370" s="3" t="n">
        <v>11089</v>
      </c>
      <c r="L370" s="3" t="n">
        <v>778</v>
      </c>
      <c r="M370" s="3" t="n">
        <v>10</v>
      </c>
      <c r="N370" s="4">
        <f>IFERROR(L370/K370,0)</f>
        <v/>
      </c>
      <c r="O370" s="4">
        <f>IFERROR(M370/L370,0)</f>
        <v/>
      </c>
      <c r="P370" t="n">
        <v>254</v>
      </c>
      <c r="Q370" s="5" t="n">
        <v>1</v>
      </c>
      <c r="R370" s="7" t="n">
        <v>1</v>
      </c>
      <c r="S370">
        <f>IF(OR(N370&lt;$T$1*0.5,O370&lt;$U$1*0.5),"код для проверки","нормальный код")</f>
        <v/>
      </c>
      <c r="T370">
        <f>IF(N370&lt;$T$1*0.5,"Низшая четверть",IF(N370&lt;$T$1,"Вторая четверть","Больше половины"))</f>
        <v/>
      </c>
      <c r="U370">
        <f>IF(O370&lt;$U$1*0.5,"Низшая четверть",IF(O370&lt;$U$1,"Вторая четверть","Больше половины"))</f>
        <v/>
      </c>
      <c r="V370">
        <f>IF(OR(N370&lt;SUMIFS(L:L,R:R,1,E:E,E370)/SUMIFS(K:K,R:R,1,E:E,E370)*0.5,O370&lt;SUMIFS(M:M,R:R,1,E:E,E370)/SUMIFS(L:L,R:R,1,E:E,E370)*0.5),"код для проверки","нормальный код")</f>
        <v/>
      </c>
      <c r="W370">
        <f>IF(N370&lt;SUMIFS(L:L,R:R,1,E:E,E370)/SUMIFS(K:K,R:R,1,E:E,E370)*0.5,"Низшая четверть",IF(N370&lt;SUMIFS(L:L,R:R,1,E:E,E370)/SUMIFS(K:K,R:R,1,E:E,E370),"Вторая четверть","Больше половины"))</f>
        <v/>
      </c>
      <c r="X370">
        <f>IF(O370&lt;SUMIFS(M:M,R:R,1,E:E,E370)/SUMIFS(L:L,R:R,1,E:E,E370)*0.5,"Низшая четверть",IF(O370&lt;SUMIFS(M:M,R:R,1,E:E,E370)/SUMIFS(L:L,R:R,1,E:E,E370),"Вторая четверть","Больше половины"))</f>
        <v/>
      </c>
      <c r="Y370" t="n">
        <v>17</v>
      </c>
    </row>
    <row r="371">
      <c r="A371" s="1" t="inlineStr">
        <is>
          <t>39300590</t>
        </is>
      </c>
      <c r="B371" s="2" t="inlineStr">
        <is>
          <t>697334159</t>
        </is>
      </c>
      <c r="C371" s="3" t="inlineStr">
        <is>
          <t>Одежда для детей</t>
        </is>
      </c>
      <c r="D371" s="2" t="inlineStr">
        <is>
          <t>Чулочные и носочные детские изделия для девочек</t>
        </is>
      </c>
      <c r="E371" s="3" t="inlineStr">
        <is>
          <t>393 Детские легинсы</t>
        </is>
      </c>
      <c r="F371" s="2" t="inlineStr">
        <is>
          <t>всесезонный</t>
        </is>
      </c>
      <c r="G371" s="3" t="inlineStr">
        <is>
          <t>kari</t>
        </is>
      </c>
      <c r="H371" s="2" t="inlineStr">
        <is>
          <t>Зиннуров Ильнур</t>
        </is>
      </c>
      <c r="J371" s="3" t="inlineStr">
        <is>
          <t>2026SS</t>
        </is>
      </c>
      <c r="K371" s="3" t="n">
        <v>11077</v>
      </c>
      <c r="L371" s="3" t="n">
        <v>839</v>
      </c>
      <c r="M371" s="3" t="n">
        <v>33</v>
      </c>
      <c r="N371" s="4">
        <f>IFERROR(L371/K371,0)</f>
        <v/>
      </c>
      <c r="O371" s="4">
        <f>IFERROR(M371/L371,0)</f>
        <v/>
      </c>
      <c r="P371" t="n">
        <v>505</v>
      </c>
      <c r="Q371" s="5" t="n">
        <v>1</v>
      </c>
      <c r="R371" s="7" t="n">
        <v>1</v>
      </c>
      <c r="S371">
        <f>IF(OR(N371&lt;$T$1*0.5,O371&lt;$U$1*0.5),"код для проверки","нормальный код")</f>
        <v/>
      </c>
      <c r="T371">
        <f>IF(N371&lt;$T$1*0.5,"Низшая четверть",IF(N371&lt;$T$1,"Вторая четверть","Больше половины"))</f>
        <v/>
      </c>
      <c r="U371">
        <f>IF(O371&lt;$U$1*0.5,"Низшая четверть",IF(O371&lt;$U$1,"Вторая четверть","Больше половины"))</f>
        <v/>
      </c>
      <c r="V371">
        <f>IF(OR(N371&lt;SUMIFS(L:L,R:R,1,E:E,E371)/SUMIFS(K:K,R:R,1,E:E,E371)*0.5,O371&lt;SUMIFS(M:M,R:R,1,E:E,E371)/SUMIFS(L:L,R:R,1,E:E,E371)*0.5),"код для проверки","нормальный код")</f>
        <v/>
      </c>
      <c r="W371">
        <f>IF(N371&lt;SUMIFS(L:L,R:R,1,E:E,E371)/SUMIFS(K:K,R:R,1,E:E,E371)*0.5,"Низшая четверть",IF(N371&lt;SUMIFS(L:L,R:R,1,E:E,E371)/SUMIFS(K:K,R:R,1,E:E,E371),"Вторая четверть","Больше половины"))</f>
        <v/>
      </c>
      <c r="X371">
        <f>IF(O371&lt;SUMIFS(M:M,R:R,1,E:E,E371)/SUMIFS(L:L,R:R,1,E:E,E371)*0.5,"Низшая четверть",IF(O371&lt;SUMIFS(M:M,R:R,1,E:E,E371)/SUMIFS(L:L,R:R,1,E:E,E371),"Вторая четверть","Больше половины"))</f>
        <v/>
      </c>
      <c r="Y371" t="n">
        <v>14</v>
      </c>
    </row>
    <row r="372">
      <c r="A372" s="1" t="inlineStr">
        <is>
          <t>29600040</t>
        </is>
      </c>
      <c r="B372" s="2" t="inlineStr">
        <is>
          <t>732841064</t>
        </is>
      </c>
      <c r="C372" s="3" t="inlineStr">
        <is>
          <t>Одежда и аксессуары</t>
        </is>
      </c>
      <c r="D372" s="2" t="inlineStr">
        <is>
          <t>Майки и платья женские</t>
        </is>
      </c>
      <c r="E372" s="3" t="inlineStr">
        <is>
          <t>296 Блузка длинный рукав женская</t>
        </is>
      </c>
      <c r="F372" s="2" t="inlineStr">
        <is>
          <t>всесезонный</t>
        </is>
      </c>
      <c r="G372" s="3" t="inlineStr">
        <is>
          <t>kari</t>
        </is>
      </c>
      <c r="H372" s="2" t="inlineStr">
        <is>
          <t>Зиннуров Ильнур</t>
        </is>
      </c>
      <c r="J372" s="3" t="inlineStr">
        <is>
          <t>2026SS</t>
        </is>
      </c>
      <c r="K372" s="3" t="n">
        <v>11051</v>
      </c>
      <c r="L372" s="3" t="n">
        <v>739</v>
      </c>
      <c r="M372" s="3" t="n">
        <v>17</v>
      </c>
      <c r="N372" s="4">
        <f>IFERROR(L372/K372,0)</f>
        <v/>
      </c>
      <c r="O372" s="4">
        <f>IFERROR(M372/L372,0)</f>
        <v/>
      </c>
      <c r="P372" t="n">
        <v>423</v>
      </c>
      <c r="Q372" s="5" t="n">
        <v>1</v>
      </c>
      <c r="R372" s="7" t="n">
        <v>1</v>
      </c>
      <c r="S372">
        <f>IF(OR(N372&lt;$T$1*0.5,O372&lt;$U$1*0.5),"код для проверки","нормальный код")</f>
        <v/>
      </c>
      <c r="T372">
        <f>IF(N372&lt;$T$1*0.5,"Низшая четверть",IF(N372&lt;$T$1,"Вторая четверть","Больше половины"))</f>
        <v/>
      </c>
      <c r="U372">
        <f>IF(O372&lt;$U$1*0.5,"Низшая четверть",IF(O372&lt;$U$1,"Вторая четверть","Больше половины"))</f>
        <v/>
      </c>
      <c r="V372">
        <f>IF(OR(N372&lt;SUMIFS(L:L,R:R,1,E:E,E372)/SUMIFS(K:K,R:R,1,E:E,E372)*0.5,O372&lt;SUMIFS(M:M,R:R,1,E:E,E372)/SUMIFS(L:L,R:R,1,E:E,E372)*0.5),"код для проверки","нормальный код")</f>
        <v/>
      </c>
      <c r="W372">
        <f>IF(N372&lt;SUMIFS(L:L,R:R,1,E:E,E372)/SUMIFS(K:K,R:R,1,E:E,E372)*0.5,"Низшая четверть",IF(N372&lt;SUMIFS(L:L,R:R,1,E:E,E372)/SUMIFS(K:K,R:R,1,E:E,E372),"Вторая четверть","Больше половины"))</f>
        <v/>
      </c>
      <c r="X372">
        <f>IF(O372&lt;SUMIFS(M:M,R:R,1,E:E,E372)/SUMIFS(L:L,R:R,1,E:E,E372)*0.5,"Низшая четверть",IF(O372&lt;SUMIFS(M:M,R:R,1,E:E,E372)/SUMIFS(L:L,R:R,1,E:E,E372),"Вторая четверть","Больше половины"))</f>
        <v/>
      </c>
      <c r="Y372" t="n">
        <v>16</v>
      </c>
    </row>
    <row r="373">
      <c r="A373" s="1" t="inlineStr">
        <is>
          <t>30200230</t>
        </is>
      </c>
      <c r="B373" s="2" t="inlineStr">
        <is>
          <t>701616691</t>
        </is>
      </c>
      <c r="C373" s="3" t="inlineStr">
        <is>
          <t>Одежда для детей</t>
        </is>
      </c>
      <c r="D373" s="2" t="inlineStr">
        <is>
          <t>Платья, майки, футболки детские для девочек</t>
        </is>
      </c>
      <c r="E373" s="3" t="inlineStr">
        <is>
          <t>302 Юбка детская для девочек</t>
        </is>
      </c>
      <c r="F373" s="2" t="inlineStr">
        <is>
          <t>всесезонный</t>
        </is>
      </c>
      <c r="G373" s="3" t="inlineStr">
        <is>
          <t>Kari KIDS</t>
        </is>
      </c>
      <c r="H373" s="2" t="inlineStr">
        <is>
          <t>Зиннуров Ильнур</t>
        </is>
      </c>
      <c r="J373" s="3" t="inlineStr">
        <is>
          <t>2026SS</t>
        </is>
      </c>
      <c r="K373" s="3" t="n">
        <v>11030</v>
      </c>
      <c r="L373" s="3" t="n">
        <v>1396</v>
      </c>
      <c r="M373" s="3" t="n">
        <v>23</v>
      </c>
      <c r="N373" s="4">
        <f>IFERROR(L373/K373,0)</f>
        <v/>
      </c>
      <c r="O373" s="4">
        <f>IFERROR(M373/L373,0)</f>
        <v/>
      </c>
      <c r="P373" t="n">
        <v>139</v>
      </c>
      <c r="Q373" s="5" t="n">
        <v>1</v>
      </c>
      <c r="R373" s="7" t="n">
        <v>1</v>
      </c>
      <c r="S373">
        <f>IF(OR(N373&lt;$T$1*0.5,O373&lt;$U$1*0.5),"код для проверки","нормальный код")</f>
        <v/>
      </c>
      <c r="T373">
        <f>IF(N373&lt;$T$1*0.5,"Низшая четверть",IF(N373&lt;$T$1,"Вторая четверть","Больше половины"))</f>
        <v/>
      </c>
      <c r="U373">
        <f>IF(O373&lt;$U$1*0.5,"Низшая четверть",IF(O373&lt;$U$1,"Вторая четверть","Больше половины"))</f>
        <v/>
      </c>
      <c r="V373">
        <f>IF(OR(N373&lt;SUMIFS(L:L,R:R,1,E:E,E373)/SUMIFS(K:K,R:R,1,E:E,E373)*0.5,O373&lt;SUMIFS(M:M,R:R,1,E:E,E373)/SUMIFS(L:L,R:R,1,E:E,E373)*0.5),"код для проверки","нормальный код")</f>
        <v/>
      </c>
      <c r="W373">
        <f>IF(N373&lt;SUMIFS(L:L,R:R,1,E:E,E373)/SUMIFS(K:K,R:R,1,E:E,E373)*0.5,"Низшая четверть",IF(N373&lt;SUMIFS(L:L,R:R,1,E:E,E373)/SUMIFS(K:K,R:R,1,E:E,E373),"Вторая четверть","Больше половины"))</f>
        <v/>
      </c>
      <c r="X373">
        <f>IF(O373&lt;SUMIFS(M:M,R:R,1,E:E,E373)/SUMIFS(L:L,R:R,1,E:E,E373)*0.5,"Низшая четверть",IF(O373&lt;SUMIFS(M:M,R:R,1,E:E,E373)/SUMIFS(L:L,R:R,1,E:E,E373),"Вторая четверть","Больше половины"))</f>
        <v/>
      </c>
      <c r="Y373" t="n">
        <v>15</v>
      </c>
    </row>
    <row r="374">
      <c r="A374" s="1" t="inlineStr">
        <is>
          <t>12304105</t>
        </is>
      </c>
      <c r="B374" s="2" t="inlineStr">
        <is>
          <t>378959546</t>
        </is>
      </c>
      <c r="C374" s="3" t="inlineStr">
        <is>
          <t>Одежда и аксессуары</t>
        </is>
      </c>
      <c r="D374" s="2" t="inlineStr">
        <is>
          <t>Чулочные и носочные изделия для женщин</t>
        </is>
      </c>
      <c r="E374" s="3" t="inlineStr">
        <is>
          <t>123 Гольфы эластичные женские</t>
        </is>
      </c>
      <c r="F374" s="2" t="inlineStr">
        <is>
          <t>всесезонный</t>
        </is>
      </c>
      <c r="G374" s="3" t="inlineStr">
        <is>
          <t>kari</t>
        </is>
      </c>
      <c r="H374" s="2" t="inlineStr">
        <is>
          <t>Зиннуров Ильнур</t>
        </is>
      </c>
      <c r="J374" s="3" t="inlineStr">
        <is>
          <t>2026SS</t>
        </is>
      </c>
      <c r="K374" s="3" t="n">
        <v>10705</v>
      </c>
      <c r="L374" s="3" t="n">
        <v>1187</v>
      </c>
      <c r="M374" s="3" t="n">
        <v>100</v>
      </c>
      <c r="N374" s="4">
        <f>IFERROR(L374/K374,0)</f>
        <v/>
      </c>
      <c r="O374" s="4">
        <f>IFERROR(M374/L374,0)</f>
        <v/>
      </c>
      <c r="P374" t="n">
        <v>3432</v>
      </c>
      <c r="Q374" s="5" t="n">
        <v>1</v>
      </c>
      <c r="R374" s="7" t="n">
        <v>1</v>
      </c>
      <c r="S374">
        <f>IF(OR(N374&lt;$T$1*0.5,O374&lt;$U$1*0.5),"код для проверки","нормальный код")</f>
        <v/>
      </c>
      <c r="T374">
        <f>IF(N374&lt;$T$1*0.5,"Низшая четверть",IF(N374&lt;$T$1,"Вторая четверть","Больше половины"))</f>
        <v/>
      </c>
      <c r="U374">
        <f>IF(O374&lt;$U$1*0.5,"Низшая четверть",IF(O374&lt;$U$1,"Вторая четверть","Больше половины"))</f>
        <v/>
      </c>
      <c r="V374">
        <f>IF(OR(N374&lt;SUMIFS(L:L,R:R,1,E:E,E374)/SUMIFS(K:K,R:R,1,E:E,E374)*0.5,O374&lt;SUMIFS(M:M,R:R,1,E:E,E374)/SUMIFS(L:L,R:R,1,E:E,E374)*0.5),"код для проверки","нормальный код")</f>
        <v/>
      </c>
      <c r="W374">
        <f>IF(N374&lt;SUMIFS(L:L,R:R,1,E:E,E374)/SUMIFS(K:K,R:R,1,E:E,E374)*0.5,"Низшая четверть",IF(N374&lt;SUMIFS(L:L,R:R,1,E:E,E374)/SUMIFS(K:K,R:R,1,E:E,E374),"Вторая четверть","Больше половины"))</f>
        <v/>
      </c>
      <c r="X374">
        <f>IF(O374&lt;SUMIFS(M:M,R:R,1,E:E,E374)/SUMIFS(L:L,R:R,1,E:E,E374)*0.5,"Низшая четверть",IF(O374&lt;SUMIFS(M:M,R:R,1,E:E,E374)/SUMIFS(L:L,R:R,1,E:E,E374),"Вторая четверть","Больше половины"))</f>
        <v/>
      </c>
      <c r="Y374" t="n">
        <v>6</v>
      </c>
    </row>
    <row r="375">
      <c r="A375" s="1" t="inlineStr">
        <is>
          <t>93900200</t>
        </is>
      </c>
      <c r="B375" s="2" t="inlineStr">
        <is>
          <t>766736609</t>
        </is>
      </c>
      <c r="C375" s="3" t="inlineStr">
        <is>
          <t>Одежда для детей</t>
        </is>
      </c>
      <c r="D375" s="2" t="inlineStr">
        <is>
          <t>Одежда для новорожденных</t>
        </is>
      </c>
      <c r="E375" s="3" t="inlineStr">
        <is>
          <t>939 Футболка для маленькой девочки</t>
        </is>
      </c>
      <c r="F375" s="2" t="inlineStr">
        <is>
          <t>всесезонный</t>
        </is>
      </c>
      <c r="G375" s="3" t="inlineStr">
        <is>
          <t>Kari baby</t>
        </is>
      </c>
      <c r="H375" s="2" t="inlineStr">
        <is>
          <t>Зиннуров Ильнур</t>
        </is>
      </c>
      <c r="J375" s="3" t="inlineStr">
        <is>
          <t>2026SS</t>
        </is>
      </c>
      <c r="K375" s="3" t="n">
        <v>10665</v>
      </c>
      <c r="L375" s="3" t="n">
        <v>1047</v>
      </c>
      <c r="M375" s="3" t="n">
        <v>18</v>
      </c>
      <c r="N375" s="4">
        <f>IFERROR(L375/K375,0)</f>
        <v/>
      </c>
      <c r="O375" s="4">
        <f>IFERROR(M375/L375,0)</f>
        <v/>
      </c>
      <c r="P375" t="n">
        <v>873</v>
      </c>
      <c r="Q375" s="5" t="n">
        <v>1</v>
      </c>
      <c r="R375" s="7" t="n">
        <v>1</v>
      </c>
      <c r="S375">
        <f>IF(OR(N375&lt;$T$1*0.5,O375&lt;$U$1*0.5),"код для проверки","нормальный код")</f>
        <v/>
      </c>
      <c r="T375">
        <f>IF(N375&lt;$T$1*0.5,"Низшая четверть",IF(N375&lt;$T$1,"Вторая четверть","Больше половины"))</f>
        <v/>
      </c>
      <c r="U375">
        <f>IF(O375&lt;$U$1*0.5,"Низшая четверть",IF(O375&lt;$U$1,"Вторая четверть","Больше половины"))</f>
        <v/>
      </c>
      <c r="V375">
        <f>IF(OR(N375&lt;SUMIFS(L:L,R:R,1,E:E,E375)/SUMIFS(K:K,R:R,1,E:E,E375)*0.5,O375&lt;SUMIFS(M:M,R:R,1,E:E,E375)/SUMIFS(L:L,R:R,1,E:E,E375)*0.5),"код для проверки","нормальный код")</f>
        <v/>
      </c>
      <c r="W375">
        <f>IF(N375&lt;SUMIFS(L:L,R:R,1,E:E,E375)/SUMIFS(K:K,R:R,1,E:E,E375)*0.5,"Низшая четверть",IF(N375&lt;SUMIFS(L:L,R:R,1,E:E,E375)/SUMIFS(K:K,R:R,1,E:E,E375),"Вторая четверть","Больше половины"))</f>
        <v/>
      </c>
      <c r="X375">
        <f>IF(O375&lt;SUMIFS(M:M,R:R,1,E:E,E375)/SUMIFS(L:L,R:R,1,E:E,E375)*0.5,"Низшая четверть",IF(O375&lt;SUMIFS(M:M,R:R,1,E:E,E375)/SUMIFS(L:L,R:R,1,E:E,E375),"Вторая четверть","Больше половины"))</f>
        <v/>
      </c>
      <c r="Y375" t="n">
        <v>5</v>
      </c>
    </row>
    <row r="376">
      <c r="A376" s="1" t="inlineStr">
        <is>
          <t>91100080</t>
        </is>
      </c>
      <c r="B376" s="2" t="inlineStr">
        <is>
          <t>781106469</t>
        </is>
      </c>
      <c r="C376" s="3" t="inlineStr">
        <is>
          <t>Одежда для детей</t>
        </is>
      </c>
      <c r="D376" s="2" t="inlineStr">
        <is>
          <t>Одежда для новорожденных</t>
        </is>
      </c>
      <c r="E376" s="3" t="inlineStr">
        <is>
          <t>911 Джемпер для маленькой девочки</t>
        </is>
      </c>
      <c r="F376" s="2" t="inlineStr">
        <is>
          <t>всесезонный</t>
        </is>
      </c>
      <c r="G376" s="3" t="inlineStr">
        <is>
          <t>Kari baby</t>
        </is>
      </c>
      <c r="H376" s="2" t="inlineStr">
        <is>
          <t>Зиннуров Ильнур</t>
        </is>
      </c>
      <c r="J376" s="3" t="inlineStr">
        <is>
          <t>2026SS</t>
        </is>
      </c>
      <c r="K376" s="3" t="n">
        <v>10665</v>
      </c>
      <c r="L376" s="3" t="n">
        <v>733</v>
      </c>
      <c r="M376" s="3" t="n">
        <v>18</v>
      </c>
      <c r="N376" s="4">
        <f>IFERROR(L376/K376,0)</f>
        <v/>
      </c>
      <c r="O376" s="4">
        <f>IFERROR(M376/L376,0)</f>
        <v/>
      </c>
      <c r="P376" t="n">
        <v>488</v>
      </c>
      <c r="Q376" s="5" t="n">
        <v>1</v>
      </c>
      <c r="R376" s="7" t="n">
        <v>1</v>
      </c>
      <c r="S376">
        <f>IF(OR(N376&lt;$T$1*0.5,O376&lt;$U$1*0.5),"код для проверки","нормальный код")</f>
        <v/>
      </c>
      <c r="T376">
        <f>IF(N376&lt;$T$1*0.5,"Низшая четверть",IF(N376&lt;$T$1,"Вторая четверть","Больше половины"))</f>
        <v/>
      </c>
      <c r="U376">
        <f>IF(O376&lt;$U$1*0.5,"Низшая четверть",IF(O376&lt;$U$1,"Вторая четверть","Больше половины"))</f>
        <v/>
      </c>
      <c r="V376">
        <f>IF(OR(N376&lt;SUMIFS(L:L,R:R,1,E:E,E376)/SUMIFS(K:K,R:R,1,E:E,E376)*0.5,O376&lt;SUMIFS(M:M,R:R,1,E:E,E376)/SUMIFS(L:L,R:R,1,E:E,E376)*0.5),"код для проверки","нормальный код")</f>
        <v/>
      </c>
      <c r="W376">
        <f>IF(N376&lt;SUMIFS(L:L,R:R,1,E:E,E376)/SUMIFS(K:K,R:R,1,E:E,E376)*0.5,"Низшая четверть",IF(N376&lt;SUMIFS(L:L,R:R,1,E:E,E376)/SUMIFS(K:K,R:R,1,E:E,E376),"Вторая четверть","Больше половины"))</f>
        <v/>
      </c>
      <c r="X376">
        <f>IF(O376&lt;SUMIFS(M:M,R:R,1,E:E,E376)/SUMIFS(L:L,R:R,1,E:E,E376)*0.5,"Низшая четверть",IF(O376&lt;SUMIFS(M:M,R:R,1,E:E,E376)/SUMIFS(L:L,R:R,1,E:E,E376),"Вторая четверть","Больше половины"))</f>
        <v/>
      </c>
      <c r="Y376" t="n">
        <v>12</v>
      </c>
    </row>
    <row r="377">
      <c r="A377" s="1" t="inlineStr">
        <is>
          <t>29100170</t>
        </is>
      </c>
      <c r="B377" s="2" t="inlineStr">
        <is>
          <t>710462781</t>
        </is>
      </c>
      <c r="C377" s="3" t="inlineStr">
        <is>
          <t>Одежда для детей</t>
        </is>
      </c>
      <c r="D377" s="2" t="inlineStr">
        <is>
          <t>Брюки детские для мальчиков</t>
        </is>
      </c>
      <c r="E377" s="3" t="inlineStr">
        <is>
          <t>291 Штаны детские для мальчиков</t>
        </is>
      </c>
      <c r="F377" s="2" t="inlineStr">
        <is>
          <t>всесезонный</t>
        </is>
      </c>
      <c r="G377" s="3" t="inlineStr">
        <is>
          <t>kari</t>
        </is>
      </c>
      <c r="H377" s="2" t="inlineStr">
        <is>
          <t>Зиннуров Ильнур</t>
        </is>
      </c>
      <c r="J377" s="3" t="inlineStr">
        <is>
          <t>2026SS</t>
        </is>
      </c>
      <c r="K377" s="3" t="n">
        <v>10642</v>
      </c>
      <c r="L377" s="3" t="n">
        <v>698</v>
      </c>
      <c r="M377" s="3" t="n">
        <v>42</v>
      </c>
      <c r="N377" s="4">
        <f>IFERROR(L377/K377,0)</f>
        <v/>
      </c>
      <c r="O377" s="4">
        <f>IFERROR(M377/L377,0)</f>
        <v/>
      </c>
      <c r="P377" t="n">
        <v>427</v>
      </c>
      <c r="Q377" s="5" t="n">
        <v>1</v>
      </c>
      <c r="R377" s="7" t="n">
        <v>1</v>
      </c>
      <c r="S377">
        <f>IF(OR(N377&lt;$T$1*0.5,O377&lt;$U$1*0.5),"код для проверки","нормальный код")</f>
        <v/>
      </c>
      <c r="T377">
        <f>IF(N377&lt;$T$1*0.5,"Низшая четверть",IF(N377&lt;$T$1,"Вторая четверть","Больше половины"))</f>
        <v/>
      </c>
      <c r="U377">
        <f>IF(O377&lt;$U$1*0.5,"Низшая четверть",IF(O377&lt;$U$1,"Вторая четверть","Больше половины"))</f>
        <v/>
      </c>
      <c r="V377">
        <f>IF(OR(N377&lt;SUMIFS(L:L,R:R,1,E:E,E377)/SUMIFS(K:K,R:R,1,E:E,E377)*0.5,O377&lt;SUMIFS(M:M,R:R,1,E:E,E377)/SUMIFS(L:L,R:R,1,E:E,E377)*0.5),"код для проверки","нормальный код")</f>
        <v/>
      </c>
      <c r="W377">
        <f>IF(N377&lt;SUMIFS(L:L,R:R,1,E:E,E377)/SUMIFS(K:K,R:R,1,E:E,E377)*0.5,"Низшая четверть",IF(N377&lt;SUMIFS(L:L,R:R,1,E:E,E377)/SUMIFS(K:K,R:R,1,E:E,E377),"Вторая четверть","Больше половины"))</f>
        <v/>
      </c>
      <c r="X377">
        <f>IF(O377&lt;SUMIFS(M:M,R:R,1,E:E,E377)/SUMIFS(L:L,R:R,1,E:E,E377)*0.5,"Низшая четверть",IF(O377&lt;SUMIFS(M:M,R:R,1,E:E,E377)/SUMIFS(L:L,R:R,1,E:E,E377),"Вторая четверть","Больше половины"))</f>
        <v/>
      </c>
      <c r="Y377" t="n">
        <v>13</v>
      </c>
    </row>
    <row r="378">
      <c r="A378" s="1" t="inlineStr">
        <is>
          <t>07200770</t>
        </is>
      </c>
      <c r="B378" s="2" t="inlineStr">
        <is>
          <t>901030051</t>
        </is>
      </c>
      <c r="C378" s="3" t="inlineStr">
        <is>
          <t>Одежда и аксессуары</t>
        </is>
      </c>
      <c r="D378" s="2" t="inlineStr">
        <is>
          <t>Нижнее белье женское</t>
        </is>
      </c>
      <c r="E378" s="3" t="inlineStr">
        <is>
          <t>072 Трусы женские</t>
        </is>
      </c>
      <c r="F378" s="2" t="inlineStr">
        <is>
          <t>всесезонный</t>
        </is>
      </c>
      <c r="G378" s="3" t="inlineStr">
        <is>
          <t>kari</t>
        </is>
      </c>
      <c r="H378" s="2" t="inlineStr">
        <is>
          <t>Никонорова Алина</t>
        </is>
      </c>
      <c r="J378" s="3" t="inlineStr">
        <is>
          <t>2026SS</t>
        </is>
      </c>
      <c r="K378" s="3" t="n">
        <v>10540</v>
      </c>
      <c r="L378" s="3" t="n">
        <v>254</v>
      </c>
      <c r="M378" s="3" t="n">
        <v>4</v>
      </c>
      <c r="N378" s="4">
        <f>IFERROR(L378/K378,0)</f>
        <v/>
      </c>
      <c r="O378" s="4">
        <f>IFERROR(M378/L378,0)</f>
        <v/>
      </c>
      <c r="P378" t="n">
        <v>1645</v>
      </c>
      <c r="Q378" s="5" t="n">
        <v>1</v>
      </c>
      <c r="R378" s="7" t="n">
        <v>1</v>
      </c>
      <c r="S378">
        <f>IF(OR(N378&lt;$T$1*0.5,O378&lt;$U$1*0.5),"код для проверки","нормальный код")</f>
        <v/>
      </c>
      <c r="T378">
        <f>IF(N378&lt;$T$1*0.5,"Низшая четверть",IF(N378&lt;$T$1,"Вторая четверть","Больше половины"))</f>
        <v/>
      </c>
      <c r="U378">
        <f>IF(O378&lt;$U$1*0.5,"Низшая четверть",IF(O378&lt;$U$1,"Вторая четверть","Больше половины"))</f>
        <v/>
      </c>
      <c r="V378">
        <f>IF(OR(N378&lt;SUMIFS(L:L,R:R,1,E:E,E378)/SUMIFS(K:K,R:R,1,E:E,E378)*0.5,O378&lt;SUMIFS(M:M,R:R,1,E:E,E378)/SUMIFS(L:L,R:R,1,E:E,E378)*0.5),"код для проверки","нормальный код")</f>
        <v/>
      </c>
      <c r="W378">
        <f>IF(N378&lt;SUMIFS(L:L,R:R,1,E:E,E378)/SUMIFS(K:K,R:R,1,E:E,E378)*0.5,"Низшая четверть",IF(N378&lt;SUMIFS(L:L,R:R,1,E:E,E378)/SUMIFS(K:K,R:R,1,E:E,E378),"Вторая четверть","Больше половины"))</f>
        <v/>
      </c>
      <c r="X378">
        <f>IF(O378&lt;SUMIFS(M:M,R:R,1,E:E,E378)/SUMIFS(L:L,R:R,1,E:E,E378)*0.5,"Низшая четверть",IF(O378&lt;SUMIFS(M:M,R:R,1,E:E,E378)/SUMIFS(L:L,R:R,1,E:E,E378),"Вторая четверть","Больше половины"))</f>
        <v/>
      </c>
      <c r="Y378" t="n">
        <v>20</v>
      </c>
    </row>
    <row r="379">
      <c r="A379" s="1" t="inlineStr">
        <is>
          <t>30200220</t>
        </is>
      </c>
      <c r="B379" s="2" t="inlineStr">
        <is>
          <t>716072332</t>
        </is>
      </c>
      <c r="C379" s="3" t="inlineStr">
        <is>
          <t>Одежда для детей</t>
        </is>
      </c>
      <c r="D379" s="2" t="inlineStr">
        <is>
          <t>Платья, майки, футболки детские для девочек</t>
        </is>
      </c>
      <c r="E379" s="3" t="inlineStr">
        <is>
          <t>302 Юбка детская для девочек</t>
        </is>
      </c>
      <c r="F379" s="2" t="inlineStr">
        <is>
          <t>всесезонный</t>
        </is>
      </c>
      <c r="G379" s="3" t="inlineStr">
        <is>
          <t>Kari KIDS</t>
        </is>
      </c>
      <c r="H379" s="2" t="inlineStr">
        <is>
          <t>Зиннуров Ильнур</t>
        </is>
      </c>
      <c r="J379" s="3" t="inlineStr">
        <is>
          <t>2026SS</t>
        </is>
      </c>
      <c r="K379" s="3" t="n">
        <v>10533</v>
      </c>
      <c r="L379" s="3" t="n">
        <v>833</v>
      </c>
      <c r="M379" s="3" t="n">
        <v>39</v>
      </c>
      <c r="N379" s="4">
        <f>IFERROR(L379/K379,0)</f>
        <v/>
      </c>
      <c r="O379" s="4">
        <f>IFERROR(M379/L379,0)</f>
        <v/>
      </c>
      <c r="P379" t="n">
        <v>331</v>
      </c>
      <c r="Q379" s="5" t="n">
        <v>0.8</v>
      </c>
      <c r="R379" s="7" t="n">
        <v>1</v>
      </c>
      <c r="S379">
        <f>IF(OR(N379&lt;$T$1*0.5,O379&lt;$U$1*0.5),"код для проверки","нормальный код")</f>
        <v/>
      </c>
      <c r="T379">
        <f>IF(N379&lt;$T$1*0.5,"Низшая четверть",IF(N379&lt;$T$1,"Вторая четверть","Больше половины"))</f>
        <v/>
      </c>
      <c r="U379">
        <f>IF(O379&lt;$U$1*0.5,"Низшая четверть",IF(O379&lt;$U$1,"Вторая четверть","Больше половины"))</f>
        <v/>
      </c>
      <c r="V379">
        <f>IF(OR(N379&lt;SUMIFS(L:L,R:R,1,E:E,E379)/SUMIFS(K:K,R:R,1,E:E,E379)*0.5,O379&lt;SUMIFS(M:M,R:R,1,E:E,E379)/SUMIFS(L:L,R:R,1,E:E,E379)*0.5),"код для проверки","нормальный код")</f>
        <v/>
      </c>
      <c r="W379">
        <f>IF(N379&lt;SUMIFS(L:L,R:R,1,E:E,E379)/SUMIFS(K:K,R:R,1,E:E,E379)*0.5,"Низшая четверть",IF(N379&lt;SUMIFS(L:L,R:R,1,E:E,E379)/SUMIFS(K:K,R:R,1,E:E,E379),"Вторая четверть","Больше половины"))</f>
        <v/>
      </c>
      <c r="X379">
        <f>IF(O379&lt;SUMIFS(M:M,R:R,1,E:E,E379)/SUMIFS(L:L,R:R,1,E:E,E379)*0.5,"Низшая четверть",IF(O379&lt;SUMIFS(M:M,R:R,1,E:E,E379)/SUMIFS(L:L,R:R,1,E:E,E379),"Вторая четверть","Больше половины"))</f>
        <v/>
      </c>
      <c r="Y379" t="n">
        <v>12</v>
      </c>
    </row>
    <row r="380">
      <c r="A380" s="1" t="inlineStr">
        <is>
          <t>39300610</t>
        </is>
      </c>
      <c r="B380" s="2" t="inlineStr">
        <is>
          <t>697334173</t>
        </is>
      </c>
      <c r="C380" s="3" t="inlineStr">
        <is>
          <t>Одежда для детей</t>
        </is>
      </c>
      <c r="D380" s="2" t="inlineStr">
        <is>
          <t>Чулочные и носочные детские изделия для девочек</t>
        </is>
      </c>
      <c r="E380" s="3" t="inlineStr">
        <is>
          <t>393 Детские легинсы</t>
        </is>
      </c>
      <c r="F380" s="2" t="inlineStr">
        <is>
          <t>всесезонный</t>
        </is>
      </c>
      <c r="G380" s="3" t="inlineStr">
        <is>
          <t>Kari KIDS</t>
        </is>
      </c>
      <c r="H380" s="2" t="inlineStr">
        <is>
          <t>Зиннуров Ильнур</t>
        </is>
      </c>
      <c r="J380" s="3" t="inlineStr">
        <is>
          <t>2026SS</t>
        </is>
      </c>
      <c r="K380" s="3" t="n">
        <v>10483</v>
      </c>
      <c r="L380" s="3" t="n">
        <v>1950</v>
      </c>
      <c r="M380" s="3" t="n">
        <v>68</v>
      </c>
      <c r="N380" s="4">
        <f>IFERROR(L380/K380,0)</f>
        <v/>
      </c>
      <c r="O380" s="4">
        <f>IFERROR(M380/L380,0)</f>
        <v/>
      </c>
      <c r="P380" t="n">
        <v>561</v>
      </c>
      <c r="Q380" s="5" t="n">
        <v>0.8</v>
      </c>
      <c r="R380" s="7" t="n">
        <v>1</v>
      </c>
      <c r="S380">
        <f>IF(OR(N380&lt;$T$1*0.5,O380&lt;$U$1*0.5),"код для проверки","нормальный код")</f>
        <v/>
      </c>
      <c r="T380">
        <f>IF(N380&lt;$T$1*0.5,"Низшая четверть",IF(N380&lt;$T$1,"Вторая четверть","Больше половины"))</f>
        <v/>
      </c>
      <c r="U380">
        <f>IF(O380&lt;$U$1*0.5,"Низшая четверть",IF(O380&lt;$U$1,"Вторая четверть","Больше половины"))</f>
        <v/>
      </c>
      <c r="V380">
        <f>IF(OR(N380&lt;SUMIFS(L:L,R:R,1,E:E,E380)/SUMIFS(K:K,R:R,1,E:E,E380)*0.5,O380&lt;SUMIFS(M:M,R:R,1,E:E,E380)/SUMIFS(L:L,R:R,1,E:E,E380)*0.5),"код для проверки","нормальный код")</f>
        <v/>
      </c>
      <c r="W380">
        <f>IF(N380&lt;SUMIFS(L:L,R:R,1,E:E,E380)/SUMIFS(K:K,R:R,1,E:E,E380)*0.5,"Низшая четверть",IF(N380&lt;SUMIFS(L:L,R:R,1,E:E,E380)/SUMIFS(K:K,R:R,1,E:E,E380),"Вторая четверть","Больше половины"))</f>
        <v/>
      </c>
      <c r="X380">
        <f>IF(O380&lt;SUMIFS(M:M,R:R,1,E:E,E380)/SUMIFS(L:L,R:R,1,E:E,E380)*0.5,"Низшая четверть",IF(O380&lt;SUMIFS(M:M,R:R,1,E:E,E380)/SUMIFS(L:L,R:R,1,E:E,E380),"Вторая четверть","Больше половины"))</f>
        <v/>
      </c>
      <c r="Y380" t="n">
        <v>13</v>
      </c>
    </row>
    <row r="381">
      <c r="A381" s="1" t="inlineStr">
        <is>
          <t>96700060</t>
        </is>
      </c>
      <c r="B381" s="2" t="inlineStr">
        <is>
          <t>726680885</t>
        </is>
      </c>
      <c r="C381" s="3" t="inlineStr">
        <is>
          <t>Одежда для детей</t>
        </is>
      </c>
      <c r="D381" s="2" t="inlineStr">
        <is>
          <t>Верхняя детская одежда для девочек</t>
        </is>
      </c>
      <c r="E381" s="3" t="inlineStr">
        <is>
          <t>967 Куртка джинсовая для девочки</t>
        </is>
      </c>
      <c r="F381" s="2" t="inlineStr">
        <is>
          <t>весна, лето, осень</t>
        </is>
      </c>
      <c r="G381" s="3" t="inlineStr">
        <is>
          <t>Kari KIDS</t>
        </is>
      </c>
      <c r="H381" s="2" t="inlineStr">
        <is>
          <t>Зиннуров Ильнур</t>
        </is>
      </c>
      <c r="J381" s="3" t="inlineStr">
        <is>
          <t>2026SS</t>
        </is>
      </c>
      <c r="K381" s="3" t="n">
        <v>10374</v>
      </c>
      <c r="L381" s="3" t="n">
        <v>921</v>
      </c>
      <c r="M381" s="3" t="n">
        <v>12</v>
      </c>
      <c r="N381" s="4">
        <f>IFERROR(L381/K381,0)</f>
        <v/>
      </c>
      <c r="O381" s="4">
        <f>IFERROR(M381/L381,0)</f>
        <v/>
      </c>
      <c r="P381" t="n">
        <v>416</v>
      </c>
      <c r="Q381" s="5" t="n">
        <v>1</v>
      </c>
      <c r="R381" s="7" t="n">
        <v>1</v>
      </c>
      <c r="S381">
        <f>IF(OR(N381&lt;$T$1*0.5,O381&lt;$U$1*0.5),"код для проверки","нормальный код")</f>
        <v/>
      </c>
      <c r="T381">
        <f>IF(N381&lt;$T$1*0.5,"Низшая четверть",IF(N381&lt;$T$1,"Вторая четверть","Больше половины"))</f>
        <v/>
      </c>
      <c r="U381">
        <f>IF(O381&lt;$U$1*0.5,"Низшая четверть",IF(O381&lt;$U$1,"Вторая четверть","Больше половины"))</f>
        <v/>
      </c>
      <c r="V381">
        <f>IF(OR(N381&lt;SUMIFS(L:L,R:R,1,E:E,E381)/SUMIFS(K:K,R:R,1,E:E,E381)*0.5,O381&lt;SUMIFS(M:M,R:R,1,E:E,E381)/SUMIFS(L:L,R:R,1,E:E,E381)*0.5),"код для проверки","нормальный код")</f>
        <v/>
      </c>
      <c r="W381">
        <f>IF(N381&lt;SUMIFS(L:L,R:R,1,E:E,E381)/SUMIFS(K:K,R:R,1,E:E,E381)*0.5,"Низшая четверть",IF(N381&lt;SUMIFS(L:L,R:R,1,E:E,E381)/SUMIFS(K:K,R:R,1,E:E,E381),"Вторая четверть","Больше половины"))</f>
        <v/>
      </c>
      <c r="X381">
        <f>IF(O381&lt;SUMIFS(M:M,R:R,1,E:E,E381)/SUMIFS(L:L,R:R,1,E:E,E381)*0.5,"Низшая четверть",IF(O381&lt;SUMIFS(M:M,R:R,1,E:E,E381)/SUMIFS(L:L,R:R,1,E:E,E381),"Вторая четверть","Больше половины"))</f>
        <v/>
      </c>
      <c r="Y381" t="n">
        <v>23</v>
      </c>
    </row>
    <row r="382">
      <c r="A382" s="1" t="inlineStr">
        <is>
          <t>a8700000</t>
        </is>
      </c>
      <c r="B382" s="2" t="inlineStr">
        <is>
          <t>716561247</t>
        </is>
      </c>
      <c r="C382" s="3" t="inlineStr">
        <is>
          <t>Одежда для детей</t>
        </is>
      </c>
      <c r="D382" s="2" t="inlineStr">
        <is>
          <t>Свитера детские для девочек</t>
        </is>
      </c>
      <c r="E382" s="3" t="inlineStr">
        <is>
          <t>a87 Толстовка на молнии утепленная для девочек</t>
        </is>
      </c>
      <c r="F382" s="2" t="inlineStr">
        <is>
          <t>весна, осень, зима</t>
        </is>
      </c>
      <c r="G382" s="3" t="inlineStr">
        <is>
          <t>Kari KIDS</t>
        </is>
      </c>
      <c r="H382" s="2" t="inlineStr">
        <is>
          <t>Зиннуров Ильнур</t>
        </is>
      </c>
      <c r="J382" s="3" t="inlineStr">
        <is>
          <t>2026SS</t>
        </is>
      </c>
      <c r="K382" s="3" t="n">
        <v>10341</v>
      </c>
      <c r="L382" s="3" t="n">
        <v>884</v>
      </c>
      <c r="M382" s="3" t="n">
        <v>5</v>
      </c>
      <c r="N382" s="4">
        <f>IFERROR(L382/K382,0)</f>
        <v/>
      </c>
      <c r="O382" s="4">
        <f>IFERROR(M382/L382,0)</f>
        <v/>
      </c>
      <c r="P382" t="n">
        <v>485</v>
      </c>
      <c r="Q382" s="5" t="n">
        <v>1</v>
      </c>
      <c r="R382" s="7" t="n">
        <v>1</v>
      </c>
      <c r="S382">
        <f>IF(OR(N382&lt;$T$1*0.5,O382&lt;$U$1*0.5),"код для проверки","нормальный код")</f>
        <v/>
      </c>
      <c r="T382">
        <f>IF(N382&lt;$T$1*0.5,"Низшая четверть",IF(N382&lt;$T$1,"Вторая четверть","Больше половины"))</f>
        <v/>
      </c>
      <c r="U382">
        <f>IF(O382&lt;$U$1*0.5,"Низшая четверть",IF(O382&lt;$U$1,"Вторая четверть","Больше половины"))</f>
        <v/>
      </c>
      <c r="V382">
        <f>IF(OR(N382&lt;SUMIFS(L:L,R:R,1,E:E,E382)/SUMIFS(K:K,R:R,1,E:E,E382)*0.5,O382&lt;SUMIFS(M:M,R:R,1,E:E,E382)/SUMIFS(L:L,R:R,1,E:E,E382)*0.5),"код для проверки","нормальный код")</f>
        <v/>
      </c>
      <c r="W382">
        <f>IF(N382&lt;SUMIFS(L:L,R:R,1,E:E,E382)/SUMIFS(K:K,R:R,1,E:E,E382)*0.5,"Низшая четверть",IF(N382&lt;SUMIFS(L:L,R:R,1,E:E,E382)/SUMIFS(K:K,R:R,1,E:E,E382),"Вторая четверть","Больше половины"))</f>
        <v/>
      </c>
      <c r="X382">
        <f>IF(O382&lt;SUMIFS(M:M,R:R,1,E:E,E382)/SUMIFS(L:L,R:R,1,E:E,E382)*0.5,"Низшая четверть",IF(O382&lt;SUMIFS(M:M,R:R,1,E:E,E382)/SUMIFS(L:L,R:R,1,E:E,E382),"Вторая четверть","Больше половины"))</f>
        <v/>
      </c>
      <c r="Y382" t="n">
        <v>14</v>
      </c>
    </row>
    <row r="383">
      <c r="A383" s="1" t="inlineStr">
        <is>
          <t>20200320</t>
        </is>
      </c>
      <c r="B383" s="2" t="inlineStr">
        <is>
          <t>760592178</t>
        </is>
      </c>
      <c r="C383" s="3" t="inlineStr">
        <is>
          <t>Одежда для детей</t>
        </is>
      </c>
      <c r="D383" s="2" t="inlineStr">
        <is>
          <t>Головные уборы детские для мальчиков</t>
        </is>
      </c>
      <c r="E383" s="3" t="inlineStr">
        <is>
          <t>202 Бейсболка детская для мальчиков</t>
        </is>
      </c>
      <c r="F383" s="2" t="inlineStr">
        <is>
          <t>весна, лето</t>
        </is>
      </c>
      <c r="G383" s="3" t="inlineStr">
        <is>
          <t>kari</t>
        </is>
      </c>
      <c r="H383" s="2" t="inlineStr">
        <is>
          <t>Никонорова Алина</t>
        </is>
      </c>
      <c r="J383" s="3" t="inlineStr">
        <is>
          <t>2026SS</t>
        </is>
      </c>
      <c r="K383" s="3" t="n">
        <v>10286</v>
      </c>
      <c r="L383" s="3" t="n">
        <v>833</v>
      </c>
      <c r="M383" s="3" t="n">
        <v>33</v>
      </c>
      <c r="N383" s="4">
        <f>IFERROR(L383/K383,0)</f>
        <v/>
      </c>
      <c r="O383" s="4">
        <f>IFERROR(M383/L383,0)</f>
        <v/>
      </c>
      <c r="P383" t="n">
        <v>550</v>
      </c>
      <c r="Q383" s="5" t="n">
        <v>1</v>
      </c>
      <c r="R383" s="7" t="n">
        <v>1</v>
      </c>
      <c r="S383">
        <f>IF(OR(N383&lt;$T$1*0.5,O383&lt;$U$1*0.5),"код для проверки","нормальный код")</f>
        <v/>
      </c>
      <c r="T383">
        <f>IF(N383&lt;$T$1*0.5,"Низшая четверть",IF(N383&lt;$T$1,"Вторая четверть","Больше половины"))</f>
        <v/>
      </c>
      <c r="U383">
        <f>IF(O383&lt;$U$1*0.5,"Низшая четверть",IF(O383&lt;$U$1,"Вторая четверть","Больше половины"))</f>
        <v/>
      </c>
      <c r="V383">
        <f>IF(OR(N383&lt;SUMIFS(L:L,R:R,1,E:E,E383)/SUMIFS(K:K,R:R,1,E:E,E383)*0.5,O383&lt;SUMIFS(M:M,R:R,1,E:E,E383)/SUMIFS(L:L,R:R,1,E:E,E383)*0.5),"код для проверки","нормальный код")</f>
        <v/>
      </c>
      <c r="W383">
        <f>IF(N383&lt;SUMIFS(L:L,R:R,1,E:E,E383)/SUMIFS(K:K,R:R,1,E:E,E383)*0.5,"Низшая четверть",IF(N383&lt;SUMIFS(L:L,R:R,1,E:E,E383)/SUMIFS(K:K,R:R,1,E:E,E383),"Вторая четверть","Больше половины"))</f>
        <v/>
      </c>
      <c r="X383">
        <f>IF(O383&lt;SUMIFS(M:M,R:R,1,E:E,E383)/SUMIFS(L:L,R:R,1,E:E,E383)*0.5,"Низшая четверть",IF(O383&lt;SUMIFS(M:M,R:R,1,E:E,E383)/SUMIFS(L:L,R:R,1,E:E,E383),"Вторая четверть","Больше половины"))</f>
        <v/>
      </c>
      <c r="Y383" t="n">
        <v>10</v>
      </c>
    </row>
    <row r="384">
      <c r="A384" s="1" t="inlineStr">
        <is>
          <t>12304104</t>
        </is>
      </c>
      <c r="B384" s="2" t="inlineStr">
        <is>
          <t>378959455</t>
        </is>
      </c>
      <c r="C384" s="3" t="inlineStr">
        <is>
          <t>Одежда и аксессуары</t>
        </is>
      </c>
      <c r="D384" s="2" t="inlineStr">
        <is>
          <t>Чулочные и носочные изделия для женщин</t>
        </is>
      </c>
      <c r="E384" s="3" t="inlineStr">
        <is>
          <t>123 Гольфы эластичные женские</t>
        </is>
      </c>
      <c r="F384" s="2" t="inlineStr">
        <is>
          <t>всесезонный</t>
        </is>
      </c>
      <c r="G384" s="3" t="inlineStr">
        <is>
          <t>kari</t>
        </is>
      </c>
      <c r="H384" s="2" t="inlineStr">
        <is>
          <t>Зиннуров Ильнур</t>
        </is>
      </c>
      <c r="J384" s="3" t="inlineStr">
        <is>
          <t>2026SS</t>
        </is>
      </c>
      <c r="K384" s="3" t="n">
        <v>10166</v>
      </c>
      <c r="L384" s="3" t="n">
        <v>1040</v>
      </c>
      <c r="M384" s="3" t="n">
        <v>80</v>
      </c>
      <c r="N384" s="4">
        <f>IFERROR(L384/K384,0)</f>
        <v/>
      </c>
      <c r="O384" s="4">
        <f>IFERROR(M384/L384,0)</f>
        <v/>
      </c>
      <c r="P384" t="n">
        <v>2598</v>
      </c>
      <c r="Q384" s="5" t="n">
        <v>1</v>
      </c>
      <c r="R384" s="7" t="n">
        <v>1</v>
      </c>
      <c r="S384">
        <f>IF(OR(N384&lt;$T$1*0.5,O384&lt;$U$1*0.5),"код для проверки","нормальный код")</f>
        <v/>
      </c>
      <c r="T384">
        <f>IF(N384&lt;$T$1*0.5,"Низшая четверть",IF(N384&lt;$T$1,"Вторая четверть","Больше половины"))</f>
        <v/>
      </c>
      <c r="U384">
        <f>IF(O384&lt;$U$1*0.5,"Низшая четверть",IF(O384&lt;$U$1,"Вторая четверть","Больше половины"))</f>
        <v/>
      </c>
      <c r="V384">
        <f>IF(OR(N384&lt;SUMIFS(L:L,R:R,1,E:E,E384)/SUMIFS(K:K,R:R,1,E:E,E384)*0.5,O384&lt;SUMIFS(M:M,R:R,1,E:E,E384)/SUMIFS(L:L,R:R,1,E:E,E384)*0.5),"код для проверки","нормальный код")</f>
        <v/>
      </c>
      <c r="W384">
        <f>IF(N384&lt;SUMIFS(L:L,R:R,1,E:E,E384)/SUMIFS(K:K,R:R,1,E:E,E384)*0.5,"Низшая четверть",IF(N384&lt;SUMIFS(L:L,R:R,1,E:E,E384)/SUMIFS(K:K,R:R,1,E:E,E384),"Вторая четверть","Больше половины"))</f>
        <v/>
      </c>
      <c r="X384">
        <f>IF(O384&lt;SUMIFS(M:M,R:R,1,E:E,E384)/SUMIFS(L:L,R:R,1,E:E,E384)*0.5,"Низшая четверть",IF(O384&lt;SUMIFS(M:M,R:R,1,E:E,E384)/SUMIFS(L:L,R:R,1,E:E,E384),"Вторая четверть","Больше половины"))</f>
        <v/>
      </c>
      <c r="Y384" t="n">
        <v>6</v>
      </c>
    </row>
    <row r="385">
      <c r="A385" s="1" t="inlineStr">
        <is>
          <t>39300640</t>
        </is>
      </c>
      <c r="B385" s="2" t="inlineStr">
        <is>
          <t>721063886</t>
        </is>
      </c>
      <c r="C385" s="3" t="inlineStr">
        <is>
          <t>Одежда для детей</t>
        </is>
      </c>
      <c r="D385" s="2" t="inlineStr">
        <is>
          <t>Чулочные и носочные детские изделия для девочек</t>
        </is>
      </c>
      <c r="E385" s="3" t="inlineStr">
        <is>
          <t>393 Детские легинсы</t>
        </is>
      </c>
      <c r="F385" s="2" t="inlineStr">
        <is>
          <t>всесезонный</t>
        </is>
      </c>
      <c r="G385" s="3" t="inlineStr">
        <is>
          <t>Kari KIDS</t>
        </is>
      </c>
      <c r="H385" s="2" t="inlineStr">
        <is>
          <t>Зиннуров Ильнур</t>
        </is>
      </c>
      <c r="J385" s="3" t="inlineStr">
        <is>
          <t>2026SS</t>
        </is>
      </c>
      <c r="K385" s="3" t="n">
        <v>10165</v>
      </c>
      <c r="L385" s="3" t="n">
        <v>635</v>
      </c>
      <c r="M385" s="3" t="n">
        <v>10</v>
      </c>
      <c r="N385" s="4">
        <f>IFERROR(L385/K385,0)</f>
        <v/>
      </c>
      <c r="O385" s="4">
        <f>IFERROR(M385/L385,0)</f>
        <v/>
      </c>
      <c r="P385" t="n">
        <v>144</v>
      </c>
      <c r="Q385" s="5" t="n">
        <v>0.6</v>
      </c>
      <c r="R385" s="7" t="n">
        <v>1</v>
      </c>
      <c r="S385">
        <f>IF(OR(N385&lt;$T$1*0.5,O385&lt;$U$1*0.5),"код для проверки","нормальный код")</f>
        <v/>
      </c>
      <c r="T385">
        <f>IF(N385&lt;$T$1*0.5,"Низшая четверть",IF(N385&lt;$T$1,"Вторая четверть","Больше половины"))</f>
        <v/>
      </c>
      <c r="U385">
        <f>IF(O385&lt;$U$1*0.5,"Низшая четверть",IF(O385&lt;$U$1,"Вторая четверть","Больше половины"))</f>
        <v/>
      </c>
      <c r="V385">
        <f>IF(OR(N385&lt;SUMIFS(L:L,R:R,1,E:E,E385)/SUMIFS(K:K,R:R,1,E:E,E385)*0.5,O385&lt;SUMIFS(M:M,R:R,1,E:E,E385)/SUMIFS(L:L,R:R,1,E:E,E385)*0.5),"код для проверки","нормальный код")</f>
        <v/>
      </c>
      <c r="W385">
        <f>IF(N385&lt;SUMIFS(L:L,R:R,1,E:E,E385)/SUMIFS(K:K,R:R,1,E:E,E385)*0.5,"Низшая четверть",IF(N385&lt;SUMIFS(L:L,R:R,1,E:E,E385)/SUMIFS(K:K,R:R,1,E:E,E385),"Вторая четверть","Больше половины"))</f>
        <v/>
      </c>
      <c r="X385">
        <f>IF(O385&lt;SUMIFS(M:M,R:R,1,E:E,E385)/SUMIFS(L:L,R:R,1,E:E,E385)*0.5,"Низшая четверть",IF(O385&lt;SUMIFS(M:M,R:R,1,E:E,E385)/SUMIFS(L:L,R:R,1,E:E,E385),"Вторая четверть","Больше половины"))</f>
        <v/>
      </c>
      <c r="Y385" t="n">
        <v>13</v>
      </c>
    </row>
    <row r="386">
      <c r="A386" s="1" t="inlineStr">
        <is>
          <t>a8900090</t>
        </is>
      </c>
      <c r="B386" s="2" t="inlineStr">
        <is>
          <t>696912199</t>
        </is>
      </c>
      <c r="C386" s="3" t="inlineStr">
        <is>
          <t>Одежда для детей</t>
        </is>
      </c>
      <c r="D386" s="2" t="inlineStr">
        <is>
          <t>Свитера детские для девочек</t>
        </is>
      </c>
      <c r="E386" s="3" t="inlineStr">
        <is>
          <t>a89 Свитшот для девочки</t>
        </is>
      </c>
      <c r="F386" s="2" t="inlineStr">
        <is>
          <t>весна, лето, осень</t>
        </is>
      </c>
      <c r="G386" s="3" t="inlineStr">
        <is>
          <t>Kari KIDS</t>
        </is>
      </c>
      <c r="H386" s="2" t="inlineStr">
        <is>
          <t>Зиннуров Ильнур</t>
        </is>
      </c>
      <c r="J386" s="3" t="inlineStr">
        <is>
          <t>2026SS</t>
        </is>
      </c>
      <c r="K386" s="3" t="n">
        <v>10094</v>
      </c>
      <c r="L386" s="3" t="n">
        <v>614</v>
      </c>
      <c r="M386" s="3" t="n">
        <v>7</v>
      </c>
      <c r="N386" s="4">
        <f>IFERROR(L386/K386,0)</f>
        <v/>
      </c>
      <c r="O386" s="4">
        <f>IFERROR(M386/L386,0)</f>
        <v/>
      </c>
      <c r="P386" t="n">
        <v>320</v>
      </c>
      <c r="Q386" s="5" t="n">
        <v>1</v>
      </c>
      <c r="R386" s="7" t="n">
        <v>1</v>
      </c>
      <c r="S386">
        <f>IF(OR(N386&lt;$T$1*0.5,O386&lt;$U$1*0.5),"код для проверки","нормальный код")</f>
        <v/>
      </c>
      <c r="T386">
        <f>IF(N386&lt;$T$1*0.5,"Низшая четверть",IF(N386&lt;$T$1,"Вторая четверть","Больше половины"))</f>
        <v/>
      </c>
      <c r="U386">
        <f>IF(O386&lt;$U$1*0.5,"Низшая четверть",IF(O386&lt;$U$1,"Вторая четверть","Больше половины"))</f>
        <v/>
      </c>
      <c r="V386">
        <f>IF(OR(N386&lt;SUMIFS(L:L,R:R,1,E:E,E386)/SUMIFS(K:K,R:R,1,E:E,E386)*0.5,O386&lt;SUMIFS(M:M,R:R,1,E:E,E386)/SUMIFS(L:L,R:R,1,E:E,E386)*0.5),"код для проверки","нормальный код")</f>
        <v/>
      </c>
      <c r="W386">
        <f>IF(N386&lt;SUMIFS(L:L,R:R,1,E:E,E386)/SUMIFS(K:K,R:R,1,E:E,E386)*0.5,"Низшая четверть",IF(N386&lt;SUMIFS(L:L,R:R,1,E:E,E386)/SUMIFS(K:K,R:R,1,E:E,E386),"Вторая четверть","Больше половины"))</f>
        <v/>
      </c>
      <c r="X386">
        <f>IF(O386&lt;SUMIFS(M:M,R:R,1,E:E,E386)/SUMIFS(L:L,R:R,1,E:E,E386)*0.5,"Низшая четверть",IF(O386&lt;SUMIFS(M:M,R:R,1,E:E,E386)/SUMIFS(L:L,R:R,1,E:E,E386),"Вторая четверть","Больше половины"))</f>
        <v/>
      </c>
      <c r="Y386" t="n">
        <v>22</v>
      </c>
    </row>
    <row r="387">
      <c r="A387" s="1" t="inlineStr">
        <is>
          <t>93700260</t>
        </is>
      </c>
      <c r="B387" s="2" t="inlineStr">
        <is>
          <t>913217593</t>
        </is>
      </c>
      <c r="C387" s="3" t="inlineStr">
        <is>
          <t>Одежда для детей</t>
        </is>
      </c>
      <c r="D387" s="2" t="inlineStr">
        <is>
          <t>Одежда для новорожденных</t>
        </is>
      </c>
      <c r="E387" s="3" t="inlineStr">
        <is>
          <t>937 Боди с коротким рукавом для мальчиков</t>
        </is>
      </c>
      <c r="F387" s="2" t="inlineStr">
        <is>
          <t>всесезонный</t>
        </is>
      </c>
      <c r="G387" s="3" t="inlineStr">
        <is>
          <t>Kari baby</t>
        </is>
      </c>
      <c r="H387" s="2" t="inlineStr">
        <is>
          <t>Зиннуров Ильнур</t>
        </is>
      </c>
      <c r="J387" s="3" t="inlineStr">
        <is>
          <t>2026SS</t>
        </is>
      </c>
      <c r="K387" s="3" t="n">
        <v>10059</v>
      </c>
      <c r="L387" s="3" t="n">
        <v>225</v>
      </c>
      <c r="M387" s="3" t="n">
        <v>4</v>
      </c>
      <c r="N387" s="4">
        <f>IFERROR(L387/K387,0)</f>
        <v/>
      </c>
      <c r="O387" s="4">
        <f>IFERROR(M387/L387,0)</f>
        <v/>
      </c>
      <c r="P387" t="n">
        <v>335</v>
      </c>
      <c r="Q387" s="5" t="n">
        <v>1</v>
      </c>
      <c r="R387" s="7" t="n">
        <v>1</v>
      </c>
      <c r="S387">
        <f>IF(OR(N387&lt;$T$1*0.5,O387&lt;$U$1*0.5),"код для проверки","нормальный код")</f>
        <v/>
      </c>
      <c r="T387">
        <f>IF(N387&lt;$T$1*0.5,"Низшая четверть",IF(N387&lt;$T$1,"Вторая четверть","Больше половины"))</f>
        <v/>
      </c>
      <c r="U387">
        <f>IF(O387&lt;$U$1*0.5,"Низшая четверть",IF(O387&lt;$U$1,"Вторая четверть","Больше половины"))</f>
        <v/>
      </c>
      <c r="V387">
        <f>IF(OR(N387&lt;SUMIFS(L:L,R:R,1,E:E,E387)/SUMIFS(K:K,R:R,1,E:E,E387)*0.5,O387&lt;SUMIFS(M:M,R:R,1,E:E,E387)/SUMIFS(L:L,R:R,1,E:E,E387)*0.5),"код для проверки","нормальный код")</f>
        <v/>
      </c>
      <c r="W387">
        <f>IF(N387&lt;SUMIFS(L:L,R:R,1,E:E,E387)/SUMIFS(K:K,R:R,1,E:E,E387)*0.5,"Низшая четверть",IF(N387&lt;SUMIFS(L:L,R:R,1,E:E,E387)/SUMIFS(K:K,R:R,1,E:E,E387),"Вторая четверть","Больше половины"))</f>
        <v/>
      </c>
      <c r="X387">
        <f>IF(O387&lt;SUMIFS(M:M,R:R,1,E:E,E387)/SUMIFS(L:L,R:R,1,E:E,E387)*0.5,"Низшая четверть",IF(O387&lt;SUMIFS(M:M,R:R,1,E:E,E387)/SUMIFS(L:L,R:R,1,E:E,E387),"Вторая четверть","Больше половины"))</f>
        <v/>
      </c>
      <c r="Y387" t="n">
        <v>24</v>
      </c>
    </row>
    <row r="388">
      <c r="A388" s="1" t="inlineStr">
        <is>
          <t>11000050</t>
        </is>
      </c>
      <c r="B388" s="2" t="inlineStr">
        <is>
          <t>707522633</t>
        </is>
      </c>
      <c r="C388" s="3" t="inlineStr">
        <is>
          <t>Одежда и аксессуары</t>
        </is>
      </c>
      <c r="D388" s="2" t="inlineStr">
        <is>
          <t>Шарфы женские</t>
        </is>
      </c>
      <c r="E388" s="3" t="inlineStr">
        <is>
          <t>110 Платок женский</t>
        </is>
      </c>
      <c r="F388" s="2" t="inlineStr">
        <is>
          <t>демисезонный</t>
        </is>
      </c>
      <c r="G388" s="3" t="inlineStr">
        <is>
          <t>kari</t>
        </is>
      </c>
      <c r="H388" s="2" t="inlineStr">
        <is>
          <t>Никонорова Алина</t>
        </is>
      </c>
      <c r="J388" s="3" t="inlineStr">
        <is>
          <t>2026SS</t>
        </is>
      </c>
      <c r="K388" s="3" t="n">
        <v>10056</v>
      </c>
      <c r="L388" s="3" t="n">
        <v>3849</v>
      </c>
      <c r="M388" s="3" t="n">
        <v>56</v>
      </c>
      <c r="N388" s="4">
        <f>IFERROR(L388/K388,0)</f>
        <v/>
      </c>
      <c r="O388" s="4">
        <f>IFERROR(M388/L388,0)</f>
        <v/>
      </c>
      <c r="P388" t="n">
        <v>630</v>
      </c>
      <c r="Q388" s="5" t="n">
        <v>1</v>
      </c>
      <c r="R388" s="7" t="n">
        <v>1</v>
      </c>
      <c r="S388">
        <f>IF(OR(N388&lt;$T$1*0.5,O388&lt;$U$1*0.5),"код для проверки","нормальный код")</f>
        <v/>
      </c>
      <c r="T388">
        <f>IF(N388&lt;$T$1*0.5,"Низшая четверть",IF(N388&lt;$T$1,"Вторая четверть","Больше половины"))</f>
        <v/>
      </c>
      <c r="U388">
        <f>IF(O388&lt;$U$1*0.5,"Низшая четверть",IF(O388&lt;$U$1,"Вторая четверть","Больше половины"))</f>
        <v/>
      </c>
      <c r="V388">
        <f>IF(OR(N388&lt;SUMIFS(L:L,R:R,1,E:E,E388)/SUMIFS(K:K,R:R,1,E:E,E388)*0.5,O388&lt;SUMIFS(M:M,R:R,1,E:E,E388)/SUMIFS(L:L,R:R,1,E:E,E388)*0.5),"код для проверки","нормальный код")</f>
        <v/>
      </c>
      <c r="W388">
        <f>IF(N388&lt;SUMIFS(L:L,R:R,1,E:E,E388)/SUMIFS(K:K,R:R,1,E:E,E388)*0.5,"Низшая четверть",IF(N388&lt;SUMIFS(L:L,R:R,1,E:E,E388)/SUMIFS(K:K,R:R,1,E:E,E388),"Вторая четверть","Больше половины"))</f>
        <v/>
      </c>
      <c r="X388">
        <f>IF(O388&lt;SUMIFS(M:M,R:R,1,E:E,E388)/SUMIFS(L:L,R:R,1,E:E,E388)*0.5,"Низшая четверть",IF(O388&lt;SUMIFS(M:M,R:R,1,E:E,E388)/SUMIFS(L:L,R:R,1,E:E,E388),"Вторая четверть","Больше половины"))</f>
        <v/>
      </c>
      <c r="Y388" t="n">
        <v>14</v>
      </c>
    </row>
    <row r="389">
      <c r="A389" s="1" t="inlineStr">
        <is>
          <t>16800050</t>
        </is>
      </c>
      <c r="B389" s="2" t="inlineStr">
        <is>
          <t>766703860</t>
        </is>
      </c>
      <c r="C389" s="3" t="inlineStr">
        <is>
          <t>Одежда и аксессуары</t>
        </is>
      </c>
      <c r="D389" s="2" t="inlineStr">
        <is>
          <t>Головные уборы женские</t>
        </is>
      </c>
      <c r="E389" s="3" t="inlineStr">
        <is>
          <t>168 Шляпа женская летняя</t>
        </is>
      </c>
      <c r="F389" s="2" t="inlineStr">
        <is>
          <t>лето</t>
        </is>
      </c>
      <c r="G389" s="3" t="inlineStr">
        <is>
          <t>kari</t>
        </is>
      </c>
      <c r="H389" s="2" t="inlineStr">
        <is>
          <t>Никонорова Алина</t>
        </is>
      </c>
      <c r="J389" s="3" t="inlineStr">
        <is>
          <t>2026SS</t>
        </is>
      </c>
      <c r="K389" s="3" t="n">
        <v>9983</v>
      </c>
      <c r="L389" s="3" t="n">
        <v>1041</v>
      </c>
      <c r="M389" s="3" t="n">
        <v>11</v>
      </c>
      <c r="N389" s="4">
        <f>IFERROR(L389/K389,0)</f>
        <v/>
      </c>
      <c r="O389" s="4">
        <f>IFERROR(M389/L389,0)</f>
        <v/>
      </c>
      <c r="P389" t="n">
        <v>412</v>
      </c>
      <c r="Q389" s="5" t="n">
        <v>1</v>
      </c>
      <c r="R389" s="7" t="n">
        <v>1</v>
      </c>
      <c r="S389">
        <f>IF(OR(N389&lt;$T$1*0.5,O389&lt;$U$1*0.5),"код для проверки","нормальный код")</f>
        <v/>
      </c>
      <c r="T389">
        <f>IF(N389&lt;$T$1*0.5,"Низшая четверть",IF(N389&lt;$T$1,"Вторая четверть","Больше половины"))</f>
        <v/>
      </c>
      <c r="U389">
        <f>IF(O389&lt;$U$1*0.5,"Низшая четверть",IF(O389&lt;$U$1,"Вторая четверть","Больше половины"))</f>
        <v/>
      </c>
      <c r="V389">
        <f>IF(OR(N389&lt;SUMIFS(L:L,R:R,1,E:E,E389)/SUMIFS(K:K,R:R,1,E:E,E389)*0.5,O389&lt;SUMIFS(M:M,R:R,1,E:E,E389)/SUMIFS(L:L,R:R,1,E:E,E389)*0.5),"код для проверки","нормальный код")</f>
        <v/>
      </c>
      <c r="W389">
        <f>IF(N389&lt;SUMIFS(L:L,R:R,1,E:E,E389)/SUMIFS(K:K,R:R,1,E:E,E389)*0.5,"Низшая четверть",IF(N389&lt;SUMIFS(L:L,R:R,1,E:E,E389)/SUMIFS(K:K,R:R,1,E:E,E389),"Вторая четверть","Больше половины"))</f>
        <v/>
      </c>
      <c r="X389">
        <f>IF(O389&lt;SUMIFS(M:M,R:R,1,E:E,E389)/SUMIFS(L:L,R:R,1,E:E,E389)*0.5,"Низшая четверть",IF(O389&lt;SUMIFS(M:M,R:R,1,E:E,E389)/SUMIFS(L:L,R:R,1,E:E,E389),"Вторая четверть","Больше половины"))</f>
        <v/>
      </c>
      <c r="Y389" t="n">
        <v>15</v>
      </c>
    </row>
    <row r="390">
      <c r="A390" s="1" t="inlineStr">
        <is>
          <t>96100080</t>
        </is>
      </c>
      <c r="B390" s="2" t="inlineStr">
        <is>
          <t>913192706</t>
        </is>
      </c>
      <c r="C390" s="3" t="inlineStr">
        <is>
          <t>Одежда для детей</t>
        </is>
      </c>
      <c r="D390" s="2" t="inlineStr">
        <is>
          <t>Одежда для новорожденных</t>
        </is>
      </c>
      <c r="E390" s="3" t="inlineStr">
        <is>
          <t>961 Комплект летней одежды для маленькой девочки</t>
        </is>
      </c>
      <c r="F390" s="2" t="inlineStr">
        <is>
          <t>весна, лето</t>
        </is>
      </c>
      <c r="G390" s="3" t="inlineStr">
        <is>
          <t>Kari baby</t>
        </is>
      </c>
      <c r="H390" s="2" t="inlineStr">
        <is>
          <t>Зиннуров Ильнур</t>
        </is>
      </c>
      <c r="J390" s="3" t="inlineStr">
        <is>
          <t>2026SS</t>
        </is>
      </c>
      <c r="K390" s="3" t="n">
        <v>9950</v>
      </c>
      <c r="L390" s="3" t="n">
        <v>718</v>
      </c>
      <c r="M390" s="3" t="n">
        <v>4</v>
      </c>
      <c r="N390" s="4">
        <f>IFERROR(L390/K390,0)</f>
        <v/>
      </c>
      <c r="O390" s="4">
        <f>IFERROR(M390/L390,0)</f>
        <v/>
      </c>
      <c r="P390" t="n">
        <v>655</v>
      </c>
      <c r="Q390" s="5" t="n">
        <v>1</v>
      </c>
      <c r="R390" s="7" t="n">
        <v>1</v>
      </c>
      <c r="S390">
        <f>IF(OR(N390&lt;$T$1*0.5,O390&lt;$U$1*0.5),"код для проверки","нормальный код")</f>
        <v/>
      </c>
      <c r="T390">
        <f>IF(N390&lt;$T$1*0.5,"Низшая четверть",IF(N390&lt;$T$1,"Вторая четверть","Больше половины"))</f>
        <v/>
      </c>
      <c r="U390">
        <f>IF(O390&lt;$U$1*0.5,"Низшая четверть",IF(O390&lt;$U$1,"Вторая четверть","Больше половины"))</f>
        <v/>
      </c>
      <c r="V390">
        <f>IF(OR(N390&lt;SUMIFS(L:L,R:R,1,E:E,E390)/SUMIFS(K:K,R:R,1,E:E,E390)*0.5,O390&lt;SUMIFS(M:M,R:R,1,E:E,E390)/SUMIFS(L:L,R:R,1,E:E,E390)*0.5),"код для проверки","нормальный код")</f>
        <v/>
      </c>
      <c r="W390">
        <f>IF(N390&lt;SUMIFS(L:L,R:R,1,E:E,E390)/SUMIFS(K:K,R:R,1,E:E,E390)*0.5,"Низшая четверть",IF(N390&lt;SUMIFS(L:L,R:R,1,E:E,E390)/SUMIFS(K:K,R:R,1,E:E,E390),"Вторая четверть","Больше половины"))</f>
        <v/>
      </c>
      <c r="X390">
        <f>IF(O390&lt;SUMIFS(M:M,R:R,1,E:E,E390)/SUMIFS(L:L,R:R,1,E:E,E390)*0.5,"Низшая четверть",IF(O390&lt;SUMIFS(M:M,R:R,1,E:E,E390)/SUMIFS(L:L,R:R,1,E:E,E390),"Вторая четверть","Больше половины"))</f>
        <v/>
      </c>
      <c r="Y390" t="n">
        <v>6</v>
      </c>
    </row>
    <row r="391">
      <c r="A391" s="1" t="inlineStr">
        <is>
          <t>10900000</t>
        </is>
      </c>
      <c r="B391" s="2" t="inlineStr">
        <is>
          <t>692729295</t>
        </is>
      </c>
      <c r="C391" s="3" t="inlineStr">
        <is>
          <t>Одежда и аксессуары</t>
        </is>
      </c>
      <c r="D391" s="2" t="inlineStr">
        <is>
          <t>Шарфы женские</t>
        </is>
      </c>
      <c r="E391" s="3" t="inlineStr">
        <is>
          <t>109 Палантин женский</t>
        </is>
      </c>
      <c r="F391" s="2" t="inlineStr">
        <is>
          <t>весна, осень, зима</t>
        </is>
      </c>
      <c r="G391" s="3" t="inlineStr">
        <is>
          <t>kari</t>
        </is>
      </c>
      <c r="H391" s="2" t="inlineStr">
        <is>
          <t>Никонорова Алина</t>
        </is>
      </c>
      <c r="J391" s="3" t="inlineStr">
        <is>
          <t>2026SS</t>
        </is>
      </c>
      <c r="K391" s="3" t="n">
        <v>9944</v>
      </c>
      <c r="L391" s="3" t="n">
        <v>1734</v>
      </c>
      <c r="M391" s="3" t="n">
        <v>3</v>
      </c>
      <c r="N391" s="4">
        <f>IFERROR(L391/K391,0)</f>
        <v/>
      </c>
      <c r="O391" s="4">
        <f>IFERROR(M391/L391,0)</f>
        <v/>
      </c>
      <c r="P391" t="n">
        <v>500</v>
      </c>
      <c r="Q391" s="5" t="n">
        <v>1</v>
      </c>
      <c r="R391" s="7" t="n">
        <v>1</v>
      </c>
      <c r="S391">
        <f>IF(OR(N391&lt;$T$1*0.5,O391&lt;$U$1*0.5),"код для проверки","нормальный код")</f>
        <v/>
      </c>
      <c r="T391">
        <f>IF(N391&lt;$T$1*0.5,"Низшая четверть",IF(N391&lt;$T$1,"Вторая четверть","Больше половины"))</f>
        <v/>
      </c>
      <c r="U391">
        <f>IF(O391&lt;$U$1*0.5,"Низшая четверть",IF(O391&lt;$U$1,"Вторая четверть","Больше половины"))</f>
        <v/>
      </c>
      <c r="V391">
        <f>IF(OR(N391&lt;SUMIFS(L:L,R:R,1,E:E,E391)/SUMIFS(K:K,R:R,1,E:E,E391)*0.5,O391&lt;SUMIFS(M:M,R:R,1,E:E,E391)/SUMIFS(L:L,R:R,1,E:E,E391)*0.5),"код для проверки","нормальный код")</f>
        <v/>
      </c>
      <c r="W391">
        <f>IF(N391&lt;SUMIFS(L:L,R:R,1,E:E,E391)/SUMIFS(K:K,R:R,1,E:E,E391)*0.5,"Низшая четверть",IF(N391&lt;SUMIFS(L:L,R:R,1,E:E,E391)/SUMIFS(K:K,R:R,1,E:E,E391),"Вторая четверть","Больше половины"))</f>
        <v/>
      </c>
      <c r="X391">
        <f>IF(O391&lt;SUMIFS(M:M,R:R,1,E:E,E391)/SUMIFS(L:L,R:R,1,E:E,E391)*0.5,"Низшая четверть",IF(O391&lt;SUMIFS(M:M,R:R,1,E:E,E391)/SUMIFS(L:L,R:R,1,E:E,E391),"Вторая четверть","Больше половины"))</f>
        <v/>
      </c>
      <c r="Y391" t="n">
        <v>14</v>
      </c>
    </row>
    <row r="392">
      <c r="A392" s="1" t="inlineStr">
        <is>
          <t>18208180</t>
        </is>
      </c>
      <c r="B392" s="2" t="inlineStr">
        <is>
          <t>341720565</t>
        </is>
      </c>
      <c r="C392" s="3" t="inlineStr">
        <is>
          <t>Одежда для детей</t>
        </is>
      </c>
      <c r="D392" s="2" t="inlineStr">
        <is>
          <t>Джинсы детские для мальчиков</t>
        </is>
      </c>
      <c r="E392" s="3" t="inlineStr">
        <is>
          <t>182 Джинсы детские для мальчиков</t>
        </is>
      </c>
      <c r="F392" s="2" t="inlineStr">
        <is>
          <t>всесезонный</t>
        </is>
      </c>
      <c r="G392" s="3" t="inlineStr">
        <is>
          <t>kari</t>
        </is>
      </c>
      <c r="H392" s="2" t="inlineStr">
        <is>
          <t>Зиннуров Ильнур</t>
        </is>
      </c>
      <c r="J392" s="3" t="inlineStr">
        <is>
          <t>2026SS</t>
        </is>
      </c>
      <c r="K392" s="3" t="n">
        <v>9869</v>
      </c>
      <c r="L392" s="3" t="n">
        <v>718</v>
      </c>
      <c r="M392" s="3" t="n">
        <v>22</v>
      </c>
      <c r="N392" s="4">
        <f>IFERROR(L392/K392,0)</f>
        <v/>
      </c>
      <c r="O392" s="4">
        <f>IFERROR(M392/L392,0)</f>
        <v/>
      </c>
      <c r="P392" t="n">
        <v>401</v>
      </c>
      <c r="Q392" s="5" t="n">
        <v>0.8</v>
      </c>
      <c r="R392" s="7" t="n">
        <v>1</v>
      </c>
      <c r="S392">
        <f>IF(OR(N392&lt;$T$1*0.5,O392&lt;$U$1*0.5),"код для проверки","нормальный код")</f>
        <v/>
      </c>
      <c r="T392">
        <f>IF(N392&lt;$T$1*0.5,"Низшая четверть",IF(N392&lt;$T$1,"Вторая четверть","Больше половины"))</f>
        <v/>
      </c>
      <c r="U392">
        <f>IF(O392&lt;$U$1*0.5,"Низшая четверть",IF(O392&lt;$U$1,"Вторая четверть","Больше половины"))</f>
        <v/>
      </c>
      <c r="V392">
        <f>IF(OR(N392&lt;SUMIFS(L:L,R:R,1,E:E,E392)/SUMIFS(K:K,R:R,1,E:E,E392)*0.5,O392&lt;SUMIFS(M:M,R:R,1,E:E,E392)/SUMIFS(L:L,R:R,1,E:E,E392)*0.5),"код для проверки","нормальный код")</f>
        <v/>
      </c>
      <c r="W392">
        <f>IF(N392&lt;SUMIFS(L:L,R:R,1,E:E,E392)/SUMIFS(K:K,R:R,1,E:E,E392)*0.5,"Низшая четверть",IF(N392&lt;SUMIFS(L:L,R:R,1,E:E,E392)/SUMIFS(K:K,R:R,1,E:E,E392),"Вторая четверть","Больше половины"))</f>
        <v/>
      </c>
      <c r="X392">
        <f>IF(O392&lt;SUMIFS(M:M,R:R,1,E:E,E392)/SUMIFS(L:L,R:R,1,E:E,E392)*0.5,"Низшая четверть",IF(O392&lt;SUMIFS(M:M,R:R,1,E:E,E392)/SUMIFS(L:L,R:R,1,E:E,E392),"Вторая четверть","Больше половины"))</f>
        <v/>
      </c>
      <c r="Y392" t="n">
        <v>18</v>
      </c>
    </row>
    <row r="393">
      <c r="A393" s="1" t="inlineStr">
        <is>
          <t>09400390</t>
        </is>
      </c>
      <c r="B393" s="2" t="inlineStr">
        <is>
          <t>712234776</t>
        </is>
      </c>
      <c r="C393" s="3" t="inlineStr">
        <is>
          <t>Одежда и аксессуары</t>
        </is>
      </c>
      <c r="D393" s="2" t="inlineStr">
        <is>
          <t>Купальники женские</t>
        </is>
      </c>
      <c r="E393" s="3" t="inlineStr">
        <is>
          <t>094 Купальник</t>
        </is>
      </c>
      <c r="F393" s="2" t="inlineStr">
        <is>
          <t>лето</t>
        </is>
      </c>
      <c r="G393" s="3" t="inlineStr">
        <is>
          <t>kari</t>
        </is>
      </c>
      <c r="H393" s="2" t="inlineStr">
        <is>
          <t>Никонорова Алина</t>
        </is>
      </c>
      <c r="J393" s="3" t="inlineStr">
        <is>
          <t>2026SS</t>
        </is>
      </c>
      <c r="K393" s="3" t="n">
        <v>9718</v>
      </c>
      <c r="L393" s="3" t="n">
        <v>7012</v>
      </c>
      <c r="M393" s="3" t="n">
        <v>58</v>
      </c>
      <c r="N393" s="4">
        <f>IFERROR(L393/K393,0)</f>
        <v/>
      </c>
      <c r="O393" s="4">
        <f>IFERROR(M393/L393,0)</f>
        <v/>
      </c>
      <c r="P393" t="n">
        <v>2666</v>
      </c>
      <c r="Q393" s="5" t="n">
        <v>0.7777777777777778</v>
      </c>
      <c r="R393" s="7" t="n">
        <v>1</v>
      </c>
      <c r="S393">
        <f>IF(OR(N393&lt;$T$1*0.5,O393&lt;$U$1*0.5),"код для проверки","нормальный код")</f>
        <v/>
      </c>
      <c r="T393">
        <f>IF(N393&lt;$T$1*0.5,"Низшая четверть",IF(N393&lt;$T$1,"Вторая четверть","Больше половины"))</f>
        <v/>
      </c>
      <c r="U393">
        <f>IF(O393&lt;$U$1*0.5,"Низшая четверть",IF(O393&lt;$U$1,"Вторая четверть","Больше половины"))</f>
        <v/>
      </c>
      <c r="V393">
        <f>IF(OR(N393&lt;SUMIFS(L:L,R:R,1,E:E,E393)/SUMIFS(K:K,R:R,1,E:E,E393)*0.5,O393&lt;SUMIFS(M:M,R:R,1,E:E,E393)/SUMIFS(L:L,R:R,1,E:E,E393)*0.5),"код для проверки","нормальный код")</f>
        <v/>
      </c>
      <c r="W393">
        <f>IF(N393&lt;SUMIFS(L:L,R:R,1,E:E,E393)/SUMIFS(K:K,R:R,1,E:E,E393)*0.5,"Низшая четверть",IF(N393&lt;SUMIFS(L:L,R:R,1,E:E,E393)/SUMIFS(K:K,R:R,1,E:E,E393),"Вторая четверть","Больше половины"))</f>
        <v/>
      </c>
      <c r="X393">
        <f>IF(O393&lt;SUMIFS(M:M,R:R,1,E:E,E393)/SUMIFS(L:L,R:R,1,E:E,E393)*0.5,"Низшая четверть",IF(O393&lt;SUMIFS(M:M,R:R,1,E:E,E393)/SUMIFS(L:L,R:R,1,E:E,E393),"Вторая четверть","Больше половины"))</f>
        <v/>
      </c>
      <c r="Y393" t="n">
        <v>21</v>
      </c>
    </row>
    <row r="394">
      <c r="A394" s="1" t="inlineStr">
        <is>
          <t>h1200010</t>
        </is>
      </c>
      <c r="B394" s="2" t="inlineStr">
        <is>
          <t>754564363</t>
        </is>
      </c>
      <c r="C394" s="3" t="inlineStr">
        <is>
          <t>Одежда и аксессуары</t>
        </is>
      </c>
      <c r="D394" s="2" t="inlineStr">
        <is>
          <t>Свитера женские</t>
        </is>
      </c>
      <c r="E394" s="3" t="inlineStr">
        <is>
          <t>h12 Толстовка женская</t>
        </is>
      </c>
      <c r="F394" s="2" t="inlineStr">
        <is>
          <t>всесезонный</t>
        </is>
      </c>
      <c r="G394" s="3" t="inlineStr">
        <is>
          <t>kari</t>
        </is>
      </c>
      <c r="H394" s="2" t="inlineStr">
        <is>
          <t>Зиннуров Ильнур</t>
        </is>
      </c>
      <c r="J394" s="3" t="inlineStr">
        <is>
          <t>2026SS</t>
        </is>
      </c>
      <c r="K394" s="3" t="n">
        <v>9672</v>
      </c>
      <c r="L394" s="3" t="n">
        <v>1735</v>
      </c>
      <c r="M394" s="3" t="n">
        <v>37</v>
      </c>
      <c r="N394" s="4">
        <f>IFERROR(L394/K394,0)</f>
        <v/>
      </c>
      <c r="O394" s="4">
        <f>IFERROR(M394/L394,0)</f>
        <v/>
      </c>
      <c r="P394" t="n">
        <v>293</v>
      </c>
      <c r="Q394" s="5" t="n">
        <v>1</v>
      </c>
      <c r="R394" s="7" t="n">
        <v>1</v>
      </c>
      <c r="S394">
        <f>IF(OR(N394&lt;$T$1*0.5,O394&lt;$U$1*0.5),"код для проверки","нормальный код")</f>
        <v/>
      </c>
      <c r="T394">
        <f>IF(N394&lt;$T$1*0.5,"Низшая четверть",IF(N394&lt;$T$1,"Вторая четверть","Больше половины"))</f>
        <v/>
      </c>
      <c r="U394">
        <f>IF(O394&lt;$U$1*0.5,"Низшая четверть",IF(O394&lt;$U$1,"Вторая четверть","Больше половины"))</f>
        <v/>
      </c>
      <c r="V394">
        <f>IF(OR(N394&lt;SUMIFS(L:L,R:R,1,E:E,E394)/SUMIFS(K:K,R:R,1,E:E,E394)*0.5,O394&lt;SUMIFS(M:M,R:R,1,E:E,E394)/SUMIFS(L:L,R:R,1,E:E,E394)*0.5),"код для проверки","нормальный код")</f>
        <v/>
      </c>
      <c r="W394">
        <f>IF(N394&lt;SUMIFS(L:L,R:R,1,E:E,E394)/SUMIFS(K:K,R:R,1,E:E,E394)*0.5,"Низшая четверть",IF(N394&lt;SUMIFS(L:L,R:R,1,E:E,E394)/SUMIFS(K:K,R:R,1,E:E,E394),"Вторая четверть","Больше половины"))</f>
        <v/>
      </c>
      <c r="X394">
        <f>IF(O394&lt;SUMIFS(M:M,R:R,1,E:E,E394)/SUMIFS(L:L,R:R,1,E:E,E394)*0.5,"Низшая четверть",IF(O394&lt;SUMIFS(M:M,R:R,1,E:E,E394)/SUMIFS(L:L,R:R,1,E:E,E394),"Вторая четверть","Больше половины"))</f>
        <v/>
      </c>
      <c r="Y394" t="n">
        <v>25</v>
      </c>
    </row>
    <row r="395">
      <c r="A395" s="1" t="inlineStr">
        <is>
          <t>93900330</t>
        </is>
      </c>
      <c r="B395" s="2" t="inlineStr">
        <is>
          <t>839629628</t>
        </is>
      </c>
      <c r="C395" s="3" t="inlineStr">
        <is>
          <t>Одежда для детей</t>
        </is>
      </c>
      <c r="D395" s="2" t="inlineStr">
        <is>
          <t>Одежда для новорожденных</t>
        </is>
      </c>
      <c r="E395" s="3" t="inlineStr">
        <is>
          <t>939 Футболка для маленькой девочки</t>
        </is>
      </c>
      <c r="F395" s="2" t="inlineStr">
        <is>
          <t>всесезонный</t>
        </is>
      </c>
      <c r="G395" s="3" t="inlineStr">
        <is>
          <t>Kari baby</t>
        </is>
      </c>
      <c r="H395" s="2" t="inlineStr">
        <is>
          <t>Зиннуров Ильнур</t>
        </is>
      </c>
      <c r="J395" s="3" t="inlineStr">
        <is>
          <t>2026SS</t>
        </is>
      </c>
      <c r="K395" s="3" t="n">
        <v>9599</v>
      </c>
      <c r="L395" s="3" t="n">
        <v>1320</v>
      </c>
      <c r="M395" s="3" t="n">
        <v>24</v>
      </c>
      <c r="N395" s="4">
        <f>IFERROR(L395/K395,0)</f>
        <v/>
      </c>
      <c r="O395" s="4">
        <f>IFERROR(M395/L395,0)</f>
        <v/>
      </c>
      <c r="P395" t="n">
        <v>699</v>
      </c>
      <c r="Q395" s="5" t="n">
        <v>1</v>
      </c>
      <c r="R395" s="7" t="n">
        <v>1</v>
      </c>
      <c r="S395">
        <f>IF(OR(N395&lt;$T$1*0.5,O395&lt;$U$1*0.5),"код для проверки","нормальный код")</f>
        <v/>
      </c>
      <c r="T395">
        <f>IF(N395&lt;$T$1*0.5,"Низшая четверть",IF(N395&lt;$T$1,"Вторая четверть","Больше половины"))</f>
        <v/>
      </c>
      <c r="U395">
        <f>IF(O395&lt;$U$1*0.5,"Низшая четверть",IF(O395&lt;$U$1,"Вторая четверть","Больше половины"))</f>
        <v/>
      </c>
      <c r="V395">
        <f>IF(OR(N395&lt;SUMIFS(L:L,R:R,1,E:E,E395)/SUMIFS(K:K,R:R,1,E:E,E395)*0.5,O395&lt;SUMIFS(M:M,R:R,1,E:E,E395)/SUMIFS(L:L,R:R,1,E:E,E395)*0.5),"код для проверки","нормальный код")</f>
        <v/>
      </c>
      <c r="W395">
        <f>IF(N395&lt;SUMIFS(L:L,R:R,1,E:E,E395)/SUMIFS(K:K,R:R,1,E:E,E395)*0.5,"Низшая четверть",IF(N395&lt;SUMIFS(L:L,R:R,1,E:E,E395)/SUMIFS(K:K,R:R,1,E:E,E395),"Вторая четверть","Больше половины"))</f>
        <v/>
      </c>
      <c r="X395">
        <f>IF(O395&lt;SUMIFS(M:M,R:R,1,E:E,E395)/SUMIFS(L:L,R:R,1,E:E,E395)*0.5,"Низшая четверть",IF(O395&lt;SUMIFS(M:M,R:R,1,E:E,E395)/SUMIFS(L:L,R:R,1,E:E,E395),"Вторая четверть","Больше половины"))</f>
        <v/>
      </c>
      <c r="Y395" t="n">
        <v>5</v>
      </c>
    </row>
    <row r="396">
      <c r="A396" s="1" t="inlineStr">
        <is>
          <t>20100270</t>
        </is>
      </c>
      <c r="B396" s="2" t="inlineStr">
        <is>
          <t>820479754</t>
        </is>
      </c>
      <c r="C396" s="3" t="inlineStr">
        <is>
          <t>Одежда для детей</t>
        </is>
      </c>
      <c r="D396" s="2" t="inlineStr">
        <is>
          <t>Головные детские уборы для девочек</t>
        </is>
      </c>
      <c r="E396" s="3" t="inlineStr">
        <is>
          <t>201 Бейсболка детская для девочек</t>
        </is>
      </c>
      <c r="F396" s="2" t="inlineStr">
        <is>
          <t>весна, лето</t>
        </is>
      </c>
      <c r="G396" s="3" t="inlineStr">
        <is>
          <t>kari</t>
        </is>
      </c>
      <c r="H396" s="2" t="inlineStr">
        <is>
          <t>Никонорова Алина</t>
        </is>
      </c>
      <c r="J396" s="3" t="inlineStr">
        <is>
          <t>2026SS</t>
        </is>
      </c>
      <c r="K396" s="3" t="n">
        <v>9573</v>
      </c>
      <c r="L396" s="3" t="n">
        <v>1038</v>
      </c>
      <c r="M396" s="3" t="n">
        <v>14</v>
      </c>
      <c r="N396" s="4">
        <f>IFERROR(L396/K396,0)</f>
        <v/>
      </c>
      <c r="O396" s="4">
        <f>IFERROR(M396/L396,0)</f>
        <v/>
      </c>
      <c r="P396" t="n">
        <v>413</v>
      </c>
      <c r="Q396" s="5" t="n">
        <v>1</v>
      </c>
      <c r="R396" s="7" t="n">
        <v>1</v>
      </c>
      <c r="S396">
        <f>IF(OR(N396&lt;$T$1*0.5,O396&lt;$U$1*0.5),"код для проверки","нормальный код")</f>
        <v/>
      </c>
      <c r="T396">
        <f>IF(N396&lt;$T$1*0.5,"Низшая четверть",IF(N396&lt;$T$1,"Вторая четверть","Больше половины"))</f>
        <v/>
      </c>
      <c r="U396">
        <f>IF(O396&lt;$U$1*0.5,"Низшая четверть",IF(O396&lt;$U$1,"Вторая четверть","Больше половины"))</f>
        <v/>
      </c>
      <c r="V396">
        <f>IF(OR(N396&lt;SUMIFS(L:L,R:R,1,E:E,E396)/SUMIFS(K:K,R:R,1,E:E,E396)*0.5,O396&lt;SUMIFS(M:M,R:R,1,E:E,E396)/SUMIFS(L:L,R:R,1,E:E,E396)*0.5),"код для проверки","нормальный код")</f>
        <v/>
      </c>
      <c r="W396">
        <f>IF(N396&lt;SUMIFS(L:L,R:R,1,E:E,E396)/SUMIFS(K:K,R:R,1,E:E,E396)*0.5,"Низшая четверть",IF(N396&lt;SUMIFS(L:L,R:R,1,E:E,E396)/SUMIFS(K:K,R:R,1,E:E,E396),"Вторая четверть","Больше половины"))</f>
        <v/>
      </c>
      <c r="X396">
        <f>IF(O396&lt;SUMIFS(M:M,R:R,1,E:E,E396)/SUMIFS(L:L,R:R,1,E:E,E396)*0.5,"Низшая четверть",IF(O396&lt;SUMIFS(M:M,R:R,1,E:E,E396)/SUMIFS(L:L,R:R,1,E:E,E396),"Вторая четверть","Больше половины"))</f>
        <v/>
      </c>
      <c r="Y396" t="n">
        <v>9</v>
      </c>
    </row>
    <row r="397">
      <c r="A397" s="1" t="inlineStr">
        <is>
          <t>a9200030</t>
        </is>
      </c>
      <c r="B397" s="2" t="inlineStr">
        <is>
          <t>696912300</t>
        </is>
      </c>
      <c r="C397" s="3" t="inlineStr">
        <is>
          <t>Одежда для детей</t>
        </is>
      </c>
      <c r="D397" s="2" t="inlineStr">
        <is>
          <t>Свитера детские для мальчиков</t>
        </is>
      </c>
      <c r="E397" s="3" t="inlineStr">
        <is>
          <t>a92 Свитшот  утепленный для мальчика</t>
        </is>
      </c>
      <c r="F397" s="2" t="inlineStr">
        <is>
          <t>весна, осень, зима</t>
        </is>
      </c>
      <c r="G397" s="3" t="inlineStr">
        <is>
          <t>Kari KIDS</t>
        </is>
      </c>
      <c r="H397" s="2" t="inlineStr">
        <is>
          <t>Зиннуров Ильнур</t>
        </is>
      </c>
      <c r="J397" s="3" t="inlineStr">
        <is>
          <t>2026SS</t>
        </is>
      </c>
      <c r="K397" s="3" t="n">
        <v>9514</v>
      </c>
      <c r="L397" s="3" t="n">
        <v>1221</v>
      </c>
      <c r="M397" s="3" t="n">
        <v>23</v>
      </c>
      <c r="N397" s="4">
        <f>IFERROR(L397/K397,0)</f>
        <v/>
      </c>
      <c r="O397" s="4">
        <f>IFERROR(M397/L397,0)</f>
        <v/>
      </c>
      <c r="P397" t="n">
        <v>200</v>
      </c>
      <c r="Q397" s="5" t="n">
        <v>1</v>
      </c>
      <c r="R397" s="7" t="n">
        <v>1</v>
      </c>
      <c r="S397">
        <f>IF(OR(N397&lt;$T$1*0.5,O397&lt;$U$1*0.5),"код для проверки","нормальный код")</f>
        <v/>
      </c>
      <c r="T397">
        <f>IF(N397&lt;$T$1*0.5,"Низшая четверть",IF(N397&lt;$T$1,"Вторая четверть","Больше половины"))</f>
        <v/>
      </c>
      <c r="U397">
        <f>IF(O397&lt;$U$1*0.5,"Низшая четверть",IF(O397&lt;$U$1,"Вторая четверть","Больше половины"))</f>
        <v/>
      </c>
      <c r="V397">
        <f>IF(OR(N397&lt;SUMIFS(L:L,R:R,1,E:E,E397)/SUMIFS(K:K,R:R,1,E:E,E397)*0.5,O397&lt;SUMIFS(M:M,R:R,1,E:E,E397)/SUMIFS(L:L,R:R,1,E:E,E397)*0.5),"код для проверки","нормальный код")</f>
        <v/>
      </c>
      <c r="W397">
        <f>IF(N397&lt;SUMIFS(L:L,R:R,1,E:E,E397)/SUMIFS(K:K,R:R,1,E:E,E397)*0.5,"Низшая четверть",IF(N397&lt;SUMIFS(L:L,R:R,1,E:E,E397)/SUMIFS(K:K,R:R,1,E:E,E397),"Вторая четверть","Больше половины"))</f>
        <v/>
      </c>
      <c r="X397">
        <f>IF(O397&lt;SUMIFS(M:M,R:R,1,E:E,E397)/SUMIFS(L:L,R:R,1,E:E,E397)*0.5,"Низшая четверть",IF(O397&lt;SUMIFS(M:M,R:R,1,E:E,E397)/SUMIFS(L:L,R:R,1,E:E,E397),"Вторая четверть","Больше половины"))</f>
        <v/>
      </c>
      <c r="Y397" t="n">
        <v>21</v>
      </c>
    </row>
    <row r="398">
      <c r="A398" s="1" t="inlineStr">
        <is>
          <t>85900050</t>
        </is>
      </c>
      <c r="B398" s="2" t="inlineStr">
        <is>
          <t>800593901</t>
        </is>
      </c>
      <c r="C398" s="3" t="inlineStr">
        <is>
          <t>Одежда для детей</t>
        </is>
      </c>
      <c r="D398" s="2" t="inlineStr">
        <is>
          <t>Одежда для новорожденных</t>
        </is>
      </c>
      <c r="E398" s="3" t="inlineStr">
        <is>
          <t>859 Шорты для маленькой девочки</t>
        </is>
      </c>
      <c r="F398" s="2" t="inlineStr">
        <is>
          <t>лето</t>
        </is>
      </c>
      <c r="G398" s="3" t="inlineStr">
        <is>
          <t>Kari baby</t>
        </is>
      </c>
      <c r="H398" s="2" t="inlineStr">
        <is>
          <t>Зиннуров Ильнур</t>
        </is>
      </c>
      <c r="J398" s="3" t="inlineStr">
        <is>
          <t>2026SS</t>
        </is>
      </c>
      <c r="K398" s="3" t="n">
        <v>9506</v>
      </c>
      <c r="L398" s="3" t="n">
        <v>571</v>
      </c>
      <c r="M398" s="3" t="n">
        <v>17</v>
      </c>
      <c r="N398" s="4">
        <f>IFERROR(L398/K398,0)</f>
        <v/>
      </c>
      <c r="O398" s="4">
        <f>IFERROR(M398/L398,0)</f>
        <v/>
      </c>
      <c r="P398" t="n">
        <v>230</v>
      </c>
      <c r="Q398" s="5" t="n">
        <v>1</v>
      </c>
      <c r="R398" s="7" t="n">
        <v>1</v>
      </c>
      <c r="S398">
        <f>IF(OR(N398&lt;$T$1*0.5,O398&lt;$U$1*0.5),"код для проверки","нормальный код")</f>
        <v/>
      </c>
      <c r="T398">
        <f>IF(N398&lt;$T$1*0.5,"Низшая четверть",IF(N398&lt;$T$1,"Вторая четверть","Больше половины"))</f>
        <v/>
      </c>
      <c r="U398">
        <f>IF(O398&lt;$U$1*0.5,"Низшая четверть",IF(O398&lt;$U$1,"Вторая четверть","Больше половины"))</f>
        <v/>
      </c>
      <c r="V398">
        <f>IF(OR(N398&lt;SUMIFS(L:L,R:R,1,E:E,E398)/SUMIFS(K:K,R:R,1,E:E,E398)*0.5,O398&lt;SUMIFS(M:M,R:R,1,E:E,E398)/SUMIFS(L:L,R:R,1,E:E,E398)*0.5),"код для проверки","нормальный код")</f>
        <v/>
      </c>
      <c r="W398">
        <f>IF(N398&lt;SUMIFS(L:L,R:R,1,E:E,E398)/SUMIFS(K:K,R:R,1,E:E,E398)*0.5,"Низшая четверть",IF(N398&lt;SUMIFS(L:L,R:R,1,E:E,E398)/SUMIFS(K:K,R:R,1,E:E,E398),"Вторая четверть","Больше половины"))</f>
        <v/>
      </c>
      <c r="X398">
        <f>IF(O398&lt;SUMIFS(M:M,R:R,1,E:E,E398)/SUMIFS(L:L,R:R,1,E:E,E398)*0.5,"Низшая четверть",IF(O398&lt;SUMIFS(M:M,R:R,1,E:E,E398)/SUMIFS(L:L,R:R,1,E:E,E398),"Вторая четверть","Больше половины"))</f>
        <v/>
      </c>
      <c r="Y398" t="n">
        <v>11</v>
      </c>
    </row>
    <row r="399">
      <c r="A399" s="1" t="inlineStr">
        <is>
          <t>16804130</t>
        </is>
      </c>
      <c r="B399" s="2" t="inlineStr">
        <is>
          <t>155841082</t>
        </is>
      </c>
      <c r="C399" s="3" t="inlineStr">
        <is>
          <t>Одежда и аксессуары</t>
        </is>
      </c>
      <c r="D399" s="2" t="inlineStr">
        <is>
          <t>Головные уборы женские</t>
        </is>
      </c>
      <c r="E399" s="3" t="inlineStr">
        <is>
          <t>168 Шляпа женская летняя</t>
        </is>
      </c>
      <c r="F399" s="2" t="inlineStr">
        <is>
          <t>лето</t>
        </is>
      </c>
      <c r="G399" s="3" t="inlineStr">
        <is>
          <t>kari</t>
        </is>
      </c>
      <c r="H399" s="2" t="inlineStr">
        <is>
          <t>Никонорова Алина</t>
        </is>
      </c>
      <c r="J399" s="3" t="inlineStr">
        <is>
          <t>2026SS</t>
        </is>
      </c>
      <c r="K399" s="3" t="n">
        <v>9427</v>
      </c>
      <c r="L399" s="3" t="n">
        <v>2788</v>
      </c>
      <c r="M399" s="3" t="n">
        <v>17</v>
      </c>
      <c r="N399" s="4">
        <f>IFERROR(L399/K399,0)</f>
        <v/>
      </c>
      <c r="O399" s="4">
        <f>IFERROR(M399/L399,0)</f>
        <v/>
      </c>
      <c r="P399" t="n">
        <v>842</v>
      </c>
      <c r="Q399" s="5" t="n">
        <v>1</v>
      </c>
      <c r="R399" s="7" t="n">
        <v>1</v>
      </c>
      <c r="S399">
        <f>IF(OR(N399&lt;$T$1*0.5,O399&lt;$U$1*0.5),"код для проверки","нормальный код")</f>
        <v/>
      </c>
      <c r="T399">
        <f>IF(N399&lt;$T$1*0.5,"Низшая четверть",IF(N399&lt;$T$1,"Вторая четверть","Больше половины"))</f>
        <v/>
      </c>
      <c r="U399">
        <f>IF(O399&lt;$U$1*0.5,"Низшая четверть",IF(O399&lt;$U$1,"Вторая четверть","Больше половины"))</f>
        <v/>
      </c>
      <c r="V399">
        <f>IF(OR(N399&lt;SUMIFS(L:L,R:R,1,E:E,E399)/SUMIFS(K:K,R:R,1,E:E,E399)*0.5,O399&lt;SUMIFS(M:M,R:R,1,E:E,E399)/SUMIFS(L:L,R:R,1,E:E,E399)*0.5),"код для проверки","нормальный код")</f>
        <v/>
      </c>
      <c r="W399">
        <f>IF(N399&lt;SUMIFS(L:L,R:R,1,E:E,E399)/SUMIFS(K:K,R:R,1,E:E,E399)*0.5,"Низшая четверть",IF(N399&lt;SUMIFS(L:L,R:R,1,E:E,E399)/SUMIFS(K:K,R:R,1,E:E,E399),"Вторая четверть","Больше половины"))</f>
        <v/>
      </c>
      <c r="X399">
        <f>IF(O399&lt;SUMIFS(M:M,R:R,1,E:E,E399)/SUMIFS(L:L,R:R,1,E:E,E399)*0.5,"Низшая четверть",IF(O399&lt;SUMIFS(M:M,R:R,1,E:E,E399)/SUMIFS(L:L,R:R,1,E:E,E399),"Вторая четверть","Больше половины"))</f>
        <v/>
      </c>
      <c r="Y399" t="n">
        <v>16</v>
      </c>
    </row>
    <row r="400">
      <c r="A400" s="1" t="inlineStr">
        <is>
          <t>96800030</t>
        </is>
      </c>
      <c r="B400" s="2" t="inlineStr">
        <is>
          <t>786709849</t>
        </is>
      </c>
      <c r="C400" s="3" t="inlineStr">
        <is>
          <t>Одежда для детей</t>
        </is>
      </c>
      <c r="D400" s="2" t="inlineStr">
        <is>
          <t>Верхняя одежда детская для мальчиков</t>
        </is>
      </c>
      <c r="E400" s="3" t="inlineStr">
        <is>
          <t>968 Куртка джинсовая для мальчика</t>
        </is>
      </c>
      <c r="F400" s="2" t="inlineStr">
        <is>
          <t>весна, лето, осень</t>
        </is>
      </c>
      <c r="G400" s="3" t="inlineStr">
        <is>
          <t>Kari KIDS</t>
        </is>
      </c>
      <c r="H400" s="2" t="inlineStr">
        <is>
          <t>Зиннуров Ильнур</t>
        </is>
      </c>
      <c r="J400" s="3" t="inlineStr">
        <is>
          <t>2026SS</t>
        </is>
      </c>
      <c r="K400" s="3" t="n">
        <v>9264</v>
      </c>
      <c r="L400" s="3" t="n">
        <v>930</v>
      </c>
      <c r="M400" s="3" t="n">
        <v>25</v>
      </c>
      <c r="N400" s="4">
        <f>IFERROR(L400/K400,0)</f>
        <v/>
      </c>
      <c r="O400" s="4">
        <f>IFERROR(M400/L400,0)</f>
        <v/>
      </c>
      <c r="P400" t="n">
        <v>272</v>
      </c>
      <c r="Q400" s="5" t="n">
        <v>1</v>
      </c>
      <c r="R400" s="7" t="n">
        <v>1</v>
      </c>
      <c r="S400">
        <f>IF(OR(N400&lt;$T$1*0.5,O400&lt;$U$1*0.5),"код для проверки","нормальный код")</f>
        <v/>
      </c>
      <c r="T400">
        <f>IF(N400&lt;$T$1*0.5,"Низшая четверть",IF(N400&lt;$T$1,"Вторая четверть","Больше половины"))</f>
        <v/>
      </c>
      <c r="U400">
        <f>IF(O400&lt;$U$1*0.5,"Низшая четверть",IF(O400&lt;$U$1,"Вторая четверть","Больше половины"))</f>
        <v/>
      </c>
      <c r="V400">
        <f>IF(OR(N400&lt;SUMIFS(L:L,R:R,1,E:E,E400)/SUMIFS(K:K,R:R,1,E:E,E400)*0.5,O400&lt;SUMIFS(M:M,R:R,1,E:E,E400)/SUMIFS(L:L,R:R,1,E:E,E400)*0.5),"код для проверки","нормальный код")</f>
        <v/>
      </c>
      <c r="W400">
        <f>IF(N400&lt;SUMIFS(L:L,R:R,1,E:E,E400)/SUMIFS(K:K,R:R,1,E:E,E400)*0.5,"Низшая четверть",IF(N400&lt;SUMIFS(L:L,R:R,1,E:E,E400)/SUMIFS(K:K,R:R,1,E:E,E400),"Вторая четверть","Больше половины"))</f>
        <v/>
      </c>
      <c r="X400">
        <f>IF(O400&lt;SUMIFS(M:M,R:R,1,E:E,E400)/SUMIFS(L:L,R:R,1,E:E,E400)*0.5,"Низшая четверть",IF(O400&lt;SUMIFS(M:M,R:R,1,E:E,E400)/SUMIFS(L:L,R:R,1,E:E,E400),"Вторая четверть","Больше половины"))</f>
        <v/>
      </c>
      <c r="Y400" t="n">
        <v>21</v>
      </c>
    </row>
    <row r="401">
      <c r="A401" s="1" t="inlineStr">
        <is>
          <t>a6000110</t>
        </is>
      </c>
      <c r="B401" s="2" t="inlineStr">
        <is>
          <t>723105264</t>
        </is>
      </c>
      <c r="C401" s="3" t="inlineStr">
        <is>
          <t>Одежда для детей</t>
        </is>
      </c>
      <c r="D401" s="2" t="inlineStr">
        <is>
          <t>Платья, майки, футболки детские для девочек</t>
        </is>
      </c>
      <c r="E401" s="3" t="inlineStr">
        <is>
          <t>a60 Футболка детская для девочек</t>
        </is>
      </c>
      <c r="F401" s="2" t="inlineStr">
        <is>
          <t>всесезонный</t>
        </is>
      </c>
      <c r="G401" s="3" t="inlineStr">
        <is>
          <t>kari</t>
        </is>
      </c>
      <c r="H401" s="2" t="inlineStr">
        <is>
          <t>Зиннуров Ильнур</t>
        </is>
      </c>
      <c r="J401" s="3" t="inlineStr">
        <is>
          <t>2026SS</t>
        </is>
      </c>
      <c r="K401" s="3" t="n">
        <v>9199</v>
      </c>
      <c r="L401" s="3" t="n">
        <v>919</v>
      </c>
      <c r="M401" s="3" t="n">
        <v>4</v>
      </c>
      <c r="N401" s="4">
        <f>IFERROR(L401/K401,0)</f>
        <v/>
      </c>
      <c r="O401" s="4">
        <f>IFERROR(M401/L401,0)</f>
        <v/>
      </c>
      <c r="P401" t="n">
        <v>563</v>
      </c>
      <c r="Q401" s="5" t="n">
        <v>1</v>
      </c>
      <c r="R401" s="7" t="n">
        <v>1</v>
      </c>
      <c r="S401">
        <f>IF(OR(N401&lt;$T$1*0.5,O401&lt;$U$1*0.5),"код для проверки","нормальный код")</f>
        <v/>
      </c>
      <c r="T401">
        <f>IF(N401&lt;$T$1*0.5,"Низшая четверть",IF(N401&lt;$T$1,"Вторая четверть","Больше половины"))</f>
        <v/>
      </c>
      <c r="U401">
        <f>IF(O401&lt;$U$1*0.5,"Низшая четверть",IF(O401&lt;$U$1,"Вторая четверть","Больше половины"))</f>
        <v/>
      </c>
      <c r="V401">
        <f>IF(OR(N401&lt;SUMIFS(L:L,R:R,1,E:E,E401)/SUMIFS(K:K,R:R,1,E:E,E401)*0.5,O401&lt;SUMIFS(M:M,R:R,1,E:E,E401)/SUMIFS(L:L,R:R,1,E:E,E401)*0.5),"код для проверки","нормальный код")</f>
        <v/>
      </c>
      <c r="W401">
        <f>IF(N401&lt;SUMIFS(L:L,R:R,1,E:E,E401)/SUMIFS(K:K,R:R,1,E:E,E401)*0.5,"Низшая четверть",IF(N401&lt;SUMIFS(L:L,R:R,1,E:E,E401)/SUMIFS(K:K,R:R,1,E:E,E401),"Вторая четверть","Больше половины"))</f>
        <v/>
      </c>
      <c r="X401">
        <f>IF(O401&lt;SUMIFS(M:M,R:R,1,E:E,E401)/SUMIFS(L:L,R:R,1,E:E,E401)*0.5,"Низшая четверть",IF(O401&lt;SUMIFS(M:M,R:R,1,E:E,E401)/SUMIFS(L:L,R:R,1,E:E,E401),"Вторая четверть","Больше половины"))</f>
        <v/>
      </c>
      <c r="Y401" t="n">
        <v>12</v>
      </c>
    </row>
    <row r="402">
      <c r="A402" s="1" t="inlineStr">
        <is>
          <t>88100150</t>
        </is>
      </c>
      <c r="B402" s="2" t="inlineStr">
        <is>
          <t>833908052</t>
        </is>
      </c>
      <c r="C402" s="3" t="inlineStr">
        <is>
          <t>Одежда для детей</t>
        </is>
      </c>
      <c r="D402" s="2" t="inlineStr">
        <is>
          <t>Футболки, майки, рубашки детские для мальчиков</t>
        </is>
      </c>
      <c r="E402" s="3" t="inlineStr">
        <is>
          <t>881 Футболка длинный рукав детская для мальчиков</t>
        </is>
      </c>
      <c r="F402" s="2" t="inlineStr">
        <is>
          <t>всесезонный</t>
        </is>
      </c>
      <c r="G402" s="3" t="inlineStr">
        <is>
          <t>Kari KIDS</t>
        </is>
      </c>
      <c r="H402" s="2" t="inlineStr">
        <is>
          <t>Зиннуров Ильнур</t>
        </is>
      </c>
      <c r="J402" s="3" t="inlineStr">
        <is>
          <t>2026SS</t>
        </is>
      </c>
      <c r="K402" s="3" t="n">
        <v>9030</v>
      </c>
      <c r="L402" s="3" t="n">
        <v>760</v>
      </c>
      <c r="M402" s="3" t="n">
        <v>7</v>
      </c>
      <c r="N402" s="4">
        <f>IFERROR(L402/K402,0)</f>
        <v/>
      </c>
      <c r="O402" s="4">
        <f>IFERROR(M402/L402,0)</f>
        <v/>
      </c>
      <c r="P402" t="n">
        <v>29</v>
      </c>
      <c r="Q402" s="5" t="n">
        <v>0.6</v>
      </c>
      <c r="R402" s="7" t="n">
        <v>1</v>
      </c>
      <c r="S402">
        <f>IF(OR(N402&lt;$T$1*0.5,O402&lt;$U$1*0.5),"код для проверки","нормальный код")</f>
        <v/>
      </c>
      <c r="T402">
        <f>IF(N402&lt;$T$1*0.5,"Низшая четверть",IF(N402&lt;$T$1,"Вторая четверть","Больше половины"))</f>
        <v/>
      </c>
      <c r="U402">
        <f>IF(O402&lt;$U$1*0.5,"Низшая четверть",IF(O402&lt;$U$1,"Вторая четверть","Больше половины"))</f>
        <v/>
      </c>
      <c r="V402">
        <f>IF(OR(N402&lt;SUMIFS(L:L,R:R,1,E:E,E402)/SUMIFS(K:K,R:R,1,E:E,E402)*0.5,O402&lt;SUMIFS(M:M,R:R,1,E:E,E402)/SUMIFS(L:L,R:R,1,E:E,E402)*0.5),"код для проверки","нормальный код")</f>
        <v/>
      </c>
      <c r="W402">
        <f>IF(N402&lt;SUMIFS(L:L,R:R,1,E:E,E402)/SUMIFS(K:K,R:R,1,E:E,E402)*0.5,"Низшая четверть",IF(N402&lt;SUMIFS(L:L,R:R,1,E:E,E402)/SUMIFS(K:K,R:R,1,E:E,E402),"Вторая четверть","Больше половины"))</f>
        <v/>
      </c>
      <c r="X402">
        <f>IF(O402&lt;SUMIFS(M:M,R:R,1,E:E,E402)/SUMIFS(L:L,R:R,1,E:E,E402)*0.5,"Низшая четверть",IF(O402&lt;SUMIFS(M:M,R:R,1,E:E,E402)/SUMIFS(L:L,R:R,1,E:E,E402),"Вторая четверть","Больше половины"))</f>
        <v/>
      </c>
      <c r="Y402" t="n">
        <v>18</v>
      </c>
    </row>
    <row r="403">
      <c r="A403" s="1" t="inlineStr">
        <is>
          <t>55300090</t>
        </is>
      </c>
      <c r="B403" s="2" t="inlineStr">
        <is>
          <t>720809064</t>
        </is>
      </c>
      <c r="C403" s="3" t="inlineStr">
        <is>
          <t>Одежда для детей</t>
        </is>
      </c>
      <c r="D403" s="2" t="inlineStr">
        <is>
          <t>Брюки детские для мальчиков</t>
        </is>
      </c>
      <c r="E403" s="3" t="inlineStr">
        <is>
          <t>553 Брюки детские для мальчиков</t>
        </is>
      </c>
      <c r="F403" s="2" t="inlineStr">
        <is>
          <t>всесезонный</t>
        </is>
      </c>
      <c r="G403" s="3" t="inlineStr">
        <is>
          <t>Kari KIDS</t>
        </is>
      </c>
      <c r="H403" s="2" t="inlineStr">
        <is>
          <t>Зиннуров Ильнур</t>
        </is>
      </c>
      <c r="J403" s="3" t="inlineStr">
        <is>
          <t>2026SS</t>
        </is>
      </c>
      <c r="K403" s="3" t="n">
        <v>9028</v>
      </c>
      <c r="L403" s="3" t="n">
        <v>1434</v>
      </c>
      <c r="M403" s="3" t="n">
        <v>31</v>
      </c>
      <c r="N403" s="4">
        <f>IFERROR(L403/K403,0)</f>
        <v/>
      </c>
      <c r="O403" s="4">
        <f>IFERROR(M403/L403,0)</f>
        <v/>
      </c>
      <c r="P403" t="n">
        <v>468</v>
      </c>
      <c r="Q403" s="5" t="n">
        <v>1</v>
      </c>
      <c r="R403" s="7" t="n">
        <v>1</v>
      </c>
      <c r="S403">
        <f>IF(OR(N403&lt;$T$1*0.5,O403&lt;$U$1*0.5),"код для проверки","нормальный код")</f>
        <v/>
      </c>
      <c r="T403">
        <f>IF(N403&lt;$T$1*0.5,"Низшая четверть",IF(N403&lt;$T$1,"Вторая четверть","Больше половины"))</f>
        <v/>
      </c>
      <c r="U403">
        <f>IF(O403&lt;$U$1*0.5,"Низшая четверть",IF(O403&lt;$U$1,"Вторая четверть","Больше половины"))</f>
        <v/>
      </c>
      <c r="V403">
        <f>IF(OR(N403&lt;SUMIFS(L:L,R:R,1,E:E,E403)/SUMIFS(K:K,R:R,1,E:E,E403)*0.5,O403&lt;SUMIFS(M:M,R:R,1,E:E,E403)/SUMIFS(L:L,R:R,1,E:E,E403)*0.5),"код для проверки","нормальный код")</f>
        <v/>
      </c>
      <c r="W403">
        <f>IF(N403&lt;SUMIFS(L:L,R:R,1,E:E,E403)/SUMIFS(K:K,R:R,1,E:E,E403)*0.5,"Низшая четверть",IF(N403&lt;SUMIFS(L:L,R:R,1,E:E,E403)/SUMIFS(K:K,R:R,1,E:E,E403),"Вторая четверть","Больше половины"))</f>
        <v/>
      </c>
      <c r="X403">
        <f>IF(O403&lt;SUMIFS(M:M,R:R,1,E:E,E403)/SUMIFS(L:L,R:R,1,E:E,E403)*0.5,"Низшая четверть",IF(O403&lt;SUMIFS(M:M,R:R,1,E:E,E403)/SUMIFS(L:L,R:R,1,E:E,E403),"Вторая четверть","Больше половины"))</f>
        <v/>
      </c>
      <c r="Y403" t="n">
        <v>20</v>
      </c>
    </row>
    <row r="404">
      <c r="A404" s="1" t="inlineStr">
        <is>
          <t>57300160</t>
        </is>
      </c>
      <c r="B404" s="2" t="inlineStr">
        <is>
          <t>776072607</t>
        </is>
      </c>
      <c r="C404" s="3" t="inlineStr">
        <is>
          <t>Одежда для детей</t>
        </is>
      </c>
      <c r="D404" s="2" t="inlineStr">
        <is>
          <t>Одежда для новорожденных</t>
        </is>
      </c>
      <c r="E404" s="3" t="inlineStr">
        <is>
          <t>573 Штанишки для маленькой девочки</t>
        </is>
      </c>
      <c r="F404" s="2" t="inlineStr">
        <is>
          <t>всесезонный</t>
        </is>
      </c>
      <c r="G404" s="3" t="inlineStr">
        <is>
          <t>Kari baby</t>
        </is>
      </c>
      <c r="H404" s="2" t="inlineStr">
        <is>
          <t>Зиннуров Ильнур</t>
        </is>
      </c>
      <c r="J404" s="3" t="inlineStr">
        <is>
          <t>2026SS</t>
        </is>
      </c>
      <c r="K404" s="3" t="n">
        <v>9026</v>
      </c>
      <c r="L404" s="3" t="n">
        <v>1303</v>
      </c>
      <c r="M404" s="3" t="n">
        <v>39</v>
      </c>
      <c r="N404" s="4">
        <f>IFERROR(L404/K404,0)</f>
        <v/>
      </c>
      <c r="O404" s="4">
        <f>IFERROR(M404/L404,0)</f>
        <v/>
      </c>
      <c r="P404" t="n">
        <v>668</v>
      </c>
      <c r="Q404" s="5" t="n">
        <v>1</v>
      </c>
      <c r="R404" s="7" t="n">
        <v>1</v>
      </c>
      <c r="S404">
        <f>IF(OR(N404&lt;$T$1*0.5,O404&lt;$U$1*0.5),"код для проверки","нормальный код")</f>
        <v/>
      </c>
      <c r="T404">
        <f>IF(N404&lt;$T$1*0.5,"Низшая четверть",IF(N404&lt;$T$1,"Вторая четверть","Больше половины"))</f>
        <v/>
      </c>
      <c r="U404">
        <f>IF(O404&lt;$U$1*0.5,"Низшая четверть",IF(O404&lt;$U$1,"Вторая четверть","Больше половины"))</f>
        <v/>
      </c>
      <c r="V404">
        <f>IF(OR(N404&lt;SUMIFS(L:L,R:R,1,E:E,E404)/SUMIFS(K:K,R:R,1,E:E,E404)*0.5,O404&lt;SUMIFS(M:M,R:R,1,E:E,E404)/SUMIFS(L:L,R:R,1,E:E,E404)*0.5),"код для проверки","нормальный код")</f>
        <v/>
      </c>
      <c r="W404">
        <f>IF(N404&lt;SUMIFS(L:L,R:R,1,E:E,E404)/SUMIFS(K:K,R:R,1,E:E,E404)*0.5,"Низшая четверть",IF(N404&lt;SUMIFS(L:L,R:R,1,E:E,E404)/SUMIFS(K:K,R:R,1,E:E,E404),"Вторая четверть","Больше половины"))</f>
        <v/>
      </c>
      <c r="X404">
        <f>IF(O404&lt;SUMIFS(M:M,R:R,1,E:E,E404)/SUMIFS(L:L,R:R,1,E:E,E404)*0.5,"Низшая четверть",IF(O404&lt;SUMIFS(M:M,R:R,1,E:E,E404)/SUMIFS(L:L,R:R,1,E:E,E404),"Вторая четверть","Больше половины"))</f>
        <v/>
      </c>
      <c r="Y404" t="n">
        <v>15</v>
      </c>
    </row>
    <row r="405">
      <c r="A405" s="1" t="inlineStr">
        <is>
          <t>310000G0</t>
        </is>
      </c>
      <c r="B405" s="2" t="inlineStr">
        <is>
          <t>699629726</t>
        </is>
      </c>
      <c r="C405" s="3" t="inlineStr">
        <is>
          <t>Одежда для детей</t>
        </is>
      </c>
      <c r="D405" s="2" t="inlineStr">
        <is>
          <t>Футболки, майки, рубашки детские для мальчиков</t>
        </is>
      </c>
      <c r="E405" s="3" t="inlineStr">
        <is>
          <t>310 Футболка детская для мальчиков</t>
        </is>
      </c>
      <c r="F405" s="2" t="inlineStr">
        <is>
          <t>всесезонный</t>
        </is>
      </c>
      <c r="G405" s="3" t="inlineStr">
        <is>
          <t>kari</t>
        </is>
      </c>
      <c r="H405" s="2" t="inlineStr">
        <is>
          <t>Зиннуров Ильнур</t>
        </is>
      </c>
      <c r="J405" s="3" t="inlineStr">
        <is>
          <t>2026SS</t>
        </is>
      </c>
      <c r="K405" s="3" t="n">
        <v>9012</v>
      </c>
      <c r="L405" s="3" t="n">
        <v>1415</v>
      </c>
      <c r="M405" s="3" t="n">
        <v>12</v>
      </c>
      <c r="N405" s="4">
        <f>IFERROR(L405/K405,0)</f>
        <v/>
      </c>
      <c r="O405" s="4">
        <f>IFERROR(M405/L405,0)</f>
        <v/>
      </c>
      <c r="P405" t="n">
        <v>621</v>
      </c>
      <c r="Q405" s="5" t="n">
        <v>1</v>
      </c>
      <c r="R405" s="7" t="n">
        <v>1</v>
      </c>
      <c r="S405">
        <f>IF(OR(N405&lt;$T$1*0.5,O405&lt;$U$1*0.5),"код для проверки","нормальный код")</f>
        <v/>
      </c>
      <c r="T405">
        <f>IF(N405&lt;$T$1*0.5,"Низшая четверть",IF(N405&lt;$T$1,"Вторая четверть","Больше половины"))</f>
        <v/>
      </c>
      <c r="U405">
        <f>IF(O405&lt;$U$1*0.5,"Низшая четверть",IF(O405&lt;$U$1,"Вторая четверть","Больше половины"))</f>
        <v/>
      </c>
      <c r="V405">
        <f>IF(OR(N405&lt;SUMIFS(L:L,R:R,1,E:E,E405)/SUMIFS(K:K,R:R,1,E:E,E405)*0.5,O405&lt;SUMIFS(M:M,R:R,1,E:E,E405)/SUMIFS(L:L,R:R,1,E:E,E405)*0.5),"код для проверки","нормальный код")</f>
        <v/>
      </c>
      <c r="W405">
        <f>IF(N405&lt;SUMIFS(L:L,R:R,1,E:E,E405)/SUMIFS(K:K,R:R,1,E:E,E405)*0.5,"Низшая четверть",IF(N405&lt;SUMIFS(L:L,R:R,1,E:E,E405)/SUMIFS(K:K,R:R,1,E:E,E405),"Вторая четверть","Больше половины"))</f>
        <v/>
      </c>
      <c r="X405">
        <f>IF(O405&lt;SUMIFS(M:M,R:R,1,E:E,E405)/SUMIFS(L:L,R:R,1,E:E,E405)*0.5,"Низшая четверть",IF(O405&lt;SUMIFS(M:M,R:R,1,E:E,E405)/SUMIFS(L:L,R:R,1,E:E,E405),"Вторая четверть","Больше половины"))</f>
        <v/>
      </c>
      <c r="Y405" t="n">
        <v>18</v>
      </c>
    </row>
    <row r="406">
      <c r="A406" s="1" t="inlineStr">
        <is>
          <t>a6000230</t>
        </is>
      </c>
      <c r="B406" s="2" t="inlineStr">
        <is>
          <t>715352079</t>
        </is>
      </c>
      <c r="C406" s="3" t="inlineStr">
        <is>
          <t>Одежда для детей</t>
        </is>
      </c>
      <c r="D406" s="2" t="inlineStr">
        <is>
          <t>Платья, майки, футболки детские для девочек</t>
        </is>
      </c>
      <c r="E406" s="3" t="inlineStr">
        <is>
          <t>a60 Футболка детская для девочек</t>
        </is>
      </c>
      <c r="F406" s="2" t="inlineStr">
        <is>
          <t>всесезонный</t>
        </is>
      </c>
      <c r="G406" s="3" t="inlineStr">
        <is>
          <t>kari</t>
        </is>
      </c>
      <c r="H406" s="2" t="inlineStr">
        <is>
          <t>Зиннуров Ильнур</t>
        </is>
      </c>
      <c r="J406" s="3" t="inlineStr">
        <is>
          <t>2026SS</t>
        </is>
      </c>
      <c r="K406" s="3" t="n">
        <v>8837</v>
      </c>
      <c r="L406" s="3" t="n">
        <v>1506</v>
      </c>
      <c r="M406" s="3" t="n">
        <v>14</v>
      </c>
      <c r="N406" s="4">
        <f>IFERROR(L406/K406,0)</f>
        <v/>
      </c>
      <c r="O406" s="4">
        <f>IFERROR(M406/L406,0)</f>
        <v/>
      </c>
      <c r="P406" t="n">
        <v>736</v>
      </c>
      <c r="Q406" s="5" t="n">
        <v>1</v>
      </c>
      <c r="R406" s="7" t="n">
        <v>1</v>
      </c>
      <c r="S406">
        <f>IF(OR(N406&lt;$T$1*0.5,O406&lt;$U$1*0.5),"код для проверки","нормальный код")</f>
        <v/>
      </c>
      <c r="T406">
        <f>IF(N406&lt;$T$1*0.5,"Низшая четверть",IF(N406&lt;$T$1,"Вторая четверть","Больше половины"))</f>
        <v/>
      </c>
      <c r="U406">
        <f>IF(O406&lt;$U$1*0.5,"Низшая четверть",IF(O406&lt;$U$1,"Вторая четверть","Больше половины"))</f>
        <v/>
      </c>
      <c r="V406">
        <f>IF(OR(N406&lt;SUMIFS(L:L,R:R,1,E:E,E406)/SUMIFS(K:K,R:R,1,E:E,E406)*0.5,O406&lt;SUMIFS(M:M,R:R,1,E:E,E406)/SUMIFS(L:L,R:R,1,E:E,E406)*0.5),"код для проверки","нормальный код")</f>
        <v/>
      </c>
      <c r="W406">
        <f>IF(N406&lt;SUMIFS(L:L,R:R,1,E:E,E406)/SUMIFS(K:K,R:R,1,E:E,E406)*0.5,"Низшая четверть",IF(N406&lt;SUMIFS(L:L,R:R,1,E:E,E406)/SUMIFS(K:K,R:R,1,E:E,E406),"Вторая четверть","Больше половины"))</f>
        <v/>
      </c>
      <c r="X406">
        <f>IF(O406&lt;SUMIFS(M:M,R:R,1,E:E,E406)/SUMIFS(L:L,R:R,1,E:E,E406)*0.5,"Низшая четверть",IF(O406&lt;SUMIFS(M:M,R:R,1,E:E,E406)/SUMIFS(L:L,R:R,1,E:E,E406),"Вторая четверть","Больше половины"))</f>
        <v/>
      </c>
      <c r="Y406" t="n">
        <v>13</v>
      </c>
    </row>
    <row r="407">
      <c r="A407" s="1" t="inlineStr">
        <is>
          <t>96700080</t>
        </is>
      </c>
      <c r="B407" s="2" t="inlineStr">
        <is>
          <t>786710293</t>
        </is>
      </c>
      <c r="C407" s="3" t="inlineStr">
        <is>
          <t>Одежда для детей</t>
        </is>
      </c>
      <c r="D407" s="2" t="inlineStr">
        <is>
          <t>Верхняя детская одежда для девочек</t>
        </is>
      </c>
      <c r="E407" s="3" t="inlineStr">
        <is>
          <t>967 Куртка джинсовая для девочки</t>
        </is>
      </c>
      <c r="F407" s="2" t="inlineStr">
        <is>
          <t>весна, лето, осень</t>
        </is>
      </c>
      <c r="G407" s="3" t="inlineStr">
        <is>
          <t>kari</t>
        </is>
      </c>
      <c r="H407" s="2" t="inlineStr">
        <is>
          <t>Зиннуров Ильнур</t>
        </is>
      </c>
      <c r="J407" s="3" t="inlineStr">
        <is>
          <t>2026SS</t>
        </is>
      </c>
      <c r="K407" s="3" t="n">
        <v>8802</v>
      </c>
      <c r="L407" s="3" t="n">
        <v>866</v>
      </c>
      <c r="M407" s="3" t="n">
        <v>21</v>
      </c>
      <c r="N407" s="4">
        <f>IFERROR(L407/K407,0)</f>
        <v/>
      </c>
      <c r="O407" s="4">
        <f>IFERROR(M407/L407,0)</f>
        <v/>
      </c>
      <c r="P407" t="n">
        <v>232</v>
      </c>
      <c r="Q407" s="5" t="n">
        <v>1</v>
      </c>
      <c r="R407" s="7" t="n">
        <v>1</v>
      </c>
      <c r="S407">
        <f>IF(OR(N407&lt;$T$1*0.5,O407&lt;$U$1*0.5),"код для проверки","нормальный код")</f>
        <v/>
      </c>
      <c r="T407">
        <f>IF(N407&lt;$T$1*0.5,"Низшая четверть",IF(N407&lt;$T$1,"Вторая четверть","Больше половины"))</f>
        <v/>
      </c>
      <c r="U407">
        <f>IF(O407&lt;$U$1*0.5,"Низшая четверть",IF(O407&lt;$U$1,"Вторая четверть","Больше половины"))</f>
        <v/>
      </c>
      <c r="V407">
        <f>IF(OR(N407&lt;SUMIFS(L:L,R:R,1,E:E,E407)/SUMIFS(K:K,R:R,1,E:E,E407)*0.5,O407&lt;SUMIFS(M:M,R:R,1,E:E,E407)/SUMIFS(L:L,R:R,1,E:E,E407)*0.5),"код для проверки","нормальный код")</f>
        <v/>
      </c>
      <c r="W407">
        <f>IF(N407&lt;SUMIFS(L:L,R:R,1,E:E,E407)/SUMIFS(K:K,R:R,1,E:E,E407)*0.5,"Низшая четверть",IF(N407&lt;SUMIFS(L:L,R:R,1,E:E,E407)/SUMIFS(K:K,R:R,1,E:E,E407),"Вторая четверть","Больше половины"))</f>
        <v/>
      </c>
      <c r="X407">
        <f>IF(O407&lt;SUMIFS(M:M,R:R,1,E:E,E407)/SUMIFS(L:L,R:R,1,E:E,E407)*0.5,"Низшая четверть",IF(O407&lt;SUMIFS(M:M,R:R,1,E:E,E407)/SUMIFS(L:L,R:R,1,E:E,E407),"Вторая четверть","Больше половины"))</f>
        <v/>
      </c>
      <c r="Y407" t="n">
        <v>21</v>
      </c>
    </row>
    <row r="408">
      <c r="A408" s="1" t="inlineStr">
        <is>
          <t>20100240</t>
        </is>
      </c>
      <c r="B408" s="2" t="inlineStr">
        <is>
          <t>760592125</t>
        </is>
      </c>
      <c r="C408" s="3" t="inlineStr">
        <is>
          <t>Одежда для детей</t>
        </is>
      </c>
      <c r="D408" s="2" t="inlineStr">
        <is>
          <t>Головные детские уборы для девочек</t>
        </is>
      </c>
      <c r="E408" s="3" t="inlineStr">
        <is>
          <t>201 Бейсболка детская для девочек</t>
        </is>
      </c>
      <c r="F408" s="2" t="inlineStr">
        <is>
          <t>весна, лето</t>
        </is>
      </c>
      <c r="G408" s="3" t="inlineStr">
        <is>
          <t>kari</t>
        </is>
      </c>
      <c r="H408" s="2" t="inlineStr">
        <is>
          <t>Никонорова Алина</t>
        </is>
      </c>
      <c r="J408" s="3" t="inlineStr">
        <is>
          <t>2026SS</t>
        </is>
      </c>
      <c r="K408" s="3" t="n">
        <v>8785</v>
      </c>
      <c r="L408" s="3" t="n">
        <v>782</v>
      </c>
      <c r="M408" s="3" t="n">
        <v>22</v>
      </c>
      <c r="N408" s="4">
        <f>IFERROR(L408/K408,0)</f>
        <v/>
      </c>
      <c r="O408" s="4">
        <f>IFERROR(M408/L408,0)</f>
        <v/>
      </c>
      <c r="P408" t="n">
        <v>535</v>
      </c>
      <c r="Q408" s="5" t="n">
        <v>1</v>
      </c>
      <c r="R408" s="7" t="n">
        <v>1</v>
      </c>
      <c r="S408">
        <f>IF(OR(N408&lt;$T$1*0.5,O408&lt;$U$1*0.5),"код для проверки","нормальный код")</f>
        <v/>
      </c>
      <c r="T408">
        <f>IF(N408&lt;$T$1*0.5,"Низшая четверть",IF(N408&lt;$T$1,"Вторая четверть","Больше половины"))</f>
        <v/>
      </c>
      <c r="U408">
        <f>IF(O408&lt;$U$1*0.5,"Низшая четверть",IF(O408&lt;$U$1,"Вторая четверть","Больше половины"))</f>
        <v/>
      </c>
      <c r="V408">
        <f>IF(OR(N408&lt;SUMIFS(L:L,R:R,1,E:E,E408)/SUMIFS(K:K,R:R,1,E:E,E408)*0.5,O408&lt;SUMIFS(M:M,R:R,1,E:E,E408)/SUMIFS(L:L,R:R,1,E:E,E408)*0.5),"код для проверки","нормальный код")</f>
        <v/>
      </c>
      <c r="W408">
        <f>IF(N408&lt;SUMIFS(L:L,R:R,1,E:E,E408)/SUMIFS(K:K,R:R,1,E:E,E408)*0.5,"Низшая четверть",IF(N408&lt;SUMIFS(L:L,R:R,1,E:E,E408)/SUMIFS(K:K,R:R,1,E:E,E408),"Вторая четверть","Больше половины"))</f>
        <v/>
      </c>
      <c r="X408">
        <f>IF(O408&lt;SUMIFS(M:M,R:R,1,E:E,E408)/SUMIFS(L:L,R:R,1,E:E,E408)*0.5,"Низшая четверть",IF(O408&lt;SUMIFS(M:M,R:R,1,E:E,E408)/SUMIFS(L:L,R:R,1,E:E,E408),"Вторая четверть","Больше половины"))</f>
        <v/>
      </c>
      <c r="Y408" t="n">
        <v>9</v>
      </c>
    </row>
    <row r="409">
      <c r="A409" s="1" t="inlineStr">
        <is>
          <t>43500160</t>
        </is>
      </c>
      <c r="B409" s="2" t="inlineStr">
        <is>
          <t>698694737</t>
        </is>
      </c>
      <c r="C409" s="3" t="inlineStr">
        <is>
          <t>Одежда для детей</t>
        </is>
      </c>
      <c r="D409" s="2" t="inlineStr">
        <is>
          <t>Брюки детские для мальчиков</t>
        </is>
      </c>
      <c r="E409" s="3" t="inlineStr">
        <is>
          <t>435 Брюки спортивные утепленные для мальчиков</t>
        </is>
      </c>
      <c r="F409" s="2" t="inlineStr">
        <is>
          <t>весна, осень, зима</t>
        </is>
      </c>
      <c r="G409" s="3" t="inlineStr">
        <is>
          <t>Kari KIDS</t>
        </is>
      </c>
      <c r="H409" s="2" t="inlineStr">
        <is>
          <t>Зиннуров Ильнур</t>
        </is>
      </c>
      <c r="J409" s="3" t="inlineStr">
        <is>
          <t>2026SS</t>
        </is>
      </c>
      <c r="K409" s="3" t="n">
        <v>8760</v>
      </c>
      <c r="L409" s="3" t="n">
        <v>2186</v>
      </c>
      <c r="M409" s="3" t="n">
        <v>22</v>
      </c>
      <c r="N409" s="4">
        <f>IFERROR(L409/K409,0)</f>
        <v/>
      </c>
      <c r="O409" s="4">
        <f>IFERROR(M409/L409,0)</f>
        <v/>
      </c>
      <c r="P409" t="n">
        <v>311</v>
      </c>
      <c r="Q409" s="5" t="n">
        <v>1</v>
      </c>
      <c r="R409" s="7" t="n">
        <v>1</v>
      </c>
      <c r="S409">
        <f>IF(OR(N409&lt;$T$1*0.5,O409&lt;$U$1*0.5),"код для проверки","нормальный код")</f>
        <v/>
      </c>
      <c r="T409">
        <f>IF(N409&lt;$T$1*0.5,"Низшая четверть",IF(N409&lt;$T$1,"Вторая четверть","Больше половины"))</f>
        <v/>
      </c>
      <c r="U409">
        <f>IF(O409&lt;$U$1*0.5,"Низшая четверть",IF(O409&lt;$U$1,"Вторая четверть","Больше половины"))</f>
        <v/>
      </c>
      <c r="V409">
        <f>IF(OR(N409&lt;SUMIFS(L:L,R:R,1,E:E,E409)/SUMIFS(K:K,R:R,1,E:E,E409)*0.5,O409&lt;SUMIFS(M:M,R:R,1,E:E,E409)/SUMIFS(L:L,R:R,1,E:E,E409)*0.5),"код для проверки","нормальный код")</f>
        <v/>
      </c>
      <c r="W409">
        <f>IF(N409&lt;SUMIFS(L:L,R:R,1,E:E,E409)/SUMIFS(K:K,R:R,1,E:E,E409)*0.5,"Низшая четверть",IF(N409&lt;SUMIFS(L:L,R:R,1,E:E,E409)/SUMIFS(K:K,R:R,1,E:E,E409),"Вторая четверть","Больше половины"))</f>
        <v/>
      </c>
      <c r="X409">
        <f>IF(O409&lt;SUMIFS(M:M,R:R,1,E:E,E409)/SUMIFS(L:L,R:R,1,E:E,E409)*0.5,"Низшая четверть",IF(O409&lt;SUMIFS(M:M,R:R,1,E:E,E409)/SUMIFS(L:L,R:R,1,E:E,E409),"Вторая четверть","Больше половины"))</f>
        <v/>
      </c>
      <c r="Y409" t="n">
        <v>18</v>
      </c>
    </row>
    <row r="410">
      <c r="A410" s="1" t="inlineStr">
        <is>
          <t>94606080</t>
        </is>
      </c>
      <c r="B410" s="2" t="inlineStr">
        <is>
          <t>209042893</t>
        </is>
      </c>
      <c r="C410" s="3" t="inlineStr">
        <is>
          <t>Одежда для детей</t>
        </is>
      </c>
      <c r="D410" s="2" t="inlineStr">
        <is>
          <t>Одежда для новорожденных</t>
        </is>
      </c>
      <c r="E410" s="3" t="inlineStr">
        <is>
          <t>946 Ромпер для мальчика</t>
        </is>
      </c>
      <c r="F410" s="2" t="inlineStr">
        <is>
          <t>лето</t>
        </is>
      </c>
      <c r="G410" s="3" t="inlineStr">
        <is>
          <t>Kari baby</t>
        </is>
      </c>
      <c r="H410" s="2" t="inlineStr">
        <is>
          <t>Зиннуров Ильнур</t>
        </is>
      </c>
      <c r="J410" s="3" t="inlineStr">
        <is>
          <t>2026SS</t>
        </is>
      </c>
      <c r="K410" s="3" t="n">
        <v>8715</v>
      </c>
      <c r="L410" s="3" t="n">
        <v>826</v>
      </c>
      <c r="M410" s="3" t="n">
        <v>19</v>
      </c>
      <c r="N410" s="4">
        <f>IFERROR(L410/K410,0)</f>
        <v/>
      </c>
      <c r="O410" s="4">
        <f>IFERROR(M410/L410,0)</f>
        <v/>
      </c>
      <c r="P410" t="n">
        <v>1630</v>
      </c>
      <c r="Q410" s="5" t="n">
        <v>1</v>
      </c>
      <c r="R410" s="7" t="n">
        <v>1</v>
      </c>
      <c r="S410">
        <f>IF(OR(N410&lt;$T$1*0.5,O410&lt;$U$1*0.5),"код для проверки","нормальный код")</f>
        <v/>
      </c>
      <c r="T410">
        <f>IF(N410&lt;$T$1*0.5,"Низшая четверть",IF(N410&lt;$T$1,"Вторая четверть","Больше половины"))</f>
        <v/>
      </c>
      <c r="U410">
        <f>IF(O410&lt;$U$1*0.5,"Низшая четверть",IF(O410&lt;$U$1,"Вторая четверть","Больше половины"))</f>
        <v/>
      </c>
      <c r="V410">
        <f>IF(OR(N410&lt;SUMIFS(L:L,R:R,1,E:E,E410)/SUMIFS(K:K,R:R,1,E:E,E410)*0.5,O410&lt;SUMIFS(M:M,R:R,1,E:E,E410)/SUMIFS(L:L,R:R,1,E:E,E410)*0.5),"код для проверки","нормальный код")</f>
        <v/>
      </c>
      <c r="W410">
        <f>IF(N410&lt;SUMIFS(L:L,R:R,1,E:E,E410)/SUMIFS(K:K,R:R,1,E:E,E410)*0.5,"Низшая четверть",IF(N410&lt;SUMIFS(L:L,R:R,1,E:E,E410)/SUMIFS(K:K,R:R,1,E:E,E410),"Вторая четверть","Больше половины"))</f>
        <v/>
      </c>
      <c r="X410">
        <f>IF(O410&lt;SUMIFS(M:M,R:R,1,E:E,E410)/SUMIFS(L:L,R:R,1,E:E,E410)*0.5,"Низшая четверть",IF(O410&lt;SUMIFS(M:M,R:R,1,E:E,E410)/SUMIFS(L:L,R:R,1,E:E,E410),"Вторая четверть","Больше половины"))</f>
        <v/>
      </c>
      <c r="Y410" t="n">
        <v>14</v>
      </c>
    </row>
    <row r="411">
      <c r="A411" s="1" t="inlineStr">
        <is>
          <t>10900050</t>
        </is>
      </c>
      <c r="B411" s="2" t="inlineStr">
        <is>
          <t>692729287</t>
        </is>
      </c>
      <c r="C411" s="3" t="inlineStr">
        <is>
          <t>Одежда и аксессуары</t>
        </is>
      </c>
      <c r="D411" s="2" t="inlineStr">
        <is>
          <t>Шарфы женские</t>
        </is>
      </c>
      <c r="E411" s="3" t="inlineStr">
        <is>
          <t>109 Палантин женский</t>
        </is>
      </c>
      <c r="F411" s="2" t="inlineStr">
        <is>
          <t>весна, осень, зима</t>
        </is>
      </c>
      <c r="G411" s="3" t="inlineStr">
        <is>
          <t>kari</t>
        </is>
      </c>
      <c r="H411" s="2" t="inlineStr">
        <is>
          <t>Никонорова Алина</t>
        </is>
      </c>
      <c r="J411" s="3" t="inlineStr">
        <is>
          <t>2026SS</t>
        </is>
      </c>
      <c r="K411" s="3" t="n">
        <v>8678</v>
      </c>
      <c r="L411" s="3" t="n">
        <v>750</v>
      </c>
      <c r="M411" s="3" t="n">
        <v>18</v>
      </c>
      <c r="N411" s="4">
        <f>IFERROR(L411/K411,0)</f>
        <v/>
      </c>
      <c r="O411" s="4">
        <f>IFERROR(M411/L411,0)</f>
        <v/>
      </c>
      <c r="P411" t="n">
        <v>292</v>
      </c>
      <c r="Q411" s="5" t="n">
        <v>1</v>
      </c>
      <c r="R411" s="7" t="n">
        <v>1</v>
      </c>
      <c r="S411">
        <f>IF(OR(N411&lt;$T$1*0.5,O411&lt;$U$1*0.5),"код для проверки","нормальный код")</f>
        <v/>
      </c>
      <c r="T411">
        <f>IF(N411&lt;$T$1*0.5,"Низшая четверть",IF(N411&lt;$T$1,"Вторая четверть","Больше половины"))</f>
        <v/>
      </c>
      <c r="U411">
        <f>IF(O411&lt;$U$1*0.5,"Низшая четверть",IF(O411&lt;$U$1,"Вторая четверть","Больше половины"))</f>
        <v/>
      </c>
      <c r="V411">
        <f>IF(OR(N411&lt;SUMIFS(L:L,R:R,1,E:E,E411)/SUMIFS(K:K,R:R,1,E:E,E411)*0.5,O411&lt;SUMIFS(M:M,R:R,1,E:E,E411)/SUMIFS(L:L,R:R,1,E:E,E411)*0.5),"код для проверки","нормальный код")</f>
        <v/>
      </c>
      <c r="W411">
        <f>IF(N411&lt;SUMIFS(L:L,R:R,1,E:E,E411)/SUMIFS(K:K,R:R,1,E:E,E411)*0.5,"Низшая четверть",IF(N411&lt;SUMIFS(L:L,R:R,1,E:E,E411)/SUMIFS(K:K,R:R,1,E:E,E411),"Вторая четверть","Больше половины"))</f>
        <v/>
      </c>
      <c r="X411">
        <f>IF(O411&lt;SUMIFS(M:M,R:R,1,E:E,E411)/SUMIFS(L:L,R:R,1,E:E,E411)*0.5,"Низшая четверть",IF(O411&lt;SUMIFS(M:M,R:R,1,E:E,E411)/SUMIFS(L:L,R:R,1,E:E,E411),"Вторая четверть","Больше половины"))</f>
        <v/>
      </c>
      <c r="Y411" t="n">
        <v>16</v>
      </c>
    </row>
    <row r="412">
      <c r="A412" s="1" t="inlineStr">
        <is>
          <t>30400050</t>
        </is>
      </c>
      <c r="B412" s="2" t="inlineStr">
        <is>
          <t>734171298</t>
        </is>
      </c>
      <c r="C412" s="3" t="inlineStr">
        <is>
          <t>Одежда и аксессуары</t>
        </is>
      </c>
      <c r="D412" s="2" t="inlineStr">
        <is>
          <t>Майки и платья женские</t>
        </is>
      </c>
      <c r="E412" s="3" t="inlineStr">
        <is>
          <t>304 Юбка женская</t>
        </is>
      </c>
      <c r="F412" s="2" t="inlineStr">
        <is>
          <t>всесезонный</t>
        </is>
      </c>
      <c r="G412" s="3" t="inlineStr">
        <is>
          <t>kari</t>
        </is>
      </c>
      <c r="H412" s="2" t="inlineStr">
        <is>
          <t>Зиннуров Ильнур</t>
        </is>
      </c>
      <c r="J412" s="3" t="inlineStr">
        <is>
          <t>2026SS</t>
        </is>
      </c>
      <c r="K412" s="3" t="n">
        <v>8626</v>
      </c>
      <c r="L412" s="3" t="n">
        <v>541</v>
      </c>
      <c r="M412" s="3" t="n">
        <v>22</v>
      </c>
      <c r="N412" s="4">
        <f>IFERROR(L412/K412,0)</f>
        <v/>
      </c>
      <c r="O412" s="4">
        <f>IFERROR(M412/L412,0)</f>
        <v/>
      </c>
      <c r="P412" t="n">
        <v>710</v>
      </c>
      <c r="Q412" s="5" t="n">
        <v>1</v>
      </c>
      <c r="R412" s="7" t="n">
        <v>1</v>
      </c>
      <c r="S412">
        <f>IF(OR(N412&lt;$T$1*0.5,O412&lt;$U$1*0.5),"код для проверки","нормальный код")</f>
        <v/>
      </c>
      <c r="T412">
        <f>IF(N412&lt;$T$1*0.5,"Низшая четверть",IF(N412&lt;$T$1,"Вторая четверть","Больше половины"))</f>
        <v/>
      </c>
      <c r="U412">
        <f>IF(O412&lt;$U$1*0.5,"Низшая четверть",IF(O412&lt;$U$1,"Вторая четверть","Больше половины"))</f>
        <v/>
      </c>
      <c r="V412">
        <f>IF(OR(N412&lt;SUMIFS(L:L,R:R,1,E:E,E412)/SUMIFS(K:K,R:R,1,E:E,E412)*0.5,O412&lt;SUMIFS(M:M,R:R,1,E:E,E412)/SUMIFS(L:L,R:R,1,E:E,E412)*0.5),"код для проверки","нормальный код")</f>
        <v/>
      </c>
      <c r="W412">
        <f>IF(N412&lt;SUMIFS(L:L,R:R,1,E:E,E412)/SUMIFS(K:K,R:R,1,E:E,E412)*0.5,"Низшая четверть",IF(N412&lt;SUMIFS(L:L,R:R,1,E:E,E412)/SUMIFS(K:K,R:R,1,E:E,E412),"Вторая четверть","Больше половины"))</f>
        <v/>
      </c>
      <c r="X412">
        <f>IF(O412&lt;SUMIFS(M:M,R:R,1,E:E,E412)/SUMIFS(L:L,R:R,1,E:E,E412)*0.5,"Низшая четверть",IF(O412&lt;SUMIFS(M:M,R:R,1,E:E,E412)/SUMIFS(L:L,R:R,1,E:E,E412),"Вторая четверть","Больше половины"))</f>
        <v/>
      </c>
      <c r="Y412" t="n">
        <v>17</v>
      </c>
    </row>
    <row r="413">
      <c r="A413" s="1" t="inlineStr">
        <is>
          <t>18700020</t>
        </is>
      </c>
      <c r="B413" s="2" t="inlineStr">
        <is>
          <t>840057989</t>
        </is>
      </c>
      <c r="C413" s="3" t="inlineStr">
        <is>
          <t>Одежда и аксессуары</t>
        </is>
      </c>
      <c r="D413" s="2" t="inlineStr">
        <is>
          <t>Майки и платья женские</t>
        </is>
      </c>
      <c r="E413" s="3" t="inlineStr">
        <is>
          <t>187 Платье женское</t>
        </is>
      </c>
      <c r="F413" s="2" t="inlineStr">
        <is>
          <t>весна, лето</t>
        </is>
      </c>
      <c r="G413" s="3" t="inlineStr">
        <is>
          <t>kari</t>
        </is>
      </c>
      <c r="H413" s="2" t="inlineStr">
        <is>
          <t>Зиннуров Ильнур</t>
        </is>
      </c>
      <c r="J413" s="3" t="inlineStr">
        <is>
          <t>2026SS</t>
        </is>
      </c>
      <c r="K413" s="3" t="n">
        <v>8596</v>
      </c>
      <c r="L413" s="3" t="n">
        <v>566</v>
      </c>
      <c r="M413" s="3" t="n">
        <v>9</v>
      </c>
      <c r="N413" s="4">
        <f>IFERROR(L413/K413,0)</f>
        <v/>
      </c>
      <c r="O413" s="4">
        <f>IFERROR(M413/L413,0)</f>
        <v/>
      </c>
      <c r="P413" t="n">
        <v>452</v>
      </c>
      <c r="Q413" s="5" t="n">
        <v>1</v>
      </c>
      <c r="R413" s="7" t="n">
        <v>1</v>
      </c>
      <c r="S413">
        <f>IF(OR(N413&lt;$T$1*0.5,O413&lt;$U$1*0.5),"код для проверки","нормальный код")</f>
        <v/>
      </c>
      <c r="T413">
        <f>IF(N413&lt;$T$1*0.5,"Низшая четверть",IF(N413&lt;$T$1,"Вторая четверть","Больше половины"))</f>
        <v/>
      </c>
      <c r="U413">
        <f>IF(O413&lt;$U$1*0.5,"Низшая четверть",IF(O413&lt;$U$1,"Вторая четверть","Больше половины"))</f>
        <v/>
      </c>
      <c r="V413">
        <f>IF(OR(N413&lt;SUMIFS(L:L,R:R,1,E:E,E413)/SUMIFS(K:K,R:R,1,E:E,E413)*0.5,O413&lt;SUMIFS(M:M,R:R,1,E:E,E413)/SUMIFS(L:L,R:R,1,E:E,E413)*0.5),"код для проверки","нормальный код")</f>
        <v/>
      </c>
      <c r="W413">
        <f>IF(N413&lt;SUMIFS(L:L,R:R,1,E:E,E413)/SUMIFS(K:K,R:R,1,E:E,E413)*0.5,"Низшая четверть",IF(N413&lt;SUMIFS(L:L,R:R,1,E:E,E413)/SUMIFS(K:K,R:R,1,E:E,E413),"Вторая четверть","Больше половины"))</f>
        <v/>
      </c>
      <c r="X413">
        <f>IF(O413&lt;SUMIFS(M:M,R:R,1,E:E,E413)/SUMIFS(L:L,R:R,1,E:E,E413)*0.5,"Низшая четверть",IF(O413&lt;SUMIFS(M:M,R:R,1,E:E,E413)/SUMIFS(L:L,R:R,1,E:E,E413),"Вторая четверть","Больше половины"))</f>
        <v/>
      </c>
      <c r="Y413" t="n">
        <v>23</v>
      </c>
    </row>
    <row r="414">
      <c r="A414" s="1" t="inlineStr">
        <is>
          <t>89000100</t>
        </is>
      </c>
      <c r="B414" s="2" t="inlineStr">
        <is>
          <t>770505909</t>
        </is>
      </c>
      <c r="C414" s="3" t="inlineStr">
        <is>
          <t>Одежда для детей</t>
        </is>
      </c>
      <c r="D414" s="2" t="inlineStr">
        <is>
          <t>Одежда для новорожденных</t>
        </is>
      </c>
      <c r="E414" s="3" t="inlineStr">
        <is>
          <t>890 Платье для маленькой девочки</t>
        </is>
      </c>
      <c r="F414" s="2" t="inlineStr">
        <is>
          <t>всесезонный</t>
        </is>
      </c>
      <c r="G414" s="3" t="inlineStr">
        <is>
          <t>Kari baby</t>
        </is>
      </c>
      <c r="H414" s="2" t="inlineStr">
        <is>
          <t>Зиннуров Ильнур</t>
        </is>
      </c>
      <c r="J414" s="3" t="inlineStr">
        <is>
          <t>2026SS</t>
        </is>
      </c>
      <c r="K414" s="3" t="n">
        <v>8530</v>
      </c>
      <c r="L414" s="3" t="n">
        <v>706</v>
      </c>
      <c r="M414" s="3" t="n">
        <v>11</v>
      </c>
      <c r="N414" s="4">
        <f>IFERROR(L414/K414,0)</f>
        <v/>
      </c>
      <c r="O414" s="4">
        <f>IFERROR(M414/L414,0)</f>
        <v/>
      </c>
      <c r="P414" t="n">
        <v>133</v>
      </c>
      <c r="Q414" s="5" t="n">
        <v>0.75</v>
      </c>
      <c r="R414" s="7" t="n">
        <v>1</v>
      </c>
      <c r="S414">
        <f>IF(OR(N414&lt;$T$1*0.5,O414&lt;$U$1*0.5),"код для проверки","нормальный код")</f>
        <v/>
      </c>
      <c r="T414">
        <f>IF(N414&lt;$T$1*0.5,"Низшая четверть",IF(N414&lt;$T$1,"Вторая четверть","Больше половины"))</f>
        <v/>
      </c>
      <c r="U414">
        <f>IF(O414&lt;$U$1*0.5,"Низшая четверть",IF(O414&lt;$U$1,"Вторая четверть","Больше половины"))</f>
        <v/>
      </c>
      <c r="V414">
        <f>IF(OR(N414&lt;SUMIFS(L:L,R:R,1,E:E,E414)/SUMIFS(K:K,R:R,1,E:E,E414)*0.5,O414&lt;SUMIFS(M:M,R:R,1,E:E,E414)/SUMIFS(L:L,R:R,1,E:E,E414)*0.5),"код для проверки","нормальный код")</f>
        <v/>
      </c>
      <c r="W414">
        <f>IF(N414&lt;SUMIFS(L:L,R:R,1,E:E,E414)/SUMIFS(K:K,R:R,1,E:E,E414)*0.5,"Низшая четверть",IF(N414&lt;SUMIFS(L:L,R:R,1,E:E,E414)/SUMIFS(K:K,R:R,1,E:E,E414),"Вторая четверть","Больше половины"))</f>
        <v/>
      </c>
      <c r="X414">
        <f>IF(O414&lt;SUMIFS(M:M,R:R,1,E:E,E414)/SUMIFS(L:L,R:R,1,E:E,E414)*0.5,"Низшая четверть",IF(O414&lt;SUMIFS(M:M,R:R,1,E:E,E414)/SUMIFS(L:L,R:R,1,E:E,E414),"Вторая четверть","Больше половины"))</f>
        <v/>
      </c>
      <c r="Y414" t="n">
        <v>17</v>
      </c>
    </row>
    <row r="415">
      <c r="A415" s="1" t="inlineStr">
        <is>
          <t>96700100</t>
        </is>
      </c>
      <c r="B415" s="2" t="inlineStr">
        <is>
          <t>820284549</t>
        </is>
      </c>
      <c r="C415" s="3" t="inlineStr">
        <is>
          <t>Одежда для детей</t>
        </is>
      </c>
      <c r="D415" s="2" t="inlineStr">
        <is>
          <t>Верхняя детская одежда для девочек</t>
        </is>
      </c>
      <c r="E415" s="3" t="inlineStr">
        <is>
          <t>967 Куртка джинсовая для девочки</t>
        </is>
      </c>
      <c r="F415" s="2" t="inlineStr">
        <is>
          <t>весна, лето, осень</t>
        </is>
      </c>
      <c r="G415" s="3" t="inlineStr">
        <is>
          <t>Kari KIDS</t>
        </is>
      </c>
      <c r="H415" s="2" t="inlineStr">
        <is>
          <t>Зиннуров Ильнур</t>
        </is>
      </c>
      <c r="J415" s="3" t="inlineStr">
        <is>
          <t>2026SS</t>
        </is>
      </c>
      <c r="K415" s="3" t="n">
        <v>8457</v>
      </c>
      <c r="L415" s="3" t="n">
        <v>1590</v>
      </c>
      <c r="M415" s="3" t="n">
        <v>15</v>
      </c>
      <c r="N415" s="4">
        <f>IFERROR(L415/K415,0)</f>
        <v/>
      </c>
      <c r="O415" s="4">
        <f>IFERROR(M415/L415,0)</f>
        <v/>
      </c>
      <c r="P415" t="n">
        <v>395</v>
      </c>
      <c r="Q415" s="5" t="n">
        <v>1</v>
      </c>
      <c r="R415" s="7" t="n">
        <v>1</v>
      </c>
      <c r="S415">
        <f>IF(OR(N415&lt;$T$1*0.5,O415&lt;$U$1*0.5),"код для проверки","нормальный код")</f>
        <v/>
      </c>
      <c r="T415">
        <f>IF(N415&lt;$T$1*0.5,"Низшая четверть",IF(N415&lt;$T$1,"Вторая четверть","Больше половины"))</f>
        <v/>
      </c>
      <c r="U415">
        <f>IF(O415&lt;$U$1*0.5,"Низшая четверть",IF(O415&lt;$U$1,"Вторая четверть","Больше половины"))</f>
        <v/>
      </c>
      <c r="V415">
        <f>IF(OR(N415&lt;SUMIFS(L:L,R:R,1,E:E,E415)/SUMIFS(K:K,R:R,1,E:E,E415)*0.5,O415&lt;SUMIFS(M:M,R:R,1,E:E,E415)/SUMIFS(L:L,R:R,1,E:E,E415)*0.5),"код для проверки","нормальный код")</f>
        <v/>
      </c>
      <c r="W415">
        <f>IF(N415&lt;SUMIFS(L:L,R:R,1,E:E,E415)/SUMIFS(K:K,R:R,1,E:E,E415)*0.5,"Низшая четверть",IF(N415&lt;SUMIFS(L:L,R:R,1,E:E,E415)/SUMIFS(K:K,R:R,1,E:E,E415),"Вторая четверть","Больше половины"))</f>
        <v/>
      </c>
      <c r="X415">
        <f>IF(O415&lt;SUMIFS(M:M,R:R,1,E:E,E415)/SUMIFS(L:L,R:R,1,E:E,E415)*0.5,"Низшая четверть",IF(O415&lt;SUMIFS(M:M,R:R,1,E:E,E415)/SUMIFS(L:L,R:R,1,E:E,E415),"Вторая четверть","Больше половины"))</f>
        <v/>
      </c>
      <c r="Y415" t="n">
        <v>10</v>
      </c>
    </row>
    <row r="416">
      <c r="A416" s="1" t="inlineStr">
        <is>
          <t>30700040</t>
        </is>
      </c>
      <c r="B416" s="2" t="inlineStr">
        <is>
          <t>708667784</t>
        </is>
      </c>
      <c r="C416" s="3" t="inlineStr">
        <is>
          <t>Одежда для детей</t>
        </is>
      </c>
      <c r="D416" s="2" t="inlineStr">
        <is>
          <t>Платья, майки, футболки детские для девочек</t>
        </is>
      </c>
      <c r="E416" s="3" t="inlineStr">
        <is>
          <t>307 Блузка детская для девочек</t>
        </is>
      </c>
      <c r="F416" s="2" t="inlineStr">
        <is>
          <t>всесезонный</t>
        </is>
      </c>
      <c r="G416" s="3" t="inlineStr">
        <is>
          <t>kari</t>
        </is>
      </c>
      <c r="H416" s="2" t="inlineStr">
        <is>
          <t>Зиннуров Ильнур</t>
        </is>
      </c>
      <c r="J416" s="3" t="inlineStr">
        <is>
          <t>2026SS</t>
        </is>
      </c>
      <c r="K416" s="3" t="n">
        <v>8440</v>
      </c>
      <c r="L416" s="3" t="n">
        <v>733</v>
      </c>
      <c r="M416" s="3" t="n">
        <v>15</v>
      </c>
      <c r="N416" s="4">
        <f>IFERROR(L416/K416,0)</f>
        <v/>
      </c>
      <c r="O416" s="4">
        <f>IFERROR(M416/L416,0)</f>
        <v/>
      </c>
      <c r="P416" t="n">
        <v>570</v>
      </c>
      <c r="Q416" s="5" t="n">
        <v>1</v>
      </c>
      <c r="R416" s="7" t="n">
        <v>1</v>
      </c>
      <c r="S416">
        <f>IF(OR(N416&lt;$T$1*0.5,O416&lt;$U$1*0.5),"код для проверки","нормальный код")</f>
        <v/>
      </c>
      <c r="T416">
        <f>IF(N416&lt;$T$1*0.5,"Низшая четверть",IF(N416&lt;$T$1,"Вторая четверть","Больше половины"))</f>
        <v/>
      </c>
      <c r="U416">
        <f>IF(O416&lt;$U$1*0.5,"Низшая четверть",IF(O416&lt;$U$1,"Вторая четверть","Больше половины"))</f>
        <v/>
      </c>
      <c r="V416">
        <f>IF(OR(N416&lt;SUMIFS(L:L,R:R,1,E:E,E416)/SUMIFS(K:K,R:R,1,E:E,E416)*0.5,O416&lt;SUMIFS(M:M,R:R,1,E:E,E416)/SUMIFS(L:L,R:R,1,E:E,E416)*0.5),"код для проверки","нормальный код")</f>
        <v/>
      </c>
      <c r="W416">
        <f>IF(N416&lt;SUMIFS(L:L,R:R,1,E:E,E416)/SUMIFS(K:K,R:R,1,E:E,E416)*0.5,"Низшая четверть",IF(N416&lt;SUMIFS(L:L,R:R,1,E:E,E416)/SUMIFS(K:K,R:R,1,E:E,E416),"Вторая четверть","Больше половины"))</f>
        <v/>
      </c>
      <c r="X416">
        <f>IF(O416&lt;SUMIFS(M:M,R:R,1,E:E,E416)/SUMIFS(L:L,R:R,1,E:E,E416)*0.5,"Низшая четверть",IF(O416&lt;SUMIFS(M:M,R:R,1,E:E,E416)/SUMIFS(L:L,R:R,1,E:E,E416),"Вторая четверть","Больше половины"))</f>
        <v/>
      </c>
      <c r="Y416" t="n">
        <v>20</v>
      </c>
    </row>
    <row r="417">
      <c r="A417" s="1" t="inlineStr">
        <is>
          <t>23908010</t>
        </is>
      </c>
      <c r="B417" s="2" t="inlineStr">
        <is>
          <t>316541570</t>
        </is>
      </c>
      <c r="C417" s="3" t="inlineStr">
        <is>
          <t>Одежда для детей</t>
        </is>
      </c>
      <c r="D417" s="2" t="inlineStr">
        <is>
          <t>Спортивная детская одежда для мальчиков</t>
        </is>
      </c>
      <c r="E417" s="3" t="inlineStr">
        <is>
          <t>239 Спортивный костюм детский для мальчиков</t>
        </is>
      </c>
      <c r="F417" s="2" t="inlineStr">
        <is>
          <t>всесезонный</t>
        </is>
      </c>
      <c r="G417" s="3" t="inlineStr">
        <is>
          <t>kari</t>
        </is>
      </c>
      <c r="H417" s="2" t="inlineStr">
        <is>
          <t>Зиннуров Ильнур</t>
        </is>
      </c>
      <c r="J417" s="3" t="inlineStr">
        <is>
          <t>2026SS</t>
        </is>
      </c>
      <c r="K417" s="3" t="n">
        <v>8440</v>
      </c>
      <c r="L417" s="3" t="n">
        <v>2905</v>
      </c>
      <c r="M417" s="3" t="n">
        <v>47</v>
      </c>
      <c r="N417" s="4">
        <f>IFERROR(L417/K417,0)</f>
        <v/>
      </c>
      <c r="O417" s="4">
        <f>IFERROR(M417/L417,0)</f>
        <v/>
      </c>
      <c r="P417" t="n">
        <v>585</v>
      </c>
      <c r="Q417" s="5" t="n">
        <v>0.9</v>
      </c>
      <c r="R417" s="7" t="n">
        <v>1</v>
      </c>
      <c r="S417">
        <f>IF(OR(N417&lt;$T$1*0.5,O417&lt;$U$1*0.5),"код для проверки","нормальный код")</f>
        <v/>
      </c>
      <c r="T417">
        <f>IF(N417&lt;$T$1*0.5,"Низшая четверть",IF(N417&lt;$T$1,"Вторая четверть","Больше половины"))</f>
        <v/>
      </c>
      <c r="U417">
        <f>IF(O417&lt;$U$1*0.5,"Низшая четверть",IF(O417&lt;$U$1,"Вторая четверть","Больше половины"))</f>
        <v/>
      </c>
      <c r="V417">
        <f>IF(OR(N417&lt;SUMIFS(L:L,R:R,1,E:E,E417)/SUMIFS(K:K,R:R,1,E:E,E417)*0.5,O417&lt;SUMIFS(M:M,R:R,1,E:E,E417)/SUMIFS(L:L,R:R,1,E:E,E417)*0.5),"код для проверки","нормальный код")</f>
        <v/>
      </c>
      <c r="W417">
        <f>IF(N417&lt;SUMIFS(L:L,R:R,1,E:E,E417)/SUMIFS(K:K,R:R,1,E:E,E417)*0.5,"Низшая четверть",IF(N417&lt;SUMIFS(L:L,R:R,1,E:E,E417)/SUMIFS(K:K,R:R,1,E:E,E417),"Вторая четверть","Больше половины"))</f>
        <v/>
      </c>
      <c r="X417">
        <f>IF(O417&lt;SUMIFS(M:M,R:R,1,E:E,E417)/SUMIFS(L:L,R:R,1,E:E,E417)*0.5,"Низшая четверть",IF(O417&lt;SUMIFS(M:M,R:R,1,E:E,E417)/SUMIFS(L:L,R:R,1,E:E,E417),"Вторая четверть","Больше половины"))</f>
        <v/>
      </c>
      <c r="Y417" t="n">
        <v>16</v>
      </c>
    </row>
    <row r="418">
      <c r="A418" s="1" t="inlineStr">
        <is>
          <t>30200360</t>
        </is>
      </c>
      <c r="B418" s="2" t="inlineStr">
        <is>
          <t>716072303</t>
        </is>
      </c>
      <c r="C418" s="3" t="inlineStr">
        <is>
          <t>Одежда для детей</t>
        </is>
      </c>
      <c r="D418" s="2" t="inlineStr">
        <is>
          <t>Платья, майки, футболки детские для девочек</t>
        </is>
      </c>
      <c r="E418" s="3" t="inlineStr">
        <is>
          <t>302 Юбка детская для девочек</t>
        </is>
      </c>
      <c r="F418" s="2" t="inlineStr">
        <is>
          <t>всесезонный</t>
        </is>
      </c>
      <c r="G418" s="3" t="inlineStr">
        <is>
          <t>kari</t>
        </is>
      </c>
      <c r="H418" s="2" t="inlineStr">
        <is>
          <t>Зиннуров Ильнур</t>
        </is>
      </c>
      <c r="J418" s="3" t="inlineStr">
        <is>
          <t>2026SS</t>
        </is>
      </c>
      <c r="K418" s="3" t="n">
        <v>8213</v>
      </c>
      <c r="L418" s="3" t="n">
        <v>855</v>
      </c>
      <c r="M418" s="3" t="n">
        <v>31</v>
      </c>
      <c r="N418" s="4">
        <f>IFERROR(L418/K418,0)</f>
        <v/>
      </c>
      <c r="O418" s="4">
        <f>IFERROR(M418/L418,0)</f>
        <v/>
      </c>
      <c r="P418" t="n">
        <v>399</v>
      </c>
      <c r="Q418" s="5" t="n">
        <v>1</v>
      </c>
      <c r="R418" s="7" t="n">
        <v>1</v>
      </c>
      <c r="S418">
        <f>IF(OR(N418&lt;$T$1*0.5,O418&lt;$U$1*0.5),"код для проверки","нормальный код")</f>
        <v/>
      </c>
      <c r="T418">
        <f>IF(N418&lt;$T$1*0.5,"Низшая четверть",IF(N418&lt;$T$1,"Вторая четверть","Больше половины"))</f>
        <v/>
      </c>
      <c r="U418">
        <f>IF(O418&lt;$U$1*0.5,"Низшая четверть",IF(O418&lt;$U$1,"Вторая четверть","Больше половины"))</f>
        <v/>
      </c>
      <c r="V418">
        <f>IF(OR(N418&lt;SUMIFS(L:L,R:R,1,E:E,E418)/SUMIFS(K:K,R:R,1,E:E,E418)*0.5,O418&lt;SUMIFS(M:M,R:R,1,E:E,E418)/SUMIFS(L:L,R:R,1,E:E,E418)*0.5),"код для проверки","нормальный код")</f>
        <v/>
      </c>
      <c r="W418">
        <f>IF(N418&lt;SUMIFS(L:L,R:R,1,E:E,E418)/SUMIFS(K:K,R:R,1,E:E,E418)*0.5,"Низшая четверть",IF(N418&lt;SUMIFS(L:L,R:R,1,E:E,E418)/SUMIFS(K:K,R:R,1,E:E,E418),"Вторая четверть","Больше половины"))</f>
        <v/>
      </c>
      <c r="X418">
        <f>IF(O418&lt;SUMIFS(M:M,R:R,1,E:E,E418)/SUMIFS(L:L,R:R,1,E:E,E418)*0.5,"Низшая четверть",IF(O418&lt;SUMIFS(M:M,R:R,1,E:E,E418)/SUMIFS(L:L,R:R,1,E:E,E418),"Вторая четверть","Больше половины"))</f>
        <v/>
      </c>
      <c r="Y418" t="n">
        <v>19</v>
      </c>
    </row>
    <row r="419">
      <c r="A419" s="1" t="inlineStr">
        <is>
          <t>96800040</t>
        </is>
      </c>
      <c r="B419" s="2" t="inlineStr">
        <is>
          <t>786709971</t>
        </is>
      </c>
      <c r="C419" s="3" t="inlineStr">
        <is>
          <t>Одежда для детей</t>
        </is>
      </c>
      <c r="D419" s="2" t="inlineStr">
        <is>
          <t>Верхняя одежда детская для мальчиков</t>
        </is>
      </c>
      <c r="E419" s="3" t="inlineStr">
        <is>
          <t>968 Куртка джинсовая для мальчика</t>
        </is>
      </c>
      <c r="F419" s="2" t="inlineStr">
        <is>
          <t>весна, лето, осень</t>
        </is>
      </c>
      <c r="G419" s="3" t="inlineStr">
        <is>
          <t>Kari KIDS</t>
        </is>
      </c>
      <c r="H419" s="2" t="inlineStr">
        <is>
          <t>Зиннуров Ильнур</t>
        </is>
      </c>
      <c r="J419" s="3" t="inlineStr">
        <is>
          <t>2026SS</t>
        </is>
      </c>
      <c r="K419" s="3" t="n">
        <v>8107</v>
      </c>
      <c r="L419" s="3" t="n">
        <v>746</v>
      </c>
      <c r="M419" s="3" t="n">
        <v>7</v>
      </c>
      <c r="N419" s="4">
        <f>IFERROR(L419/K419,0)</f>
        <v/>
      </c>
      <c r="O419" s="4">
        <f>IFERROR(M419/L419,0)</f>
        <v/>
      </c>
      <c r="P419" t="n">
        <v>218</v>
      </c>
      <c r="Q419" s="5" t="n">
        <v>1</v>
      </c>
      <c r="R419" s="7" t="n">
        <v>1</v>
      </c>
      <c r="S419">
        <f>IF(OR(N419&lt;$T$1*0.5,O419&lt;$U$1*0.5),"код для проверки","нормальный код")</f>
        <v/>
      </c>
      <c r="T419">
        <f>IF(N419&lt;$T$1*0.5,"Низшая четверть",IF(N419&lt;$T$1,"Вторая четверть","Больше половины"))</f>
        <v/>
      </c>
      <c r="U419">
        <f>IF(O419&lt;$U$1*0.5,"Низшая четверть",IF(O419&lt;$U$1,"Вторая четверть","Больше половины"))</f>
        <v/>
      </c>
      <c r="V419">
        <f>IF(OR(N419&lt;SUMIFS(L:L,R:R,1,E:E,E419)/SUMIFS(K:K,R:R,1,E:E,E419)*0.5,O419&lt;SUMIFS(M:M,R:R,1,E:E,E419)/SUMIFS(L:L,R:R,1,E:E,E419)*0.5),"код для проверки","нормальный код")</f>
        <v/>
      </c>
      <c r="W419">
        <f>IF(N419&lt;SUMIFS(L:L,R:R,1,E:E,E419)/SUMIFS(K:K,R:R,1,E:E,E419)*0.5,"Низшая четверть",IF(N419&lt;SUMIFS(L:L,R:R,1,E:E,E419)/SUMIFS(K:K,R:R,1,E:E,E419),"Вторая четверть","Больше половины"))</f>
        <v/>
      </c>
      <c r="X419">
        <f>IF(O419&lt;SUMIFS(M:M,R:R,1,E:E,E419)/SUMIFS(L:L,R:R,1,E:E,E419)*0.5,"Низшая четверть",IF(O419&lt;SUMIFS(M:M,R:R,1,E:E,E419)/SUMIFS(L:L,R:R,1,E:E,E419),"Вторая четверть","Больше половины"))</f>
        <v/>
      </c>
      <c r="Y419" t="n">
        <v>17</v>
      </c>
    </row>
    <row r="420">
      <c r="A420" s="1" t="inlineStr">
        <is>
          <t>57400010</t>
        </is>
      </c>
      <c r="B420" s="2" t="inlineStr">
        <is>
          <t>772653434</t>
        </is>
      </c>
      <c r="C420" s="3" t="inlineStr">
        <is>
          <t>Одежда для детей</t>
        </is>
      </c>
      <c r="D420" s="2" t="inlineStr">
        <is>
          <t>Одежда для новорожденных</t>
        </is>
      </c>
      <c r="E420" s="3" t="inlineStr">
        <is>
          <t>574 Распашонка</t>
        </is>
      </c>
      <c r="F420" s="2" t="inlineStr">
        <is>
          <t>всесезонный</t>
        </is>
      </c>
      <c r="G420" s="3" t="inlineStr">
        <is>
          <t>Kari baby</t>
        </is>
      </c>
      <c r="H420" s="2" t="inlineStr">
        <is>
          <t>Зиннуров Ильнур</t>
        </is>
      </c>
      <c r="J420" s="3" t="inlineStr">
        <is>
          <t>2026SS</t>
        </is>
      </c>
      <c r="K420" s="3" t="n">
        <v>8107</v>
      </c>
      <c r="L420" s="3" t="n">
        <v>762</v>
      </c>
      <c r="M420" s="3" t="n">
        <v>11</v>
      </c>
      <c r="N420" s="4">
        <f>IFERROR(L420/K420,0)</f>
        <v/>
      </c>
      <c r="O420" s="4">
        <f>IFERROR(M420/L420,0)</f>
        <v/>
      </c>
      <c r="P420" t="n">
        <v>140</v>
      </c>
      <c r="Q420" s="5" t="n">
        <v>1</v>
      </c>
      <c r="R420" s="7" t="n">
        <v>1</v>
      </c>
      <c r="S420">
        <f>IF(OR(N420&lt;$T$1*0.5,O420&lt;$U$1*0.5),"код для проверки","нормальный код")</f>
        <v/>
      </c>
      <c r="T420">
        <f>IF(N420&lt;$T$1*0.5,"Низшая четверть",IF(N420&lt;$T$1,"Вторая четверть","Больше половины"))</f>
        <v/>
      </c>
      <c r="U420">
        <f>IF(O420&lt;$U$1*0.5,"Низшая четверть",IF(O420&lt;$U$1,"Вторая четверть","Больше половины"))</f>
        <v/>
      </c>
      <c r="V420">
        <f>IF(OR(N420&lt;SUMIFS(L:L,R:R,1,E:E,E420)/SUMIFS(K:K,R:R,1,E:E,E420)*0.5,O420&lt;SUMIFS(M:M,R:R,1,E:E,E420)/SUMIFS(L:L,R:R,1,E:E,E420)*0.5),"код для проверки","нормальный код")</f>
        <v/>
      </c>
      <c r="W420">
        <f>IF(N420&lt;SUMIFS(L:L,R:R,1,E:E,E420)/SUMIFS(K:K,R:R,1,E:E,E420)*0.5,"Низшая четверть",IF(N420&lt;SUMIFS(L:L,R:R,1,E:E,E420)/SUMIFS(K:K,R:R,1,E:E,E420),"Вторая четверть","Больше половины"))</f>
        <v/>
      </c>
      <c r="X420">
        <f>IF(O420&lt;SUMIFS(M:M,R:R,1,E:E,E420)/SUMIFS(L:L,R:R,1,E:E,E420)*0.5,"Низшая четверть",IF(O420&lt;SUMIFS(M:M,R:R,1,E:E,E420)/SUMIFS(L:L,R:R,1,E:E,E420),"Вторая четверть","Больше половины"))</f>
        <v/>
      </c>
      <c r="Y420" t="n">
        <v>15</v>
      </c>
    </row>
    <row r="421">
      <c r="A421" s="1" t="inlineStr">
        <is>
          <t>43500150</t>
        </is>
      </c>
      <c r="B421" s="2" t="inlineStr">
        <is>
          <t>698694585</t>
        </is>
      </c>
      <c r="C421" s="3" t="inlineStr">
        <is>
          <t>Одежда для детей</t>
        </is>
      </c>
      <c r="D421" s="2" t="inlineStr">
        <is>
          <t>Брюки детские для мальчиков</t>
        </is>
      </c>
      <c r="E421" s="3" t="inlineStr">
        <is>
          <t>435 Брюки спортивные утепленные для мальчиков</t>
        </is>
      </c>
      <c r="F421" s="2" t="inlineStr">
        <is>
          <t>весна, осень, зима</t>
        </is>
      </c>
      <c r="G421" s="3" t="inlineStr">
        <is>
          <t>Kari KIDS</t>
        </is>
      </c>
      <c r="H421" s="2" t="inlineStr">
        <is>
          <t>Зиннуров Ильнур</t>
        </is>
      </c>
      <c r="J421" s="3" t="inlineStr">
        <is>
          <t>2026SS</t>
        </is>
      </c>
      <c r="K421" s="3" t="n">
        <v>8074</v>
      </c>
      <c r="L421" s="3" t="n">
        <v>1867</v>
      </c>
      <c r="M421" s="3" t="n">
        <v>18</v>
      </c>
      <c r="N421" s="4">
        <f>IFERROR(L421/K421,0)</f>
        <v/>
      </c>
      <c r="O421" s="4">
        <f>IFERROR(M421/L421,0)</f>
        <v/>
      </c>
      <c r="P421" t="n">
        <v>274</v>
      </c>
      <c r="Q421" s="5" t="n">
        <v>1</v>
      </c>
      <c r="R421" s="7" t="n">
        <v>1</v>
      </c>
      <c r="S421">
        <f>IF(OR(N421&lt;$T$1*0.5,O421&lt;$U$1*0.5),"код для проверки","нормальный код")</f>
        <v/>
      </c>
      <c r="T421">
        <f>IF(N421&lt;$T$1*0.5,"Низшая четверть",IF(N421&lt;$T$1,"Вторая четверть","Больше половины"))</f>
        <v/>
      </c>
      <c r="U421">
        <f>IF(O421&lt;$U$1*0.5,"Низшая четверть",IF(O421&lt;$U$1,"Вторая четверть","Больше половины"))</f>
        <v/>
      </c>
      <c r="V421">
        <f>IF(OR(N421&lt;SUMIFS(L:L,R:R,1,E:E,E421)/SUMIFS(K:K,R:R,1,E:E,E421)*0.5,O421&lt;SUMIFS(M:M,R:R,1,E:E,E421)/SUMIFS(L:L,R:R,1,E:E,E421)*0.5),"код для проверки","нормальный код")</f>
        <v/>
      </c>
      <c r="W421">
        <f>IF(N421&lt;SUMIFS(L:L,R:R,1,E:E,E421)/SUMIFS(K:K,R:R,1,E:E,E421)*0.5,"Низшая четверть",IF(N421&lt;SUMIFS(L:L,R:R,1,E:E,E421)/SUMIFS(K:K,R:R,1,E:E,E421),"Вторая четверть","Больше половины"))</f>
        <v/>
      </c>
      <c r="X421">
        <f>IF(O421&lt;SUMIFS(M:M,R:R,1,E:E,E421)/SUMIFS(L:L,R:R,1,E:E,E421)*0.5,"Низшая четверть",IF(O421&lt;SUMIFS(M:M,R:R,1,E:E,E421)/SUMIFS(L:L,R:R,1,E:E,E421),"Вторая четверть","Больше половины"))</f>
        <v/>
      </c>
      <c r="Y421" t="n">
        <v>13</v>
      </c>
    </row>
    <row r="422">
      <c r="A422" s="1" t="inlineStr">
        <is>
          <t>92500050</t>
        </is>
      </c>
      <c r="B422" s="2" t="inlineStr">
        <is>
          <t>766639214</t>
        </is>
      </c>
      <c r="C422" s="3" t="inlineStr">
        <is>
          <t>Одежда для детей</t>
        </is>
      </c>
      <c r="D422" s="2" t="inlineStr">
        <is>
          <t>Одежда для новорожденных</t>
        </is>
      </c>
      <c r="E422" s="3" t="inlineStr">
        <is>
          <t>925 Платье-боди</t>
        </is>
      </c>
      <c r="F422" s="2" t="inlineStr">
        <is>
          <t>лето</t>
        </is>
      </c>
      <c r="G422" s="3" t="inlineStr">
        <is>
          <t>Kari baby</t>
        </is>
      </c>
      <c r="H422" s="2" t="inlineStr">
        <is>
          <t>Зиннуров Ильнур</t>
        </is>
      </c>
      <c r="J422" s="3" t="inlineStr">
        <is>
          <t>2026SS</t>
        </is>
      </c>
      <c r="K422" s="3" t="n">
        <v>8052</v>
      </c>
      <c r="L422" s="3" t="n">
        <v>1677</v>
      </c>
      <c r="M422" s="3" t="n">
        <v>14</v>
      </c>
      <c r="N422" s="4">
        <f>IFERROR(L422/K422,0)</f>
        <v/>
      </c>
      <c r="O422" s="4">
        <f>IFERROR(M422/L422,0)</f>
        <v/>
      </c>
      <c r="P422" t="n">
        <v>235</v>
      </c>
      <c r="Q422" s="5" t="n">
        <v>0.8</v>
      </c>
      <c r="R422" s="7" t="n">
        <v>1</v>
      </c>
      <c r="S422">
        <f>IF(OR(N422&lt;$T$1*0.5,O422&lt;$U$1*0.5),"код для проверки","нормальный код")</f>
        <v/>
      </c>
      <c r="T422">
        <f>IF(N422&lt;$T$1*0.5,"Низшая четверть",IF(N422&lt;$T$1,"Вторая четверть","Больше половины"))</f>
        <v/>
      </c>
      <c r="U422">
        <f>IF(O422&lt;$U$1*0.5,"Низшая четверть",IF(O422&lt;$U$1,"Вторая четверть","Больше половины"))</f>
        <v/>
      </c>
      <c r="V422">
        <f>IF(OR(N422&lt;SUMIFS(L:L,R:R,1,E:E,E422)/SUMIFS(K:K,R:R,1,E:E,E422)*0.5,O422&lt;SUMIFS(M:M,R:R,1,E:E,E422)/SUMIFS(L:L,R:R,1,E:E,E422)*0.5),"код для проверки","нормальный код")</f>
        <v/>
      </c>
      <c r="W422">
        <f>IF(N422&lt;SUMIFS(L:L,R:R,1,E:E,E422)/SUMIFS(K:K,R:R,1,E:E,E422)*0.5,"Низшая четверть",IF(N422&lt;SUMIFS(L:L,R:R,1,E:E,E422)/SUMIFS(K:K,R:R,1,E:E,E422),"Вторая четверть","Больше половины"))</f>
        <v/>
      </c>
      <c r="X422">
        <f>IF(O422&lt;SUMIFS(M:M,R:R,1,E:E,E422)/SUMIFS(L:L,R:R,1,E:E,E422)*0.5,"Низшая четверть",IF(O422&lt;SUMIFS(M:M,R:R,1,E:E,E422)/SUMIFS(L:L,R:R,1,E:E,E422),"Вторая четверть","Больше половины"))</f>
        <v/>
      </c>
      <c r="Y422" t="n">
        <v>14</v>
      </c>
    </row>
    <row r="423">
      <c r="A423" s="1" t="inlineStr">
        <is>
          <t>h1200020</t>
        </is>
      </c>
      <c r="B423" s="2" t="inlineStr">
        <is>
          <t>754564301</t>
        </is>
      </c>
      <c r="C423" s="3" t="inlineStr">
        <is>
          <t>Одежда и аксессуары</t>
        </is>
      </c>
      <c r="D423" s="2" t="inlineStr">
        <is>
          <t>Свитера женские</t>
        </is>
      </c>
      <c r="E423" s="3" t="inlineStr">
        <is>
          <t>h12 Толстовка женская</t>
        </is>
      </c>
      <c r="F423" s="2" t="inlineStr">
        <is>
          <t>всесезонный</t>
        </is>
      </c>
      <c r="G423" s="3" t="inlineStr">
        <is>
          <t>kari</t>
        </is>
      </c>
      <c r="H423" s="2" t="inlineStr">
        <is>
          <t>Зиннуров Ильнур</t>
        </is>
      </c>
      <c r="J423" s="3" t="inlineStr">
        <is>
          <t>2026SS</t>
        </is>
      </c>
      <c r="K423" s="3" t="n">
        <v>7997</v>
      </c>
      <c r="L423" s="3" t="n">
        <v>1725</v>
      </c>
      <c r="M423" s="3" t="n">
        <v>28</v>
      </c>
      <c r="N423" s="4">
        <f>IFERROR(L423/K423,0)</f>
        <v/>
      </c>
      <c r="O423" s="4">
        <f>IFERROR(M423/L423,0)</f>
        <v/>
      </c>
      <c r="P423" t="n">
        <v>167</v>
      </c>
      <c r="Q423" s="5" t="n">
        <v>1</v>
      </c>
      <c r="R423" s="7" t="n">
        <v>1</v>
      </c>
      <c r="S423">
        <f>IF(OR(N423&lt;$T$1*0.5,O423&lt;$U$1*0.5),"код для проверки","нормальный код")</f>
        <v/>
      </c>
      <c r="T423">
        <f>IF(N423&lt;$T$1*0.5,"Низшая четверть",IF(N423&lt;$T$1,"Вторая четверть","Больше половины"))</f>
        <v/>
      </c>
      <c r="U423">
        <f>IF(O423&lt;$U$1*0.5,"Низшая четверть",IF(O423&lt;$U$1,"Вторая четверть","Больше половины"))</f>
        <v/>
      </c>
      <c r="V423">
        <f>IF(OR(N423&lt;SUMIFS(L:L,R:R,1,E:E,E423)/SUMIFS(K:K,R:R,1,E:E,E423)*0.5,O423&lt;SUMIFS(M:M,R:R,1,E:E,E423)/SUMIFS(L:L,R:R,1,E:E,E423)*0.5),"код для проверки","нормальный код")</f>
        <v/>
      </c>
      <c r="W423">
        <f>IF(N423&lt;SUMIFS(L:L,R:R,1,E:E,E423)/SUMIFS(K:K,R:R,1,E:E,E423)*0.5,"Низшая четверть",IF(N423&lt;SUMIFS(L:L,R:R,1,E:E,E423)/SUMIFS(K:K,R:R,1,E:E,E423),"Вторая четверть","Больше половины"))</f>
        <v/>
      </c>
      <c r="X423">
        <f>IF(O423&lt;SUMIFS(M:M,R:R,1,E:E,E423)/SUMIFS(L:L,R:R,1,E:E,E423)*0.5,"Низшая четверть",IF(O423&lt;SUMIFS(M:M,R:R,1,E:E,E423)/SUMIFS(L:L,R:R,1,E:E,E423),"Вторая четверть","Больше половины"))</f>
        <v/>
      </c>
      <c r="Y423" t="n">
        <v>24</v>
      </c>
    </row>
    <row r="424">
      <c r="A424" s="1" t="inlineStr">
        <is>
          <t>30300010</t>
        </is>
      </c>
      <c r="B424" s="2" t="inlineStr">
        <is>
          <t>926145685</t>
        </is>
      </c>
      <c r="C424" s="3" t="inlineStr">
        <is>
          <t>Одежда для детей</t>
        </is>
      </c>
      <c r="D424" s="2" t="inlineStr">
        <is>
          <t>Платья, майки, футболки детские для девочек</t>
        </is>
      </c>
      <c r="E424" s="3" t="inlineStr">
        <is>
          <t>303 Юбка летняя детская</t>
        </is>
      </c>
      <c r="F424" s="2" t="inlineStr">
        <is>
          <t>лето</t>
        </is>
      </c>
      <c r="G424" s="3" t="inlineStr">
        <is>
          <t>Kari KIDS</t>
        </is>
      </c>
      <c r="H424" s="2" t="n"/>
      <c r="J424" s="3" t="inlineStr">
        <is>
          <t>2026SS</t>
        </is>
      </c>
      <c r="K424" s="3" t="n">
        <v>7993</v>
      </c>
      <c r="L424" s="3" t="n">
        <v>707</v>
      </c>
      <c r="M424" s="3" t="n">
        <v>21</v>
      </c>
      <c r="N424" s="4">
        <f>IFERROR(L424/K424,0)</f>
        <v/>
      </c>
      <c r="O424" s="4">
        <f>IFERROR(M424/L424,0)</f>
        <v/>
      </c>
      <c r="P424" t="n">
        <v>577</v>
      </c>
      <c r="Q424" s="5" t="n">
        <v>1</v>
      </c>
      <c r="R424" s="7" t="n">
        <v>1</v>
      </c>
      <c r="S424">
        <f>IF(OR(N424&lt;$T$1*0.5,O424&lt;$U$1*0.5),"код для проверки","нормальный код")</f>
        <v/>
      </c>
      <c r="T424">
        <f>IF(N424&lt;$T$1*0.5,"Низшая четверть",IF(N424&lt;$T$1,"Вторая четверть","Больше половины"))</f>
        <v/>
      </c>
      <c r="U424">
        <f>IF(O424&lt;$U$1*0.5,"Низшая четверть",IF(O424&lt;$U$1,"Вторая четверть","Больше половины"))</f>
        <v/>
      </c>
      <c r="V424">
        <f>IF(OR(N424&lt;SUMIFS(L:L,R:R,1,E:E,E424)/SUMIFS(K:K,R:R,1,E:E,E424)*0.5,O424&lt;SUMIFS(M:M,R:R,1,E:E,E424)/SUMIFS(L:L,R:R,1,E:E,E424)*0.5),"код для проверки","нормальный код")</f>
        <v/>
      </c>
      <c r="W424">
        <f>IF(N424&lt;SUMIFS(L:L,R:R,1,E:E,E424)/SUMIFS(K:K,R:R,1,E:E,E424)*0.5,"Низшая четверть",IF(N424&lt;SUMIFS(L:L,R:R,1,E:E,E424)/SUMIFS(K:K,R:R,1,E:E,E424),"Вторая четверть","Больше половины"))</f>
        <v/>
      </c>
      <c r="X424">
        <f>IF(O424&lt;SUMIFS(M:M,R:R,1,E:E,E424)/SUMIFS(L:L,R:R,1,E:E,E424)*0.5,"Низшая четверть",IF(O424&lt;SUMIFS(M:M,R:R,1,E:E,E424)/SUMIFS(L:L,R:R,1,E:E,E424),"Вторая четверть","Больше половины"))</f>
        <v/>
      </c>
      <c r="Y424" t="n">
        <v>9</v>
      </c>
    </row>
    <row r="425">
      <c r="A425" s="1" t="inlineStr">
        <is>
          <t>18200070</t>
        </is>
      </c>
      <c r="B425" s="2" t="inlineStr">
        <is>
          <t>771106634</t>
        </is>
      </c>
      <c r="C425" s="3" t="inlineStr">
        <is>
          <t>Одежда для детей</t>
        </is>
      </c>
      <c r="D425" s="2" t="inlineStr">
        <is>
          <t>Джинсы детские для мальчиков</t>
        </is>
      </c>
      <c r="E425" s="3" t="inlineStr">
        <is>
          <t>182 Джинсы детские для мальчиков</t>
        </is>
      </c>
      <c r="F425" s="2" t="inlineStr">
        <is>
          <t>всесезонный</t>
        </is>
      </c>
      <c r="G425" s="3" t="inlineStr">
        <is>
          <t>Kari KIDS</t>
        </is>
      </c>
      <c r="H425" s="2" t="inlineStr">
        <is>
          <t>Зиннуров Ильнур</t>
        </is>
      </c>
      <c r="J425" s="3" t="inlineStr">
        <is>
          <t>2026SS</t>
        </is>
      </c>
      <c r="K425" s="3" t="n">
        <v>7975</v>
      </c>
      <c r="L425" s="3" t="n">
        <v>3291</v>
      </c>
      <c r="M425" s="3" t="n">
        <v>51</v>
      </c>
      <c r="N425" s="4">
        <f>IFERROR(L425/K425,0)</f>
        <v/>
      </c>
      <c r="O425" s="4">
        <f>IFERROR(M425/L425,0)</f>
        <v/>
      </c>
      <c r="P425" t="n">
        <v>253</v>
      </c>
      <c r="Q425" s="5" t="n">
        <v>1</v>
      </c>
      <c r="R425" s="7" t="n">
        <v>1</v>
      </c>
      <c r="S425">
        <f>IF(OR(N425&lt;$T$1*0.5,O425&lt;$U$1*0.5),"код для проверки","нормальный код")</f>
        <v/>
      </c>
      <c r="T425">
        <f>IF(N425&lt;$T$1*0.5,"Низшая четверть",IF(N425&lt;$T$1,"Вторая четверть","Больше половины"))</f>
        <v/>
      </c>
      <c r="U425">
        <f>IF(O425&lt;$U$1*0.5,"Низшая четверть",IF(O425&lt;$U$1,"Вторая четверть","Больше половины"))</f>
        <v/>
      </c>
      <c r="V425">
        <f>IF(OR(N425&lt;SUMIFS(L:L,R:R,1,E:E,E425)/SUMIFS(K:K,R:R,1,E:E,E425)*0.5,O425&lt;SUMIFS(M:M,R:R,1,E:E,E425)/SUMIFS(L:L,R:R,1,E:E,E425)*0.5),"код для проверки","нормальный код")</f>
        <v/>
      </c>
      <c r="W425">
        <f>IF(N425&lt;SUMIFS(L:L,R:R,1,E:E,E425)/SUMIFS(K:K,R:R,1,E:E,E425)*0.5,"Низшая четверть",IF(N425&lt;SUMIFS(L:L,R:R,1,E:E,E425)/SUMIFS(K:K,R:R,1,E:E,E425),"Вторая четверть","Больше половины"))</f>
        <v/>
      </c>
      <c r="X425">
        <f>IF(O425&lt;SUMIFS(M:M,R:R,1,E:E,E425)/SUMIFS(L:L,R:R,1,E:E,E425)*0.5,"Низшая четверть",IF(O425&lt;SUMIFS(M:M,R:R,1,E:E,E425)/SUMIFS(L:L,R:R,1,E:E,E425),"Вторая четверть","Больше половины"))</f>
        <v/>
      </c>
      <c r="Y425" t="n">
        <v>26</v>
      </c>
    </row>
    <row r="426">
      <c r="A426" s="1" t="inlineStr">
        <is>
          <t>a6000250</t>
        </is>
      </c>
      <c r="B426" s="2" t="inlineStr">
        <is>
          <t>701976548</t>
        </is>
      </c>
      <c r="C426" s="3" t="inlineStr">
        <is>
          <t>Одежда для детей</t>
        </is>
      </c>
      <c r="D426" s="2" t="inlineStr">
        <is>
          <t>Платья, майки, футболки детские для девочек</t>
        </is>
      </c>
      <c r="E426" s="3" t="inlineStr">
        <is>
          <t>a60 Футболка детская для девочек</t>
        </is>
      </c>
      <c r="F426" s="2" t="inlineStr">
        <is>
          <t>всесезонный</t>
        </is>
      </c>
      <c r="G426" s="3" t="inlineStr">
        <is>
          <t>kari</t>
        </is>
      </c>
      <c r="H426" s="2" t="inlineStr">
        <is>
          <t>Зиннуров Ильнур</t>
        </is>
      </c>
      <c r="J426" s="3" t="inlineStr">
        <is>
          <t>2026SS</t>
        </is>
      </c>
      <c r="K426" s="3" t="n">
        <v>7958</v>
      </c>
      <c r="L426" s="3" t="n">
        <v>1084</v>
      </c>
      <c r="M426" s="3" t="n">
        <v>26</v>
      </c>
      <c r="N426" s="4">
        <f>IFERROR(L426/K426,0)</f>
        <v/>
      </c>
      <c r="O426" s="4">
        <f>IFERROR(M426/L426,0)</f>
        <v/>
      </c>
      <c r="P426" t="n">
        <v>551</v>
      </c>
      <c r="Q426" s="5" t="n">
        <v>1</v>
      </c>
      <c r="R426" s="7" t="n">
        <v>1</v>
      </c>
      <c r="S426">
        <f>IF(OR(N426&lt;$T$1*0.5,O426&lt;$U$1*0.5),"код для проверки","нормальный код")</f>
        <v/>
      </c>
      <c r="T426">
        <f>IF(N426&lt;$T$1*0.5,"Низшая четверть",IF(N426&lt;$T$1,"Вторая четверть","Больше половины"))</f>
        <v/>
      </c>
      <c r="U426">
        <f>IF(O426&lt;$U$1*0.5,"Низшая четверть",IF(O426&lt;$U$1,"Вторая четверть","Больше половины"))</f>
        <v/>
      </c>
      <c r="V426">
        <f>IF(OR(N426&lt;SUMIFS(L:L,R:R,1,E:E,E426)/SUMIFS(K:K,R:R,1,E:E,E426)*0.5,O426&lt;SUMIFS(M:M,R:R,1,E:E,E426)/SUMIFS(L:L,R:R,1,E:E,E426)*0.5),"код для проверки","нормальный код")</f>
        <v/>
      </c>
      <c r="W426">
        <f>IF(N426&lt;SUMIFS(L:L,R:R,1,E:E,E426)/SUMIFS(K:K,R:R,1,E:E,E426)*0.5,"Низшая четверть",IF(N426&lt;SUMIFS(L:L,R:R,1,E:E,E426)/SUMIFS(K:K,R:R,1,E:E,E426),"Вторая четверть","Больше половины"))</f>
        <v/>
      </c>
      <c r="X426">
        <f>IF(O426&lt;SUMIFS(M:M,R:R,1,E:E,E426)/SUMIFS(L:L,R:R,1,E:E,E426)*0.5,"Низшая четверть",IF(O426&lt;SUMIFS(M:M,R:R,1,E:E,E426)/SUMIFS(L:L,R:R,1,E:E,E426),"Вторая четверть","Больше половины"))</f>
        <v/>
      </c>
      <c r="Y426" t="n">
        <v>6</v>
      </c>
    </row>
    <row r="427">
      <c r="A427" s="1" t="inlineStr">
        <is>
          <t>18408050</t>
        </is>
      </c>
      <c r="B427" s="2" t="inlineStr">
        <is>
          <t>341720409</t>
        </is>
      </c>
      <c r="C427" s="3" t="inlineStr">
        <is>
          <t>Одежда и аксессуары</t>
        </is>
      </c>
      <c r="D427" s="2" t="inlineStr">
        <is>
          <t>Майки и платья женские</t>
        </is>
      </c>
      <c r="E427" s="3" t="inlineStr">
        <is>
          <t>184 Женская футболка</t>
        </is>
      </c>
      <c r="F427" s="2" t="inlineStr">
        <is>
          <t>всесезонный</t>
        </is>
      </c>
      <c r="G427" s="3" t="inlineStr">
        <is>
          <t>kari</t>
        </is>
      </c>
      <c r="H427" s="2" t="inlineStr">
        <is>
          <t>Зиннуров Ильнур</t>
        </is>
      </c>
      <c r="J427" s="3" t="inlineStr">
        <is>
          <t>2026SS</t>
        </is>
      </c>
      <c r="K427" s="3" t="n">
        <v>7941</v>
      </c>
      <c r="L427" s="3" t="n">
        <v>132</v>
      </c>
      <c r="M427" s="3" t="n">
        <v>2</v>
      </c>
      <c r="N427" s="4">
        <f>IFERROR(L427/K427,0)</f>
        <v/>
      </c>
      <c r="O427" s="4">
        <f>IFERROR(M427/L427,0)</f>
        <v/>
      </c>
      <c r="P427" t="n">
        <v>0</v>
      </c>
      <c r="Q427" s="5" t="n">
        <v>0.4</v>
      </c>
      <c r="R427" s="7" t="n">
        <v>0</v>
      </c>
      <c r="S427" t="inlineStr">
        <is>
          <t>Мало остатка</t>
        </is>
      </c>
      <c r="T427">
        <f>IF(N427&lt;$T$1*0.5,"Низшая четверть",IF(N427&lt;$T$1,"Вторая четверть","Больше половины"))</f>
        <v/>
      </c>
      <c r="U427">
        <f>IF(O427&lt;$U$1*0.5,"Низшая четверть",IF(O427&lt;$U$1,"Вторая четверть","Больше половины"))</f>
        <v/>
      </c>
      <c r="V427">
        <f>IF(OR(N427&lt;SUMIFS(L:L,R:R,1,E:E,E427)/SUMIFS(K:K,R:R,1,E:E,E427)*0.5,O427&lt;SUMIFS(M:M,R:R,1,E:E,E427)/SUMIFS(L:L,R:R,1,E:E,E427)*0.5),"код для проверки","нормальный код")</f>
        <v/>
      </c>
      <c r="W427">
        <f>IF(N427&lt;SUMIFS(L:L,R:R,1,E:E,E427)/SUMIFS(K:K,R:R,1,E:E,E427)*0.5,"Низшая четверть",IF(N427&lt;SUMIFS(L:L,R:R,1,E:E,E427)/SUMIFS(K:K,R:R,1,E:E,E427),"Вторая четверть","Больше половины"))</f>
        <v/>
      </c>
      <c r="X427">
        <f>IF(O427&lt;SUMIFS(M:M,R:R,1,E:E,E427)/SUMIFS(L:L,R:R,1,E:E,E427)*0.5,"Низшая четверть",IF(O427&lt;SUMIFS(M:M,R:R,1,E:E,E427)/SUMIFS(L:L,R:R,1,E:E,E427),"Вторая четверть","Больше половины"))</f>
        <v/>
      </c>
      <c r="Y427" t="n">
        <v>6</v>
      </c>
    </row>
    <row r="428">
      <c r="A428" s="1" t="inlineStr">
        <is>
          <t>16806040</t>
        </is>
      </c>
      <c r="B428" s="2" t="inlineStr">
        <is>
          <t>211431701</t>
        </is>
      </c>
      <c r="C428" s="3" t="inlineStr">
        <is>
          <t>Одежда и аксессуары</t>
        </is>
      </c>
      <c r="D428" s="2" t="inlineStr">
        <is>
          <t>Головные уборы женские</t>
        </is>
      </c>
      <c r="E428" s="3" t="inlineStr">
        <is>
          <t>168 Шляпа женская летняя</t>
        </is>
      </c>
      <c r="F428" s="2" t="inlineStr">
        <is>
          <t>лето</t>
        </is>
      </c>
      <c r="G428" s="3" t="inlineStr">
        <is>
          <t>kari</t>
        </is>
      </c>
      <c r="H428" s="2" t="inlineStr">
        <is>
          <t>Никонорова Алина</t>
        </is>
      </c>
      <c r="J428" s="3" t="inlineStr">
        <is>
          <t>2026SS</t>
        </is>
      </c>
      <c r="K428" s="3" t="n">
        <v>7933</v>
      </c>
      <c r="L428" s="3" t="n">
        <v>764</v>
      </c>
      <c r="M428" s="3" t="n">
        <v>44</v>
      </c>
      <c r="N428" s="4">
        <f>IFERROR(L428/K428,0)</f>
        <v/>
      </c>
      <c r="O428" s="4">
        <f>IFERROR(M428/L428,0)</f>
        <v/>
      </c>
      <c r="P428" t="n">
        <v>904</v>
      </c>
      <c r="Q428" s="5" t="n">
        <v>1</v>
      </c>
      <c r="R428" s="7" t="n">
        <v>1</v>
      </c>
      <c r="S428">
        <f>IF(OR(N428&lt;$T$1*0.5,O428&lt;$U$1*0.5),"код для проверки","нормальный код")</f>
        <v/>
      </c>
      <c r="T428">
        <f>IF(N428&lt;$T$1*0.5,"Низшая четверть",IF(N428&lt;$T$1,"Вторая четверть","Больше половины"))</f>
        <v/>
      </c>
      <c r="U428">
        <f>IF(O428&lt;$U$1*0.5,"Низшая четверть",IF(O428&lt;$U$1,"Вторая четверть","Больше половины"))</f>
        <v/>
      </c>
      <c r="V428">
        <f>IF(OR(N428&lt;SUMIFS(L:L,R:R,1,E:E,E428)/SUMIFS(K:K,R:R,1,E:E,E428)*0.5,O428&lt;SUMIFS(M:M,R:R,1,E:E,E428)/SUMIFS(L:L,R:R,1,E:E,E428)*0.5),"код для проверки","нормальный код")</f>
        <v/>
      </c>
      <c r="W428">
        <f>IF(N428&lt;SUMIFS(L:L,R:R,1,E:E,E428)/SUMIFS(K:K,R:R,1,E:E,E428)*0.5,"Низшая четверть",IF(N428&lt;SUMIFS(L:L,R:R,1,E:E,E428)/SUMIFS(K:K,R:R,1,E:E,E428),"Вторая четверть","Больше половины"))</f>
        <v/>
      </c>
      <c r="X428">
        <f>IF(O428&lt;SUMIFS(M:M,R:R,1,E:E,E428)/SUMIFS(L:L,R:R,1,E:E,E428)*0.5,"Низшая четверть",IF(O428&lt;SUMIFS(M:M,R:R,1,E:E,E428)/SUMIFS(L:L,R:R,1,E:E,E428),"Вторая четверть","Больше половины"))</f>
        <v/>
      </c>
      <c r="Y428" t="n">
        <v>12</v>
      </c>
    </row>
    <row r="429">
      <c r="A429" s="1" t="inlineStr">
        <is>
          <t>16806050</t>
        </is>
      </c>
      <c r="B429" s="2" t="inlineStr">
        <is>
          <t>211431664</t>
        </is>
      </c>
      <c r="C429" s="3" t="inlineStr">
        <is>
          <t>Одежда и аксессуары</t>
        </is>
      </c>
      <c r="D429" s="2" t="inlineStr">
        <is>
          <t>Головные уборы женские</t>
        </is>
      </c>
      <c r="E429" s="3" t="inlineStr">
        <is>
          <t>168 Шляпа женская летняя</t>
        </is>
      </c>
      <c r="F429" s="2" t="inlineStr">
        <is>
          <t>лето</t>
        </is>
      </c>
      <c r="G429" s="3" t="inlineStr">
        <is>
          <t>kari</t>
        </is>
      </c>
      <c r="H429" s="2" t="inlineStr">
        <is>
          <t>Никонорова Алина</t>
        </is>
      </c>
      <c r="J429" s="3" t="inlineStr">
        <is>
          <t>2026SS</t>
        </is>
      </c>
      <c r="K429" s="3" t="n">
        <v>7900</v>
      </c>
      <c r="L429" s="3" t="n">
        <v>2032</v>
      </c>
      <c r="M429" s="3" t="n">
        <v>11</v>
      </c>
      <c r="N429" s="4">
        <f>IFERROR(L429/K429,0)</f>
        <v/>
      </c>
      <c r="O429" s="4">
        <f>IFERROR(M429/L429,0)</f>
        <v/>
      </c>
      <c r="P429" t="n">
        <v>991</v>
      </c>
      <c r="Q429" s="5" t="n">
        <v>1</v>
      </c>
      <c r="R429" s="7" t="n">
        <v>1</v>
      </c>
      <c r="S429">
        <f>IF(OR(N429&lt;$T$1*0.5,O429&lt;$U$1*0.5),"код для проверки","нормальный код")</f>
        <v/>
      </c>
      <c r="T429">
        <f>IF(N429&lt;$T$1*0.5,"Низшая четверть",IF(N429&lt;$T$1,"Вторая четверть","Больше половины"))</f>
        <v/>
      </c>
      <c r="U429">
        <f>IF(O429&lt;$U$1*0.5,"Низшая четверть",IF(O429&lt;$U$1,"Вторая четверть","Больше половины"))</f>
        <v/>
      </c>
      <c r="V429">
        <f>IF(OR(N429&lt;SUMIFS(L:L,R:R,1,E:E,E429)/SUMIFS(K:K,R:R,1,E:E,E429)*0.5,O429&lt;SUMIFS(M:M,R:R,1,E:E,E429)/SUMIFS(L:L,R:R,1,E:E,E429)*0.5),"код для проверки","нормальный код")</f>
        <v/>
      </c>
      <c r="W429">
        <f>IF(N429&lt;SUMIFS(L:L,R:R,1,E:E,E429)/SUMIFS(K:K,R:R,1,E:E,E429)*0.5,"Низшая четверть",IF(N429&lt;SUMIFS(L:L,R:R,1,E:E,E429)/SUMIFS(K:K,R:R,1,E:E,E429),"Вторая четверть","Больше половины"))</f>
        <v/>
      </c>
      <c r="X429">
        <f>IF(O429&lt;SUMIFS(M:M,R:R,1,E:E,E429)/SUMIFS(L:L,R:R,1,E:E,E429)*0.5,"Низшая четверть",IF(O429&lt;SUMIFS(M:M,R:R,1,E:E,E429)/SUMIFS(L:L,R:R,1,E:E,E429),"Вторая четверть","Больше половины"))</f>
        <v/>
      </c>
      <c r="Y429" t="n">
        <v>14</v>
      </c>
    </row>
    <row r="430">
      <c r="A430" s="1" t="inlineStr">
        <is>
          <t>a6000200</t>
        </is>
      </c>
      <c r="B430" s="2" t="inlineStr">
        <is>
          <t>706058167</t>
        </is>
      </c>
      <c r="C430" s="3" t="inlineStr">
        <is>
          <t>Одежда для детей</t>
        </is>
      </c>
      <c r="D430" s="2" t="inlineStr">
        <is>
          <t>Платья, майки, футболки детские для девочек</t>
        </is>
      </c>
      <c r="E430" s="3" t="inlineStr">
        <is>
          <t>a60 Футболка детская для девочек</t>
        </is>
      </c>
      <c r="F430" s="2" t="inlineStr">
        <is>
          <t>всесезонный</t>
        </is>
      </c>
      <c r="G430" s="3" t="inlineStr">
        <is>
          <t>Kari KIDS</t>
        </is>
      </c>
      <c r="H430" s="2" t="inlineStr">
        <is>
          <t>Зиннуров Ильнур</t>
        </is>
      </c>
      <c r="J430" s="3" t="inlineStr">
        <is>
          <t>2026SS</t>
        </is>
      </c>
      <c r="K430" s="3" t="n">
        <v>7885</v>
      </c>
      <c r="L430" s="3" t="n">
        <v>573</v>
      </c>
      <c r="M430" s="3" t="n">
        <v>14</v>
      </c>
      <c r="N430" s="4">
        <f>IFERROR(L430/K430,0)</f>
        <v/>
      </c>
      <c r="O430" s="4">
        <f>IFERROR(M430/L430,0)</f>
        <v/>
      </c>
      <c r="P430" t="n">
        <v>454</v>
      </c>
      <c r="Q430" s="5" t="n">
        <v>1</v>
      </c>
      <c r="R430" s="7" t="n">
        <v>1</v>
      </c>
      <c r="S430">
        <f>IF(OR(N430&lt;$T$1*0.5,O430&lt;$U$1*0.5),"код для проверки","нормальный код")</f>
        <v/>
      </c>
      <c r="T430">
        <f>IF(N430&lt;$T$1*0.5,"Низшая четверть",IF(N430&lt;$T$1,"Вторая четверть","Больше половины"))</f>
        <v/>
      </c>
      <c r="U430">
        <f>IF(O430&lt;$U$1*0.5,"Низшая четверть",IF(O430&lt;$U$1,"Вторая четверть","Больше половины"))</f>
        <v/>
      </c>
      <c r="V430">
        <f>IF(OR(N430&lt;SUMIFS(L:L,R:R,1,E:E,E430)/SUMIFS(K:K,R:R,1,E:E,E430)*0.5,O430&lt;SUMIFS(M:M,R:R,1,E:E,E430)/SUMIFS(L:L,R:R,1,E:E,E430)*0.5),"код для проверки","нормальный код")</f>
        <v/>
      </c>
      <c r="W430">
        <f>IF(N430&lt;SUMIFS(L:L,R:R,1,E:E,E430)/SUMIFS(K:K,R:R,1,E:E,E430)*0.5,"Низшая четверть",IF(N430&lt;SUMIFS(L:L,R:R,1,E:E,E430)/SUMIFS(K:K,R:R,1,E:E,E430),"Вторая четверть","Больше половины"))</f>
        <v/>
      </c>
      <c r="X430">
        <f>IF(O430&lt;SUMIFS(M:M,R:R,1,E:E,E430)/SUMIFS(L:L,R:R,1,E:E,E430)*0.5,"Низшая четверть",IF(O430&lt;SUMIFS(M:M,R:R,1,E:E,E430)/SUMIFS(L:L,R:R,1,E:E,E430),"Вторая четверть","Больше половины"))</f>
        <v/>
      </c>
      <c r="Y430" t="n">
        <v>12</v>
      </c>
    </row>
    <row r="431">
      <c r="A431" s="1" t="inlineStr">
        <is>
          <t>18200250</t>
        </is>
      </c>
      <c r="B431" s="2" t="inlineStr">
        <is>
          <t>859381310</t>
        </is>
      </c>
      <c r="C431" s="3" t="inlineStr">
        <is>
          <t>Одежда для детей</t>
        </is>
      </c>
      <c r="D431" s="2" t="inlineStr">
        <is>
          <t>Джинсы детские для мальчиков</t>
        </is>
      </c>
      <c r="E431" s="3" t="inlineStr">
        <is>
          <t>182 Джинсы детские для мальчиков</t>
        </is>
      </c>
      <c r="F431" s="2" t="inlineStr">
        <is>
          <t>всесезонный</t>
        </is>
      </c>
      <c r="G431" s="3" t="inlineStr">
        <is>
          <t>kari</t>
        </is>
      </c>
      <c r="H431" s="2" t="inlineStr">
        <is>
          <t>Зиннуров Ильнур</t>
        </is>
      </c>
      <c r="J431" s="3" t="inlineStr">
        <is>
          <t>2026SS</t>
        </is>
      </c>
      <c r="K431" s="3" t="n">
        <v>7854</v>
      </c>
      <c r="L431" s="3" t="n">
        <v>1925</v>
      </c>
      <c r="M431" s="3" t="n">
        <v>64</v>
      </c>
      <c r="N431" s="4">
        <f>IFERROR(L431/K431,0)</f>
        <v/>
      </c>
      <c r="O431" s="4">
        <f>IFERROR(M431/L431,0)</f>
        <v/>
      </c>
      <c r="P431" t="n">
        <v>1063</v>
      </c>
      <c r="Q431" s="5" t="n">
        <v>0.875</v>
      </c>
      <c r="R431" s="7" t="n">
        <v>1</v>
      </c>
      <c r="S431">
        <f>IF(OR(N431&lt;$T$1*0.5,O431&lt;$U$1*0.5),"код для проверки","нормальный код")</f>
        <v/>
      </c>
      <c r="T431">
        <f>IF(N431&lt;$T$1*0.5,"Низшая четверть",IF(N431&lt;$T$1,"Вторая четверть","Больше половины"))</f>
        <v/>
      </c>
      <c r="U431">
        <f>IF(O431&lt;$U$1*0.5,"Низшая четверть",IF(O431&lt;$U$1,"Вторая четверть","Больше половины"))</f>
        <v/>
      </c>
      <c r="V431">
        <f>IF(OR(N431&lt;SUMIFS(L:L,R:R,1,E:E,E431)/SUMIFS(K:K,R:R,1,E:E,E431)*0.5,O431&lt;SUMIFS(M:M,R:R,1,E:E,E431)/SUMIFS(L:L,R:R,1,E:E,E431)*0.5),"код для проверки","нормальный код")</f>
        <v/>
      </c>
      <c r="W431">
        <f>IF(N431&lt;SUMIFS(L:L,R:R,1,E:E,E431)/SUMIFS(K:K,R:R,1,E:E,E431)*0.5,"Низшая четверть",IF(N431&lt;SUMIFS(L:L,R:R,1,E:E,E431)/SUMIFS(K:K,R:R,1,E:E,E431),"Вторая четверть","Больше половины"))</f>
        <v/>
      </c>
      <c r="X431">
        <f>IF(O431&lt;SUMIFS(M:M,R:R,1,E:E,E431)/SUMIFS(L:L,R:R,1,E:E,E431)*0.5,"Низшая четверть",IF(O431&lt;SUMIFS(M:M,R:R,1,E:E,E431)/SUMIFS(L:L,R:R,1,E:E,E431),"Вторая четверть","Больше половины"))</f>
        <v/>
      </c>
      <c r="Y431" t="n">
        <v>25</v>
      </c>
    </row>
    <row r="432">
      <c r="A432" s="1" t="inlineStr">
        <is>
          <t>19800110</t>
        </is>
      </c>
      <c r="B432" s="2" t="inlineStr">
        <is>
          <t>734343269</t>
        </is>
      </c>
      <c r="C432" s="3" t="inlineStr">
        <is>
          <t>Одежда и аксессуары</t>
        </is>
      </c>
      <c r="D432" s="2" t="inlineStr">
        <is>
          <t>Майки и платья женские</t>
        </is>
      </c>
      <c r="E432" s="3" t="inlineStr">
        <is>
          <t>198 Топ женский</t>
        </is>
      </c>
      <c r="F432" s="2" t="inlineStr">
        <is>
          <t>лето</t>
        </is>
      </c>
      <c r="G432" s="3" t="inlineStr">
        <is>
          <t>kari</t>
        </is>
      </c>
      <c r="H432" s="2" t="inlineStr">
        <is>
          <t>Зиннуров Ильнур</t>
        </is>
      </c>
      <c r="J432" s="3" t="inlineStr">
        <is>
          <t>2026SS</t>
        </is>
      </c>
      <c r="K432" s="3" t="n">
        <v>7790</v>
      </c>
      <c r="L432" s="3" t="n">
        <v>1425</v>
      </c>
      <c r="M432" s="3" t="n">
        <v>45</v>
      </c>
      <c r="N432" s="4">
        <f>IFERROR(L432/K432,0)</f>
        <v/>
      </c>
      <c r="O432" s="4">
        <f>IFERROR(M432/L432,0)</f>
        <v/>
      </c>
      <c r="P432" t="n">
        <v>818</v>
      </c>
      <c r="Q432" s="5" t="n">
        <v>1</v>
      </c>
      <c r="R432" s="7" t="n">
        <v>1</v>
      </c>
      <c r="S432">
        <f>IF(OR(N432&lt;$T$1*0.5,O432&lt;$U$1*0.5),"код для проверки","нормальный код")</f>
        <v/>
      </c>
      <c r="T432">
        <f>IF(N432&lt;$T$1*0.5,"Низшая четверть",IF(N432&lt;$T$1,"Вторая четверть","Больше половины"))</f>
        <v/>
      </c>
      <c r="U432">
        <f>IF(O432&lt;$U$1*0.5,"Низшая четверть",IF(O432&lt;$U$1,"Вторая четверть","Больше половины"))</f>
        <v/>
      </c>
      <c r="V432">
        <f>IF(OR(N432&lt;SUMIFS(L:L,R:R,1,E:E,E432)/SUMIFS(K:K,R:R,1,E:E,E432)*0.5,O432&lt;SUMIFS(M:M,R:R,1,E:E,E432)/SUMIFS(L:L,R:R,1,E:E,E432)*0.5),"код для проверки","нормальный код")</f>
        <v/>
      </c>
      <c r="W432">
        <f>IF(N432&lt;SUMIFS(L:L,R:R,1,E:E,E432)/SUMIFS(K:K,R:R,1,E:E,E432)*0.5,"Низшая четверть",IF(N432&lt;SUMIFS(L:L,R:R,1,E:E,E432)/SUMIFS(K:K,R:R,1,E:E,E432),"Вторая четверть","Больше половины"))</f>
        <v/>
      </c>
      <c r="X432">
        <f>IF(O432&lt;SUMIFS(M:M,R:R,1,E:E,E432)/SUMIFS(L:L,R:R,1,E:E,E432)*0.5,"Низшая четверть",IF(O432&lt;SUMIFS(M:M,R:R,1,E:E,E432)/SUMIFS(L:L,R:R,1,E:E,E432),"Вторая четверть","Больше половины"))</f>
        <v/>
      </c>
      <c r="Y432" t="n">
        <v>18</v>
      </c>
    </row>
    <row r="433">
      <c r="A433" s="1" t="inlineStr">
        <is>
          <t>23400090</t>
        </is>
      </c>
      <c r="B433" s="2" t="inlineStr">
        <is>
          <t>833379546</t>
        </is>
      </c>
      <c r="C433" s="3" t="inlineStr">
        <is>
          <t>Одежда для детей</t>
        </is>
      </c>
      <c r="D433" s="2" t="inlineStr">
        <is>
          <t>Чулочные и носочные детские изделия для девочек</t>
        </is>
      </c>
      <c r="E433" s="3" t="inlineStr">
        <is>
          <t>234 Колготки детские для девочек</t>
        </is>
      </c>
      <c r="F433" s="2" t="inlineStr">
        <is>
          <t>всесезонный</t>
        </is>
      </c>
      <c r="G433" s="3" t="inlineStr">
        <is>
          <t>kari</t>
        </is>
      </c>
      <c r="H433" s="2" t="inlineStr">
        <is>
          <t>Зиннуров Ильнур</t>
        </is>
      </c>
      <c r="J433" s="3" t="inlineStr">
        <is>
          <t>2026SS</t>
        </is>
      </c>
      <c r="K433" s="3" t="n">
        <v>7775</v>
      </c>
      <c r="L433" s="3" t="n">
        <v>2154</v>
      </c>
      <c r="M433" s="3" t="n">
        <v>90</v>
      </c>
      <c r="N433" s="4">
        <f>IFERROR(L433/K433,0)</f>
        <v/>
      </c>
      <c r="O433" s="4">
        <f>IFERROR(M433/L433,0)</f>
        <v/>
      </c>
      <c r="P433" t="n">
        <v>829</v>
      </c>
      <c r="Q433" s="5" t="n">
        <v>1</v>
      </c>
      <c r="R433" s="7" t="n">
        <v>1</v>
      </c>
      <c r="S433">
        <f>IF(OR(N433&lt;$T$1*0.5,O433&lt;$U$1*0.5),"код для проверки","нормальный код")</f>
        <v/>
      </c>
      <c r="T433">
        <f>IF(N433&lt;$T$1*0.5,"Низшая четверть",IF(N433&lt;$T$1,"Вторая четверть","Больше половины"))</f>
        <v/>
      </c>
      <c r="U433">
        <f>IF(O433&lt;$U$1*0.5,"Низшая четверть",IF(O433&lt;$U$1,"Вторая четверть","Больше половины"))</f>
        <v/>
      </c>
      <c r="V433">
        <f>IF(OR(N433&lt;SUMIFS(L:L,R:R,1,E:E,E433)/SUMIFS(K:K,R:R,1,E:E,E433)*0.5,O433&lt;SUMIFS(M:M,R:R,1,E:E,E433)/SUMIFS(L:L,R:R,1,E:E,E433)*0.5),"код для проверки","нормальный код")</f>
        <v/>
      </c>
      <c r="W433">
        <f>IF(N433&lt;SUMIFS(L:L,R:R,1,E:E,E433)/SUMIFS(K:K,R:R,1,E:E,E433)*0.5,"Низшая четверть",IF(N433&lt;SUMIFS(L:L,R:R,1,E:E,E433)/SUMIFS(K:K,R:R,1,E:E,E433),"Вторая четверть","Больше половины"))</f>
        <v/>
      </c>
      <c r="X433">
        <f>IF(O433&lt;SUMIFS(M:M,R:R,1,E:E,E433)/SUMIFS(L:L,R:R,1,E:E,E433)*0.5,"Низшая четверть",IF(O433&lt;SUMIFS(M:M,R:R,1,E:E,E433)/SUMIFS(L:L,R:R,1,E:E,E433),"Вторая четверть","Больше половины"))</f>
        <v/>
      </c>
      <c r="Y433" t="n">
        <v>5</v>
      </c>
    </row>
    <row r="434">
      <c r="A434" s="1" t="inlineStr">
        <is>
          <t>18408120</t>
        </is>
      </c>
      <c r="B434" s="2" t="inlineStr">
        <is>
          <t>341720308</t>
        </is>
      </c>
      <c r="C434" s="3" t="inlineStr">
        <is>
          <t>Одежда и аксессуары</t>
        </is>
      </c>
      <c r="D434" s="2" t="inlineStr">
        <is>
          <t>Майки и платья женские</t>
        </is>
      </c>
      <c r="E434" s="3" t="inlineStr">
        <is>
          <t>184 Женская футболка</t>
        </is>
      </c>
      <c r="F434" s="2" t="inlineStr">
        <is>
          <t>всесезонный</t>
        </is>
      </c>
      <c r="G434" s="3" t="inlineStr">
        <is>
          <t>kari</t>
        </is>
      </c>
      <c r="H434" s="2" t="inlineStr">
        <is>
          <t>Зиннуров Ильнур</t>
        </is>
      </c>
      <c r="J434" s="3" t="inlineStr">
        <is>
          <t>2026SS</t>
        </is>
      </c>
      <c r="K434" s="3" t="n">
        <v>7608</v>
      </c>
      <c r="L434" s="3" t="n">
        <v>107</v>
      </c>
      <c r="M434" s="3" t="n">
        <v>1</v>
      </c>
      <c r="N434" s="4">
        <f>IFERROR(L434/K434,0)</f>
        <v/>
      </c>
      <c r="O434" s="4">
        <f>IFERROR(M434/L434,0)</f>
        <v/>
      </c>
      <c r="P434" t="n">
        <v>99</v>
      </c>
      <c r="Q434" s="5" t="n">
        <v>0.4</v>
      </c>
      <c r="R434" s="7" t="n">
        <v>1</v>
      </c>
      <c r="S434">
        <f>IF(OR(N434&lt;$T$1*0.5,O434&lt;$U$1*0.5),"код для проверки","нормальный код")</f>
        <v/>
      </c>
      <c r="T434">
        <f>IF(N434&lt;$T$1*0.5,"Низшая четверть",IF(N434&lt;$T$1,"Вторая четверть","Больше половины"))</f>
        <v/>
      </c>
      <c r="U434">
        <f>IF(O434&lt;$U$1*0.5,"Низшая четверть",IF(O434&lt;$U$1,"Вторая четверть","Больше половины"))</f>
        <v/>
      </c>
      <c r="V434">
        <f>IF(OR(N434&lt;SUMIFS(L:L,R:R,1,E:E,E434)/SUMIFS(K:K,R:R,1,E:E,E434)*0.5,O434&lt;SUMIFS(M:M,R:R,1,E:E,E434)/SUMIFS(L:L,R:R,1,E:E,E434)*0.5),"код для проверки","нормальный код")</f>
        <v/>
      </c>
      <c r="W434">
        <f>IF(N434&lt;SUMIFS(L:L,R:R,1,E:E,E434)/SUMIFS(K:K,R:R,1,E:E,E434)*0.5,"Низшая четверть",IF(N434&lt;SUMIFS(L:L,R:R,1,E:E,E434)/SUMIFS(K:K,R:R,1,E:E,E434),"Вторая четверть","Больше половины"))</f>
        <v/>
      </c>
      <c r="X434">
        <f>IF(O434&lt;SUMIFS(M:M,R:R,1,E:E,E434)/SUMIFS(L:L,R:R,1,E:E,E434)*0.5,"Низшая четверть",IF(O434&lt;SUMIFS(M:M,R:R,1,E:E,E434)/SUMIFS(L:L,R:R,1,E:E,E434),"Вторая четверть","Больше половины"))</f>
        <v/>
      </c>
      <c r="Y434" t="n">
        <v>7</v>
      </c>
    </row>
    <row r="435">
      <c r="A435" s="1" t="inlineStr">
        <is>
          <t>19800100</t>
        </is>
      </c>
      <c r="B435" s="2" t="inlineStr">
        <is>
          <t>734343268</t>
        </is>
      </c>
      <c r="C435" s="3" t="inlineStr">
        <is>
          <t>Одежда и аксессуары</t>
        </is>
      </c>
      <c r="D435" s="2" t="inlineStr">
        <is>
          <t>Майки и платья женские</t>
        </is>
      </c>
      <c r="E435" s="3" t="inlineStr">
        <is>
          <t>198 Топ женский</t>
        </is>
      </c>
      <c r="F435" s="2" t="inlineStr">
        <is>
          <t>лето</t>
        </is>
      </c>
      <c r="G435" s="3" t="inlineStr">
        <is>
          <t>kari</t>
        </is>
      </c>
      <c r="H435" s="2" t="inlineStr">
        <is>
          <t>Зиннуров Ильнур</t>
        </is>
      </c>
      <c r="J435" s="3" t="inlineStr">
        <is>
          <t>2026SS</t>
        </is>
      </c>
      <c r="K435" s="3" t="n">
        <v>7573</v>
      </c>
      <c r="L435" s="3" t="n">
        <v>1209</v>
      </c>
      <c r="M435" s="3" t="n">
        <v>40</v>
      </c>
      <c r="N435" s="4">
        <f>IFERROR(L435/K435,0)</f>
        <v/>
      </c>
      <c r="O435" s="4">
        <f>IFERROR(M435/L435,0)</f>
        <v/>
      </c>
      <c r="P435" t="n">
        <v>789</v>
      </c>
      <c r="Q435" s="5" t="n">
        <v>1</v>
      </c>
      <c r="R435" s="7" t="n">
        <v>1</v>
      </c>
      <c r="S435">
        <f>IF(OR(N435&lt;$T$1*0.5,O435&lt;$U$1*0.5),"код для проверки","нормальный код")</f>
        <v/>
      </c>
      <c r="T435">
        <f>IF(N435&lt;$T$1*0.5,"Низшая четверть",IF(N435&lt;$T$1,"Вторая четверть","Больше половины"))</f>
        <v/>
      </c>
      <c r="U435">
        <f>IF(O435&lt;$U$1*0.5,"Низшая четверть",IF(O435&lt;$U$1,"Вторая четверть","Больше половины"))</f>
        <v/>
      </c>
      <c r="V435">
        <f>IF(OR(N435&lt;SUMIFS(L:L,R:R,1,E:E,E435)/SUMIFS(K:K,R:R,1,E:E,E435)*0.5,O435&lt;SUMIFS(M:M,R:R,1,E:E,E435)/SUMIFS(L:L,R:R,1,E:E,E435)*0.5),"код для проверки","нормальный код")</f>
        <v/>
      </c>
      <c r="W435">
        <f>IF(N435&lt;SUMIFS(L:L,R:R,1,E:E,E435)/SUMIFS(K:K,R:R,1,E:E,E435)*0.5,"Низшая четверть",IF(N435&lt;SUMIFS(L:L,R:R,1,E:E,E435)/SUMIFS(K:K,R:R,1,E:E,E435),"Вторая четверть","Больше половины"))</f>
        <v/>
      </c>
      <c r="X435">
        <f>IF(O435&lt;SUMIFS(M:M,R:R,1,E:E,E435)/SUMIFS(L:L,R:R,1,E:E,E435)*0.5,"Низшая четверть",IF(O435&lt;SUMIFS(M:M,R:R,1,E:E,E435)/SUMIFS(L:L,R:R,1,E:E,E435),"Вторая четверть","Больше половины"))</f>
        <v/>
      </c>
      <c r="Y435" t="n">
        <v>19</v>
      </c>
    </row>
    <row r="436">
      <c r="A436" s="1" t="inlineStr">
        <is>
          <t>88300240</t>
        </is>
      </c>
      <c r="B436" s="2" t="inlineStr">
        <is>
          <t>697438183</t>
        </is>
      </c>
      <c r="C436" s="3" t="inlineStr">
        <is>
          <t>Одежда для детей</t>
        </is>
      </c>
      <c r="D436" s="2" t="inlineStr">
        <is>
          <t>Платья, майки, футболки детские для девочек</t>
        </is>
      </c>
      <c r="E436" s="3" t="inlineStr">
        <is>
          <t>883 Футболка длинный рукав детская для девочек</t>
        </is>
      </c>
      <c r="F436" s="2" t="inlineStr">
        <is>
          <t>всесезонный</t>
        </is>
      </c>
      <c r="G436" s="3" t="inlineStr">
        <is>
          <t>kari</t>
        </is>
      </c>
      <c r="H436" s="2" t="inlineStr">
        <is>
          <t>Зиннуров Ильнур</t>
        </is>
      </c>
      <c r="J436" s="3" t="inlineStr">
        <is>
          <t>2026SS</t>
        </is>
      </c>
      <c r="K436" s="3" t="n">
        <v>7572</v>
      </c>
      <c r="L436" s="3" t="n">
        <v>395</v>
      </c>
      <c r="M436" s="3" t="n">
        <v>6</v>
      </c>
      <c r="N436" s="4">
        <f>IFERROR(L436/K436,0)</f>
        <v/>
      </c>
      <c r="O436" s="4">
        <f>IFERROR(M436/L436,0)</f>
        <v/>
      </c>
      <c r="P436" t="n">
        <v>128</v>
      </c>
      <c r="Q436" s="5" t="n">
        <v>0.6</v>
      </c>
      <c r="R436" s="7" t="n">
        <v>1</v>
      </c>
      <c r="S436">
        <f>IF(OR(N436&lt;$T$1*0.5,O436&lt;$U$1*0.5),"код для проверки","нормальный код")</f>
        <v/>
      </c>
      <c r="T436">
        <f>IF(N436&lt;$T$1*0.5,"Низшая четверть",IF(N436&lt;$T$1,"Вторая четверть","Больше половины"))</f>
        <v/>
      </c>
      <c r="U436">
        <f>IF(O436&lt;$U$1*0.5,"Низшая четверть",IF(O436&lt;$U$1,"Вторая четверть","Больше половины"))</f>
        <v/>
      </c>
      <c r="V436">
        <f>IF(OR(N436&lt;SUMIFS(L:L,R:R,1,E:E,E436)/SUMIFS(K:K,R:R,1,E:E,E436)*0.5,O436&lt;SUMIFS(M:M,R:R,1,E:E,E436)/SUMIFS(L:L,R:R,1,E:E,E436)*0.5),"код для проверки","нормальный код")</f>
        <v/>
      </c>
      <c r="W436">
        <f>IF(N436&lt;SUMIFS(L:L,R:R,1,E:E,E436)/SUMIFS(K:K,R:R,1,E:E,E436)*0.5,"Низшая четверть",IF(N436&lt;SUMIFS(L:L,R:R,1,E:E,E436)/SUMIFS(K:K,R:R,1,E:E,E436),"Вторая четверть","Больше половины"))</f>
        <v/>
      </c>
      <c r="X436">
        <f>IF(O436&lt;SUMIFS(M:M,R:R,1,E:E,E436)/SUMIFS(L:L,R:R,1,E:E,E436)*0.5,"Низшая четверть",IF(O436&lt;SUMIFS(M:M,R:R,1,E:E,E436)/SUMIFS(L:L,R:R,1,E:E,E436),"Вторая четверть","Больше половины"))</f>
        <v/>
      </c>
      <c r="Y436" t="n">
        <v>19</v>
      </c>
    </row>
    <row r="437">
      <c r="A437" s="1" t="inlineStr">
        <is>
          <t>09400380</t>
        </is>
      </c>
      <c r="B437" s="2" t="inlineStr">
        <is>
          <t>711825044</t>
        </is>
      </c>
      <c r="C437" s="3" t="inlineStr">
        <is>
          <t>Одежда и аксессуары</t>
        </is>
      </c>
      <c r="D437" s="2" t="inlineStr">
        <is>
          <t>Купальники женские</t>
        </is>
      </c>
      <c r="E437" s="3" t="inlineStr">
        <is>
          <t>094 Купальник</t>
        </is>
      </c>
      <c r="F437" s="2" t="inlineStr">
        <is>
          <t>лето</t>
        </is>
      </c>
      <c r="G437" s="3" t="inlineStr">
        <is>
          <t>kari</t>
        </is>
      </c>
      <c r="H437" s="2" t="inlineStr">
        <is>
          <t>Никонорова Алина</t>
        </is>
      </c>
      <c r="J437" s="3" t="inlineStr">
        <is>
          <t>2026SS</t>
        </is>
      </c>
      <c r="K437" s="3" t="n">
        <v>7567</v>
      </c>
      <c r="L437" s="3" t="n">
        <v>6462</v>
      </c>
      <c r="M437" s="3" t="n">
        <v>33</v>
      </c>
      <c r="N437" s="4">
        <f>IFERROR(L437/K437,0)</f>
        <v/>
      </c>
      <c r="O437" s="4">
        <f>IFERROR(M437/L437,0)</f>
        <v/>
      </c>
      <c r="P437" t="n">
        <v>5105</v>
      </c>
      <c r="Q437" s="5" t="n">
        <v>0.7777777777777778</v>
      </c>
      <c r="R437" s="7" t="n">
        <v>1</v>
      </c>
      <c r="S437">
        <f>IF(OR(N437&lt;$T$1*0.5,O437&lt;$U$1*0.5),"код для проверки","нормальный код")</f>
        <v/>
      </c>
      <c r="T437">
        <f>IF(N437&lt;$T$1*0.5,"Низшая четверть",IF(N437&lt;$T$1,"Вторая четверть","Больше половины"))</f>
        <v/>
      </c>
      <c r="U437">
        <f>IF(O437&lt;$U$1*0.5,"Низшая четверть",IF(O437&lt;$U$1,"Вторая четверть","Больше половины"))</f>
        <v/>
      </c>
      <c r="V437">
        <f>IF(OR(N437&lt;SUMIFS(L:L,R:R,1,E:E,E437)/SUMIFS(K:K,R:R,1,E:E,E437)*0.5,O437&lt;SUMIFS(M:M,R:R,1,E:E,E437)/SUMIFS(L:L,R:R,1,E:E,E437)*0.5),"код для проверки","нормальный код")</f>
        <v/>
      </c>
      <c r="W437">
        <f>IF(N437&lt;SUMIFS(L:L,R:R,1,E:E,E437)/SUMIFS(K:K,R:R,1,E:E,E437)*0.5,"Низшая четверть",IF(N437&lt;SUMIFS(L:L,R:R,1,E:E,E437)/SUMIFS(K:K,R:R,1,E:E,E437),"Вторая четверть","Больше половины"))</f>
        <v/>
      </c>
      <c r="X437">
        <f>IF(O437&lt;SUMIFS(M:M,R:R,1,E:E,E437)/SUMIFS(L:L,R:R,1,E:E,E437)*0.5,"Низшая четверть",IF(O437&lt;SUMIFS(M:M,R:R,1,E:E,E437)/SUMIFS(L:L,R:R,1,E:E,E437),"Вторая четверть","Больше половины"))</f>
        <v/>
      </c>
      <c r="Y437" t="n">
        <v>22</v>
      </c>
    </row>
    <row r="438">
      <c r="A438" s="1" t="inlineStr">
        <is>
          <t>39300530</t>
        </is>
      </c>
      <c r="B438" s="2" t="inlineStr">
        <is>
          <t>822577964</t>
        </is>
      </c>
      <c r="C438" s="3" t="inlineStr">
        <is>
          <t>Одежда для детей</t>
        </is>
      </c>
      <c r="D438" s="2" t="inlineStr">
        <is>
          <t>Чулочные и носочные детские изделия для девочек</t>
        </is>
      </c>
      <c r="E438" s="3" t="inlineStr">
        <is>
          <t>393 Детские легинсы</t>
        </is>
      </c>
      <c r="F438" s="2" t="inlineStr">
        <is>
          <t>всесезонный</t>
        </is>
      </c>
      <c r="G438" s="3" t="inlineStr">
        <is>
          <t>Kari KIDS</t>
        </is>
      </c>
      <c r="H438" s="2" t="inlineStr">
        <is>
          <t>Зиннуров Ильнур</t>
        </is>
      </c>
      <c r="J438" s="3" t="inlineStr">
        <is>
          <t>2026SS</t>
        </is>
      </c>
      <c r="K438" s="3" t="n">
        <v>7518</v>
      </c>
      <c r="L438" s="3" t="n">
        <v>1403</v>
      </c>
      <c r="M438" s="3" t="n">
        <v>8</v>
      </c>
      <c r="N438" s="4">
        <f>IFERROR(L438/K438,0)</f>
        <v/>
      </c>
      <c r="O438" s="4">
        <f>IFERROR(M438/L438,0)</f>
        <v/>
      </c>
      <c r="P438" t="n">
        <v>149</v>
      </c>
      <c r="Q438" s="5" t="n">
        <v>1</v>
      </c>
      <c r="R438" s="7" t="n">
        <v>1</v>
      </c>
      <c r="S438">
        <f>IF(OR(N438&lt;$T$1*0.5,O438&lt;$U$1*0.5),"код для проверки","нормальный код")</f>
        <v/>
      </c>
      <c r="T438">
        <f>IF(N438&lt;$T$1*0.5,"Низшая четверть",IF(N438&lt;$T$1,"Вторая четверть","Больше половины"))</f>
        <v/>
      </c>
      <c r="U438">
        <f>IF(O438&lt;$U$1*0.5,"Низшая четверть",IF(O438&lt;$U$1,"Вторая четверть","Больше половины"))</f>
        <v/>
      </c>
      <c r="V438">
        <f>IF(OR(N438&lt;SUMIFS(L:L,R:R,1,E:E,E438)/SUMIFS(K:K,R:R,1,E:E,E438)*0.5,O438&lt;SUMIFS(M:M,R:R,1,E:E,E438)/SUMIFS(L:L,R:R,1,E:E,E438)*0.5),"код для проверки","нормальный код")</f>
        <v/>
      </c>
      <c r="W438">
        <f>IF(N438&lt;SUMIFS(L:L,R:R,1,E:E,E438)/SUMIFS(K:K,R:R,1,E:E,E438)*0.5,"Низшая четверть",IF(N438&lt;SUMIFS(L:L,R:R,1,E:E,E438)/SUMIFS(K:K,R:R,1,E:E,E438),"Вторая четверть","Больше половины"))</f>
        <v/>
      </c>
      <c r="X438">
        <f>IF(O438&lt;SUMIFS(M:M,R:R,1,E:E,E438)/SUMIFS(L:L,R:R,1,E:E,E438)*0.5,"Низшая четверть",IF(O438&lt;SUMIFS(M:M,R:R,1,E:E,E438)/SUMIFS(L:L,R:R,1,E:E,E438),"Вторая четверть","Больше половины"))</f>
        <v/>
      </c>
      <c r="Y438" t="n">
        <v>9</v>
      </c>
    </row>
    <row r="439">
      <c r="A439" s="1" t="inlineStr">
        <is>
          <t>23800140</t>
        </is>
      </c>
      <c r="B439" s="2" t="inlineStr">
        <is>
          <t>765996664</t>
        </is>
      </c>
      <c r="C439" s="3" t="inlineStr">
        <is>
          <t>Одежда для детей</t>
        </is>
      </c>
      <c r="D439" s="2" t="inlineStr">
        <is>
          <t>Платья, майки, футболки детские для девочек</t>
        </is>
      </c>
      <c r="E439" s="3" t="inlineStr">
        <is>
          <t>238 Платье детское для девочек</t>
        </is>
      </c>
      <c r="F439" s="2" t="inlineStr">
        <is>
          <t>всесезонный</t>
        </is>
      </c>
      <c r="G439" s="3" t="inlineStr">
        <is>
          <t>kari</t>
        </is>
      </c>
      <c r="H439" s="2" t="inlineStr">
        <is>
          <t>Зиннуров Ильнур</t>
        </is>
      </c>
      <c r="J439" s="3" t="inlineStr">
        <is>
          <t>2026SS</t>
        </is>
      </c>
      <c r="K439" s="3" t="n">
        <v>7497</v>
      </c>
      <c r="L439" s="3" t="n">
        <v>610</v>
      </c>
      <c r="M439" s="3" t="n">
        <v>8</v>
      </c>
      <c r="N439" s="4">
        <f>IFERROR(L439/K439,0)</f>
        <v/>
      </c>
      <c r="O439" s="4">
        <f>IFERROR(M439/L439,0)</f>
        <v/>
      </c>
      <c r="P439" t="n">
        <v>351</v>
      </c>
      <c r="Q439" s="5" t="n">
        <v>1</v>
      </c>
      <c r="R439" s="7" t="n">
        <v>1</v>
      </c>
      <c r="S439">
        <f>IF(OR(N439&lt;$T$1*0.5,O439&lt;$U$1*0.5),"код для проверки","нормальный код")</f>
        <v/>
      </c>
      <c r="T439">
        <f>IF(N439&lt;$T$1*0.5,"Низшая четверть",IF(N439&lt;$T$1,"Вторая четверть","Больше половины"))</f>
        <v/>
      </c>
      <c r="U439">
        <f>IF(O439&lt;$U$1*0.5,"Низшая четверть",IF(O439&lt;$U$1,"Вторая четверть","Больше половины"))</f>
        <v/>
      </c>
      <c r="V439">
        <f>IF(OR(N439&lt;SUMIFS(L:L,R:R,1,E:E,E439)/SUMIFS(K:K,R:R,1,E:E,E439)*0.5,O439&lt;SUMIFS(M:M,R:R,1,E:E,E439)/SUMIFS(L:L,R:R,1,E:E,E439)*0.5),"код для проверки","нормальный код")</f>
        <v/>
      </c>
      <c r="W439">
        <f>IF(N439&lt;SUMIFS(L:L,R:R,1,E:E,E439)/SUMIFS(K:K,R:R,1,E:E,E439)*0.5,"Низшая четверть",IF(N439&lt;SUMIFS(L:L,R:R,1,E:E,E439)/SUMIFS(K:K,R:R,1,E:E,E439),"Вторая четверть","Больше половины"))</f>
        <v/>
      </c>
      <c r="X439">
        <f>IF(O439&lt;SUMIFS(M:M,R:R,1,E:E,E439)/SUMIFS(L:L,R:R,1,E:E,E439)*0.5,"Низшая четверть",IF(O439&lt;SUMIFS(M:M,R:R,1,E:E,E439)/SUMIFS(L:L,R:R,1,E:E,E439),"Вторая четверть","Больше половины"))</f>
        <v/>
      </c>
      <c r="Y439" t="n">
        <v>19</v>
      </c>
    </row>
    <row r="440">
      <c r="A440" s="1" t="inlineStr">
        <is>
          <t>a9200000</t>
        </is>
      </c>
      <c r="B440" s="2" t="inlineStr">
        <is>
          <t>711885851</t>
        </is>
      </c>
      <c r="C440" s="3" t="inlineStr">
        <is>
          <t>Одежда для детей</t>
        </is>
      </c>
      <c r="D440" s="2" t="inlineStr">
        <is>
          <t>Свитера детские для мальчиков</t>
        </is>
      </c>
      <c r="E440" s="3" t="inlineStr">
        <is>
          <t>a92 Свитшот  утепленный для мальчика</t>
        </is>
      </c>
      <c r="F440" s="2" t="inlineStr">
        <is>
          <t>весна, осень, зима</t>
        </is>
      </c>
      <c r="G440" s="3" t="inlineStr">
        <is>
          <t>Kari KIDS</t>
        </is>
      </c>
      <c r="H440" s="2" t="inlineStr">
        <is>
          <t>Зиннуров Ильнур</t>
        </is>
      </c>
      <c r="J440" s="3" t="inlineStr">
        <is>
          <t>2026SS</t>
        </is>
      </c>
      <c r="K440" s="3" t="n">
        <v>7479</v>
      </c>
      <c r="L440" s="3" t="n">
        <v>708</v>
      </c>
      <c r="M440" s="3" t="n">
        <v>4</v>
      </c>
      <c r="N440" s="4">
        <f>IFERROR(L440/K440,0)</f>
        <v/>
      </c>
      <c r="O440" s="4">
        <f>IFERROR(M440/L440,0)</f>
        <v/>
      </c>
      <c r="P440" t="n">
        <v>174</v>
      </c>
      <c r="Q440" s="5" t="n">
        <v>1</v>
      </c>
      <c r="R440" s="7" t="n">
        <v>1</v>
      </c>
      <c r="S440">
        <f>IF(OR(N440&lt;$T$1*0.5,O440&lt;$U$1*0.5),"код для проверки","нормальный код")</f>
        <v/>
      </c>
      <c r="T440">
        <f>IF(N440&lt;$T$1*0.5,"Низшая четверть",IF(N440&lt;$T$1,"Вторая четверть","Больше половины"))</f>
        <v/>
      </c>
      <c r="U440">
        <f>IF(O440&lt;$U$1*0.5,"Низшая четверть",IF(O440&lt;$U$1,"Вторая четверть","Больше половины"))</f>
        <v/>
      </c>
      <c r="V440">
        <f>IF(OR(N440&lt;SUMIFS(L:L,R:R,1,E:E,E440)/SUMIFS(K:K,R:R,1,E:E,E440)*0.5,O440&lt;SUMIFS(M:M,R:R,1,E:E,E440)/SUMIFS(L:L,R:R,1,E:E,E440)*0.5),"код для проверки","нормальный код")</f>
        <v/>
      </c>
      <c r="W440">
        <f>IF(N440&lt;SUMIFS(L:L,R:R,1,E:E,E440)/SUMIFS(K:K,R:R,1,E:E,E440)*0.5,"Низшая четверть",IF(N440&lt;SUMIFS(L:L,R:R,1,E:E,E440)/SUMIFS(K:K,R:R,1,E:E,E440),"Вторая четверть","Больше половины"))</f>
        <v/>
      </c>
      <c r="X440">
        <f>IF(O440&lt;SUMIFS(M:M,R:R,1,E:E,E440)/SUMIFS(L:L,R:R,1,E:E,E440)*0.5,"Низшая четверть",IF(O440&lt;SUMIFS(M:M,R:R,1,E:E,E440)/SUMIFS(L:L,R:R,1,E:E,E440),"Вторая четверть","Больше половины"))</f>
        <v/>
      </c>
      <c r="Y440" t="n">
        <v>21</v>
      </c>
    </row>
    <row r="441">
      <c r="A441" s="1" t="inlineStr">
        <is>
          <t>29600000</t>
        </is>
      </c>
      <c r="B441" s="2" t="inlineStr">
        <is>
          <t>702147686</t>
        </is>
      </c>
      <c r="C441" s="3" t="inlineStr">
        <is>
          <t>Одежда и аксессуары</t>
        </is>
      </c>
      <c r="D441" s="2" t="inlineStr">
        <is>
          <t>Майки и платья женские</t>
        </is>
      </c>
      <c r="E441" s="3" t="inlineStr">
        <is>
          <t>296 Блузка длинный рукав женская</t>
        </is>
      </c>
      <c r="F441" s="2" t="inlineStr">
        <is>
          <t>всесезонный</t>
        </is>
      </c>
      <c r="G441" s="3" t="inlineStr">
        <is>
          <t>kari</t>
        </is>
      </c>
      <c r="H441" s="2" t="inlineStr">
        <is>
          <t>Зиннуров Ильнур</t>
        </is>
      </c>
      <c r="J441" s="3" t="inlineStr">
        <is>
          <t>2026SS</t>
        </is>
      </c>
      <c r="K441" s="3" t="n">
        <v>7369</v>
      </c>
      <c r="L441" s="3" t="n">
        <v>537</v>
      </c>
      <c r="M441" s="3" t="n">
        <v>10</v>
      </c>
      <c r="N441" s="4">
        <f>IFERROR(L441/K441,0)</f>
        <v/>
      </c>
      <c r="O441" s="4">
        <f>IFERROR(M441/L441,0)</f>
        <v/>
      </c>
      <c r="P441" t="n">
        <v>364</v>
      </c>
      <c r="Q441" s="5" t="n">
        <v>1</v>
      </c>
      <c r="R441" s="7" t="n">
        <v>1</v>
      </c>
      <c r="S441">
        <f>IF(OR(N441&lt;$T$1*0.5,O441&lt;$U$1*0.5),"код для проверки","нормальный код")</f>
        <v/>
      </c>
      <c r="T441">
        <f>IF(N441&lt;$T$1*0.5,"Низшая четверть",IF(N441&lt;$T$1,"Вторая четверть","Больше половины"))</f>
        <v/>
      </c>
      <c r="U441">
        <f>IF(O441&lt;$U$1*0.5,"Низшая четверть",IF(O441&lt;$U$1,"Вторая четверть","Больше половины"))</f>
        <v/>
      </c>
      <c r="V441">
        <f>IF(OR(N441&lt;SUMIFS(L:L,R:R,1,E:E,E441)/SUMIFS(K:K,R:R,1,E:E,E441)*0.5,O441&lt;SUMIFS(M:M,R:R,1,E:E,E441)/SUMIFS(L:L,R:R,1,E:E,E441)*0.5),"код для проверки","нормальный код")</f>
        <v/>
      </c>
      <c r="W441">
        <f>IF(N441&lt;SUMIFS(L:L,R:R,1,E:E,E441)/SUMIFS(K:K,R:R,1,E:E,E441)*0.5,"Низшая четверть",IF(N441&lt;SUMIFS(L:L,R:R,1,E:E,E441)/SUMIFS(K:K,R:R,1,E:E,E441),"Вторая четверть","Больше половины"))</f>
        <v/>
      </c>
      <c r="X441">
        <f>IF(O441&lt;SUMIFS(M:M,R:R,1,E:E,E441)/SUMIFS(L:L,R:R,1,E:E,E441)*0.5,"Низшая четверть",IF(O441&lt;SUMIFS(M:M,R:R,1,E:E,E441)/SUMIFS(L:L,R:R,1,E:E,E441),"Вторая четверть","Больше половины"))</f>
        <v/>
      </c>
      <c r="Y441" t="n">
        <v>15</v>
      </c>
    </row>
    <row r="442">
      <c r="A442" s="1" t="inlineStr">
        <is>
          <t>93900210</t>
        </is>
      </c>
      <c r="B442" s="2" t="inlineStr">
        <is>
          <t>766736620</t>
        </is>
      </c>
      <c r="C442" s="3" t="inlineStr">
        <is>
          <t>Одежда для детей</t>
        </is>
      </c>
      <c r="D442" s="2" t="inlineStr">
        <is>
          <t>Одежда для новорожденных</t>
        </is>
      </c>
      <c r="E442" s="3" t="inlineStr">
        <is>
          <t>939 Футболка для маленькой девочки</t>
        </is>
      </c>
      <c r="F442" s="2" t="inlineStr">
        <is>
          <t>всесезонный</t>
        </is>
      </c>
      <c r="G442" s="3" t="inlineStr">
        <is>
          <t>Kari baby</t>
        </is>
      </c>
      <c r="H442" s="2" t="inlineStr">
        <is>
          <t>Зиннуров Ильнур</t>
        </is>
      </c>
      <c r="J442" s="3" t="inlineStr">
        <is>
          <t>2026SS</t>
        </is>
      </c>
      <c r="K442" s="3" t="n">
        <v>7356</v>
      </c>
      <c r="L442" s="3" t="n">
        <v>974</v>
      </c>
      <c r="M442" s="3" t="n">
        <v>17</v>
      </c>
      <c r="N442" s="4">
        <f>IFERROR(L442/K442,0)</f>
        <v/>
      </c>
      <c r="O442" s="4">
        <f>IFERROR(M442/L442,0)</f>
        <v/>
      </c>
      <c r="P442" t="n">
        <v>815</v>
      </c>
      <c r="Q442" s="5" t="n">
        <v>1</v>
      </c>
      <c r="R442" s="7" t="n">
        <v>1</v>
      </c>
      <c r="S442">
        <f>IF(OR(N442&lt;$T$1*0.5,O442&lt;$U$1*0.5),"код для проверки","нормальный код")</f>
        <v/>
      </c>
      <c r="T442">
        <f>IF(N442&lt;$T$1*0.5,"Низшая четверть",IF(N442&lt;$T$1,"Вторая четверть","Больше половины"))</f>
        <v/>
      </c>
      <c r="U442">
        <f>IF(O442&lt;$U$1*0.5,"Низшая четверть",IF(O442&lt;$U$1,"Вторая четверть","Больше половины"))</f>
        <v/>
      </c>
      <c r="V442">
        <f>IF(OR(N442&lt;SUMIFS(L:L,R:R,1,E:E,E442)/SUMIFS(K:K,R:R,1,E:E,E442)*0.5,O442&lt;SUMIFS(M:M,R:R,1,E:E,E442)/SUMIFS(L:L,R:R,1,E:E,E442)*0.5),"код для проверки","нормальный код")</f>
        <v/>
      </c>
      <c r="W442">
        <f>IF(N442&lt;SUMIFS(L:L,R:R,1,E:E,E442)/SUMIFS(K:K,R:R,1,E:E,E442)*0.5,"Низшая четверть",IF(N442&lt;SUMIFS(L:L,R:R,1,E:E,E442)/SUMIFS(K:K,R:R,1,E:E,E442),"Вторая четверть","Больше половины"))</f>
        <v/>
      </c>
      <c r="X442">
        <f>IF(O442&lt;SUMIFS(M:M,R:R,1,E:E,E442)/SUMIFS(L:L,R:R,1,E:E,E442)*0.5,"Низшая четверть",IF(O442&lt;SUMIFS(M:M,R:R,1,E:E,E442)/SUMIFS(L:L,R:R,1,E:E,E442),"Вторая четверть","Больше половины"))</f>
        <v/>
      </c>
      <c r="Y442" t="n">
        <v>5</v>
      </c>
    </row>
    <row r="443">
      <c r="A443" s="1" t="inlineStr">
        <is>
          <t>93700250</t>
        </is>
      </c>
      <c r="B443" s="2" t="inlineStr">
        <is>
          <t>848722559</t>
        </is>
      </c>
      <c r="C443" s="3" t="inlineStr">
        <is>
          <t>Одежда для детей</t>
        </is>
      </c>
      <c r="D443" s="2" t="inlineStr">
        <is>
          <t>Одежда для новорожденных</t>
        </is>
      </c>
      <c r="E443" s="3" t="inlineStr">
        <is>
          <t>937 Боди с коротким рукавом для мальчиков</t>
        </is>
      </c>
      <c r="F443" s="2" t="inlineStr">
        <is>
          <t>всесезонный</t>
        </is>
      </c>
      <c r="G443" s="3" t="inlineStr">
        <is>
          <t>Kari baby</t>
        </is>
      </c>
      <c r="H443" s="2" t="inlineStr">
        <is>
          <t>Зиннуров Ильнур</t>
        </is>
      </c>
      <c r="J443" s="3" t="inlineStr">
        <is>
          <t>2026SS</t>
        </is>
      </c>
      <c r="K443" s="3" t="n">
        <v>7304</v>
      </c>
      <c r="L443" s="3" t="n">
        <v>1356</v>
      </c>
      <c r="M443" s="3" t="n">
        <v>43</v>
      </c>
      <c r="N443" s="4">
        <f>IFERROR(L443/K443,0)</f>
        <v/>
      </c>
      <c r="O443" s="4">
        <f>IFERROR(M443/L443,0)</f>
        <v/>
      </c>
      <c r="P443" t="n">
        <v>193</v>
      </c>
      <c r="Q443" s="5" t="n">
        <v>1</v>
      </c>
      <c r="R443" s="7" t="n">
        <v>1</v>
      </c>
      <c r="S443">
        <f>IF(OR(N443&lt;$T$1*0.5,O443&lt;$U$1*0.5),"код для проверки","нормальный код")</f>
        <v/>
      </c>
      <c r="T443">
        <f>IF(N443&lt;$T$1*0.5,"Низшая четверть",IF(N443&lt;$T$1,"Вторая четверть","Больше половины"))</f>
        <v/>
      </c>
      <c r="U443">
        <f>IF(O443&lt;$U$1*0.5,"Низшая четверть",IF(O443&lt;$U$1,"Вторая четверть","Больше половины"))</f>
        <v/>
      </c>
      <c r="V443">
        <f>IF(OR(N443&lt;SUMIFS(L:L,R:R,1,E:E,E443)/SUMIFS(K:K,R:R,1,E:E,E443)*0.5,O443&lt;SUMIFS(M:M,R:R,1,E:E,E443)/SUMIFS(L:L,R:R,1,E:E,E443)*0.5),"код для проверки","нормальный код")</f>
        <v/>
      </c>
      <c r="W443">
        <f>IF(N443&lt;SUMIFS(L:L,R:R,1,E:E,E443)/SUMIFS(K:K,R:R,1,E:E,E443)*0.5,"Низшая четверть",IF(N443&lt;SUMIFS(L:L,R:R,1,E:E,E443)/SUMIFS(K:K,R:R,1,E:E,E443),"Вторая четверть","Больше половины"))</f>
        <v/>
      </c>
      <c r="X443">
        <f>IF(O443&lt;SUMIFS(M:M,R:R,1,E:E,E443)/SUMIFS(L:L,R:R,1,E:E,E443)*0.5,"Низшая четверть",IF(O443&lt;SUMIFS(M:M,R:R,1,E:E,E443)/SUMIFS(L:L,R:R,1,E:E,E443),"Вторая четверть","Больше половины"))</f>
        <v/>
      </c>
      <c r="Y443" t="n">
        <v>15</v>
      </c>
    </row>
    <row r="444">
      <c r="A444" s="1" t="inlineStr">
        <is>
          <t>88300190</t>
        </is>
      </c>
      <c r="B444" s="2" t="inlineStr">
        <is>
          <t>714592506</t>
        </is>
      </c>
      <c r="C444" s="3" t="inlineStr">
        <is>
          <t>Одежда для детей</t>
        </is>
      </c>
      <c r="D444" s="2" t="inlineStr">
        <is>
          <t>Платья, майки, футболки детские для девочек</t>
        </is>
      </c>
      <c r="E444" s="3" t="inlineStr">
        <is>
          <t>883 Футболка длинный рукав детская для девочек</t>
        </is>
      </c>
      <c r="F444" s="2" t="inlineStr">
        <is>
          <t>всесезонный</t>
        </is>
      </c>
      <c r="G444" s="3" t="inlineStr">
        <is>
          <t>kari</t>
        </is>
      </c>
      <c r="H444" s="2" t="inlineStr">
        <is>
          <t>Зиннуров Ильнур</t>
        </is>
      </c>
      <c r="J444" s="3" t="inlineStr">
        <is>
          <t>2026SS</t>
        </is>
      </c>
      <c r="K444" s="3" t="n">
        <v>7251</v>
      </c>
      <c r="L444" s="3" t="n">
        <v>550</v>
      </c>
      <c r="M444" s="3" t="n">
        <v>7</v>
      </c>
      <c r="N444" s="4">
        <f>IFERROR(L444/K444,0)</f>
        <v/>
      </c>
      <c r="O444" s="4">
        <f>IFERROR(M444/L444,0)</f>
        <v/>
      </c>
      <c r="P444" t="n">
        <v>370</v>
      </c>
      <c r="Q444" s="5" t="n">
        <v>1</v>
      </c>
      <c r="R444" s="7" t="n">
        <v>1</v>
      </c>
      <c r="S444">
        <f>IF(OR(N444&lt;$T$1*0.5,O444&lt;$U$1*0.5),"код для проверки","нормальный код")</f>
        <v/>
      </c>
      <c r="T444">
        <f>IF(N444&lt;$T$1*0.5,"Низшая четверть",IF(N444&lt;$T$1,"Вторая четверть","Больше половины"))</f>
        <v/>
      </c>
      <c r="U444">
        <f>IF(O444&lt;$U$1*0.5,"Низшая четверть",IF(O444&lt;$U$1,"Вторая четверть","Больше половины"))</f>
        <v/>
      </c>
      <c r="V444">
        <f>IF(OR(N444&lt;SUMIFS(L:L,R:R,1,E:E,E444)/SUMIFS(K:K,R:R,1,E:E,E444)*0.5,O444&lt;SUMIFS(M:M,R:R,1,E:E,E444)/SUMIFS(L:L,R:R,1,E:E,E444)*0.5),"код для проверки","нормальный код")</f>
        <v/>
      </c>
      <c r="W444">
        <f>IF(N444&lt;SUMIFS(L:L,R:R,1,E:E,E444)/SUMIFS(K:K,R:R,1,E:E,E444)*0.5,"Низшая четверть",IF(N444&lt;SUMIFS(L:L,R:R,1,E:E,E444)/SUMIFS(K:K,R:R,1,E:E,E444),"Вторая четверть","Больше половины"))</f>
        <v/>
      </c>
      <c r="X444">
        <f>IF(O444&lt;SUMIFS(M:M,R:R,1,E:E,E444)/SUMIFS(L:L,R:R,1,E:E,E444)*0.5,"Низшая четверть",IF(O444&lt;SUMIFS(M:M,R:R,1,E:E,E444)/SUMIFS(L:L,R:R,1,E:E,E444),"Вторая четверть","Больше половины"))</f>
        <v/>
      </c>
      <c r="Y444" t="n">
        <v>25</v>
      </c>
    </row>
    <row r="445">
      <c r="A445" s="1" t="inlineStr">
        <is>
          <t>a6000560</t>
        </is>
      </c>
      <c r="B445" s="2" t="inlineStr">
        <is>
          <t>914676221</t>
        </is>
      </c>
      <c r="C445" s="3" t="inlineStr">
        <is>
          <t>Одежда для детей</t>
        </is>
      </c>
      <c r="D445" s="2" t="inlineStr">
        <is>
          <t>Платья, майки, футболки детские для девочек</t>
        </is>
      </c>
      <c r="E445" s="3" t="inlineStr">
        <is>
          <t>a60 Футболка детская для девочек</t>
        </is>
      </c>
      <c r="F445" s="2" t="inlineStr">
        <is>
          <t>всесезонный</t>
        </is>
      </c>
      <c r="G445" s="3" t="inlineStr">
        <is>
          <t>Kari KIDS</t>
        </is>
      </c>
      <c r="H445" s="2" t="inlineStr">
        <is>
          <t>Зиннуров Ильнур</t>
        </is>
      </c>
      <c r="J445" s="3" t="inlineStr">
        <is>
          <t>2026SS</t>
        </is>
      </c>
      <c r="K445" s="3" t="n">
        <v>7138</v>
      </c>
      <c r="L445" s="3" t="n">
        <v>1707</v>
      </c>
      <c r="M445" s="3" t="n">
        <v>7</v>
      </c>
      <c r="N445" s="4">
        <f>IFERROR(L445/K445,0)</f>
        <v/>
      </c>
      <c r="O445" s="4">
        <f>IFERROR(M445/L445,0)</f>
        <v/>
      </c>
      <c r="P445" t="n">
        <v>861</v>
      </c>
      <c r="Q445" s="5" t="n">
        <v>1</v>
      </c>
      <c r="R445" s="7" t="n">
        <v>1</v>
      </c>
      <c r="S445">
        <f>IF(OR(N445&lt;$T$1*0.5,O445&lt;$U$1*0.5),"код для проверки","нормальный код")</f>
        <v/>
      </c>
      <c r="T445">
        <f>IF(N445&lt;$T$1*0.5,"Низшая четверть",IF(N445&lt;$T$1,"Вторая четверть","Больше половины"))</f>
        <v/>
      </c>
      <c r="U445">
        <f>IF(O445&lt;$U$1*0.5,"Низшая четверть",IF(O445&lt;$U$1,"Вторая четверть","Больше половины"))</f>
        <v/>
      </c>
      <c r="V445">
        <f>IF(OR(N445&lt;SUMIFS(L:L,R:R,1,E:E,E445)/SUMIFS(K:K,R:R,1,E:E,E445)*0.5,O445&lt;SUMIFS(M:M,R:R,1,E:E,E445)/SUMIFS(L:L,R:R,1,E:E,E445)*0.5),"код для проверки","нормальный код")</f>
        <v/>
      </c>
      <c r="W445">
        <f>IF(N445&lt;SUMIFS(L:L,R:R,1,E:E,E445)/SUMIFS(K:K,R:R,1,E:E,E445)*0.5,"Низшая четверть",IF(N445&lt;SUMIFS(L:L,R:R,1,E:E,E445)/SUMIFS(K:K,R:R,1,E:E,E445),"Вторая четверть","Больше половины"))</f>
        <v/>
      </c>
      <c r="X445">
        <f>IF(O445&lt;SUMIFS(M:M,R:R,1,E:E,E445)/SUMIFS(L:L,R:R,1,E:E,E445)*0.5,"Низшая четверть",IF(O445&lt;SUMIFS(M:M,R:R,1,E:E,E445)/SUMIFS(L:L,R:R,1,E:E,E445),"Вторая четверть","Больше половины"))</f>
        <v/>
      </c>
      <c r="Y445" t="n">
        <v>17</v>
      </c>
    </row>
    <row r="446">
      <c r="A446" s="1" t="inlineStr">
        <is>
          <t>88100240</t>
        </is>
      </c>
      <c r="B446" s="2" t="inlineStr">
        <is>
          <t>697438355</t>
        </is>
      </c>
      <c r="C446" s="3" t="inlineStr">
        <is>
          <t>Одежда для детей</t>
        </is>
      </c>
      <c r="D446" s="2" t="inlineStr">
        <is>
          <t>Футболки, майки, рубашки детские для мальчиков</t>
        </is>
      </c>
      <c r="E446" s="3" t="inlineStr">
        <is>
          <t>881 Футболка длинный рукав детская для мальчиков</t>
        </is>
      </c>
      <c r="F446" s="2" t="inlineStr">
        <is>
          <t>всесезонный</t>
        </is>
      </c>
      <c r="G446" s="3" t="inlineStr">
        <is>
          <t>Kari KIDS</t>
        </is>
      </c>
      <c r="H446" s="2" t="inlineStr">
        <is>
          <t>Зиннуров Ильнур</t>
        </is>
      </c>
      <c r="J446" s="3" t="inlineStr">
        <is>
          <t>2026SS</t>
        </is>
      </c>
      <c r="K446" s="3" t="n">
        <v>7138</v>
      </c>
      <c r="L446" s="3" t="n">
        <v>491</v>
      </c>
      <c r="M446" s="3" t="n">
        <v>10</v>
      </c>
      <c r="N446" s="4">
        <f>IFERROR(L446/K446,0)</f>
        <v/>
      </c>
      <c r="O446" s="4">
        <f>IFERROR(M446/L446,0)</f>
        <v/>
      </c>
      <c r="P446" t="n">
        <v>365</v>
      </c>
      <c r="Q446" s="5" t="n">
        <v>1</v>
      </c>
      <c r="R446" s="7" t="n">
        <v>1</v>
      </c>
      <c r="S446">
        <f>IF(OR(N446&lt;$T$1*0.5,O446&lt;$U$1*0.5),"код для проверки","нормальный код")</f>
        <v/>
      </c>
      <c r="T446">
        <f>IF(N446&lt;$T$1*0.5,"Низшая четверть",IF(N446&lt;$T$1,"Вторая четверть","Больше половины"))</f>
        <v/>
      </c>
      <c r="U446">
        <f>IF(O446&lt;$U$1*0.5,"Низшая четверть",IF(O446&lt;$U$1,"Вторая четверть","Больше половины"))</f>
        <v/>
      </c>
      <c r="V446">
        <f>IF(OR(N446&lt;SUMIFS(L:L,R:R,1,E:E,E446)/SUMIFS(K:K,R:R,1,E:E,E446)*0.5,O446&lt;SUMIFS(M:M,R:R,1,E:E,E446)/SUMIFS(L:L,R:R,1,E:E,E446)*0.5),"код для проверки","нормальный код")</f>
        <v/>
      </c>
      <c r="W446">
        <f>IF(N446&lt;SUMIFS(L:L,R:R,1,E:E,E446)/SUMIFS(K:K,R:R,1,E:E,E446)*0.5,"Низшая четверть",IF(N446&lt;SUMIFS(L:L,R:R,1,E:E,E446)/SUMIFS(K:K,R:R,1,E:E,E446),"Вторая четверть","Больше половины"))</f>
        <v/>
      </c>
      <c r="X446">
        <f>IF(O446&lt;SUMIFS(M:M,R:R,1,E:E,E446)/SUMIFS(L:L,R:R,1,E:E,E446)*0.5,"Низшая четверть",IF(O446&lt;SUMIFS(M:M,R:R,1,E:E,E446)/SUMIFS(L:L,R:R,1,E:E,E446),"Вторая четверть","Больше половины"))</f>
        <v/>
      </c>
      <c r="Y446" t="n">
        <v>23</v>
      </c>
    </row>
    <row r="447">
      <c r="A447" s="1" t="inlineStr">
        <is>
          <t>39300560</t>
        </is>
      </c>
      <c r="B447" s="2" t="inlineStr">
        <is>
          <t>697334136</t>
        </is>
      </c>
      <c r="C447" s="3" t="inlineStr">
        <is>
          <t>Одежда для детей</t>
        </is>
      </c>
      <c r="D447" s="2" t="inlineStr">
        <is>
          <t>Чулочные и носочные детские изделия для девочек</t>
        </is>
      </c>
      <c r="E447" s="3" t="inlineStr">
        <is>
          <t>393 Детские легинсы</t>
        </is>
      </c>
      <c r="F447" s="2" t="inlineStr">
        <is>
          <t>всесезонный</t>
        </is>
      </c>
      <c r="G447" s="3" t="inlineStr">
        <is>
          <t>kari</t>
        </is>
      </c>
      <c r="H447" s="2" t="inlineStr">
        <is>
          <t>Зиннуров Ильнур</t>
        </is>
      </c>
      <c r="J447" s="3" t="inlineStr">
        <is>
          <t>2026SS</t>
        </is>
      </c>
      <c r="K447" s="3" t="n">
        <v>7128</v>
      </c>
      <c r="L447" s="3" t="n">
        <v>723</v>
      </c>
      <c r="M447" s="3" t="n">
        <v>17</v>
      </c>
      <c r="N447" s="4">
        <f>IFERROR(L447/K447,0)</f>
        <v/>
      </c>
      <c r="O447" s="4">
        <f>IFERROR(M447/L447,0)</f>
        <v/>
      </c>
      <c r="P447" t="n">
        <v>651</v>
      </c>
      <c r="Q447" s="5" t="n">
        <v>1</v>
      </c>
      <c r="R447" s="7" t="n">
        <v>1</v>
      </c>
      <c r="S447">
        <f>IF(OR(N447&lt;$T$1*0.5,O447&lt;$U$1*0.5),"код для проверки","нормальный код")</f>
        <v/>
      </c>
      <c r="T447">
        <f>IF(N447&lt;$T$1*0.5,"Низшая четверть",IF(N447&lt;$T$1,"Вторая четверть","Больше половины"))</f>
        <v/>
      </c>
      <c r="U447">
        <f>IF(O447&lt;$U$1*0.5,"Низшая четверть",IF(O447&lt;$U$1,"Вторая четверть","Больше половины"))</f>
        <v/>
      </c>
      <c r="V447">
        <f>IF(OR(N447&lt;SUMIFS(L:L,R:R,1,E:E,E447)/SUMIFS(K:K,R:R,1,E:E,E447)*0.5,O447&lt;SUMIFS(M:M,R:R,1,E:E,E447)/SUMIFS(L:L,R:R,1,E:E,E447)*0.5),"код для проверки","нормальный код")</f>
        <v/>
      </c>
      <c r="W447">
        <f>IF(N447&lt;SUMIFS(L:L,R:R,1,E:E,E447)/SUMIFS(K:K,R:R,1,E:E,E447)*0.5,"Низшая четверть",IF(N447&lt;SUMIFS(L:L,R:R,1,E:E,E447)/SUMIFS(K:K,R:R,1,E:E,E447),"Вторая четверть","Больше половины"))</f>
        <v/>
      </c>
      <c r="X447">
        <f>IF(O447&lt;SUMIFS(M:M,R:R,1,E:E,E447)/SUMIFS(L:L,R:R,1,E:E,E447)*0.5,"Низшая четверть",IF(O447&lt;SUMIFS(M:M,R:R,1,E:E,E447)/SUMIFS(L:L,R:R,1,E:E,E447),"Вторая четверть","Больше половины"))</f>
        <v/>
      </c>
      <c r="Y447" t="n">
        <v>20</v>
      </c>
    </row>
    <row r="448">
      <c r="A448" s="1" t="inlineStr">
        <is>
          <t>07200860</t>
        </is>
      </c>
      <c r="B448" s="2" t="inlineStr">
        <is>
          <t>770843374</t>
        </is>
      </c>
      <c r="C448" s="3" t="inlineStr">
        <is>
          <t>Одежда и аксессуары</t>
        </is>
      </c>
      <c r="D448" s="2" t="inlineStr">
        <is>
          <t>Нижнее белье женское</t>
        </is>
      </c>
      <c r="E448" s="3" t="inlineStr">
        <is>
          <t>072 Трусы женские</t>
        </is>
      </c>
      <c r="F448" s="2" t="inlineStr">
        <is>
          <t>всесезонный</t>
        </is>
      </c>
      <c r="G448" s="3" t="inlineStr">
        <is>
          <t>kari</t>
        </is>
      </c>
      <c r="H448" s="2" t="inlineStr">
        <is>
          <t>Никонорова Алина</t>
        </is>
      </c>
      <c r="J448" s="3" t="inlineStr">
        <is>
          <t>2026SS</t>
        </is>
      </c>
      <c r="K448" s="3" t="n">
        <v>7051</v>
      </c>
      <c r="L448" s="3" t="n">
        <v>190</v>
      </c>
      <c r="M448" s="3" t="n">
        <v>4</v>
      </c>
      <c r="N448" s="4">
        <f>IFERROR(L448/K448,0)</f>
        <v/>
      </c>
      <c r="O448" s="4">
        <f>IFERROR(M448/L448,0)</f>
        <v/>
      </c>
      <c r="P448" t="n">
        <v>1146</v>
      </c>
      <c r="Q448" s="5" t="n">
        <v>0.8</v>
      </c>
      <c r="R448" s="7" t="n">
        <v>1</v>
      </c>
      <c r="S448">
        <f>IF(OR(N448&lt;$T$1*0.5,O448&lt;$U$1*0.5),"код для проверки","нормальный код")</f>
        <v/>
      </c>
      <c r="T448">
        <f>IF(N448&lt;$T$1*0.5,"Низшая четверть",IF(N448&lt;$T$1,"Вторая четверть","Больше половины"))</f>
        <v/>
      </c>
      <c r="U448">
        <f>IF(O448&lt;$U$1*0.5,"Низшая четверть",IF(O448&lt;$U$1,"Вторая четверть","Больше половины"))</f>
        <v/>
      </c>
      <c r="V448">
        <f>IF(OR(N448&lt;SUMIFS(L:L,R:R,1,E:E,E448)/SUMIFS(K:K,R:R,1,E:E,E448)*0.5,O448&lt;SUMIFS(M:M,R:R,1,E:E,E448)/SUMIFS(L:L,R:R,1,E:E,E448)*0.5),"код для проверки","нормальный код")</f>
        <v/>
      </c>
      <c r="W448">
        <f>IF(N448&lt;SUMIFS(L:L,R:R,1,E:E,E448)/SUMIFS(K:K,R:R,1,E:E,E448)*0.5,"Низшая четверть",IF(N448&lt;SUMIFS(L:L,R:R,1,E:E,E448)/SUMIFS(K:K,R:R,1,E:E,E448),"Вторая четверть","Больше половины"))</f>
        <v/>
      </c>
      <c r="X448">
        <f>IF(O448&lt;SUMIFS(M:M,R:R,1,E:E,E448)/SUMIFS(L:L,R:R,1,E:E,E448)*0.5,"Низшая четверть",IF(O448&lt;SUMIFS(M:M,R:R,1,E:E,E448)/SUMIFS(L:L,R:R,1,E:E,E448),"Вторая четверть","Больше половины"))</f>
        <v/>
      </c>
      <c r="Y448" t="n">
        <v>13</v>
      </c>
    </row>
    <row r="449">
      <c r="A449" s="1" t="inlineStr">
        <is>
          <t>94000310</t>
        </is>
      </c>
      <c r="B449" s="2" t="inlineStr">
        <is>
          <t>839629762</t>
        </is>
      </c>
      <c r="C449" s="3" t="inlineStr">
        <is>
          <t>Одежда для детей</t>
        </is>
      </c>
      <c r="D449" s="2" t="inlineStr">
        <is>
          <t>Одежда для новорожденных</t>
        </is>
      </c>
      <c r="E449" s="3" t="inlineStr">
        <is>
          <t>940 Футболка для маленького мальчика</t>
        </is>
      </c>
      <c r="F449" s="2" t="inlineStr">
        <is>
          <t>всесезонный</t>
        </is>
      </c>
      <c r="G449" s="3" t="inlineStr">
        <is>
          <t>Kari baby</t>
        </is>
      </c>
      <c r="H449" s="2" t="inlineStr">
        <is>
          <t>Зиннуров Ильнур</t>
        </is>
      </c>
      <c r="J449" s="3" t="inlineStr">
        <is>
          <t>2026SS</t>
        </is>
      </c>
      <c r="K449" s="3" t="n">
        <v>7034</v>
      </c>
      <c r="L449" s="3" t="n">
        <v>1709</v>
      </c>
      <c r="M449" s="3" t="n">
        <v>24</v>
      </c>
      <c r="N449" s="4">
        <f>IFERROR(L449/K449,0)</f>
        <v/>
      </c>
      <c r="O449" s="4">
        <f>IFERROR(M449/L449,0)</f>
        <v/>
      </c>
      <c r="P449" t="n">
        <v>184</v>
      </c>
      <c r="Q449" s="5" t="n">
        <v>1</v>
      </c>
      <c r="R449" s="7" t="n">
        <v>1</v>
      </c>
      <c r="S449">
        <f>IF(OR(N449&lt;$T$1*0.5,O449&lt;$U$1*0.5),"код для проверки","нормальный код")</f>
        <v/>
      </c>
      <c r="T449">
        <f>IF(N449&lt;$T$1*0.5,"Низшая четверть",IF(N449&lt;$T$1,"Вторая четверть","Больше половины"))</f>
        <v/>
      </c>
      <c r="U449">
        <f>IF(O449&lt;$U$1*0.5,"Низшая четверть",IF(O449&lt;$U$1,"Вторая четверть","Больше половины"))</f>
        <v/>
      </c>
      <c r="V449">
        <f>IF(OR(N449&lt;SUMIFS(L:L,R:R,1,E:E,E449)/SUMIFS(K:K,R:R,1,E:E,E449)*0.5,O449&lt;SUMIFS(M:M,R:R,1,E:E,E449)/SUMIFS(L:L,R:R,1,E:E,E449)*0.5),"код для проверки","нормальный код")</f>
        <v/>
      </c>
      <c r="W449">
        <f>IF(N449&lt;SUMIFS(L:L,R:R,1,E:E,E449)/SUMIFS(K:K,R:R,1,E:E,E449)*0.5,"Низшая четверть",IF(N449&lt;SUMIFS(L:L,R:R,1,E:E,E449)/SUMIFS(K:K,R:R,1,E:E,E449),"Вторая четверть","Больше половины"))</f>
        <v/>
      </c>
      <c r="X449">
        <f>IF(O449&lt;SUMIFS(M:M,R:R,1,E:E,E449)/SUMIFS(L:L,R:R,1,E:E,E449)*0.5,"Низшая четверть",IF(O449&lt;SUMIFS(M:M,R:R,1,E:E,E449)/SUMIFS(L:L,R:R,1,E:E,E449),"Вторая четверть","Больше половины"))</f>
        <v/>
      </c>
      <c r="Y449" t="n">
        <v>14</v>
      </c>
    </row>
    <row r="450">
      <c r="A450" s="1" t="inlineStr">
        <is>
          <t>a6000280</t>
        </is>
      </c>
      <c r="B450" s="2" t="inlineStr">
        <is>
          <t>706058170</t>
        </is>
      </c>
      <c r="C450" s="3" t="inlineStr">
        <is>
          <t>Одежда для детей</t>
        </is>
      </c>
      <c r="D450" s="2" t="inlineStr">
        <is>
          <t>Платья, майки, футболки детские для девочек</t>
        </is>
      </c>
      <c r="E450" s="3" t="inlineStr">
        <is>
          <t>a60 Футболка детская для девочек</t>
        </is>
      </c>
      <c r="F450" s="2" t="inlineStr">
        <is>
          <t>всесезонный</t>
        </is>
      </c>
      <c r="G450" s="3" t="inlineStr">
        <is>
          <t>Kari KIDS</t>
        </is>
      </c>
      <c r="H450" s="2" t="inlineStr">
        <is>
          <t>Зиннуров Ильнур</t>
        </is>
      </c>
      <c r="J450" s="3" t="inlineStr">
        <is>
          <t>2026SS</t>
        </is>
      </c>
      <c r="K450" s="3" t="n">
        <v>6997</v>
      </c>
      <c r="L450" s="3" t="n">
        <v>514</v>
      </c>
      <c r="M450" s="3" t="n">
        <v>10</v>
      </c>
      <c r="N450" s="4">
        <f>IFERROR(L450/K450,0)</f>
        <v/>
      </c>
      <c r="O450" s="4">
        <f>IFERROR(M450/L450,0)</f>
        <v/>
      </c>
      <c r="P450" t="n">
        <v>176</v>
      </c>
      <c r="Q450" s="5" t="n">
        <v>1</v>
      </c>
      <c r="R450" s="7" t="n">
        <v>1</v>
      </c>
      <c r="S450">
        <f>IF(OR(N450&lt;$T$1*0.5,O450&lt;$U$1*0.5),"код для проверки","нормальный код")</f>
        <v/>
      </c>
      <c r="T450">
        <f>IF(N450&lt;$T$1*0.5,"Низшая четверть",IF(N450&lt;$T$1,"Вторая четверть","Больше половины"))</f>
        <v/>
      </c>
      <c r="U450">
        <f>IF(O450&lt;$U$1*0.5,"Низшая четверть",IF(O450&lt;$U$1,"Вторая четверть","Больше половины"))</f>
        <v/>
      </c>
      <c r="V450">
        <f>IF(OR(N450&lt;SUMIFS(L:L,R:R,1,E:E,E450)/SUMIFS(K:K,R:R,1,E:E,E450)*0.5,O450&lt;SUMIFS(M:M,R:R,1,E:E,E450)/SUMIFS(L:L,R:R,1,E:E,E450)*0.5),"код для проверки","нормальный код")</f>
        <v/>
      </c>
      <c r="W450">
        <f>IF(N450&lt;SUMIFS(L:L,R:R,1,E:E,E450)/SUMIFS(K:K,R:R,1,E:E,E450)*0.5,"Низшая четверть",IF(N450&lt;SUMIFS(L:L,R:R,1,E:E,E450)/SUMIFS(K:K,R:R,1,E:E,E450),"Вторая четверть","Больше половины"))</f>
        <v/>
      </c>
      <c r="X450">
        <f>IF(O450&lt;SUMIFS(M:M,R:R,1,E:E,E450)/SUMIFS(L:L,R:R,1,E:E,E450)*0.5,"Низшая четверть",IF(O450&lt;SUMIFS(M:M,R:R,1,E:E,E450)/SUMIFS(L:L,R:R,1,E:E,E450),"Вторая четверть","Больше половины"))</f>
        <v/>
      </c>
      <c r="Y450" t="n">
        <v>19</v>
      </c>
    </row>
    <row r="451">
      <c r="A451" s="1" t="inlineStr">
        <is>
          <t>20100230</t>
        </is>
      </c>
      <c r="B451" s="2" t="inlineStr">
        <is>
          <t>820479744</t>
        </is>
      </c>
      <c r="C451" s="3" t="inlineStr">
        <is>
          <t>Одежда для детей</t>
        </is>
      </c>
      <c r="D451" s="2" t="inlineStr">
        <is>
          <t>Головные детские уборы для девочек</t>
        </is>
      </c>
      <c r="E451" s="3" t="inlineStr">
        <is>
          <t>201 Бейсболка детская для девочек</t>
        </is>
      </c>
      <c r="F451" s="2" t="inlineStr">
        <is>
          <t>весна, лето</t>
        </is>
      </c>
      <c r="G451" s="3" t="inlineStr">
        <is>
          <t>kari</t>
        </is>
      </c>
      <c r="H451" s="2" t="inlineStr">
        <is>
          <t>Никонорова Алина</t>
        </is>
      </c>
      <c r="J451" s="3" t="inlineStr">
        <is>
          <t>2026SS</t>
        </is>
      </c>
      <c r="K451" s="3" t="n">
        <v>6994</v>
      </c>
      <c r="L451" s="3" t="n">
        <v>762</v>
      </c>
      <c r="M451" s="3" t="n">
        <v>13</v>
      </c>
      <c r="N451" s="4">
        <f>IFERROR(L451/K451,0)</f>
        <v/>
      </c>
      <c r="O451" s="4">
        <f>IFERROR(M451/L451,0)</f>
        <v/>
      </c>
      <c r="P451" t="n">
        <v>357</v>
      </c>
      <c r="Q451" s="5" t="n">
        <v>1</v>
      </c>
      <c r="R451" s="7" t="n">
        <v>1</v>
      </c>
      <c r="S451">
        <f>IF(OR(N451&lt;$T$1*0.5,O451&lt;$U$1*0.5),"код для проверки","нормальный код")</f>
        <v/>
      </c>
      <c r="T451">
        <f>IF(N451&lt;$T$1*0.5,"Низшая четверть",IF(N451&lt;$T$1,"Вторая четверть","Больше половины"))</f>
        <v/>
      </c>
      <c r="U451">
        <f>IF(O451&lt;$U$1*0.5,"Низшая четверть",IF(O451&lt;$U$1,"Вторая четверть","Больше половины"))</f>
        <v/>
      </c>
      <c r="V451">
        <f>IF(OR(N451&lt;SUMIFS(L:L,R:R,1,E:E,E451)/SUMIFS(K:K,R:R,1,E:E,E451)*0.5,O451&lt;SUMIFS(M:M,R:R,1,E:E,E451)/SUMIFS(L:L,R:R,1,E:E,E451)*0.5),"код для проверки","нормальный код")</f>
        <v/>
      </c>
      <c r="W451">
        <f>IF(N451&lt;SUMIFS(L:L,R:R,1,E:E,E451)/SUMIFS(K:K,R:R,1,E:E,E451)*0.5,"Низшая четверть",IF(N451&lt;SUMIFS(L:L,R:R,1,E:E,E451)/SUMIFS(K:K,R:R,1,E:E,E451),"Вторая четверть","Больше половины"))</f>
        <v/>
      </c>
      <c r="X451">
        <f>IF(O451&lt;SUMIFS(M:M,R:R,1,E:E,E451)/SUMIFS(L:L,R:R,1,E:E,E451)*0.5,"Низшая четверть",IF(O451&lt;SUMIFS(M:M,R:R,1,E:E,E451)/SUMIFS(L:L,R:R,1,E:E,E451),"Вторая четверть","Больше половины"))</f>
        <v/>
      </c>
      <c r="Y451" t="n">
        <v>8</v>
      </c>
    </row>
    <row r="452">
      <c r="A452" s="1" t="inlineStr">
        <is>
          <t>20100260</t>
        </is>
      </c>
      <c r="B452" s="2" t="inlineStr">
        <is>
          <t>760592132</t>
        </is>
      </c>
      <c r="C452" s="3" t="inlineStr">
        <is>
          <t>Одежда для детей</t>
        </is>
      </c>
      <c r="D452" s="2" t="inlineStr">
        <is>
          <t>Головные детские уборы для девочек</t>
        </is>
      </c>
      <c r="E452" s="3" t="inlineStr">
        <is>
          <t>201 Бейсболка детская для девочек</t>
        </is>
      </c>
      <c r="F452" s="2" t="inlineStr">
        <is>
          <t>весна, лето</t>
        </is>
      </c>
      <c r="G452" s="3" t="inlineStr">
        <is>
          <t>kari</t>
        </is>
      </c>
      <c r="H452" s="2" t="inlineStr">
        <is>
          <t>Никонорова Алина</t>
        </is>
      </c>
      <c r="J452" s="3" t="inlineStr">
        <is>
          <t>2026SS</t>
        </is>
      </c>
      <c r="K452" s="3" t="n">
        <v>6978</v>
      </c>
      <c r="L452" s="3" t="n">
        <v>1012</v>
      </c>
      <c r="M452" s="3" t="n">
        <v>9</v>
      </c>
      <c r="N452" s="4">
        <f>IFERROR(L452/K452,0)</f>
        <v/>
      </c>
      <c r="O452" s="4">
        <f>IFERROR(M452/L452,0)</f>
        <v/>
      </c>
      <c r="P452" t="n">
        <v>459</v>
      </c>
      <c r="Q452" s="5" t="n">
        <v>1</v>
      </c>
      <c r="R452" s="7" t="n">
        <v>1</v>
      </c>
      <c r="S452">
        <f>IF(OR(N452&lt;$T$1*0.5,O452&lt;$U$1*0.5),"код для проверки","нормальный код")</f>
        <v/>
      </c>
      <c r="T452">
        <f>IF(N452&lt;$T$1*0.5,"Низшая четверть",IF(N452&lt;$T$1,"Вторая четверть","Больше половины"))</f>
        <v/>
      </c>
      <c r="U452">
        <f>IF(O452&lt;$U$1*0.5,"Низшая четверть",IF(O452&lt;$U$1,"Вторая четверть","Больше половины"))</f>
        <v/>
      </c>
      <c r="V452">
        <f>IF(OR(N452&lt;SUMIFS(L:L,R:R,1,E:E,E452)/SUMIFS(K:K,R:R,1,E:E,E452)*0.5,O452&lt;SUMIFS(M:M,R:R,1,E:E,E452)/SUMIFS(L:L,R:R,1,E:E,E452)*0.5),"код для проверки","нормальный код")</f>
        <v/>
      </c>
      <c r="W452">
        <f>IF(N452&lt;SUMIFS(L:L,R:R,1,E:E,E452)/SUMIFS(K:K,R:R,1,E:E,E452)*0.5,"Низшая четверть",IF(N452&lt;SUMIFS(L:L,R:R,1,E:E,E452)/SUMIFS(K:K,R:R,1,E:E,E452),"Вторая четверть","Больше половины"))</f>
        <v/>
      </c>
      <c r="X452">
        <f>IF(O452&lt;SUMIFS(M:M,R:R,1,E:E,E452)/SUMIFS(L:L,R:R,1,E:E,E452)*0.5,"Низшая четверть",IF(O452&lt;SUMIFS(M:M,R:R,1,E:E,E452)/SUMIFS(L:L,R:R,1,E:E,E452),"Вторая четверть","Больше половины"))</f>
        <v/>
      </c>
      <c r="Y452" t="n">
        <v>10</v>
      </c>
    </row>
    <row r="453">
      <c r="A453" s="1" t="inlineStr">
        <is>
          <t>18400030</t>
        </is>
      </c>
      <c r="B453" s="2" t="inlineStr">
        <is>
          <t>766389255</t>
        </is>
      </c>
      <c r="C453" s="3" t="inlineStr">
        <is>
          <t>Одежда и аксессуары</t>
        </is>
      </c>
      <c r="D453" s="2" t="inlineStr">
        <is>
          <t>Майки и платья женские</t>
        </is>
      </c>
      <c r="E453" s="3" t="inlineStr">
        <is>
          <t>184 Женская футболка</t>
        </is>
      </c>
      <c r="F453" s="2" t="inlineStr">
        <is>
          <t>всесезонный</t>
        </is>
      </c>
      <c r="G453" s="3" t="inlineStr">
        <is>
          <t>kari</t>
        </is>
      </c>
      <c r="H453" s="2" t="inlineStr">
        <is>
          <t>Зиннуров Ильнур</t>
        </is>
      </c>
      <c r="J453" s="3" t="inlineStr">
        <is>
          <t>2026SS</t>
        </is>
      </c>
      <c r="K453" s="3" t="n">
        <v>6933</v>
      </c>
      <c r="L453" s="3" t="n">
        <v>1407</v>
      </c>
      <c r="M453" s="3" t="n">
        <v>9</v>
      </c>
      <c r="N453" s="4">
        <f>IFERROR(L453/K453,0)</f>
        <v/>
      </c>
      <c r="O453" s="4">
        <f>IFERROR(M453/L453,0)</f>
        <v/>
      </c>
      <c r="P453" t="n">
        <v>244</v>
      </c>
      <c r="Q453" s="5" t="n">
        <v>1</v>
      </c>
      <c r="R453" s="7" t="n">
        <v>1</v>
      </c>
      <c r="S453">
        <f>IF(OR(N453&lt;$T$1*0.5,O453&lt;$U$1*0.5),"код для проверки","нормальный код")</f>
        <v/>
      </c>
      <c r="T453">
        <f>IF(N453&lt;$T$1*0.5,"Низшая четверть",IF(N453&lt;$T$1,"Вторая четверть","Больше половины"))</f>
        <v/>
      </c>
      <c r="U453">
        <f>IF(O453&lt;$U$1*0.5,"Низшая четверть",IF(O453&lt;$U$1,"Вторая четверть","Больше половины"))</f>
        <v/>
      </c>
      <c r="V453">
        <f>IF(OR(N453&lt;SUMIFS(L:L,R:R,1,E:E,E453)/SUMIFS(K:K,R:R,1,E:E,E453)*0.5,O453&lt;SUMIFS(M:M,R:R,1,E:E,E453)/SUMIFS(L:L,R:R,1,E:E,E453)*0.5),"код для проверки","нормальный код")</f>
        <v/>
      </c>
      <c r="W453">
        <f>IF(N453&lt;SUMIFS(L:L,R:R,1,E:E,E453)/SUMIFS(K:K,R:R,1,E:E,E453)*0.5,"Низшая четверть",IF(N453&lt;SUMIFS(L:L,R:R,1,E:E,E453)/SUMIFS(K:K,R:R,1,E:E,E453),"Вторая четверть","Больше половины"))</f>
        <v/>
      </c>
      <c r="X453">
        <f>IF(O453&lt;SUMIFS(M:M,R:R,1,E:E,E453)/SUMIFS(L:L,R:R,1,E:E,E453)*0.5,"Низшая четверть",IF(O453&lt;SUMIFS(M:M,R:R,1,E:E,E453)/SUMIFS(L:L,R:R,1,E:E,E453),"Вторая четверть","Больше половины"))</f>
        <v/>
      </c>
      <c r="Y453" t="n">
        <v>8</v>
      </c>
    </row>
    <row r="454">
      <c r="A454" s="1" t="inlineStr">
        <is>
          <t>07200720</t>
        </is>
      </c>
      <c r="B454" s="2" t="inlineStr">
        <is>
          <t>895955626</t>
        </is>
      </c>
      <c r="C454" s="3" t="inlineStr">
        <is>
          <t>Одежда и аксессуары</t>
        </is>
      </c>
      <c r="D454" s="2" t="inlineStr">
        <is>
          <t>Нижнее белье женское</t>
        </is>
      </c>
      <c r="E454" s="3" t="inlineStr">
        <is>
          <t>072 Трусы женские</t>
        </is>
      </c>
      <c r="F454" s="2" t="inlineStr">
        <is>
          <t>всесезонный</t>
        </is>
      </c>
      <c r="G454" s="3" t="inlineStr">
        <is>
          <t>kari</t>
        </is>
      </c>
      <c r="H454" s="2" t="inlineStr">
        <is>
          <t>Никонорова Алина</t>
        </is>
      </c>
      <c r="J454" s="3" t="inlineStr">
        <is>
          <t>2026SS</t>
        </is>
      </c>
      <c r="K454" s="3" t="n">
        <v>6881</v>
      </c>
      <c r="L454" s="3" t="n">
        <v>255</v>
      </c>
      <c r="M454" s="3" t="n">
        <v>0</v>
      </c>
      <c r="N454" s="4">
        <f>IFERROR(L454/K454,0)</f>
        <v/>
      </c>
      <c r="O454" s="4">
        <f>IFERROR(M454/L454,0)</f>
        <v/>
      </c>
      <c r="P454" t="n">
        <v>1648</v>
      </c>
      <c r="Q454" s="5" t="n">
        <v>1</v>
      </c>
      <c r="R454" s="7" t="n">
        <v>1</v>
      </c>
      <c r="S454">
        <f>IF(OR(N454&lt;$T$1*0.5,O454&lt;$U$1*0.5),"код для проверки","нормальный код")</f>
        <v/>
      </c>
      <c r="T454">
        <f>IF(N454&lt;$T$1*0.5,"Низшая четверть",IF(N454&lt;$T$1,"Вторая четверть","Больше половины"))</f>
        <v/>
      </c>
      <c r="U454">
        <f>IF(O454&lt;$U$1*0.5,"Низшая четверть",IF(O454&lt;$U$1,"Вторая четверть","Больше половины"))</f>
        <v/>
      </c>
      <c r="V454">
        <f>IF(OR(N454&lt;SUMIFS(L:L,R:R,1,E:E,E454)/SUMIFS(K:K,R:R,1,E:E,E454)*0.5,O454&lt;SUMIFS(M:M,R:R,1,E:E,E454)/SUMIFS(L:L,R:R,1,E:E,E454)*0.5),"код для проверки","нормальный код")</f>
        <v/>
      </c>
      <c r="W454">
        <f>IF(N454&lt;SUMIFS(L:L,R:R,1,E:E,E454)/SUMIFS(K:K,R:R,1,E:E,E454)*0.5,"Низшая четверть",IF(N454&lt;SUMIFS(L:L,R:R,1,E:E,E454)/SUMIFS(K:K,R:R,1,E:E,E454),"Вторая четверть","Больше половины"))</f>
        <v/>
      </c>
      <c r="X454">
        <f>IF(O454&lt;SUMIFS(M:M,R:R,1,E:E,E454)/SUMIFS(L:L,R:R,1,E:E,E454)*0.5,"Низшая четверть",IF(O454&lt;SUMIFS(M:M,R:R,1,E:E,E454)/SUMIFS(L:L,R:R,1,E:E,E454),"Вторая четверть","Больше половины"))</f>
        <v/>
      </c>
      <c r="Y454" t="n">
        <v>18</v>
      </c>
    </row>
    <row r="455">
      <c r="A455" s="1" t="inlineStr">
        <is>
          <t>094000O0</t>
        </is>
      </c>
      <c r="B455" s="2" t="inlineStr">
        <is>
          <t>710300656</t>
        </is>
      </c>
      <c r="C455" s="3" t="inlineStr">
        <is>
          <t>Одежда и аксессуары</t>
        </is>
      </c>
      <c r="D455" s="2" t="inlineStr">
        <is>
          <t>Купальники женские</t>
        </is>
      </c>
      <c r="E455" s="3" t="inlineStr">
        <is>
          <t>094 Купальник</t>
        </is>
      </c>
      <c r="F455" s="2" t="inlineStr">
        <is>
          <t>лето</t>
        </is>
      </c>
      <c r="G455" s="3" t="inlineStr">
        <is>
          <t>kari</t>
        </is>
      </c>
      <c r="H455" s="2" t="inlineStr">
        <is>
          <t>Никонорова Алина</t>
        </is>
      </c>
      <c r="J455" s="3" t="inlineStr">
        <is>
          <t>2026SS</t>
        </is>
      </c>
      <c r="K455" s="3" t="n">
        <v>6869</v>
      </c>
      <c r="L455" s="3" t="n">
        <v>4897</v>
      </c>
      <c r="M455" s="3" t="n">
        <v>53</v>
      </c>
      <c r="N455" s="4">
        <f>IFERROR(L455/K455,0)</f>
        <v/>
      </c>
      <c r="O455" s="4">
        <f>IFERROR(M455/L455,0)</f>
        <v/>
      </c>
      <c r="P455" t="n">
        <v>1395</v>
      </c>
      <c r="Q455" s="5" t="n">
        <v>0.6666666666666666</v>
      </c>
      <c r="R455" s="7" t="n">
        <v>1</v>
      </c>
      <c r="S455">
        <f>IF(OR(N455&lt;$T$1*0.5,O455&lt;$U$1*0.5),"код для проверки","нормальный код")</f>
        <v/>
      </c>
      <c r="T455">
        <f>IF(N455&lt;$T$1*0.5,"Низшая четверть",IF(N455&lt;$T$1,"Вторая четверть","Больше половины"))</f>
        <v/>
      </c>
      <c r="U455">
        <f>IF(O455&lt;$U$1*0.5,"Низшая четверть",IF(O455&lt;$U$1,"Вторая четверть","Больше половины"))</f>
        <v/>
      </c>
      <c r="V455">
        <f>IF(OR(N455&lt;SUMIFS(L:L,R:R,1,E:E,E455)/SUMIFS(K:K,R:R,1,E:E,E455)*0.5,O455&lt;SUMIFS(M:M,R:R,1,E:E,E455)/SUMIFS(L:L,R:R,1,E:E,E455)*0.5),"код для проверки","нормальный код")</f>
        <v/>
      </c>
      <c r="W455">
        <f>IF(N455&lt;SUMIFS(L:L,R:R,1,E:E,E455)/SUMIFS(K:K,R:R,1,E:E,E455)*0.5,"Низшая четверть",IF(N455&lt;SUMIFS(L:L,R:R,1,E:E,E455)/SUMIFS(K:K,R:R,1,E:E,E455),"Вторая четверть","Больше половины"))</f>
        <v/>
      </c>
      <c r="X455">
        <f>IF(O455&lt;SUMIFS(M:M,R:R,1,E:E,E455)/SUMIFS(L:L,R:R,1,E:E,E455)*0.5,"Низшая четверть",IF(O455&lt;SUMIFS(M:M,R:R,1,E:E,E455)/SUMIFS(L:L,R:R,1,E:E,E455),"Вторая четверть","Больше половины"))</f>
        <v/>
      </c>
      <c r="Y455" t="n">
        <v>28</v>
      </c>
    </row>
    <row r="456">
      <c r="A456" s="1" t="inlineStr">
        <is>
          <t>a6000420</t>
        </is>
      </c>
      <c r="B456" s="2" t="inlineStr">
        <is>
          <t>705939704</t>
        </is>
      </c>
      <c r="C456" s="3" t="inlineStr">
        <is>
          <t>Одежда для детей</t>
        </is>
      </c>
      <c r="D456" s="2" t="inlineStr">
        <is>
          <t>Платья, майки, футболки детские для девочек</t>
        </is>
      </c>
      <c r="E456" s="3" t="inlineStr">
        <is>
          <t>a60 Футболка детская для девочек</t>
        </is>
      </c>
      <c r="F456" s="2" t="inlineStr">
        <is>
          <t>всесезонный</t>
        </is>
      </c>
      <c r="G456" s="3" t="inlineStr">
        <is>
          <t>kari</t>
        </is>
      </c>
      <c r="H456" s="2" t="inlineStr">
        <is>
          <t>Зиннуров Ильнур</t>
        </is>
      </c>
      <c r="J456" s="3" t="inlineStr">
        <is>
          <t>2026SS</t>
        </is>
      </c>
      <c r="K456" s="3" t="n">
        <v>6847</v>
      </c>
      <c r="L456" s="3" t="n">
        <v>650</v>
      </c>
      <c r="M456" s="3" t="n">
        <v>5</v>
      </c>
      <c r="N456" s="4">
        <f>IFERROR(L456/K456,0)</f>
        <v/>
      </c>
      <c r="O456" s="4">
        <f>IFERROR(M456/L456,0)</f>
        <v/>
      </c>
      <c r="P456" t="n">
        <v>262</v>
      </c>
      <c r="Q456" s="5" t="n">
        <v>1</v>
      </c>
      <c r="R456" s="7" t="n">
        <v>1</v>
      </c>
      <c r="S456">
        <f>IF(OR(N456&lt;$T$1*0.5,O456&lt;$U$1*0.5),"код для проверки","нормальный код")</f>
        <v/>
      </c>
      <c r="T456">
        <f>IF(N456&lt;$T$1*0.5,"Низшая четверть",IF(N456&lt;$T$1,"Вторая четверть","Больше половины"))</f>
        <v/>
      </c>
      <c r="U456">
        <f>IF(O456&lt;$U$1*0.5,"Низшая четверть",IF(O456&lt;$U$1,"Вторая четверть","Больше половины"))</f>
        <v/>
      </c>
      <c r="V456">
        <f>IF(OR(N456&lt;SUMIFS(L:L,R:R,1,E:E,E456)/SUMIFS(K:K,R:R,1,E:E,E456)*0.5,O456&lt;SUMIFS(M:M,R:R,1,E:E,E456)/SUMIFS(L:L,R:R,1,E:E,E456)*0.5),"код для проверки","нормальный код")</f>
        <v/>
      </c>
      <c r="W456">
        <f>IF(N456&lt;SUMIFS(L:L,R:R,1,E:E,E456)/SUMIFS(K:K,R:R,1,E:E,E456)*0.5,"Низшая четверть",IF(N456&lt;SUMIFS(L:L,R:R,1,E:E,E456)/SUMIFS(K:K,R:R,1,E:E,E456),"Вторая четверть","Больше половины"))</f>
        <v/>
      </c>
      <c r="X456">
        <f>IF(O456&lt;SUMIFS(M:M,R:R,1,E:E,E456)/SUMIFS(L:L,R:R,1,E:E,E456)*0.5,"Низшая четверть",IF(O456&lt;SUMIFS(M:M,R:R,1,E:E,E456)/SUMIFS(L:L,R:R,1,E:E,E456),"Вторая четверть","Больше половины"))</f>
        <v/>
      </c>
      <c r="Y456" t="n">
        <v>16</v>
      </c>
    </row>
    <row r="457">
      <c r="A457" s="1" t="inlineStr">
        <is>
          <t>a6000300</t>
        </is>
      </c>
      <c r="B457" s="2" t="inlineStr">
        <is>
          <t>701976559</t>
        </is>
      </c>
      <c r="C457" s="3" t="inlineStr">
        <is>
          <t>Одежда для детей</t>
        </is>
      </c>
      <c r="D457" s="2" t="inlineStr">
        <is>
          <t>Платья, майки, футболки детские для девочек</t>
        </is>
      </c>
      <c r="E457" s="3" t="inlineStr">
        <is>
          <t>a60 Футболка детская для девочек</t>
        </is>
      </c>
      <c r="F457" s="2" t="inlineStr">
        <is>
          <t>всесезонный</t>
        </is>
      </c>
      <c r="G457" s="3" t="inlineStr">
        <is>
          <t>Kari KIDS</t>
        </is>
      </c>
      <c r="H457" s="2" t="inlineStr">
        <is>
          <t>Зиннуров Ильнур</t>
        </is>
      </c>
      <c r="J457" s="3" t="inlineStr">
        <is>
          <t>2026SS</t>
        </is>
      </c>
      <c r="K457" s="3" t="n">
        <v>6799</v>
      </c>
      <c r="L457" s="3" t="n">
        <v>425</v>
      </c>
      <c r="M457" s="3" t="n">
        <v>12</v>
      </c>
      <c r="N457" s="4">
        <f>IFERROR(L457/K457,0)</f>
        <v/>
      </c>
      <c r="O457" s="4">
        <f>IFERROR(M457/L457,0)</f>
        <v/>
      </c>
      <c r="P457" t="n">
        <v>974</v>
      </c>
      <c r="Q457" s="5" t="n">
        <v>1</v>
      </c>
      <c r="R457" s="7" t="n">
        <v>1</v>
      </c>
      <c r="S457">
        <f>IF(OR(N457&lt;$T$1*0.5,O457&lt;$U$1*0.5),"код для проверки","нормальный код")</f>
        <v/>
      </c>
      <c r="T457">
        <f>IF(N457&lt;$T$1*0.5,"Низшая четверть",IF(N457&lt;$T$1,"Вторая четверть","Больше половины"))</f>
        <v/>
      </c>
      <c r="U457">
        <f>IF(O457&lt;$U$1*0.5,"Низшая четверть",IF(O457&lt;$U$1,"Вторая четверть","Больше половины"))</f>
        <v/>
      </c>
      <c r="V457">
        <f>IF(OR(N457&lt;SUMIFS(L:L,R:R,1,E:E,E457)/SUMIFS(K:K,R:R,1,E:E,E457)*0.5,O457&lt;SUMIFS(M:M,R:R,1,E:E,E457)/SUMIFS(L:L,R:R,1,E:E,E457)*0.5),"код для проверки","нормальный код")</f>
        <v/>
      </c>
      <c r="W457">
        <f>IF(N457&lt;SUMIFS(L:L,R:R,1,E:E,E457)/SUMIFS(K:K,R:R,1,E:E,E457)*0.5,"Низшая четверть",IF(N457&lt;SUMIFS(L:L,R:R,1,E:E,E457)/SUMIFS(K:K,R:R,1,E:E,E457),"Вторая четверть","Больше половины"))</f>
        <v/>
      </c>
      <c r="X457">
        <f>IF(O457&lt;SUMIFS(M:M,R:R,1,E:E,E457)/SUMIFS(L:L,R:R,1,E:E,E457)*0.5,"Низшая четверть",IF(O457&lt;SUMIFS(M:M,R:R,1,E:E,E457)/SUMIFS(L:L,R:R,1,E:E,E457),"Вторая четверть","Больше половины"))</f>
        <v/>
      </c>
      <c r="Y457" t="n">
        <v>7</v>
      </c>
    </row>
    <row r="458">
      <c r="A458" s="1" t="inlineStr">
        <is>
          <t>18400040</t>
        </is>
      </c>
      <c r="B458" s="2" t="inlineStr">
        <is>
          <t>766389208</t>
        </is>
      </c>
      <c r="C458" s="3" t="inlineStr">
        <is>
          <t>Одежда и аксессуары</t>
        </is>
      </c>
      <c r="D458" s="2" t="inlineStr">
        <is>
          <t>Майки и платья женские</t>
        </is>
      </c>
      <c r="E458" s="3" t="inlineStr">
        <is>
          <t>184 Женская футболка</t>
        </is>
      </c>
      <c r="F458" s="2" t="inlineStr">
        <is>
          <t>всесезонный</t>
        </is>
      </c>
      <c r="G458" s="3" t="inlineStr">
        <is>
          <t>kari</t>
        </is>
      </c>
      <c r="H458" s="2" t="inlineStr">
        <is>
          <t>Зиннуров Ильнур</t>
        </is>
      </c>
      <c r="J458" s="3" t="inlineStr">
        <is>
          <t>2026SS</t>
        </is>
      </c>
      <c r="K458" s="3" t="n">
        <v>6788</v>
      </c>
      <c r="L458" s="3" t="n">
        <v>1084</v>
      </c>
      <c r="M458" s="3" t="n">
        <v>7</v>
      </c>
      <c r="N458" s="4">
        <f>IFERROR(L458/K458,0)</f>
        <v/>
      </c>
      <c r="O458" s="4">
        <f>IFERROR(M458/L458,0)</f>
        <v/>
      </c>
      <c r="P458" t="n">
        <v>536</v>
      </c>
      <c r="Q458" s="5" t="n">
        <v>1</v>
      </c>
      <c r="R458" s="7" t="n">
        <v>1</v>
      </c>
      <c r="S458">
        <f>IF(OR(N458&lt;$T$1*0.5,O458&lt;$U$1*0.5),"код для проверки","нормальный код")</f>
        <v/>
      </c>
      <c r="T458">
        <f>IF(N458&lt;$T$1*0.5,"Низшая четверть",IF(N458&lt;$T$1,"Вторая четверть","Больше половины"))</f>
        <v/>
      </c>
      <c r="U458">
        <f>IF(O458&lt;$U$1*0.5,"Низшая четверть",IF(O458&lt;$U$1,"Вторая четверть","Больше половины"))</f>
        <v/>
      </c>
      <c r="V458">
        <f>IF(OR(N458&lt;SUMIFS(L:L,R:R,1,E:E,E458)/SUMIFS(K:K,R:R,1,E:E,E458)*0.5,O458&lt;SUMIFS(M:M,R:R,1,E:E,E458)/SUMIFS(L:L,R:R,1,E:E,E458)*0.5),"код для проверки","нормальный код")</f>
        <v/>
      </c>
      <c r="W458">
        <f>IF(N458&lt;SUMIFS(L:L,R:R,1,E:E,E458)/SUMIFS(K:K,R:R,1,E:E,E458)*0.5,"Низшая четверть",IF(N458&lt;SUMIFS(L:L,R:R,1,E:E,E458)/SUMIFS(K:K,R:R,1,E:E,E458),"Вторая четверть","Больше половины"))</f>
        <v/>
      </c>
      <c r="X458">
        <f>IF(O458&lt;SUMIFS(M:M,R:R,1,E:E,E458)/SUMIFS(L:L,R:R,1,E:E,E458)*0.5,"Низшая четверть",IF(O458&lt;SUMIFS(M:M,R:R,1,E:E,E458)/SUMIFS(L:L,R:R,1,E:E,E458),"Вторая четверть","Больше половины"))</f>
        <v/>
      </c>
      <c r="Y458" t="n">
        <v>17</v>
      </c>
    </row>
    <row r="459">
      <c r="A459" s="1" t="inlineStr">
        <is>
          <t>a8500000</t>
        </is>
      </c>
      <c r="B459" s="2" t="inlineStr">
        <is>
          <t>722895434</t>
        </is>
      </c>
      <c r="C459" s="3" t="inlineStr">
        <is>
          <t>Одежда для детей</t>
        </is>
      </c>
      <c r="D459" s="2" t="inlineStr">
        <is>
          <t>Свитера детские для девочек</t>
        </is>
      </c>
      <c r="E459" s="3" t="inlineStr">
        <is>
          <t>a85 Толстовка-бомбер утепленная для девочек</t>
        </is>
      </c>
      <c r="F459" s="2" t="inlineStr">
        <is>
          <t>весна, осень, зима</t>
        </is>
      </c>
      <c r="G459" s="3" t="inlineStr">
        <is>
          <t>Kari KIDS</t>
        </is>
      </c>
      <c r="H459" s="2" t="inlineStr">
        <is>
          <t>Зиннуров Ильнур</t>
        </is>
      </c>
      <c r="J459" s="3" t="inlineStr">
        <is>
          <t>2026SS</t>
        </is>
      </c>
      <c r="K459" s="3" t="n">
        <v>6738</v>
      </c>
      <c r="L459" s="3" t="n">
        <v>1386</v>
      </c>
      <c r="M459" s="3" t="n">
        <v>9</v>
      </c>
      <c r="N459" s="4">
        <f>IFERROR(L459/K459,0)</f>
        <v/>
      </c>
      <c r="O459" s="4">
        <f>IFERROR(M459/L459,0)</f>
        <v/>
      </c>
      <c r="P459" t="n">
        <v>442</v>
      </c>
      <c r="Q459" s="5" t="n">
        <v>1</v>
      </c>
      <c r="R459" s="7" t="n">
        <v>1</v>
      </c>
      <c r="S459">
        <f>IF(OR(N459&lt;$T$1*0.5,O459&lt;$U$1*0.5),"код для проверки","нормальный код")</f>
        <v/>
      </c>
      <c r="T459">
        <f>IF(N459&lt;$T$1*0.5,"Низшая четверть",IF(N459&lt;$T$1,"Вторая четверть","Больше половины"))</f>
        <v/>
      </c>
      <c r="U459">
        <f>IF(O459&lt;$U$1*0.5,"Низшая четверть",IF(O459&lt;$U$1,"Вторая четверть","Больше половины"))</f>
        <v/>
      </c>
      <c r="V459">
        <f>IF(OR(N459&lt;SUMIFS(L:L,R:R,1,E:E,E459)/SUMIFS(K:K,R:R,1,E:E,E459)*0.5,O459&lt;SUMIFS(M:M,R:R,1,E:E,E459)/SUMIFS(L:L,R:R,1,E:E,E459)*0.5),"код для проверки","нормальный код")</f>
        <v/>
      </c>
      <c r="W459">
        <f>IF(N459&lt;SUMIFS(L:L,R:R,1,E:E,E459)/SUMIFS(K:K,R:R,1,E:E,E459)*0.5,"Низшая четверть",IF(N459&lt;SUMIFS(L:L,R:R,1,E:E,E459)/SUMIFS(K:K,R:R,1,E:E,E459),"Вторая четверть","Больше половины"))</f>
        <v/>
      </c>
      <c r="X459">
        <f>IF(O459&lt;SUMIFS(M:M,R:R,1,E:E,E459)/SUMIFS(L:L,R:R,1,E:E,E459)*0.5,"Низшая четверть",IF(O459&lt;SUMIFS(M:M,R:R,1,E:E,E459)/SUMIFS(L:L,R:R,1,E:E,E459),"Вторая четверть","Больше половины"))</f>
        <v/>
      </c>
      <c r="Y459" t="n">
        <v>20</v>
      </c>
    </row>
    <row r="460">
      <c r="A460" s="1" t="inlineStr">
        <is>
          <t>a6000410</t>
        </is>
      </c>
      <c r="B460" s="2" t="inlineStr">
        <is>
          <t>705939698</t>
        </is>
      </c>
      <c r="C460" s="3" t="inlineStr">
        <is>
          <t>Одежда для детей</t>
        </is>
      </c>
      <c r="D460" s="2" t="inlineStr">
        <is>
          <t>Платья, майки, футболки детские для девочек</t>
        </is>
      </c>
      <c r="E460" s="3" t="inlineStr">
        <is>
          <t>a60 Футболка детская для девочек</t>
        </is>
      </c>
      <c r="F460" s="2" t="inlineStr">
        <is>
          <t>всесезонный</t>
        </is>
      </c>
      <c r="G460" s="3" t="inlineStr">
        <is>
          <t>kari</t>
        </is>
      </c>
      <c r="H460" s="2" t="inlineStr">
        <is>
          <t>Зиннуров Ильнур</t>
        </is>
      </c>
      <c r="J460" s="3" t="inlineStr">
        <is>
          <t>2026SS</t>
        </is>
      </c>
      <c r="K460" s="3" t="n">
        <v>6674</v>
      </c>
      <c r="L460" s="3" t="n">
        <v>537</v>
      </c>
      <c r="M460" s="3" t="n">
        <v>8</v>
      </c>
      <c r="N460" s="4">
        <f>IFERROR(L460/K460,0)</f>
        <v/>
      </c>
      <c r="O460" s="4">
        <f>IFERROR(M460/L460,0)</f>
        <v/>
      </c>
      <c r="P460" t="n">
        <v>109</v>
      </c>
      <c r="Q460" s="5" t="n">
        <v>1</v>
      </c>
      <c r="R460" s="7" t="n">
        <v>1</v>
      </c>
      <c r="S460">
        <f>IF(OR(N460&lt;$T$1*0.5,O460&lt;$U$1*0.5),"код для проверки","нормальный код")</f>
        <v/>
      </c>
      <c r="T460">
        <f>IF(N460&lt;$T$1*0.5,"Низшая четверть",IF(N460&lt;$T$1,"Вторая четверть","Больше половины"))</f>
        <v/>
      </c>
      <c r="U460">
        <f>IF(O460&lt;$U$1*0.5,"Низшая четверть",IF(O460&lt;$U$1,"Вторая четверть","Больше половины"))</f>
        <v/>
      </c>
      <c r="V460">
        <f>IF(OR(N460&lt;SUMIFS(L:L,R:R,1,E:E,E460)/SUMIFS(K:K,R:R,1,E:E,E460)*0.5,O460&lt;SUMIFS(M:M,R:R,1,E:E,E460)/SUMIFS(L:L,R:R,1,E:E,E460)*0.5),"код для проверки","нормальный код")</f>
        <v/>
      </c>
      <c r="W460">
        <f>IF(N460&lt;SUMIFS(L:L,R:R,1,E:E,E460)/SUMIFS(K:K,R:R,1,E:E,E460)*0.5,"Низшая четверть",IF(N460&lt;SUMIFS(L:L,R:R,1,E:E,E460)/SUMIFS(K:K,R:R,1,E:E,E460),"Вторая четверть","Больше половины"))</f>
        <v/>
      </c>
      <c r="X460">
        <f>IF(O460&lt;SUMIFS(M:M,R:R,1,E:E,E460)/SUMIFS(L:L,R:R,1,E:E,E460)*0.5,"Низшая четверть",IF(O460&lt;SUMIFS(M:M,R:R,1,E:E,E460)/SUMIFS(L:L,R:R,1,E:E,E460),"Вторая четверть","Больше половины"))</f>
        <v/>
      </c>
      <c r="Y460" t="n">
        <v>19</v>
      </c>
    </row>
    <row r="461">
      <c r="A461" s="1" t="inlineStr">
        <is>
          <t>09400410</t>
        </is>
      </c>
      <c r="B461" s="2" t="inlineStr">
        <is>
          <t>831959616</t>
        </is>
      </c>
      <c r="C461" s="3" t="inlineStr">
        <is>
          <t>Одежда и аксессуары</t>
        </is>
      </c>
      <c r="D461" s="2" t="inlineStr">
        <is>
          <t>Купальники женские</t>
        </is>
      </c>
      <c r="E461" s="3" t="inlineStr">
        <is>
          <t>094 Купальник</t>
        </is>
      </c>
      <c r="F461" s="2" t="inlineStr">
        <is>
          <t>лето</t>
        </is>
      </c>
      <c r="G461" s="3" t="inlineStr">
        <is>
          <t>kari</t>
        </is>
      </c>
      <c r="H461" s="2" t="inlineStr">
        <is>
          <t>Никонорова Алина</t>
        </is>
      </c>
      <c r="J461" s="3" t="inlineStr">
        <is>
          <t>2026SS</t>
        </is>
      </c>
      <c r="K461" s="3" t="n">
        <v>6669</v>
      </c>
      <c r="L461" s="3" t="n">
        <v>5653</v>
      </c>
      <c r="M461" s="3" t="n">
        <v>64</v>
      </c>
      <c r="N461" s="4">
        <f>IFERROR(L461/K461,0)</f>
        <v/>
      </c>
      <c r="O461" s="4">
        <f>IFERROR(M461/L461,0)</f>
        <v/>
      </c>
      <c r="P461" t="n">
        <v>2654</v>
      </c>
      <c r="Q461" s="5" t="n">
        <v>0.7777777777777778</v>
      </c>
      <c r="R461" s="7" t="n">
        <v>1</v>
      </c>
      <c r="S461">
        <f>IF(OR(N461&lt;$T$1*0.5,O461&lt;$U$1*0.5),"код для проверки","нормальный код")</f>
        <v/>
      </c>
      <c r="T461">
        <f>IF(N461&lt;$T$1*0.5,"Низшая четверть",IF(N461&lt;$T$1,"Вторая четверть","Больше половины"))</f>
        <v/>
      </c>
      <c r="U461">
        <f>IF(O461&lt;$U$1*0.5,"Низшая четверть",IF(O461&lt;$U$1,"Вторая четверть","Больше половины"))</f>
        <v/>
      </c>
      <c r="V461">
        <f>IF(OR(N461&lt;SUMIFS(L:L,R:R,1,E:E,E461)/SUMIFS(K:K,R:R,1,E:E,E461)*0.5,O461&lt;SUMIFS(M:M,R:R,1,E:E,E461)/SUMIFS(L:L,R:R,1,E:E,E461)*0.5),"код для проверки","нормальный код")</f>
        <v/>
      </c>
      <c r="W461">
        <f>IF(N461&lt;SUMIFS(L:L,R:R,1,E:E,E461)/SUMIFS(K:K,R:R,1,E:E,E461)*0.5,"Низшая четверть",IF(N461&lt;SUMIFS(L:L,R:R,1,E:E,E461)/SUMIFS(K:K,R:R,1,E:E,E461),"Вторая четверть","Больше половины"))</f>
        <v/>
      </c>
      <c r="X461">
        <f>IF(O461&lt;SUMIFS(M:M,R:R,1,E:E,E461)/SUMIFS(L:L,R:R,1,E:E,E461)*0.5,"Низшая четверть",IF(O461&lt;SUMIFS(M:M,R:R,1,E:E,E461)/SUMIFS(L:L,R:R,1,E:E,E461),"Вторая четверть","Больше половины"))</f>
        <v/>
      </c>
      <c r="Y461" t="n">
        <v>22</v>
      </c>
    </row>
    <row r="462">
      <c r="A462" s="1" t="inlineStr">
        <is>
          <t>42400080</t>
        </is>
      </c>
      <c r="B462" s="2" t="inlineStr">
        <is>
          <t>706564143</t>
        </is>
      </c>
      <c r="C462" s="3" t="inlineStr">
        <is>
          <t>Одежда для детей</t>
        </is>
      </c>
      <c r="D462" s="2" t="inlineStr">
        <is>
          <t>Одежда для новорожденных</t>
        </is>
      </c>
      <c r="E462" s="3" t="inlineStr">
        <is>
          <t>424 Комбинезон для новорожденных утепленный</t>
        </is>
      </c>
      <c r="F462" s="2" t="inlineStr">
        <is>
          <t>весна, осень, зима</t>
        </is>
      </c>
      <c r="G462" s="3" t="inlineStr">
        <is>
          <t>Kari baby</t>
        </is>
      </c>
      <c r="H462" s="2" t="inlineStr">
        <is>
          <t>Зиннуров Ильнур</t>
        </is>
      </c>
      <c r="J462" s="3" t="inlineStr">
        <is>
          <t>2026SS</t>
        </is>
      </c>
      <c r="K462" s="3" t="n">
        <v>6645</v>
      </c>
      <c r="L462" s="3" t="n">
        <v>842</v>
      </c>
      <c r="M462" s="3" t="n">
        <v>11</v>
      </c>
      <c r="N462" s="4">
        <f>IFERROR(L462/K462,0)</f>
        <v/>
      </c>
      <c r="O462" s="4">
        <f>IFERROR(M462/L462,0)</f>
        <v/>
      </c>
      <c r="P462" t="n">
        <v>278</v>
      </c>
      <c r="Q462" s="5" t="n">
        <v>1</v>
      </c>
      <c r="R462" s="7" t="n">
        <v>1</v>
      </c>
      <c r="S462">
        <f>IF(OR(N462&lt;$T$1*0.5,O462&lt;$U$1*0.5),"код для проверки","нормальный код")</f>
        <v/>
      </c>
      <c r="T462">
        <f>IF(N462&lt;$T$1*0.5,"Низшая четверть",IF(N462&lt;$T$1,"Вторая четверть","Больше половины"))</f>
        <v/>
      </c>
      <c r="U462">
        <f>IF(O462&lt;$U$1*0.5,"Низшая четверть",IF(O462&lt;$U$1,"Вторая четверть","Больше половины"))</f>
        <v/>
      </c>
      <c r="V462">
        <f>IF(OR(N462&lt;SUMIFS(L:L,R:R,1,E:E,E462)/SUMIFS(K:K,R:R,1,E:E,E462)*0.5,O462&lt;SUMIFS(M:M,R:R,1,E:E,E462)/SUMIFS(L:L,R:R,1,E:E,E462)*0.5),"код для проверки","нормальный код")</f>
        <v/>
      </c>
      <c r="W462">
        <f>IF(N462&lt;SUMIFS(L:L,R:R,1,E:E,E462)/SUMIFS(K:K,R:R,1,E:E,E462)*0.5,"Низшая четверть",IF(N462&lt;SUMIFS(L:L,R:R,1,E:E,E462)/SUMIFS(K:K,R:R,1,E:E,E462),"Вторая четверть","Больше половины"))</f>
        <v/>
      </c>
      <c r="X462">
        <f>IF(O462&lt;SUMIFS(M:M,R:R,1,E:E,E462)/SUMIFS(L:L,R:R,1,E:E,E462)*0.5,"Низшая четверть",IF(O462&lt;SUMIFS(M:M,R:R,1,E:E,E462)/SUMIFS(L:L,R:R,1,E:E,E462),"Вторая четверть","Больше половины"))</f>
        <v/>
      </c>
      <c r="Y462" t="n">
        <v>22</v>
      </c>
    </row>
    <row r="463">
      <c r="A463" s="1" t="inlineStr">
        <is>
          <t>07200750</t>
        </is>
      </c>
      <c r="B463" s="2" t="inlineStr">
        <is>
          <t>895955627</t>
        </is>
      </c>
      <c r="C463" s="3" t="inlineStr">
        <is>
          <t>Одежда и аксессуары</t>
        </is>
      </c>
      <c r="D463" s="2" t="inlineStr">
        <is>
          <t>Нижнее белье женское</t>
        </is>
      </c>
      <c r="E463" s="3" t="inlineStr">
        <is>
          <t>072 Трусы женские</t>
        </is>
      </c>
      <c r="F463" s="2" t="inlineStr">
        <is>
          <t>всесезонный</t>
        </is>
      </c>
      <c r="G463" s="3" t="inlineStr">
        <is>
          <t>kari</t>
        </is>
      </c>
      <c r="H463" s="2" t="inlineStr">
        <is>
          <t>Никонорова Алина</t>
        </is>
      </c>
      <c r="J463" s="3" t="inlineStr">
        <is>
          <t>2026SS</t>
        </is>
      </c>
      <c r="K463" s="3" t="n">
        <v>6645</v>
      </c>
      <c r="L463" s="3" t="n">
        <v>536</v>
      </c>
      <c r="M463" s="3" t="n">
        <v>2</v>
      </c>
      <c r="N463" s="4">
        <f>IFERROR(L463/K463,0)</f>
        <v/>
      </c>
      <c r="O463" s="4">
        <f>IFERROR(M463/L463,0)</f>
        <v/>
      </c>
      <c r="P463" t="n">
        <v>1848</v>
      </c>
      <c r="Q463" s="5" t="n">
        <v>1</v>
      </c>
      <c r="R463" s="7" t="n">
        <v>1</v>
      </c>
      <c r="S463">
        <f>IF(OR(N463&lt;$T$1*0.5,O463&lt;$U$1*0.5),"код для проверки","нормальный код")</f>
        <v/>
      </c>
      <c r="T463">
        <f>IF(N463&lt;$T$1*0.5,"Низшая четверть",IF(N463&lt;$T$1,"Вторая четверть","Больше половины"))</f>
        <v/>
      </c>
      <c r="U463">
        <f>IF(O463&lt;$U$1*0.5,"Низшая четверть",IF(O463&lt;$U$1,"Вторая четверть","Больше половины"))</f>
        <v/>
      </c>
      <c r="V463">
        <f>IF(OR(N463&lt;SUMIFS(L:L,R:R,1,E:E,E463)/SUMIFS(K:K,R:R,1,E:E,E463)*0.5,O463&lt;SUMIFS(M:M,R:R,1,E:E,E463)/SUMIFS(L:L,R:R,1,E:E,E463)*0.5),"код для проверки","нормальный код")</f>
        <v/>
      </c>
      <c r="W463">
        <f>IF(N463&lt;SUMIFS(L:L,R:R,1,E:E,E463)/SUMIFS(K:K,R:R,1,E:E,E463)*0.5,"Низшая четверть",IF(N463&lt;SUMIFS(L:L,R:R,1,E:E,E463)/SUMIFS(K:K,R:R,1,E:E,E463),"Вторая четверть","Больше половины"))</f>
        <v/>
      </c>
      <c r="X463">
        <f>IF(O463&lt;SUMIFS(M:M,R:R,1,E:E,E463)/SUMIFS(L:L,R:R,1,E:E,E463)*0.5,"Низшая четверть",IF(O463&lt;SUMIFS(M:M,R:R,1,E:E,E463)/SUMIFS(L:L,R:R,1,E:E,E463),"Вторая четверть","Больше половины"))</f>
        <v/>
      </c>
      <c r="Y463" t="n">
        <v>21</v>
      </c>
    </row>
    <row r="464">
      <c r="A464" s="1" t="inlineStr">
        <is>
          <t>a8900020</t>
        </is>
      </c>
      <c r="B464" s="2" t="inlineStr">
        <is>
          <t>696912240</t>
        </is>
      </c>
      <c r="C464" s="3" t="inlineStr">
        <is>
          <t>Одежда для детей</t>
        </is>
      </c>
      <c r="D464" s="2" t="inlineStr">
        <is>
          <t>Свитера детские для девочек</t>
        </is>
      </c>
      <c r="E464" s="3" t="inlineStr">
        <is>
          <t>a89 Свитшот для девочки</t>
        </is>
      </c>
      <c r="F464" s="2" t="inlineStr">
        <is>
          <t>весна, лето, осень</t>
        </is>
      </c>
      <c r="G464" s="3" t="inlineStr">
        <is>
          <t>Kari KIDS</t>
        </is>
      </c>
      <c r="H464" s="2" t="inlineStr">
        <is>
          <t>Зиннуров Ильнур</t>
        </is>
      </c>
      <c r="J464" s="3" t="inlineStr">
        <is>
          <t>2026SS</t>
        </is>
      </c>
      <c r="K464" s="3" t="n">
        <v>6570</v>
      </c>
      <c r="L464" s="3" t="n">
        <v>296</v>
      </c>
      <c r="M464" s="3" t="n">
        <v>6</v>
      </c>
      <c r="N464" s="4">
        <f>IFERROR(L464/K464,0)</f>
        <v/>
      </c>
      <c r="O464" s="4">
        <f>IFERROR(M464/L464,0)</f>
        <v/>
      </c>
      <c r="P464" t="n">
        <v>286</v>
      </c>
      <c r="Q464" s="5" t="n">
        <v>1</v>
      </c>
      <c r="R464" s="7" t="n">
        <v>1</v>
      </c>
      <c r="S464">
        <f>IF(OR(N464&lt;$T$1*0.5,O464&lt;$U$1*0.5),"код для проверки","нормальный код")</f>
        <v/>
      </c>
      <c r="T464">
        <f>IF(N464&lt;$T$1*0.5,"Низшая четверть",IF(N464&lt;$T$1,"Вторая четверть","Больше половины"))</f>
        <v/>
      </c>
      <c r="U464">
        <f>IF(O464&lt;$U$1*0.5,"Низшая четверть",IF(O464&lt;$U$1,"Вторая четверть","Больше половины"))</f>
        <v/>
      </c>
      <c r="V464">
        <f>IF(OR(N464&lt;SUMIFS(L:L,R:R,1,E:E,E464)/SUMIFS(K:K,R:R,1,E:E,E464)*0.5,O464&lt;SUMIFS(M:M,R:R,1,E:E,E464)/SUMIFS(L:L,R:R,1,E:E,E464)*0.5),"код для проверки","нормальный код")</f>
        <v/>
      </c>
      <c r="W464">
        <f>IF(N464&lt;SUMIFS(L:L,R:R,1,E:E,E464)/SUMIFS(K:K,R:R,1,E:E,E464)*0.5,"Низшая четверть",IF(N464&lt;SUMIFS(L:L,R:R,1,E:E,E464)/SUMIFS(K:K,R:R,1,E:E,E464),"Вторая четверть","Больше половины"))</f>
        <v/>
      </c>
      <c r="X464">
        <f>IF(O464&lt;SUMIFS(M:M,R:R,1,E:E,E464)/SUMIFS(L:L,R:R,1,E:E,E464)*0.5,"Низшая четверть",IF(O464&lt;SUMIFS(M:M,R:R,1,E:E,E464)/SUMIFS(L:L,R:R,1,E:E,E464),"Вторая четверть","Больше половины"))</f>
        <v/>
      </c>
      <c r="Y464" t="n">
        <v>22</v>
      </c>
    </row>
    <row r="465">
      <c r="A465" s="1" t="inlineStr">
        <is>
          <t>11000080</t>
        </is>
      </c>
      <c r="B465" s="2" t="inlineStr">
        <is>
          <t>707522646</t>
        </is>
      </c>
      <c r="C465" s="3" t="inlineStr">
        <is>
          <t>Одежда и аксессуары</t>
        </is>
      </c>
      <c r="D465" s="2" t="inlineStr">
        <is>
          <t>Шарфы женские</t>
        </is>
      </c>
      <c r="E465" s="3" t="inlineStr">
        <is>
          <t>110 Платок женский</t>
        </is>
      </c>
      <c r="F465" s="2" t="inlineStr">
        <is>
          <t>демисезонный</t>
        </is>
      </c>
      <c r="G465" s="3" t="inlineStr">
        <is>
          <t>kari</t>
        </is>
      </c>
      <c r="H465" s="2" t="inlineStr">
        <is>
          <t>Никонорова Алина</t>
        </is>
      </c>
      <c r="J465" s="3" t="inlineStr">
        <is>
          <t>2026SS</t>
        </is>
      </c>
      <c r="K465" s="3" t="n">
        <v>6543</v>
      </c>
      <c r="L465" s="3" t="n">
        <v>3099</v>
      </c>
      <c r="M465" s="3" t="n">
        <v>68</v>
      </c>
      <c r="N465" s="4">
        <f>IFERROR(L465/K465,0)</f>
        <v/>
      </c>
      <c r="O465" s="4">
        <f>IFERROR(M465/L465,0)</f>
        <v/>
      </c>
      <c r="P465" t="n">
        <v>327</v>
      </c>
      <c r="Q465" s="5" t="n">
        <v>1</v>
      </c>
      <c r="R465" s="7" t="n">
        <v>1</v>
      </c>
      <c r="S465">
        <f>IF(OR(N465&lt;$T$1*0.5,O465&lt;$U$1*0.5),"код для проверки","нормальный код")</f>
        <v/>
      </c>
      <c r="T465">
        <f>IF(N465&lt;$T$1*0.5,"Низшая четверть",IF(N465&lt;$T$1,"Вторая четверть","Больше половины"))</f>
        <v/>
      </c>
      <c r="U465">
        <f>IF(O465&lt;$U$1*0.5,"Низшая четверть",IF(O465&lt;$U$1,"Вторая четверть","Больше половины"))</f>
        <v/>
      </c>
      <c r="V465">
        <f>IF(OR(N465&lt;SUMIFS(L:L,R:R,1,E:E,E465)/SUMIFS(K:K,R:R,1,E:E,E465)*0.5,O465&lt;SUMIFS(M:M,R:R,1,E:E,E465)/SUMIFS(L:L,R:R,1,E:E,E465)*0.5),"код для проверки","нормальный код")</f>
        <v/>
      </c>
      <c r="W465">
        <f>IF(N465&lt;SUMIFS(L:L,R:R,1,E:E,E465)/SUMIFS(K:K,R:R,1,E:E,E465)*0.5,"Низшая четверть",IF(N465&lt;SUMIFS(L:L,R:R,1,E:E,E465)/SUMIFS(K:K,R:R,1,E:E,E465),"Вторая четверть","Больше половины"))</f>
        <v/>
      </c>
      <c r="X465">
        <f>IF(O465&lt;SUMIFS(M:M,R:R,1,E:E,E465)/SUMIFS(L:L,R:R,1,E:E,E465)*0.5,"Низшая четверть",IF(O465&lt;SUMIFS(M:M,R:R,1,E:E,E465)/SUMIFS(L:L,R:R,1,E:E,E465),"Вторая четверть","Больше половины"))</f>
        <v/>
      </c>
      <c r="Y465" t="n">
        <v>10</v>
      </c>
    </row>
    <row r="466">
      <c r="A466" s="1" t="inlineStr">
        <is>
          <t>23100030</t>
        </is>
      </c>
      <c r="B466" s="2" t="inlineStr">
        <is>
          <t>694287422</t>
        </is>
      </c>
      <c r="C466" s="3" t="inlineStr">
        <is>
          <t>Одежда для детей</t>
        </is>
      </c>
      <c r="D466" s="2" t="inlineStr">
        <is>
          <t>Нижнее белье детское для девочек</t>
        </is>
      </c>
      <c r="E466" s="3" t="inlineStr">
        <is>
          <t>231 Пижама детская для девочек</t>
        </is>
      </c>
      <c r="F466" s="2" t="inlineStr">
        <is>
          <t>всесезонный</t>
        </is>
      </c>
      <c r="G466" s="3" t="inlineStr">
        <is>
          <t>Kari KIDS</t>
        </is>
      </c>
      <c r="H466" s="2" t="inlineStr">
        <is>
          <t>Зиннуров Ильнур</t>
        </is>
      </c>
      <c r="J466" s="3" t="inlineStr">
        <is>
          <t>2026SS</t>
        </is>
      </c>
      <c r="K466" s="3" t="n">
        <v>6466</v>
      </c>
      <c r="L466" s="3" t="n">
        <v>702</v>
      </c>
      <c r="M466" s="3" t="n">
        <v>13</v>
      </c>
      <c r="N466" s="4">
        <f>IFERROR(L466/K466,0)</f>
        <v/>
      </c>
      <c r="O466" s="4">
        <f>IFERROR(M466/L466,0)</f>
        <v/>
      </c>
      <c r="P466" t="n">
        <v>419</v>
      </c>
      <c r="Q466" s="5" t="n">
        <v>1</v>
      </c>
      <c r="R466" s="7" t="n">
        <v>1</v>
      </c>
      <c r="S466">
        <f>IF(OR(N466&lt;$T$1*0.5,O466&lt;$U$1*0.5),"код для проверки","нормальный код")</f>
        <v/>
      </c>
      <c r="T466">
        <f>IF(N466&lt;$T$1*0.5,"Низшая четверть",IF(N466&lt;$T$1,"Вторая четверть","Больше половины"))</f>
        <v/>
      </c>
      <c r="U466">
        <f>IF(O466&lt;$U$1*0.5,"Низшая четверть",IF(O466&lt;$U$1,"Вторая четверть","Больше половины"))</f>
        <v/>
      </c>
      <c r="V466">
        <f>IF(OR(N466&lt;SUMIFS(L:L,R:R,1,E:E,E466)/SUMIFS(K:K,R:R,1,E:E,E466)*0.5,O466&lt;SUMIFS(M:M,R:R,1,E:E,E466)/SUMIFS(L:L,R:R,1,E:E,E466)*0.5),"код для проверки","нормальный код")</f>
        <v/>
      </c>
      <c r="W466">
        <f>IF(N466&lt;SUMIFS(L:L,R:R,1,E:E,E466)/SUMIFS(K:K,R:R,1,E:E,E466)*0.5,"Низшая четверть",IF(N466&lt;SUMIFS(L:L,R:R,1,E:E,E466)/SUMIFS(K:K,R:R,1,E:E,E466),"Вторая четверть","Больше половины"))</f>
        <v/>
      </c>
      <c r="X466">
        <f>IF(O466&lt;SUMIFS(M:M,R:R,1,E:E,E466)/SUMIFS(L:L,R:R,1,E:E,E466)*0.5,"Низшая четверть",IF(O466&lt;SUMIFS(M:M,R:R,1,E:E,E466)/SUMIFS(L:L,R:R,1,E:E,E466),"Вторая четверть","Больше половины"))</f>
        <v/>
      </c>
      <c r="Y466" t="n">
        <v>28</v>
      </c>
    </row>
    <row r="467">
      <c r="A467" s="1" t="inlineStr">
        <is>
          <t>30400060</t>
        </is>
      </c>
      <c r="B467" s="2" t="inlineStr">
        <is>
          <t>734171318</t>
        </is>
      </c>
      <c r="C467" s="3" t="inlineStr">
        <is>
          <t>Одежда и аксессуары</t>
        </is>
      </c>
      <c r="D467" s="2" t="inlineStr">
        <is>
          <t>Майки и платья женские</t>
        </is>
      </c>
      <c r="E467" s="3" t="inlineStr">
        <is>
          <t>304 Юбка женская</t>
        </is>
      </c>
      <c r="F467" s="2" t="inlineStr">
        <is>
          <t>всесезонный</t>
        </is>
      </c>
      <c r="G467" s="3" t="inlineStr">
        <is>
          <t>kari</t>
        </is>
      </c>
      <c r="H467" s="2" t="inlineStr">
        <is>
          <t>Зиннуров Ильнур</t>
        </is>
      </c>
      <c r="J467" s="3" t="inlineStr">
        <is>
          <t>2026SS</t>
        </is>
      </c>
      <c r="K467" s="3" t="n">
        <v>6454</v>
      </c>
      <c r="L467" s="3" t="n">
        <v>746</v>
      </c>
      <c r="M467" s="3" t="n">
        <v>17</v>
      </c>
      <c r="N467" s="4">
        <f>IFERROR(L467/K467,0)</f>
        <v/>
      </c>
      <c r="O467" s="4">
        <f>IFERROR(M467/L467,0)</f>
        <v/>
      </c>
      <c r="P467" t="n">
        <v>329</v>
      </c>
      <c r="Q467" s="5" t="n">
        <v>1</v>
      </c>
      <c r="R467" s="7" t="n">
        <v>1</v>
      </c>
      <c r="S467">
        <f>IF(OR(N467&lt;$T$1*0.5,O467&lt;$U$1*0.5),"код для проверки","нормальный код")</f>
        <v/>
      </c>
      <c r="T467">
        <f>IF(N467&lt;$T$1*0.5,"Низшая четверть",IF(N467&lt;$T$1,"Вторая четверть","Больше половины"))</f>
        <v/>
      </c>
      <c r="U467">
        <f>IF(O467&lt;$U$1*0.5,"Низшая четверть",IF(O467&lt;$U$1,"Вторая четверть","Больше половины"))</f>
        <v/>
      </c>
      <c r="V467">
        <f>IF(OR(N467&lt;SUMIFS(L:L,R:R,1,E:E,E467)/SUMIFS(K:K,R:R,1,E:E,E467)*0.5,O467&lt;SUMIFS(M:M,R:R,1,E:E,E467)/SUMIFS(L:L,R:R,1,E:E,E467)*0.5),"код для проверки","нормальный код")</f>
        <v/>
      </c>
      <c r="W467">
        <f>IF(N467&lt;SUMIFS(L:L,R:R,1,E:E,E467)/SUMIFS(K:K,R:R,1,E:E,E467)*0.5,"Низшая четверть",IF(N467&lt;SUMIFS(L:L,R:R,1,E:E,E467)/SUMIFS(K:K,R:R,1,E:E,E467),"Вторая четверть","Больше половины"))</f>
        <v/>
      </c>
      <c r="X467">
        <f>IF(O467&lt;SUMIFS(M:M,R:R,1,E:E,E467)/SUMIFS(L:L,R:R,1,E:E,E467)*0.5,"Низшая четверть",IF(O467&lt;SUMIFS(M:M,R:R,1,E:E,E467)/SUMIFS(L:L,R:R,1,E:E,E467),"Вторая четверть","Больше половины"))</f>
        <v/>
      </c>
      <c r="Y467" t="n">
        <v>18</v>
      </c>
    </row>
    <row r="468">
      <c r="A468" s="1" t="inlineStr">
        <is>
          <t>a6000380</t>
        </is>
      </c>
      <c r="B468" s="2" t="inlineStr">
        <is>
          <t>715352561</t>
        </is>
      </c>
      <c r="C468" s="3" t="inlineStr">
        <is>
          <t>Одежда для детей</t>
        </is>
      </c>
      <c r="D468" s="2" t="inlineStr">
        <is>
          <t>Платья, майки, футболки детские для девочек</t>
        </is>
      </c>
      <c r="E468" s="3" t="inlineStr">
        <is>
          <t>a60 Футболка детская для девочек</t>
        </is>
      </c>
      <c r="F468" s="2" t="inlineStr">
        <is>
          <t>всесезонный</t>
        </is>
      </c>
      <c r="G468" s="3" t="inlineStr">
        <is>
          <t>Kari KIDS</t>
        </is>
      </c>
      <c r="H468" s="2" t="inlineStr">
        <is>
          <t>Зиннуров Ильнур</t>
        </is>
      </c>
      <c r="J468" s="3" t="inlineStr">
        <is>
          <t>2026SS</t>
        </is>
      </c>
      <c r="K468" s="3" t="n">
        <v>6442</v>
      </c>
      <c r="L468" s="3" t="n">
        <v>607</v>
      </c>
      <c r="M468" s="3" t="n">
        <v>14</v>
      </c>
      <c r="N468" s="4">
        <f>IFERROR(L468/K468,0)</f>
        <v/>
      </c>
      <c r="O468" s="4">
        <f>IFERROR(M468/L468,0)</f>
        <v/>
      </c>
      <c r="P468" t="n">
        <v>485</v>
      </c>
      <c r="Q468" s="5" t="n">
        <v>1</v>
      </c>
      <c r="R468" s="7" t="n">
        <v>1</v>
      </c>
      <c r="S468">
        <f>IF(OR(N468&lt;$T$1*0.5,O468&lt;$U$1*0.5),"код для проверки","нормальный код")</f>
        <v/>
      </c>
      <c r="T468">
        <f>IF(N468&lt;$T$1*0.5,"Низшая четверть",IF(N468&lt;$T$1,"Вторая четверть","Больше половины"))</f>
        <v/>
      </c>
      <c r="U468">
        <f>IF(O468&lt;$U$1*0.5,"Низшая четверть",IF(O468&lt;$U$1,"Вторая четверть","Больше половины"))</f>
        <v/>
      </c>
      <c r="V468">
        <f>IF(OR(N468&lt;SUMIFS(L:L,R:R,1,E:E,E468)/SUMIFS(K:K,R:R,1,E:E,E468)*0.5,O468&lt;SUMIFS(M:M,R:R,1,E:E,E468)/SUMIFS(L:L,R:R,1,E:E,E468)*0.5),"код для проверки","нормальный код")</f>
        <v/>
      </c>
      <c r="W468">
        <f>IF(N468&lt;SUMIFS(L:L,R:R,1,E:E,E468)/SUMIFS(K:K,R:R,1,E:E,E468)*0.5,"Низшая четверть",IF(N468&lt;SUMIFS(L:L,R:R,1,E:E,E468)/SUMIFS(K:K,R:R,1,E:E,E468),"Вторая четверть","Больше половины"))</f>
        <v/>
      </c>
      <c r="X468">
        <f>IF(O468&lt;SUMIFS(M:M,R:R,1,E:E,E468)/SUMIFS(L:L,R:R,1,E:E,E468)*0.5,"Низшая четверть",IF(O468&lt;SUMIFS(M:M,R:R,1,E:E,E468)/SUMIFS(L:L,R:R,1,E:E,E468),"Вторая четверть","Больше половины"))</f>
        <v/>
      </c>
      <c r="Y468" t="n">
        <v>8</v>
      </c>
    </row>
    <row r="469">
      <c r="A469" s="1" t="inlineStr">
        <is>
          <t>53000100</t>
        </is>
      </c>
      <c r="B469" s="2" t="inlineStr">
        <is>
          <t>820657731</t>
        </is>
      </c>
      <c r="C469" s="3" t="inlineStr">
        <is>
          <t>Одежда для детей</t>
        </is>
      </c>
      <c r="D469" s="2" t="inlineStr">
        <is>
          <t>Головные детские уборы для девочек</t>
        </is>
      </c>
      <c r="E469" s="3" t="inlineStr">
        <is>
          <t>530 Панама детская для девочек</t>
        </is>
      </c>
      <c r="F469" s="2" t="inlineStr">
        <is>
          <t>весна, лето</t>
        </is>
      </c>
      <c r="G469" s="3" t="inlineStr">
        <is>
          <t>kari</t>
        </is>
      </c>
      <c r="H469" s="2" t="inlineStr">
        <is>
          <t>Никонорова Алина</t>
        </is>
      </c>
      <c r="J469" s="3" t="inlineStr">
        <is>
          <t>2026SS</t>
        </is>
      </c>
      <c r="K469" s="3" t="n">
        <v>6413</v>
      </c>
      <c r="L469" s="3" t="n">
        <v>533</v>
      </c>
      <c r="M469" s="3" t="n">
        <v>19</v>
      </c>
      <c r="N469" s="4">
        <f>IFERROR(L469/K469,0)</f>
        <v/>
      </c>
      <c r="O469" s="4">
        <f>IFERROR(M469/L469,0)</f>
        <v/>
      </c>
      <c r="P469" t="n">
        <v>865</v>
      </c>
      <c r="Q469" s="5" t="n">
        <v>0.6666666666666666</v>
      </c>
      <c r="R469" s="7" t="n">
        <v>1</v>
      </c>
      <c r="S469">
        <f>IF(OR(N469&lt;$T$1*0.5,O469&lt;$U$1*0.5),"код для проверки","нормальный код")</f>
        <v/>
      </c>
      <c r="T469">
        <f>IF(N469&lt;$T$1*0.5,"Низшая четверть",IF(N469&lt;$T$1,"Вторая четверть","Больше половины"))</f>
        <v/>
      </c>
      <c r="U469">
        <f>IF(O469&lt;$U$1*0.5,"Низшая четверть",IF(O469&lt;$U$1,"Вторая четверть","Больше половины"))</f>
        <v/>
      </c>
      <c r="V469">
        <f>IF(OR(N469&lt;SUMIFS(L:L,R:R,1,E:E,E469)/SUMIFS(K:K,R:R,1,E:E,E469)*0.5,O469&lt;SUMIFS(M:M,R:R,1,E:E,E469)/SUMIFS(L:L,R:R,1,E:E,E469)*0.5),"код для проверки","нормальный код")</f>
        <v/>
      </c>
      <c r="W469">
        <f>IF(N469&lt;SUMIFS(L:L,R:R,1,E:E,E469)/SUMIFS(K:K,R:R,1,E:E,E469)*0.5,"Низшая четверть",IF(N469&lt;SUMIFS(L:L,R:R,1,E:E,E469)/SUMIFS(K:K,R:R,1,E:E,E469),"Вторая четверть","Больше половины"))</f>
        <v/>
      </c>
      <c r="X469">
        <f>IF(O469&lt;SUMIFS(M:M,R:R,1,E:E,E469)/SUMIFS(L:L,R:R,1,E:E,E469)*0.5,"Низшая четверть",IF(O469&lt;SUMIFS(M:M,R:R,1,E:E,E469)/SUMIFS(L:L,R:R,1,E:E,E469),"Вторая четверть","Больше половины"))</f>
        <v/>
      </c>
      <c r="Y469" t="n">
        <v>6</v>
      </c>
    </row>
    <row r="470">
      <c r="A470" s="1" t="inlineStr">
        <is>
          <t>a9000010</t>
        </is>
      </c>
      <c r="B470" s="2" t="inlineStr">
        <is>
          <t>711885754</t>
        </is>
      </c>
      <c r="C470" s="3" t="inlineStr">
        <is>
          <t>Одежда для детей</t>
        </is>
      </c>
      <c r="D470" s="2" t="inlineStr">
        <is>
          <t>Свитера детские для девочек</t>
        </is>
      </c>
      <c r="E470" s="3" t="inlineStr">
        <is>
          <t>a90 Свитшот  утепленный для девочки</t>
        </is>
      </c>
      <c r="F470" s="2" t="inlineStr">
        <is>
          <t>весна, осень, зима</t>
        </is>
      </c>
      <c r="G470" s="3" t="inlineStr">
        <is>
          <t>Kari KIDS</t>
        </is>
      </c>
      <c r="H470" s="2" t="inlineStr">
        <is>
          <t>Зиннуров Ильнур</t>
        </is>
      </c>
      <c r="J470" s="3" t="inlineStr">
        <is>
          <t>2026SS</t>
        </is>
      </c>
      <c r="K470" s="3" t="n">
        <v>6357</v>
      </c>
      <c r="L470" s="3" t="n">
        <v>236</v>
      </c>
      <c r="M470" s="3" t="n">
        <v>2</v>
      </c>
      <c r="N470" s="4">
        <f>IFERROR(L470/K470,0)</f>
        <v/>
      </c>
      <c r="O470" s="4">
        <f>IFERROR(M470/L470,0)</f>
        <v/>
      </c>
      <c r="P470" t="n">
        <v>444</v>
      </c>
      <c r="Q470" s="5" t="n">
        <v>1</v>
      </c>
      <c r="R470" s="7" t="n">
        <v>1</v>
      </c>
      <c r="S470">
        <f>IF(OR(N470&lt;$T$1*0.5,O470&lt;$U$1*0.5),"код для проверки","нормальный код")</f>
        <v/>
      </c>
      <c r="T470">
        <f>IF(N470&lt;$T$1*0.5,"Низшая четверть",IF(N470&lt;$T$1,"Вторая четверть","Больше половины"))</f>
        <v/>
      </c>
      <c r="U470">
        <f>IF(O470&lt;$U$1*0.5,"Низшая четверть",IF(O470&lt;$U$1,"Вторая четверть","Больше половины"))</f>
        <v/>
      </c>
      <c r="V470">
        <f>IF(OR(N470&lt;SUMIFS(L:L,R:R,1,E:E,E470)/SUMIFS(K:K,R:R,1,E:E,E470)*0.5,O470&lt;SUMIFS(M:M,R:R,1,E:E,E470)/SUMIFS(L:L,R:R,1,E:E,E470)*0.5),"код для проверки","нормальный код")</f>
        <v/>
      </c>
      <c r="W470">
        <f>IF(N470&lt;SUMIFS(L:L,R:R,1,E:E,E470)/SUMIFS(K:K,R:R,1,E:E,E470)*0.5,"Низшая четверть",IF(N470&lt;SUMIFS(L:L,R:R,1,E:E,E470)/SUMIFS(K:K,R:R,1,E:E,E470),"Вторая четверть","Больше половины"))</f>
        <v/>
      </c>
      <c r="X470">
        <f>IF(O470&lt;SUMIFS(M:M,R:R,1,E:E,E470)/SUMIFS(L:L,R:R,1,E:E,E470)*0.5,"Низшая четверть",IF(O470&lt;SUMIFS(M:M,R:R,1,E:E,E470)/SUMIFS(L:L,R:R,1,E:E,E470),"Вторая четверть","Больше половины"))</f>
        <v/>
      </c>
      <c r="Y470" t="n">
        <v>14</v>
      </c>
    </row>
    <row r="471">
      <c r="A471" s="1" t="inlineStr">
        <is>
          <t>09400900</t>
        </is>
      </c>
      <c r="B471" s="2" t="inlineStr">
        <is>
          <t>756548670</t>
        </is>
      </c>
      <c r="C471" s="3" t="inlineStr">
        <is>
          <t>Одежда и аксессуары</t>
        </is>
      </c>
      <c r="D471" s="2" t="inlineStr">
        <is>
          <t>Купальники женские</t>
        </is>
      </c>
      <c r="E471" s="3" t="inlineStr">
        <is>
          <t>094 Купальник</t>
        </is>
      </c>
      <c r="F471" s="2" t="inlineStr">
        <is>
          <t>лето</t>
        </is>
      </c>
      <c r="G471" s="3" t="inlineStr">
        <is>
          <t>kari</t>
        </is>
      </c>
      <c r="H471" s="2" t="inlineStr">
        <is>
          <t>Никонорова Алина</t>
        </is>
      </c>
      <c r="J471" s="3" t="inlineStr">
        <is>
          <t>2026SS</t>
        </is>
      </c>
      <c r="K471" s="3" t="n">
        <v>6355</v>
      </c>
      <c r="L471" s="3" t="n">
        <v>2095</v>
      </c>
      <c r="M471" s="3" t="n">
        <v>1</v>
      </c>
      <c r="N471" s="4">
        <f>IFERROR(L471/K471,0)</f>
        <v/>
      </c>
      <c r="O471" s="4">
        <f>IFERROR(M471/L471,0)</f>
        <v/>
      </c>
      <c r="P471" t="n">
        <v>1437</v>
      </c>
      <c r="Q471" s="5" t="n">
        <v>0.5555555555555556</v>
      </c>
      <c r="R471" s="7" t="n">
        <v>1</v>
      </c>
      <c r="S471">
        <f>IF(OR(N471&lt;$T$1*0.5,O471&lt;$U$1*0.5),"код для проверки","нормальный код")</f>
        <v/>
      </c>
      <c r="T471">
        <f>IF(N471&lt;$T$1*0.5,"Низшая четверть",IF(N471&lt;$T$1,"Вторая четверть","Больше половины"))</f>
        <v/>
      </c>
      <c r="U471">
        <f>IF(O471&lt;$U$1*0.5,"Низшая четверть",IF(O471&lt;$U$1,"Вторая четверть","Больше половины"))</f>
        <v/>
      </c>
      <c r="V471">
        <f>IF(OR(N471&lt;SUMIFS(L:L,R:R,1,E:E,E471)/SUMIFS(K:K,R:R,1,E:E,E471)*0.5,O471&lt;SUMIFS(M:M,R:R,1,E:E,E471)/SUMIFS(L:L,R:R,1,E:E,E471)*0.5),"код для проверки","нормальный код")</f>
        <v/>
      </c>
      <c r="W471">
        <f>IF(N471&lt;SUMIFS(L:L,R:R,1,E:E,E471)/SUMIFS(K:K,R:R,1,E:E,E471)*0.5,"Низшая четверть",IF(N471&lt;SUMIFS(L:L,R:R,1,E:E,E471)/SUMIFS(K:K,R:R,1,E:E,E471),"Вторая четверть","Больше половины"))</f>
        <v/>
      </c>
      <c r="X471">
        <f>IF(O471&lt;SUMIFS(M:M,R:R,1,E:E,E471)/SUMIFS(L:L,R:R,1,E:E,E471)*0.5,"Низшая четверть",IF(O471&lt;SUMIFS(M:M,R:R,1,E:E,E471)/SUMIFS(L:L,R:R,1,E:E,E471),"Вторая четверть","Больше половины"))</f>
        <v/>
      </c>
      <c r="Y471" t="n">
        <v>24</v>
      </c>
    </row>
    <row r="472">
      <c r="A472" s="1" t="inlineStr">
        <is>
          <t>95500400</t>
        </is>
      </c>
      <c r="B472" s="2" t="inlineStr">
        <is>
          <t>927140875</t>
        </is>
      </c>
      <c r="C472" s="3" t="inlineStr">
        <is>
          <t>Одежда для детей</t>
        </is>
      </c>
      <c r="D472" s="2" t="inlineStr">
        <is>
          <t>Платья, майки, футболки детские для девочек</t>
        </is>
      </c>
      <c r="E472" s="3" t="inlineStr">
        <is>
          <t>955 Топ детский для девочек</t>
        </is>
      </c>
      <c r="F472" s="2" t="inlineStr">
        <is>
          <t>лето</t>
        </is>
      </c>
      <c r="G472" s="3" t="inlineStr">
        <is>
          <t>kari</t>
        </is>
      </c>
      <c r="H472" s="2" t="inlineStr">
        <is>
          <t>Зиннуров Ильнур</t>
        </is>
      </c>
      <c r="J472" s="3" t="inlineStr">
        <is>
          <t>2026SS</t>
        </is>
      </c>
      <c r="K472" s="3" t="n">
        <v>6348</v>
      </c>
      <c r="L472" s="3" t="n">
        <v>677</v>
      </c>
      <c r="M472" s="3" t="n">
        <v>15</v>
      </c>
      <c r="N472" s="4">
        <f>IFERROR(L472/K472,0)</f>
        <v/>
      </c>
      <c r="O472" s="4">
        <f>IFERROR(M472/L472,0)</f>
        <v/>
      </c>
      <c r="P472" t="n">
        <v>736</v>
      </c>
      <c r="Q472" s="5" t="n">
        <v>1</v>
      </c>
      <c r="R472" s="7" t="n">
        <v>1</v>
      </c>
      <c r="S472">
        <f>IF(OR(N472&lt;$T$1*0.5,O472&lt;$U$1*0.5),"код для проверки","нормальный код")</f>
        <v/>
      </c>
      <c r="T472">
        <f>IF(N472&lt;$T$1*0.5,"Низшая четверть",IF(N472&lt;$T$1,"Вторая четверть","Больше половины"))</f>
        <v/>
      </c>
      <c r="U472">
        <f>IF(O472&lt;$U$1*0.5,"Низшая четверть",IF(O472&lt;$U$1,"Вторая четверть","Больше половины"))</f>
        <v/>
      </c>
      <c r="V472">
        <f>IF(OR(N472&lt;SUMIFS(L:L,R:R,1,E:E,E472)/SUMIFS(K:K,R:R,1,E:E,E472)*0.5,O472&lt;SUMIFS(M:M,R:R,1,E:E,E472)/SUMIFS(L:L,R:R,1,E:E,E472)*0.5),"код для проверки","нормальный код")</f>
        <v/>
      </c>
      <c r="W472">
        <f>IF(N472&lt;SUMIFS(L:L,R:R,1,E:E,E472)/SUMIFS(K:K,R:R,1,E:E,E472)*0.5,"Низшая четверть",IF(N472&lt;SUMIFS(L:L,R:R,1,E:E,E472)/SUMIFS(K:K,R:R,1,E:E,E472),"Вторая четверть","Больше половины"))</f>
        <v/>
      </c>
      <c r="X472">
        <f>IF(O472&lt;SUMIFS(M:M,R:R,1,E:E,E472)/SUMIFS(L:L,R:R,1,E:E,E472)*0.5,"Низшая четверть",IF(O472&lt;SUMIFS(M:M,R:R,1,E:E,E472)/SUMIFS(L:L,R:R,1,E:E,E472),"Вторая четверть","Больше половины"))</f>
        <v/>
      </c>
      <c r="Y472" t="n">
        <v>8</v>
      </c>
    </row>
    <row r="473">
      <c r="A473" s="1" t="inlineStr">
        <is>
          <t>11008170</t>
        </is>
      </c>
      <c r="B473" s="2" t="inlineStr">
        <is>
          <t>373110974</t>
        </is>
      </c>
      <c r="C473" s="3" t="inlineStr">
        <is>
          <t>Одежда и аксессуары</t>
        </is>
      </c>
      <c r="D473" s="2" t="inlineStr">
        <is>
          <t>Шарфы женские</t>
        </is>
      </c>
      <c r="E473" s="3" t="inlineStr">
        <is>
          <t>110 Платок женский</t>
        </is>
      </c>
      <c r="F473" s="2" t="inlineStr">
        <is>
          <t>демисезонный</t>
        </is>
      </c>
      <c r="G473" s="3" t="inlineStr">
        <is>
          <t>kari</t>
        </is>
      </c>
      <c r="H473" s="2" t="inlineStr">
        <is>
          <t>Никонорова Алина</t>
        </is>
      </c>
      <c r="J473" s="3" t="inlineStr">
        <is>
          <t>2026SS</t>
        </is>
      </c>
      <c r="K473" s="3" t="n">
        <v>6322</v>
      </c>
      <c r="L473" s="3" t="n">
        <v>4093</v>
      </c>
      <c r="M473" s="3" t="n">
        <v>37</v>
      </c>
      <c r="N473" s="4">
        <f>IFERROR(L473/K473,0)</f>
        <v/>
      </c>
      <c r="O473" s="4">
        <f>IFERROR(M473/L473,0)</f>
        <v/>
      </c>
      <c r="P473" t="n">
        <v>583</v>
      </c>
      <c r="Q473" s="5" t="n">
        <v>1</v>
      </c>
      <c r="R473" s="7" t="n">
        <v>1</v>
      </c>
      <c r="S473">
        <f>IF(OR(N473&lt;$T$1*0.5,O473&lt;$U$1*0.5),"код для проверки","нормальный код")</f>
        <v/>
      </c>
      <c r="T473">
        <f>IF(N473&lt;$T$1*0.5,"Низшая четверть",IF(N473&lt;$T$1,"Вторая четверть","Больше половины"))</f>
        <v/>
      </c>
      <c r="U473">
        <f>IF(O473&lt;$U$1*0.5,"Низшая четверть",IF(O473&lt;$U$1,"Вторая четверть","Больше половины"))</f>
        <v/>
      </c>
      <c r="V473">
        <f>IF(OR(N473&lt;SUMIFS(L:L,R:R,1,E:E,E473)/SUMIFS(K:K,R:R,1,E:E,E473)*0.5,O473&lt;SUMIFS(M:M,R:R,1,E:E,E473)/SUMIFS(L:L,R:R,1,E:E,E473)*0.5),"код для проверки","нормальный код")</f>
        <v/>
      </c>
      <c r="W473">
        <f>IF(N473&lt;SUMIFS(L:L,R:R,1,E:E,E473)/SUMIFS(K:K,R:R,1,E:E,E473)*0.5,"Низшая четверть",IF(N473&lt;SUMIFS(L:L,R:R,1,E:E,E473)/SUMIFS(K:K,R:R,1,E:E,E473),"Вторая четверть","Больше половины"))</f>
        <v/>
      </c>
      <c r="X473">
        <f>IF(O473&lt;SUMIFS(M:M,R:R,1,E:E,E473)/SUMIFS(L:L,R:R,1,E:E,E473)*0.5,"Низшая четверть",IF(O473&lt;SUMIFS(M:M,R:R,1,E:E,E473)/SUMIFS(L:L,R:R,1,E:E,E473),"Вторая четверть","Больше половины"))</f>
        <v/>
      </c>
      <c r="Y473" t="n">
        <v>13</v>
      </c>
    </row>
    <row r="474">
      <c r="A474" s="1" t="inlineStr">
        <is>
          <t>29000040</t>
        </is>
      </c>
      <c r="B474" s="2" t="inlineStr">
        <is>
          <t>698694867</t>
        </is>
      </c>
      <c r="C474" s="3" t="inlineStr">
        <is>
          <t>Одежда для детей</t>
        </is>
      </c>
      <c r="D474" s="2" t="inlineStr">
        <is>
          <t>Брюки детские для девочек</t>
        </is>
      </c>
      <c r="E474" s="3" t="inlineStr">
        <is>
          <t>290 Штаны детские для девочек</t>
        </is>
      </c>
      <c r="F474" s="2" t="inlineStr">
        <is>
          <t>всесезонный</t>
        </is>
      </c>
      <c r="G474" s="3" t="inlineStr">
        <is>
          <t>Kari KIDS</t>
        </is>
      </c>
      <c r="H474" s="2" t="inlineStr">
        <is>
          <t>Зиннуров Ильнур</t>
        </is>
      </c>
      <c r="J474" s="3" t="inlineStr">
        <is>
          <t>2026SS</t>
        </is>
      </c>
      <c r="K474" s="3" t="n">
        <v>6293</v>
      </c>
      <c r="L474" s="3" t="n">
        <v>827</v>
      </c>
      <c r="M474" s="3" t="n">
        <v>27</v>
      </c>
      <c r="N474" s="4">
        <f>IFERROR(L474/K474,0)</f>
        <v/>
      </c>
      <c r="O474" s="4">
        <f>IFERROR(M474/L474,0)</f>
        <v/>
      </c>
      <c r="P474" t="n">
        <v>534</v>
      </c>
      <c r="Q474" s="5" t="n">
        <v>1</v>
      </c>
      <c r="R474" s="7" t="n">
        <v>1</v>
      </c>
      <c r="S474">
        <f>IF(OR(N474&lt;$T$1*0.5,O474&lt;$U$1*0.5),"код для проверки","нормальный код")</f>
        <v/>
      </c>
      <c r="T474">
        <f>IF(N474&lt;$T$1*0.5,"Низшая четверть",IF(N474&lt;$T$1,"Вторая четверть","Больше половины"))</f>
        <v/>
      </c>
      <c r="U474">
        <f>IF(O474&lt;$U$1*0.5,"Низшая четверть",IF(O474&lt;$U$1,"Вторая четверть","Больше половины"))</f>
        <v/>
      </c>
      <c r="V474">
        <f>IF(OR(N474&lt;SUMIFS(L:L,R:R,1,E:E,E474)/SUMIFS(K:K,R:R,1,E:E,E474)*0.5,O474&lt;SUMIFS(M:M,R:R,1,E:E,E474)/SUMIFS(L:L,R:R,1,E:E,E474)*0.5),"код для проверки","нормальный код")</f>
        <v/>
      </c>
      <c r="W474">
        <f>IF(N474&lt;SUMIFS(L:L,R:R,1,E:E,E474)/SUMIFS(K:K,R:R,1,E:E,E474)*0.5,"Низшая четверть",IF(N474&lt;SUMIFS(L:L,R:R,1,E:E,E474)/SUMIFS(K:K,R:R,1,E:E,E474),"Вторая четверть","Больше половины"))</f>
        <v/>
      </c>
      <c r="X474">
        <f>IF(O474&lt;SUMIFS(M:M,R:R,1,E:E,E474)/SUMIFS(L:L,R:R,1,E:E,E474)*0.5,"Низшая четверть",IF(O474&lt;SUMIFS(M:M,R:R,1,E:E,E474)/SUMIFS(L:L,R:R,1,E:E,E474),"Вторая четверть","Больше половины"))</f>
        <v/>
      </c>
      <c r="Y474" t="n">
        <v>17</v>
      </c>
    </row>
    <row r="475">
      <c r="A475" s="1" t="inlineStr">
        <is>
          <t>39300620</t>
        </is>
      </c>
      <c r="B475" s="2" t="inlineStr">
        <is>
          <t>697334191</t>
        </is>
      </c>
      <c r="C475" s="3" t="inlineStr">
        <is>
          <t>Одежда для детей</t>
        </is>
      </c>
      <c r="D475" s="2" t="inlineStr">
        <is>
          <t>Чулочные и носочные детские изделия для девочек</t>
        </is>
      </c>
      <c r="E475" s="3" t="inlineStr">
        <is>
          <t>393 Детские легинсы</t>
        </is>
      </c>
      <c r="F475" s="2" t="inlineStr">
        <is>
          <t>всесезонный</t>
        </is>
      </c>
      <c r="G475" s="3" t="inlineStr">
        <is>
          <t>Kari KIDS</t>
        </is>
      </c>
      <c r="H475" s="2" t="inlineStr">
        <is>
          <t>Зиннуров Ильнур</t>
        </is>
      </c>
      <c r="J475" s="3" t="inlineStr">
        <is>
          <t>2026SS</t>
        </is>
      </c>
      <c r="K475" s="3" t="n">
        <v>6282</v>
      </c>
      <c r="L475" s="3" t="n">
        <v>1249</v>
      </c>
      <c r="M475" s="3" t="n">
        <v>15</v>
      </c>
      <c r="N475" s="4">
        <f>IFERROR(L475/K475,0)</f>
        <v/>
      </c>
      <c r="O475" s="4">
        <f>IFERROR(M475/L475,0)</f>
        <v/>
      </c>
      <c r="P475" t="n">
        <v>302</v>
      </c>
      <c r="Q475" s="5" t="n">
        <v>1</v>
      </c>
      <c r="R475" s="7" t="n">
        <v>1</v>
      </c>
      <c r="S475">
        <f>IF(OR(N475&lt;$T$1*0.5,O475&lt;$U$1*0.5),"код для проверки","нормальный код")</f>
        <v/>
      </c>
      <c r="T475">
        <f>IF(N475&lt;$T$1*0.5,"Низшая четверть",IF(N475&lt;$T$1,"Вторая четверть","Больше половины"))</f>
        <v/>
      </c>
      <c r="U475">
        <f>IF(O475&lt;$U$1*0.5,"Низшая четверть",IF(O475&lt;$U$1,"Вторая четверть","Больше половины"))</f>
        <v/>
      </c>
      <c r="V475">
        <f>IF(OR(N475&lt;SUMIFS(L:L,R:R,1,E:E,E475)/SUMIFS(K:K,R:R,1,E:E,E475)*0.5,O475&lt;SUMIFS(M:M,R:R,1,E:E,E475)/SUMIFS(L:L,R:R,1,E:E,E475)*0.5),"код для проверки","нормальный код")</f>
        <v/>
      </c>
      <c r="W475">
        <f>IF(N475&lt;SUMIFS(L:L,R:R,1,E:E,E475)/SUMIFS(K:K,R:R,1,E:E,E475)*0.5,"Низшая четверть",IF(N475&lt;SUMIFS(L:L,R:R,1,E:E,E475)/SUMIFS(K:K,R:R,1,E:E,E475),"Вторая четверть","Больше половины"))</f>
        <v/>
      </c>
      <c r="X475">
        <f>IF(O475&lt;SUMIFS(M:M,R:R,1,E:E,E475)/SUMIFS(L:L,R:R,1,E:E,E475)*0.5,"Низшая четверть",IF(O475&lt;SUMIFS(M:M,R:R,1,E:E,E475)/SUMIFS(L:L,R:R,1,E:E,E475),"Вторая четверть","Больше половины"))</f>
        <v/>
      </c>
      <c r="Y475" t="n">
        <v>12</v>
      </c>
    </row>
    <row r="476">
      <c r="A476" s="1" t="inlineStr">
        <is>
          <t>44800030</t>
        </is>
      </c>
      <c r="B476" s="2" t="inlineStr">
        <is>
          <t>698694831</t>
        </is>
      </c>
      <c r="C476" s="3" t="inlineStr">
        <is>
          <t>Одежда для детей</t>
        </is>
      </c>
      <c r="D476" s="2" t="inlineStr">
        <is>
          <t>Брюки детские для девочек</t>
        </is>
      </c>
      <c r="E476" s="3" t="inlineStr">
        <is>
          <t>448 Брюки спортивные утепленные для девочек</t>
        </is>
      </c>
      <c r="F476" s="2" t="inlineStr">
        <is>
          <t>весна, осень, зима</t>
        </is>
      </c>
      <c r="G476" s="3" t="inlineStr">
        <is>
          <t>Kari KIDS</t>
        </is>
      </c>
      <c r="H476" s="2" t="inlineStr">
        <is>
          <t>Зиннуров Ильнур</t>
        </is>
      </c>
      <c r="J476" s="3" t="inlineStr">
        <is>
          <t>2026SS</t>
        </is>
      </c>
      <c r="K476" s="3" t="n">
        <v>6280</v>
      </c>
      <c r="L476" s="3" t="n">
        <v>1029</v>
      </c>
      <c r="M476" s="3" t="n">
        <v>9</v>
      </c>
      <c r="N476" s="4">
        <f>IFERROR(L476/K476,0)</f>
        <v/>
      </c>
      <c r="O476" s="4">
        <f>IFERROR(M476/L476,0)</f>
        <v/>
      </c>
      <c r="P476" t="n">
        <v>230</v>
      </c>
      <c r="Q476" s="5" t="n">
        <v>1</v>
      </c>
      <c r="R476" s="7" t="n">
        <v>1</v>
      </c>
      <c r="S476">
        <f>IF(OR(N476&lt;$T$1*0.5,O476&lt;$U$1*0.5),"код для проверки","нормальный код")</f>
        <v/>
      </c>
      <c r="T476">
        <f>IF(N476&lt;$T$1*0.5,"Низшая четверть",IF(N476&lt;$T$1,"Вторая четверть","Больше половины"))</f>
        <v/>
      </c>
      <c r="U476">
        <f>IF(O476&lt;$U$1*0.5,"Низшая четверть",IF(O476&lt;$U$1,"Вторая четверть","Больше половины"))</f>
        <v/>
      </c>
      <c r="V476">
        <f>IF(OR(N476&lt;SUMIFS(L:L,R:R,1,E:E,E476)/SUMIFS(K:K,R:R,1,E:E,E476)*0.5,O476&lt;SUMIFS(M:M,R:R,1,E:E,E476)/SUMIFS(L:L,R:R,1,E:E,E476)*0.5),"код для проверки","нормальный код")</f>
        <v/>
      </c>
      <c r="W476">
        <f>IF(N476&lt;SUMIFS(L:L,R:R,1,E:E,E476)/SUMIFS(K:K,R:R,1,E:E,E476)*0.5,"Низшая четверть",IF(N476&lt;SUMIFS(L:L,R:R,1,E:E,E476)/SUMIFS(K:K,R:R,1,E:E,E476),"Вторая четверть","Больше половины"))</f>
        <v/>
      </c>
      <c r="X476">
        <f>IF(O476&lt;SUMIFS(M:M,R:R,1,E:E,E476)/SUMIFS(L:L,R:R,1,E:E,E476)*0.5,"Низшая четверть",IF(O476&lt;SUMIFS(M:M,R:R,1,E:E,E476)/SUMIFS(L:L,R:R,1,E:E,E476),"Вторая четверть","Больше половины"))</f>
        <v/>
      </c>
      <c r="Y476" t="n">
        <v>6</v>
      </c>
    </row>
    <row r="477">
      <c r="A477" s="1" t="inlineStr">
        <is>
          <t>16800190</t>
        </is>
      </c>
      <c r="B477" s="2" t="inlineStr">
        <is>
          <t>766703883</t>
        </is>
      </c>
      <c r="C477" s="3" t="inlineStr">
        <is>
          <t>Одежда и аксессуары</t>
        </is>
      </c>
      <c r="D477" s="2" t="inlineStr">
        <is>
          <t>Головные уборы женские</t>
        </is>
      </c>
      <c r="E477" s="3" t="inlineStr">
        <is>
          <t>168 Шляпа женская летняя</t>
        </is>
      </c>
      <c r="F477" s="2" t="inlineStr">
        <is>
          <t>лето</t>
        </is>
      </c>
      <c r="G477" s="3" t="inlineStr">
        <is>
          <t>kari</t>
        </is>
      </c>
      <c r="H477" s="2" t="inlineStr">
        <is>
          <t>Никонорова Алина</t>
        </is>
      </c>
      <c r="J477" s="3" t="inlineStr">
        <is>
          <t>2026SS</t>
        </is>
      </c>
      <c r="K477" s="3" t="n">
        <v>6277</v>
      </c>
      <c r="L477" s="3" t="n">
        <v>437</v>
      </c>
      <c r="M477" s="3" t="n">
        <v>11</v>
      </c>
      <c r="N477" s="4">
        <f>IFERROR(L477/K477,0)</f>
        <v/>
      </c>
      <c r="O477" s="4">
        <f>IFERROR(M477/L477,0)</f>
        <v/>
      </c>
      <c r="P477" t="n">
        <v>3028</v>
      </c>
      <c r="Q477" s="5" t="n">
        <v>1</v>
      </c>
      <c r="R477" s="7" t="n">
        <v>1</v>
      </c>
      <c r="S477">
        <f>IF(OR(N477&lt;$T$1*0.5,O477&lt;$U$1*0.5),"код для проверки","нормальный код")</f>
        <v/>
      </c>
      <c r="T477">
        <f>IF(N477&lt;$T$1*0.5,"Низшая четверть",IF(N477&lt;$T$1,"Вторая четверть","Больше половины"))</f>
        <v/>
      </c>
      <c r="U477">
        <f>IF(O477&lt;$U$1*0.5,"Низшая четверть",IF(O477&lt;$U$1,"Вторая четверть","Больше половины"))</f>
        <v/>
      </c>
      <c r="V477">
        <f>IF(OR(N477&lt;SUMIFS(L:L,R:R,1,E:E,E477)/SUMIFS(K:K,R:R,1,E:E,E477)*0.5,O477&lt;SUMIFS(M:M,R:R,1,E:E,E477)/SUMIFS(L:L,R:R,1,E:E,E477)*0.5),"код для проверки","нормальный код")</f>
        <v/>
      </c>
      <c r="W477">
        <f>IF(N477&lt;SUMIFS(L:L,R:R,1,E:E,E477)/SUMIFS(K:K,R:R,1,E:E,E477)*0.5,"Низшая четверть",IF(N477&lt;SUMIFS(L:L,R:R,1,E:E,E477)/SUMIFS(K:K,R:R,1,E:E,E477),"Вторая четверть","Больше половины"))</f>
        <v/>
      </c>
      <c r="X477">
        <f>IF(O477&lt;SUMIFS(M:M,R:R,1,E:E,E477)/SUMIFS(L:L,R:R,1,E:E,E477)*0.5,"Низшая четверть",IF(O477&lt;SUMIFS(M:M,R:R,1,E:E,E477)/SUMIFS(L:L,R:R,1,E:E,E477),"Вторая четверть","Больше половины"))</f>
        <v/>
      </c>
      <c r="Y477" t="n">
        <v>11</v>
      </c>
    </row>
    <row r="478">
      <c r="A478" s="1" t="inlineStr">
        <is>
          <t>094001K0</t>
        </is>
      </c>
      <c r="B478" s="2" t="inlineStr">
        <is>
          <t>756548744</t>
        </is>
      </c>
      <c r="C478" s="3" t="inlineStr">
        <is>
          <t>Одежда и аксессуары</t>
        </is>
      </c>
      <c r="D478" s="2" t="inlineStr">
        <is>
          <t>Купальники женские</t>
        </is>
      </c>
      <c r="E478" s="3" t="inlineStr">
        <is>
          <t>094 Купальник</t>
        </is>
      </c>
      <c r="F478" s="2" t="inlineStr">
        <is>
          <t>лето</t>
        </is>
      </c>
      <c r="G478" s="3" t="inlineStr">
        <is>
          <t>kari</t>
        </is>
      </c>
      <c r="H478" s="2" t="inlineStr">
        <is>
          <t>Никонорова Алина</t>
        </is>
      </c>
      <c r="J478" s="3" t="inlineStr">
        <is>
          <t>2026SS</t>
        </is>
      </c>
      <c r="K478" s="3" t="n">
        <v>6219</v>
      </c>
      <c r="L478" s="3" t="n">
        <v>4146</v>
      </c>
      <c r="M478" s="3" t="n">
        <v>15</v>
      </c>
      <c r="N478" s="4">
        <f>IFERROR(L478/K478,0)</f>
        <v/>
      </c>
      <c r="O478" s="4">
        <f>IFERROR(M478/L478,0)</f>
        <v/>
      </c>
      <c r="P478" t="n">
        <v>1601</v>
      </c>
      <c r="Q478" s="5" t="n">
        <v>0.6666666666666666</v>
      </c>
      <c r="R478" s="7" t="n">
        <v>1</v>
      </c>
      <c r="S478">
        <f>IF(OR(N478&lt;$T$1*0.5,O478&lt;$U$1*0.5),"код для проверки","нормальный код")</f>
        <v/>
      </c>
      <c r="T478">
        <f>IF(N478&lt;$T$1*0.5,"Низшая четверть",IF(N478&lt;$T$1,"Вторая четверть","Больше половины"))</f>
        <v/>
      </c>
      <c r="U478">
        <f>IF(O478&lt;$U$1*0.5,"Низшая четверть",IF(O478&lt;$U$1,"Вторая четверть","Больше половины"))</f>
        <v/>
      </c>
      <c r="V478">
        <f>IF(OR(N478&lt;SUMIFS(L:L,R:R,1,E:E,E478)/SUMIFS(K:K,R:R,1,E:E,E478)*0.5,O478&lt;SUMIFS(M:M,R:R,1,E:E,E478)/SUMIFS(L:L,R:R,1,E:E,E478)*0.5),"код для проверки","нормальный код")</f>
        <v/>
      </c>
      <c r="W478">
        <f>IF(N478&lt;SUMIFS(L:L,R:R,1,E:E,E478)/SUMIFS(K:K,R:R,1,E:E,E478)*0.5,"Низшая четверть",IF(N478&lt;SUMIFS(L:L,R:R,1,E:E,E478)/SUMIFS(K:K,R:R,1,E:E,E478),"Вторая четверть","Больше половины"))</f>
        <v/>
      </c>
      <c r="X478">
        <f>IF(O478&lt;SUMIFS(M:M,R:R,1,E:E,E478)/SUMIFS(L:L,R:R,1,E:E,E478)*0.5,"Низшая четверть",IF(O478&lt;SUMIFS(M:M,R:R,1,E:E,E478)/SUMIFS(L:L,R:R,1,E:E,E478),"Вторая четверть","Больше половины"))</f>
        <v/>
      </c>
      <c r="Y478" t="n">
        <v>17</v>
      </c>
    </row>
    <row r="479">
      <c r="A479" s="1" t="inlineStr">
        <is>
          <t>31000990</t>
        </is>
      </c>
      <c r="B479" s="2" t="inlineStr">
        <is>
          <t>708049592</t>
        </is>
      </c>
      <c r="C479" s="3" t="inlineStr">
        <is>
          <t>Одежда для детей</t>
        </is>
      </c>
      <c r="D479" s="2" t="inlineStr">
        <is>
          <t>Футболки, майки, рубашки детские для мальчиков</t>
        </is>
      </c>
      <c r="E479" s="3" t="inlineStr">
        <is>
          <t>310 Футболка детская для мальчиков</t>
        </is>
      </c>
      <c r="F479" s="2" t="inlineStr">
        <is>
          <t>всесезонный</t>
        </is>
      </c>
      <c r="G479" s="3" t="inlineStr">
        <is>
          <t>Kari KIDS</t>
        </is>
      </c>
      <c r="H479" s="2" t="inlineStr">
        <is>
          <t>Зиннуров Ильнур</t>
        </is>
      </c>
      <c r="J479" s="3" t="inlineStr">
        <is>
          <t>2026SS</t>
        </is>
      </c>
      <c r="K479" s="3" t="n">
        <v>6216</v>
      </c>
      <c r="L479" s="3" t="n">
        <v>783</v>
      </c>
      <c r="M479" s="3" t="n">
        <v>9</v>
      </c>
      <c r="N479" s="4">
        <f>IFERROR(L479/K479,0)</f>
        <v/>
      </c>
      <c r="O479" s="4">
        <f>IFERROR(M479/L479,0)</f>
        <v/>
      </c>
      <c r="P479" t="n">
        <v>338</v>
      </c>
      <c r="Q479" s="5" t="n">
        <v>1</v>
      </c>
      <c r="R479" s="7" t="n">
        <v>1</v>
      </c>
      <c r="S479">
        <f>IF(OR(N479&lt;$T$1*0.5,O479&lt;$U$1*0.5),"код для проверки","нормальный код")</f>
        <v/>
      </c>
      <c r="T479">
        <f>IF(N479&lt;$T$1*0.5,"Низшая четверть",IF(N479&lt;$T$1,"Вторая четверть","Больше половины"))</f>
        <v/>
      </c>
      <c r="U479">
        <f>IF(O479&lt;$U$1*0.5,"Низшая четверть",IF(O479&lt;$U$1,"Вторая четверть","Больше половины"))</f>
        <v/>
      </c>
      <c r="V479">
        <f>IF(OR(N479&lt;SUMIFS(L:L,R:R,1,E:E,E479)/SUMIFS(K:K,R:R,1,E:E,E479)*0.5,O479&lt;SUMIFS(M:M,R:R,1,E:E,E479)/SUMIFS(L:L,R:R,1,E:E,E479)*0.5),"код для проверки","нормальный код")</f>
        <v/>
      </c>
      <c r="W479">
        <f>IF(N479&lt;SUMIFS(L:L,R:R,1,E:E,E479)/SUMIFS(K:K,R:R,1,E:E,E479)*0.5,"Низшая четверть",IF(N479&lt;SUMIFS(L:L,R:R,1,E:E,E479)/SUMIFS(K:K,R:R,1,E:E,E479),"Вторая четверть","Больше половины"))</f>
        <v/>
      </c>
      <c r="X479">
        <f>IF(O479&lt;SUMIFS(M:M,R:R,1,E:E,E479)/SUMIFS(L:L,R:R,1,E:E,E479)*0.5,"Низшая четверть",IF(O479&lt;SUMIFS(M:M,R:R,1,E:E,E479)/SUMIFS(L:L,R:R,1,E:E,E479),"Вторая четверть","Больше половины"))</f>
        <v/>
      </c>
      <c r="Y479" t="n">
        <v>10</v>
      </c>
    </row>
    <row r="480">
      <c r="A480" s="1" t="inlineStr">
        <is>
          <t>a9000020</t>
        </is>
      </c>
      <c r="B480" s="2" t="inlineStr">
        <is>
          <t>783984275</t>
        </is>
      </c>
      <c r="C480" s="3" t="inlineStr">
        <is>
          <t>Одежда для детей</t>
        </is>
      </c>
      <c r="D480" s="2" t="inlineStr">
        <is>
          <t>Свитера детские для девочек</t>
        </is>
      </c>
      <c r="E480" s="3" t="inlineStr">
        <is>
          <t>a90 Свитшот  утепленный для девочки</t>
        </is>
      </c>
      <c r="F480" s="2" t="inlineStr">
        <is>
          <t>весна, осень, зима</t>
        </is>
      </c>
      <c r="G480" s="3" t="inlineStr">
        <is>
          <t>Kari KIDS</t>
        </is>
      </c>
      <c r="H480" s="2" t="inlineStr">
        <is>
          <t>Зиннуров Ильнур</t>
        </is>
      </c>
      <c r="J480" s="3" t="inlineStr">
        <is>
          <t>2026SS</t>
        </is>
      </c>
      <c r="K480" s="3" t="n">
        <v>6149</v>
      </c>
      <c r="L480" s="3" t="n">
        <v>485</v>
      </c>
      <c r="M480" s="3" t="n">
        <v>11</v>
      </c>
      <c r="N480" s="4">
        <f>IFERROR(L480/K480,0)</f>
        <v/>
      </c>
      <c r="O480" s="4">
        <f>IFERROR(M480/L480,0)</f>
        <v/>
      </c>
      <c r="P480" t="n">
        <v>353</v>
      </c>
      <c r="Q480" s="5" t="n">
        <v>1</v>
      </c>
      <c r="R480" s="7" t="n">
        <v>1</v>
      </c>
      <c r="S480">
        <f>IF(OR(N480&lt;$T$1*0.5,O480&lt;$U$1*0.5),"код для проверки","нормальный код")</f>
        <v/>
      </c>
      <c r="T480">
        <f>IF(N480&lt;$T$1*0.5,"Низшая четверть",IF(N480&lt;$T$1,"Вторая четверть","Больше половины"))</f>
        <v/>
      </c>
      <c r="U480">
        <f>IF(O480&lt;$U$1*0.5,"Низшая четверть",IF(O480&lt;$U$1,"Вторая четверть","Больше половины"))</f>
        <v/>
      </c>
      <c r="V480">
        <f>IF(OR(N480&lt;SUMIFS(L:L,R:R,1,E:E,E480)/SUMIFS(K:K,R:R,1,E:E,E480)*0.5,O480&lt;SUMIFS(M:M,R:R,1,E:E,E480)/SUMIFS(L:L,R:R,1,E:E,E480)*0.5),"код для проверки","нормальный код")</f>
        <v/>
      </c>
      <c r="W480">
        <f>IF(N480&lt;SUMIFS(L:L,R:R,1,E:E,E480)/SUMIFS(K:K,R:R,1,E:E,E480)*0.5,"Низшая четверть",IF(N480&lt;SUMIFS(L:L,R:R,1,E:E,E480)/SUMIFS(K:K,R:R,1,E:E,E480),"Вторая четверть","Больше половины"))</f>
        <v/>
      </c>
      <c r="X480">
        <f>IF(O480&lt;SUMIFS(M:M,R:R,1,E:E,E480)/SUMIFS(L:L,R:R,1,E:E,E480)*0.5,"Низшая четверть",IF(O480&lt;SUMIFS(M:M,R:R,1,E:E,E480)/SUMIFS(L:L,R:R,1,E:E,E480),"Вторая четверть","Больше половины"))</f>
        <v/>
      </c>
      <c r="Y480" t="n">
        <v>8</v>
      </c>
    </row>
    <row r="481">
      <c r="A481" s="1" t="inlineStr">
        <is>
          <t>94608130</t>
        </is>
      </c>
      <c r="B481" s="2" t="inlineStr">
        <is>
          <t>343106170</t>
        </is>
      </c>
      <c r="C481" s="3" t="inlineStr">
        <is>
          <t>Одежда для детей</t>
        </is>
      </c>
      <c r="D481" s="2" t="inlineStr">
        <is>
          <t>Одежда для новорожденных</t>
        </is>
      </c>
      <c r="E481" s="3" t="inlineStr">
        <is>
          <t>946 Ромпер для мальчика</t>
        </is>
      </c>
      <c r="F481" s="2" t="inlineStr">
        <is>
          <t>лето</t>
        </is>
      </c>
      <c r="G481" s="3" t="inlineStr">
        <is>
          <t>Kari baby</t>
        </is>
      </c>
      <c r="H481" s="2" t="inlineStr">
        <is>
          <t>Зиннуров Ильнур</t>
        </is>
      </c>
      <c r="J481" s="3" t="inlineStr">
        <is>
          <t>2026SS</t>
        </is>
      </c>
      <c r="K481" s="3" t="n">
        <v>6147</v>
      </c>
      <c r="L481" s="3" t="n">
        <v>589</v>
      </c>
      <c r="M481" s="3" t="n">
        <v>8</v>
      </c>
      <c r="N481" s="4">
        <f>IFERROR(L481/K481,0)</f>
        <v/>
      </c>
      <c r="O481" s="4">
        <f>IFERROR(M481/L481,0)</f>
        <v/>
      </c>
      <c r="P481" t="n">
        <v>835</v>
      </c>
      <c r="Q481" s="5" t="n">
        <v>1</v>
      </c>
      <c r="R481" s="7" t="n">
        <v>1</v>
      </c>
      <c r="S481">
        <f>IF(OR(N481&lt;$T$1*0.5,O481&lt;$U$1*0.5),"код для проверки","нормальный код")</f>
        <v/>
      </c>
      <c r="T481">
        <f>IF(N481&lt;$T$1*0.5,"Низшая четверть",IF(N481&lt;$T$1,"Вторая четверть","Больше половины"))</f>
        <v/>
      </c>
      <c r="U481">
        <f>IF(O481&lt;$U$1*0.5,"Низшая четверть",IF(O481&lt;$U$1,"Вторая четверть","Больше половины"))</f>
        <v/>
      </c>
      <c r="V481">
        <f>IF(OR(N481&lt;SUMIFS(L:L,R:R,1,E:E,E481)/SUMIFS(K:K,R:R,1,E:E,E481)*0.5,O481&lt;SUMIFS(M:M,R:R,1,E:E,E481)/SUMIFS(L:L,R:R,1,E:E,E481)*0.5),"код для проверки","нормальный код")</f>
        <v/>
      </c>
      <c r="W481">
        <f>IF(N481&lt;SUMIFS(L:L,R:R,1,E:E,E481)/SUMIFS(K:K,R:R,1,E:E,E481)*0.5,"Низшая четверть",IF(N481&lt;SUMIFS(L:L,R:R,1,E:E,E481)/SUMIFS(K:K,R:R,1,E:E,E481),"Вторая четверть","Больше половины"))</f>
        <v/>
      </c>
      <c r="X481">
        <f>IF(O481&lt;SUMIFS(M:M,R:R,1,E:E,E481)/SUMIFS(L:L,R:R,1,E:E,E481)*0.5,"Низшая четверть",IF(O481&lt;SUMIFS(M:M,R:R,1,E:E,E481)/SUMIFS(L:L,R:R,1,E:E,E481),"Вторая четверть","Больше половины"))</f>
        <v/>
      </c>
      <c r="Y481" t="n">
        <v>13</v>
      </c>
    </row>
    <row r="482">
      <c r="A482" s="1" t="inlineStr">
        <is>
          <t>55300100</t>
        </is>
      </c>
      <c r="B482" s="2" t="inlineStr">
        <is>
          <t>720809065</t>
        </is>
      </c>
      <c r="C482" s="3" t="inlineStr">
        <is>
          <t>Одежда для детей</t>
        </is>
      </c>
      <c r="D482" s="2" t="inlineStr">
        <is>
          <t>Брюки детские для мальчиков</t>
        </is>
      </c>
      <c r="E482" s="3" t="inlineStr">
        <is>
          <t>553 Брюки детские для мальчиков</t>
        </is>
      </c>
      <c r="F482" s="2" t="inlineStr">
        <is>
          <t>всесезонный</t>
        </is>
      </c>
      <c r="G482" s="3" t="inlineStr">
        <is>
          <t>Kari KIDS</t>
        </is>
      </c>
      <c r="H482" s="2" t="inlineStr">
        <is>
          <t>Зиннуров Ильнур</t>
        </is>
      </c>
      <c r="J482" s="3" t="inlineStr">
        <is>
          <t>2026SS</t>
        </is>
      </c>
      <c r="K482" s="3" t="n">
        <v>6023</v>
      </c>
      <c r="L482" s="3" t="n">
        <v>1215</v>
      </c>
      <c r="M482" s="3" t="n">
        <v>17</v>
      </c>
      <c r="N482" s="4">
        <f>IFERROR(L482/K482,0)</f>
        <v/>
      </c>
      <c r="O482" s="4">
        <f>IFERROR(M482/L482,0)</f>
        <v/>
      </c>
      <c r="P482" t="n">
        <v>262</v>
      </c>
      <c r="Q482" s="5" t="n">
        <v>1</v>
      </c>
      <c r="R482" s="7" t="n">
        <v>1</v>
      </c>
      <c r="S482">
        <f>IF(OR(N482&lt;$T$1*0.5,O482&lt;$U$1*0.5),"код для проверки","нормальный код")</f>
        <v/>
      </c>
      <c r="T482">
        <f>IF(N482&lt;$T$1*0.5,"Низшая четверть",IF(N482&lt;$T$1,"Вторая четверть","Больше половины"))</f>
        <v/>
      </c>
      <c r="U482">
        <f>IF(O482&lt;$U$1*0.5,"Низшая четверть",IF(O482&lt;$U$1,"Вторая четверть","Больше половины"))</f>
        <v/>
      </c>
      <c r="V482">
        <f>IF(OR(N482&lt;SUMIFS(L:L,R:R,1,E:E,E482)/SUMIFS(K:K,R:R,1,E:E,E482)*0.5,O482&lt;SUMIFS(M:M,R:R,1,E:E,E482)/SUMIFS(L:L,R:R,1,E:E,E482)*0.5),"код для проверки","нормальный код")</f>
        <v/>
      </c>
      <c r="W482">
        <f>IF(N482&lt;SUMIFS(L:L,R:R,1,E:E,E482)/SUMIFS(K:K,R:R,1,E:E,E482)*0.5,"Низшая четверть",IF(N482&lt;SUMIFS(L:L,R:R,1,E:E,E482)/SUMIFS(K:K,R:R,1,E:E,E482),"Вторая четверть","Больше половины"))</f>
        <v/>
      </c>
      <c r="X482">
        <f>IF(O482&lt;SUMIFS(M:M,R:R,1,E:E,E482)/SUMIFS(L:L,R:R,1,E:E,E482)*0.5,"Низшая четверть",IF(O482&lt;SUMIFS(M:M,R:R,1,E:E,E482)/SUMIFS(L:L,R:R,1,E:E,E482),"Вторая четверть","Больше половины"))</f>
        <v/>
      </c>
      <c r="Y482" t="n">
        <v>20</v>
      </c>
    </row>
    <row r="483">
      <c r="A483" s="1" t="inlineStr">
        <is>
          <t>y9706080</t>
        </is>
      </c>
      <c r="B483" s="2" t="inlineStr">
        <is>
          <t>210009153</t>
        </is>
      </c>
      <c r="C483" s="3" t="inlineStr">
        <is>
          <t>Одежда и аксессуары</t>
        </is>
      </c>
      <c r="D483" s="2" t="inlineStr">
        <is>
          <t>Спортивная одежда для мужчин</t>
        </is>
      </c>
      <c r="E483" s="3" t="inlineStr">
        <is>
          <t>y97 Футболка мужская</t>
        </is>
      </c>
      <c r="F483" s="2" t="inlineStr">
        <is>
          <t>всесезонный</t>
        </is>
      </c>
      <c r="G483" s="3" t="inlineStr">
        <is>
          <t>kari</t>
        </is>
      </c>
      <c r="H483" s="2" t="inlineStr">
        <is>
          <t>Зиннуров Ильнур</t>
        </is>
      </c>
      <c r="J483" s="3" t="inlineStr">
        <is>
          <t>2026SS</t>
        </is>
      </c>
      <c r="K483" s="3" t="n">
        <v>6006</v>
      </c>
      <c r="L483" s="3" t="n">
        <v>359</v>
      </c>
      <c r="M483" s="3" t="n">
        <v>12</v>
      </c>
      <c r="N483" s="4">
        <f>IFERROR(L483/K483,0)</f>
        <v/>
      </c>
      <c r="O483" s="4">
        <f>IFERROR(M483/L483,0)</f>
        <v/>
      </c>
      <c r="P483" t="n">
        <v>288</v>
      </c>
      <c r="Q483" s="5" t="n">
        <v>1</v>
      </c>
      <c r="R483" s="7" t="n">
        <v>1</v>
      </c>
      <c r="S483">
        <f>IF(OR(N483&lt;$T$1*0.5,O483&lt;$U$1*0.5),"код для проверки","нормальный код")</f>
        <v/>
      </c>
      <c r="T483">
        <f>IF(N483&lt;$T$1*0.5,"Низшая четверть",IF(N483&lt;$T$1,"Вторая четверть","Больше половины"))</f>
        <v/>
      </c>
      <c r="U483">
        <f>IF(O483&lt;$U$1*0.5,"Низшая четверть",IF(O483&lt;$U$1,"Вторая четверть","Больше половины"))</f>
        <v/>
      </c>
      <c r="V483">
        <f>IF(OR(N483&lt;SUMIFS(L:L,R:R,1,E:E,E483)/SUMIFS(K:K,R:R,1,E:E,E483)*0.5,O483&lt;SUMIFS(M:M,R:R,1,E:E,E483)/SUMIFS(L:L,R:R,1,E:E,E483)*0.5),"код для проверки","нормальный код")</f>
        <v/>
      </c>
      <c r="W483">
        <f>IF(N483&lt;SUMIFS(L:L,R:R,1,E:E,E483)/SUMIFS(K:K,R:R,1,E:E,E483)*0.5,"Низшая четверть",IF(N483&lt;SUMIFS(L:L,R:R,1,E:E,E483)/SUMIFS(K:K,R:R,1,E:E,E483),"Вторая четверть","Больше половины"))</f>
        <v/>
      </c>
      <c r="X483">
        <f>IF(O483&lt;SUMIFS(M:M,R:R,1,E:E,E483)/SUMIFS(L:L,R:R,1,E:E,E483)*0.5,"Низшая четверть",IF(O483&lt;SUMIFS(M:M,R:R,1,E:E,E483)/SUMIFS(L:L,R:R,1,E:E,E483),"Вторая четверть","Больше половины"))</f>
        <v/>
      </c>
      <c r="Y483" t="n">
        <v>16</v>
      </c>
    </row>
    <row r="484">
      <c r="A484" s="1" t="inlineStr">
        <is>
          <t>53600220</t>
        </is>
      </c>
      <c r="B484" s="2" t="inlineStr">
        <is>
          <t>806821986</t>
        </is>
      </c>
      <c r="C484" s="3" t="inlineStr">
        <is>
          <t>Одежда для детей</t>
        </is>
      </c>
      <c r="D484" s="2" t="inlineStr">
        <is>
          <t>Платья, майки, футболки детские для девочек</t>
        </is>
      </c>
      <c r="E484" s="3" t="inlineStr">
        <is>
          <t>536 Платье летнее детское</t>
        </is>
      </c>
      <c r="F484" s="2" t="inlineStr">
        <is>
          <t>лето</t>
        </is>
      </c>
      <c r="G484" s="3" t="inlineStr">
        <is>
          <t>Kari KIDS</t>
        </is>
      </c>
      <c r="H484" s="2" t="inlineStr">
        <is>
          <t>Зиннуров Ильнур</t>
        </is>
      </c>
      <c r="J484" s="3" t="inlineStr">
        <is>
          <t>2026SS</t>
        </is>
      </c>
      <c r="K484" s="3" t="n">
        <v>5945</v>
      </c>
      <c r="L484" s="3" t="n">
        <v>940</v>
      </c>
      <c r="M484" s="3" t="n">
        <v>5</v>
      </c>
      <c r="N484" s="4">
        <f>IFERROR(L484/K484,0)</f>
        <v/>
      </c>
      <c r="O484" s="4">
        <f>IFERROR(M484/L484,0)</f>
        <v/>
      </c>
      <c r="P484" t="n">
        <v>142</v>
      </c>
      <c r="Q484" s="5" t="n">
        <v>1</v>
      </c>
      <c r="R484" s="7" t="n">
        <v>1</v>
      </c>
      <c r="S484">
        <f>IF(OR(N484&lt;$T$1*0.5,O484&lt;$U$1*0.5),"код для проверки","нормальный код")</f>
        <v/>
      </c>
      <c r="T484">
        <f>IF(N484&lt;$T$1*0.5,"Низшая четверть",IF(N484&lt;$T$1,"Вторая четверть","Больше половины"))</f>
        <v/>
      </c>
      <c r="U484">
        <f>IF(O484&lt;$U$1*0.5,"Низшая четверть",IF(O484&lt;$U$1,"Вторая четверть","Больше половины"))</f>
        <v/>
      </c>
      <c r="V484">
        <f>IF(OR(N484&lt;SUMIFS(L:L,R:R,1,E:E,E484)/SUMIFS(K:K,R:R,1,E:E,E484)*0.5,O484&lt;SUMIFS(M:M,R:R,1,E:E,E484)/SUMIFS(L:L,R:R,1,E:E,E484)*0.5),"код для проверки","нормальный код")</f>
        <v/>
      </c>
      <c r="W484">
        <f>IF(N484&lt;SUMIFS(L:L,R:R,1,E:E,E484)/SUMIFS(K:K,R:R,1,E:E,E484)*0.5,"Низшая четверть",IF(N484&lt;SUMIFS(L:L,R:R,1,E:E,E484)/SUMIFS(K:K,R:R,1,E:E,E484),"Вторая четверть","Больше половины"))</f>
        <v/>
      </c>
      <c r="X484">
        <f>IF(O484&lt;SUMIFS(M:M,R:R,1,E:E,E484)/SUMIFS(L:L,R:R,1,E:E,E484)*0.5,"Низшая четверть",IF(O484&lt;SUMIFS(M:M,R:R,1,E:E,E484)/SUMIFS(L:L,R:R,1,E:E,E484),"Вторая четверть","Больше половины"))</f>
        <v/>
      </c>
      <c r="Y484" t="n">
        <v>8</v>
      </c>
    </row>
    <row r="485">
      <c r="A485" s="1" t="inlineStr">
        <is>
          <t>a6000270</t>
        </is>
      </c>
      <c r="B485" s="2" t="inlineStr">
        <is>
          <t>699629812</t>
        </is>
      </c>
      <c r="C485" s="3" t="inlineStr">
        <is>
          <t>Одежда для детей</t>
        </is>
      </c>
      <c r="D485" s="2" t="inlineStr">
        <is>
          <t>Платья, майки, футболки детские для девочек</t>
        </is>
      </c>
      <c r="E485" s="3" t="inlineStr">
        <is>
          <t>a60 Футболка детская для девочек</t>
        </is>
      </c>
      <c r="F485" s="2" t="inlineStr">
        <is>
          <t>всесезонный</t>
        </is>
      </c>
      <c r="G485" s="3" t="inlineStr">
        <is>
          <t>Kari KIDS</t>
        </is>
      </c>
      <c r="H485" s="2" t="inlineStr">
        <is>
          <t>Зиннуров Ильнур</t>
        </is>
      </c>
      <c r="J485" s="3" t="inlineStr">
        <is>
          <t>2026SS</t>
        </is>
      </c>
      <c r="K485" s="3" t="n">
        <v>5898</v>
      </c>
      <c r="L485" s="3" t="n">
        <v>916</v>
      </c>
      <c r="M485" s="3" t="n">
        <v>12</v>
      </c>
      <c r="N485" s="4">
        <f>IFERROR(L485/K485,0)</f>
        <v/>
      </c>
      <c r="O485" s="4">
        <f>IFERROR(M485/L485,0)</f>
        <v/>
      </c>
      <c r="P485" t="n">
        <v>158</v>
      </c>
      <c r="Q485" s="5" t="n">
        <v>1</v>
      </c>
      <c r="R485" s="7" t="n">
        <v>1</v>
      </c>
      <c r="S485">
        <f>IF(OR(N485&lt;$T$1*0.5,O485&lt;$U$1*0.5),"код для проверки","нормальный код")</f>
        <v/>
      </c>
      <c r="T485">
        <f>IF(N485&lt;$T$1*0.5,"Низшая четверть",IF(N485&lt;$T$1,"Вторая четверть","Больше половины"))</f>
        <v/>
      </c>
      <c r="U485">
        <f>IF(O485&lt;$U$1*0.5,"Низшая четверть",IF(O485&lt;$U$1,"Вторая четверть","Больше половины"))</f>
        <v/>
      </c>
      <c r="V485">
        <f>IF(OR(N485&lt;SUMIFS(L:L,R:R,1,E:E,E485)/SUMIFS(K:K,R:R,1,E:E,E485)*0.5,O485&lt;SUMIFS(M:M,R:R,1,E:E,E485)/SUMIFS(L:L,R:R,1,E:E,E485)*0.5),"код для проверки","нормальный код")</f>
        <v/>
      </c>
      <c r="W485">
        <f>IF(N485&lt;SUMIFS(L:L,R:R,1,E:E,E485)/SUMIFS(K:K,R:R,1,E:E,E485)*0.5,"Низшая четверть",IF(N485&lt;SUMIFS(L:L,R:R,1,E:E,E485)/SUMIFS(K:K,R:R,1,E:E,E485),"Вторая четверть","Больше половины"))</f>
        <v/>
      </c>
      <c r="X485">
        <f>IF(O485&lt;SUMIFS(M:M,R:R,1,E:E,E485)/SUMIFS(L:L,R:R,1,E:E,E485)*0.5,"Низшая четверть",IF(O485&lt;SUMIFS(M:M,R:R,1,E:E,E485)/SUMIFS(L:L,R:R,1,E:E,E485),"Вторая четверть","Больше половины"))</f>
        <v/>
      </c>
      <c r="Y485" t="n">
        <v>19</v>
      </c>
    </row>
    <row r="486">
      <c r="A486" s="1" t="inlineStr">
        <is>
          <t>88100230</t>
        </is>
      </c>
      <c r="B486" s="2" t="inlineStr">
        <is>
          <t>714592848</t>
        </is>
      </c>
      <c r="C486" s="3" t="inlineStr">
        <is>
          <t>Одежда для детей</t>
        </is>
      </c>
      <c r="D486" s="2" t="inlineStr">
        <is>
          <t>Футболки, майки, рубашки детские для мальчиков</t>
        </is>
      </c>
      <c r="E486" s="3" t="inlineStr">
        <is>
          <t>881 Футболка длинный рукав детская для мальчиков</t>
        </is>
      </c>
      <c r="F486" s="2" t="inlineStr">
        <is>
          <t>всесезонный</t>
        </is>
      </c>
      <c r="G486" s="3" t="inlineStr">
        <is>
          <t>kari</t>
        </is>
      </c>
      <c r="H486" s="2" t="inlineStr">
        <is>
          <t>Зиннуров Ильнур</t>
        </is>
      </c>
      <c r="J486" s="3" t="inlineStr">
        <is>
          <t>2026SS</t>
        </is>
      </c>
      <c r="K486" s="3" t="n">
        <v>5853</v>
      </c>
      <c r="L486" s="3" t="n">
        <v>554</v>
      </c>
      <c r="M486" s="3" t="n">
        <v>12</v>
      </c>
      <c r="N486" s="4">
        <f>IFERROR(L486/K486,0)</f>
        <v/>
      </c>
      <c r="O486" s="4">
        <f>IFERROR(M486/L486,0)</f>
        <v/>
      </c>
      <c r="P486" t="n">
        <v>476</v>
      </c>
      <c r="Q486" s="5" t="n">
        <v>1</v>
      </c>
      <c r="R486" s="7" t="n">
        <v>1</v>
      </c>
      <c r="S486">
        <f>IF(OR(N486&lt;$T$1*0.5,O486&lt;$U$1*0.5),"код для проверки","нормальный код")</f>
        <v/>
      </c>
      <c r="T486">
        <f>IF(N486&lt;$T$1*0.5,"Низшая четверть",IF(N486&lt;$T$1,"Вторая четверть","Больше половины"))</f>
        <v/>
      </c>
      <c r="U486">
        <f>IF(O486&lt;$U$1*0.5,"Низшая четверть",IF(O486&lt;$U$1,"Вторая четверть","Больше половины"))</f>
        <v/>
      </c>
      <c r="V486">
        <f>IF(OR(N486&lt;SUMIFS(L:L,R:R,1,E:E,E486)/SUMIFS(K:K,R:R,1,E:E,E486)*0.5,O486&lt;SUMIFS(M:M,R:R,1,E:E,E486)/SUMIFS(L:L,R:R,1,E:E,E486)*0.5),"код для проверки","нормальный код")</f>
        <v/>
      </c>
      <c r="W486">
        <f>IF(N486&lt;SUMIFS(L:L,R:R,1,E:E,E486)/SUMIFS(K:K,R:R,1,E:E,E486)*0.5,"Низшая четверть",IF(N486&lt;SUMIFS(L:L,R:R,1,E:E,E486)/SUMIFS(K:K,R:R,1,E:E,E486),"Вторая четверть","Больше половины"))</f>
        <v/>
      </c>
      <c r="X486">
        <f>IF(O486&lt;SUMIFS(M:M,R:R,1,E:E,E486)/SUMIFS(L:L,R:R,1,E:E,E486)*0.5,"Низшая четверть",IF(O486&lt;SUMIFS(M:M,R:R,1,E:E,E486)/SUMIFS(L:L,R:R,1,E:E,E486),"Вторая четверть","Больше половины"))</f>
        <v/>
      </c>
      <c r="Y486" t="n">
        <v>24</v>
      </c>
    </row>
    <row r="487">
      <c r="A487" s="1" t="inlineStr">
        <is>
          <t>310080R0</t>
        </is>
      </c>
      <c r="B487" s="2" t="inlineStr">
        <is>
          <t>325157025</t>
        </is>
      </c>
      <c r="C487" s="3" t="inlineStr">
        <is>
          <t>Одежда для детей</t>
        </is>
      </c>
      <c r="D487" s="2" t="inlineStr">
        <is>
          <t>Футболки, майки, рубашки детские для мальчиков</t>
        </is>
      </c>
      <c r="E487" s="3" t="inlineStr">
        <is>
          <t>310 Футболка детская для мальчиков</t>
        </is>
      </c>
      <c r="F487" s="2" t="inlineStr">
        <is>
          <t>всесезонный</t>
        </is>
      </c>
      <c r="G487" s="3" t="inlineStr">
        <is>
          <t>kari</t>
        </is>
      </c>
      <c r="H487" s="2" t="inlineStr">
        <is>
          <t>Зиннуров Ильнур</t>
        </is>
      </c>
      <c r="J487" s="3" t="inlineStr">
        <is>
          <t>2026SS</t>
        </is>
      </c>
      <c r="K487" s="3" t="n">
        <v>5818</v>
      </c>
      <c r="L487" s="3" t="n">
        <v>676</v>
      </c>
      <c r="M487" s="3" t="n">
        <v>72</v>
      </c>
      <c r="N487" s="4">
        <f>IFERROR(L487/K487,0)</f>
        <v/>
      </c>
      <c r="O487" s="4">
        <f>IFERROR(M487/L487,0)</f>
        <v/>
      </c>
      <c r="P487" t="n">
        <v>1907</v>
      </c>
      <c r="Q487" s="5" t="n">
        <v>1</v>
      </c>
      <c r="R487" s="7" t="n">
        <v>1</v>
      </c>
      <c r="S487">
        <f>IF(OR(N487&lt;$T$1*0.5,O487&lt;$U$1*0.5),"код для проверки","нормальный код")</f>
        <v/>
      </c>
      <c r="T487">
        <f>IF(N487&lt;$T$1*0.5,"Низшая четверть",IF(N487&lt;$T$1,"Вторая четверть","Больше половины"))</f>
        <v/>
      </c>
      <c r="U487">
        <f>IF(O487&lt;$U$1*0.5,"Низшая четверть",IF(O487&lt;$U$1,"Вторая четверть","Больше половины"))</f>
        <v/>
      </c>
      <c r="V487">
        <f>IF(OR(N487&lt;SUMIFS(L:L,R:R,1,E:E,E487)/SUMIFS(K:K,R:R,1,E:E,E487)*0.5,O487&lt;SUMIFS(M:M,R:R,1,E:E,E487)/SUMIFS(L:L,R:R,1,E:E,E487)*0.5),"код для проверки","нормальный код")</f>
        <v/>
      </c>
      <c r="W487">
        <f>IF(N487&lt;SUMIFS(L:L,R:R,1,E:E,E487)/SUMIFS(K:K,R:R,1,E:E,E487)*0.5,"Низшая четверть",IF(N487&lt;SUMIFS(L:L,R:R,1,E:E,E487)/SUMIFS(K:K,R:R,1,E:E,E487),"Вторая четверть","Больше половины"))</f>
        <v/>
      </c>
      <c r="X487">
        <f>IF(O487&lt;SUMIFS(M:M,R:R,1,E:E,E487)/SUMIFS(L:L,R:R,1,E:E,E487)*0.5,"Низшая четверть",IF(O487&lt;SUMIFS(M:M,R:R,1,E:E,E487)/SUMIFS(L:L,R:R,1,E:E,E487),"Вторая четверть","Больше половины"))</f>
        <v/>
      </c>
      <c r="Y487" t="n">
        <v>9</v>
      </c>
    </row>
    <row r="488">
      <c r="A488" s="1" t="inlineStr">
        <is>
          <t>19408460</t>
        </is>
      </c>
      <c r="B488" s="2" t="inlineStr">
        <is>
          <t>341720624</t>
        </is>
      </c>
      <c r="C488" s="3" t="inlineStr">
        <is>
          <t>Одежда для детей</t>
        </is>
      </c>
      <c r="D488" s="2" t="inlineStr">
        <is>
          <t>Брюки детские для девочек</t>
        </is>
      </c>
      <c r="E488" s="3" t="inlineStr">
        <is>
          <t>194 Шорты детские для девочек</t>
        </is>
      </c>
      <c r="F488" s="2" t="inlineStr">
        <is>
          <t>лето</t>
        </is>
      </c>
      <c r="G488" s="3" t="inlineStr">
        <is>
          <t>kari</t>
        </is>
      </c>
      <c r="H488" s="2" t="inlineStr">
        <is>
          <t>Зиннуров Ильнур</t>
        </is>
      </c>
      <c r="J488" s="3" t="inlineStr">
        <is>
          <t>2026SS</t>
        </is>
      </c>
      <c r="K488" s="3" t="n">
        <v>5808</v>
      </c>
      <c r="L488" s="3" t="n">
        <v>330</v>
      </c>
      <c r="M488" s="3" t="n">
        <v>12</v>
      </c>
      <c r="N488" s="4">
        <f>IFERROR(L488/K488,0)</f>
        <v/>
      </c>
      <c r="O488" s="4">
        <f>IFERROR(M488/L488,0)</f>
        <v/>
      </c>
      <c r="P488" t="n">
        <v>442</v>
      </c>
      <c r="Q488" s="5" t="n">
        <v>1</v>
      </c>
      <c r="R488" s="7" t="n">
        <v>1</v>
      </c>
      <c r="S488">
        <f>IF(OR(N488&lt;$T$1*0.5,O488&lt;$U$1*0.5),"код для проверки","нормальный код")</f>
        <v/>
      </c>
      <c r="T488">
        <f>IF(N488&lt;$T$1*0.5,"Низшая четверть",IF(N488&lt;$T$1,"Вторая четверть","Больше половины"))</f>
        <v/>
      </c>
      <c r="U488">
        <f>IF(O488&lt;$U$1*0.5,"Низшая четверть",IF(O488&lt;$U$1,"Вторая четверть","Больше половины"))</f>
        <v/>
      </c>
      <c r="V488">
        <f>IF(OR(N488&lt;SUMIFS(L:L,R:R,1,E:E,E488)/SUMIFS(K:K,R:R,1,E:E,E488)*0.5,O488&lt;SUMIFS(M:M,R:R,1,E:E,E488)/SUMIFS(L:L,R:R,1,E:E,E488)*0.5),"код для проверки","нормальный код")</f>
        <v/>
      </c>
      <c r="W488">
        <f>IF(N488&lt;SUMIFS(L:L,R:R,1,E:E,E488)/SUMIFS(K:K,R:R,1,E:E,E488)*0.5,"Низшая четверть",IF(N488&lt;SUMIFS(L:L,R:R,1,E:E,E488)/SUMIFS(K:K,R:R,1,E:E,E488),"Вторая четверть","Больше половины"))</f>
        <v/>
      </c>
      <c r="X488">
        <f>IF(O488&lt;SUMIFS(M:M,R:R,1,E:E,E488)/SUMIFS(L:L,R:R,1,E:E,E488)*0.5,"Низшая четверть",IF(O488&lt;SUMIFS(M:M,R:R,1,E:E,E488)/SUMIFS(L:L,R:R,1,E:E,E488),"Вторая четверть","Больше половины"))</f>
        <v/>
      </c>
      <c r="Y488" t="n">
        <v>14</v>
      </c>
    </row>
    <row r="489">
      <c r="A489" s="1" t="inlineStr">
        <is>
          <t>29900150</t>
        </is>
      </c>
      <c r="B489" s="2" t="inlineStr">
        <is>
          <t>699198521</t>
        </is>
      </c>
      <c r="C489" s="3" t="inlineStr">
        <is>
          <t>Одежда для детей</t>
        </is>
      </c>
      <c r="D489" s="2" t="inlineStr">
        <is>
          <t>Платья, майки, футболки детские для девочек</t>
        </is>
      </c>
      <c r="E489" s="3" t="inlineStr">
        <is>
          <t>299 Платье длинный рукав детское для девочек</t>
        </is>
      </c>
      <c r="F489" s="2" t="inlineStr">
        <is>
          <t>весна, осень, зима</t>
        </is>
      </c>
      <c r="G489" s="3" t="inlineStr">
        <is>
          <t>Kari KIDS</t>
        </is>
      </c>
      <c r="H489" s="2" t="inlineStr">
        <is>
          <t>Зиннуров Ильнур</t>
        </is>
      </c>
      <c r="J489" s="3" t="inlineStr">
        <is>
          <t>2026SS</t>
        </is>
      </c>
      <c r="K489" s="3" t="n">
        <v>5808</v>
      </c>
      <c r="L489" s="3" t="n">
        <v>423</v>
      </c>
      <c r="M489" s="3" t="n">
        <v>8</v>
      </c>
      <c r="N489" s="4">
        <f>IFERROR(L489/K489,0)</f>
        <v/>
      </c>
      <c r="O489" s="4">
        <f>IFERROR(M489/L489,0)</f>
        <v/>
      </c>
      <c r="P489" t="n">
        <v>196</v>
      </c>
      <c r="Q489" s="5" t="n">
        <v>1</v>
      </c>
      <c r="R489" s="7" t="n">
        <v>1</v>
      </c>
      <c r="S489">
        <f>IF(OR(N489&lt;$T$1*0.5,O489&lt;$U$1*0.5),"код для проверки","нормальный код")</f>
        <v/>
      </c>
      <c r="T489">
        <f>IF(N489&lt;$T$1*0.5,"Низшая четверть",IF(N489&lt;$T$1,"Вторая четверть","Больше половины"))</f>
        <v/>
      </c>
      <c r="U489">
        <f>IF(O489&lt;$U$1*0.5,"Низшая четверть",IF(O489&lt;$U$1,"Вторая четверть","Больше половины"))</f>
        <v/>
      </c>
      <c r="V489">
        <f>IF(OR(N489&lt;SUMIFS(L:L,R:R,1,E:E,E489)/SUMIFS(K:K,R:R,1,E:E,E489)*0.5,O489&lt;SUMIFS(M:M,R:R,1,E:E,E489)/SUMIFS(L:L,R:R,1,E:E,E489)*0.5),"код для проверки","нормальный код")</f>
        <v/>
      </c>
      <c r="W489">
        <f>IF(N489&lt;SUMIFS(L:L,R:R,1,E:E,E489)/SUMIFS(K:K,R:R,1,E:E,E489)*0.5,"Низшая четверть",IF(N489&lt;SUMIFS(L:L,R:R,1,E:E,E489)/SUMIFS(K:K,R:R,1,E:E,E489),"Вторая четверть","Больше половины"))</f>
        <v/>
      </c>
      <c r="X489">
        <f>IF(O489&lt;SUMIFS(M:M,R:R,1,E:E,E489)/SUMIFS(L:L,R:R,1,E:E,E489)*0.5,"Низшая четверть",IF(O489&lt;SUMIFS(M:M,R:R,1,E:E,E489)/SUMIFS(L:L,R:R,1,E:E,E489),"Вторая четверть","Больше половины"))</f>
        <v/>
      </c>
      <c r="Y489" t="n">
        <v>21</v>
      </c>
    </row>
    <row r="490">
      <c r="A490" s="1" t="inlineStr">
        <is>
          <t>18400120</t>
        </is>
      </c>
      <c r="B490" s="2" t="inlineStr">
        <is>
          <t>879308760</t>
        </is>
      </c>
      <c r="C490" s="3" t="inlineStr">
        <is>
          <t>Одежда и аксессуары</t>
        </is>
      </c>
      <c r="D490" s="2" t="inlineStr">
        <is>
          <t>Майки и платья женские</t>
        </is>
      </c>
      <c r="E490" s="3" t="inlineStr">
        <is>
          <t>184 Женская футболка</t>
        </is>
      </c>
      <c r="F490" s="2" t="inlineStr">
        <is>
          <t>всесезонный</t>
        </is>
      </c>
      <c r="G490" s="3" t="inlineStr">
        <is>
          <t>kari</t>
        </is>
      </c>
      <c r="H490" s="2" t="inlineStr">
        <is>
          <t>Зиннуров Ильнур</t>
        </is>
      </c>
      <c r="J490" s="3" t="inlineStr">
        <is>
          <t>2026SS</t>
        </is>
      </c>
      <c r="K490" s="3" t="n">
        <v>5788</v>
      </c>
      <c r="L490" s="3" t="n">
        <v>100</v>
      </c>
      <c r="M490" s="3" t="n">
        <v>0</v>
      </c>
      <c r="N490" s="4">
        <f>IFERROR(L490/K490,0)</f>
        <v/>
      </c>
      <c r="O490" s="4">
        <f>IFERROR(M490/L490,0)</f>
        <v/>
      </c>
      <c r="P490" t="n">
        <v>149</v>
      </c>
      <c r="Q490" s="5" t="n">
        <v>1</v>
      </c>
      <c r="R490" s="7" t="n">
        <v>1</v>
      </c>
      <c r="S490">
        <f>IF(OR(N490&lt;$T$1*0.5,O490&lt;$U$1*0.5),"код для проверки","нормальный код")</f>
        <v/>
      </c>
      <c r="T490">
        <f>IF(N490&lt;$T$1*0.5,"Низшая четверть",IF(N490&lt;$T$1,"Вторая четверть","Больше половины"))</f>
        <v/>
      </c>
      <c r="U490">
        <f>IF(O490&lt;$U$1*0.5,"Низшая четверть",IF(O490&lt;$U$1,"Вторая четверть","Больше половины"))</f>
        <v/>
      </c>
      <c r="V490">
        <f>IF(OR(N490&lt;SUMIFS(L:L,R:R,1,E:E,E490)/SUMIFS(K:K,R:R,1,E:E,E490)*0.5,O490&lt;SUMIFS(M:M,R:R,1,E:E,E490)/SUMIFS(L:L,R:R,1,E:E,E490)*0.5),"код для проверки","нормальный код")</f>
        <v/>
      </c>
      <c r="W490">
        <f>IF(N490&lt;SUMIFS(L:L,R:R,1,E:E,E490)/SUMIFS(K:K,R:R,1,E:E,E490)*0.5,"Низшая четверть",IF(N490&lt;SUMIFS(L:L,R:R,1,E:E,E490)/SUMIFS(K:K,R:R,1,E:E,E490),"Вторая четверть","Больше половины"))</f>
        <v/>
      </c>
      <c r="X490">
        <f>IF(O490&lt;SUMIFS(M:M,R:R,1,E:E,E490)/SUMIFS(L:L,R:R,1,E:E,E490)*0.5,"Низшая четверть",IF(O490&lt;SUMIFS(M:M,R:R,1,E:E,E490)/SUMIFS(L:L,R:R,1,E:E,E490),"Вторая четверть","Больше половины"))</f>
        <v/>
      </c>
      <c r="Y490" t="n">
        <v>8</v>
      </c>
    </row>
    <row r="491">
      <c r="A491" s="1" t="inlineStr">
        <is>
          <t>42400060</t>
        </is>
      </c>
      <c r="B491" s="2" t="inlineStr">
        <is>
          <t>721197623</t>
        </is>
      </c>
      <c r="C491" s="3" t="inlineStr">
        <is>
          <t>Одежда для детей</t>
        </is>
      </c>
      <c r="D491" s="2" t="inlineStr">
        <is>
          <t>Одежда для новорожденных</t>
        </is>
      </c>
      <c r="E491" s="3" t="inlineStr">
        <is>
          <t>424 Комбинезон для новорожденных утепленный</t>
        </is>
      </c>
      <c r="F491" s="2" t="inlineStr">
        <is>
          <t>весна, осень, зима</t>
        </is>
      </c>
      <c r="G491" s="3" t="inlineStr">
        <is>
          <t>Kari baby</t>
        </is>
      </c>
      <c r="H491" s="2" t="inlineStr">
        <is>
          <t>Зиннуров Ильнур</t>
        </is>
      </c>
      <c r="J491" s="3" t="inlineStr">
        <is>
          <t>2026SS</t>
        </is>
      </c>
      <c r="K491" s="3" t="n">
        <v>5769</v>
      </c>
      <c r="L491" s="3" t="n">
        <v>1120</v>
      </c>
      <c r="M491" s="3" t="n">
        <v>7</v>
      </c>
      <c r="N491" s="4">
        <f>IFERROR(L491/K491,0)</f>
        <v/>
      </c>
      <c r="O491" s="4">
        <f>IFERROR(M491/L491,0)</f>
        <v/>
      </c>
      <c r="P491" t="n">
        <v>392</v>
      </c>
      <c r="Q491" s="5" t="n">
        <v>1</v>
      </c>
      <c r="R491" s="7" t="n">
        <v>1</v>
      </c>
      <c r="S491">
        <f>IF(OR(N491&lt;$T$1*0.5,O491&lt;$U$1*0.5),"код для проверки","нормальный код")</f>
        <v/>
      </c>
      <c r="T491">
        <f>IF(N491&lt;$T$1*0.5,"Низшая четверть",IF(N491&lt;$T$1,"Вторая четверть","Больше половины"))</f>
        <v/>
      </c>
      <c r="U491">
        <f>IF(O491&lt;$U$1*0.5,"Низшая четверть",IF(O491&lt;$U$1,"Вторая четверть","Больше половины"))</f>
        <v/>
      </c>
      <c r="V491">
        <f>IF(OR(N491&lt;SUMIFS(L:L,R:R,1,E:E,E491)/SUMIFS(K:K,R:R,1,E:E,E491)*0.5,O491&lt;SUMIFS(M:M,R:R,1,E:E,E491)/SUMIFS(L:L,R:R,1,E:E,E491)*0.5),"код для проверки","нормальный код")</f>
        <v/>
      </c>
      <c r="W491">
        <f>IF(N491&lt;SUMIFS(L:L,R:R,1,E:E,E491)/SUMIFS(K:K,R:R,1,E:E,E491)*0.5,"Низшая четверть",IF(N491&lt;SUMIFS(L:L,R:R,1,E:E,E491)/SUMIFS(K:K,R:R,1,E:E,E491),"Вторая четверть","Больше половины"))</f>
        <v/>
      </c>
      <c r="X491">
        <f>IF(O491&lt;SUMIFS(M:M,R:R,1,E:E,E491)/SUMIFS(L:L,R:R,1,E:E,E491)*0.5,"Низшая четверть",IF(O491&lt;SUMIFS(M:M,R:R,1,E:E,E491)/SUMIFS(L:L,R:R,1,E:E,E491),"Вторая четверть","Больше половины"))</f>
        <v/>
      </c>
      <c r="Y491" t="n">
        <v>16</v>
      </c>
    </row>
    <row r="492">
      <c r="A492" s="1" t="inlineStr">
        <is>
          <t>20100190</t>
        </is>
      </c>
      <c r="B492" s="2" t="inlineStr">
        <is>
          <t>371244562</t>
        </is>
      </c>
      <c r="C492" s="3" t="inlineStr">
        <is>
          <t>Одежда для детей</t>
        </is>
      </c>
      <c r="D492" s="2" t="inlineStr">
        <is>
          <t>Головные детские уборы для девочек</t>
        </is>
      </c>
      <c r="E492" s="3" t="inlineStr">
        <is>
          <t>201 Бейсболка детская для девочек</t>
        </is>
      </c>
      <c r="F492" s="2" t="inlineStr">
        <is>
          <t>весна, лето</t>
        </is>
      </c>
      <c r="G492" s="3" t="inlineStr">
        <is>
          <t>kari</t>
        </is>
      </c>
      <c r="H492" s="2" t="inlineStr">
        <is>
          <t>Никонорова Алина</t>
        </is>
      </c>
      <c r="J492" s="3" t="inlineStr">
        <is>
          <t>2026SS</t>
        </is>
      </c>
      <c r="K492" s="3" t="n">
        <v>5675</v>
      </c>
      <c r="L492" s="3" t="n">
        <v>1176</v>
      </c>
      <c r="M492" s="3" t="n">
        <v>30</v>
      </c>
      <c r="N492" s="4">
        <f>IFERROR(L492/K492,0)</f>
        <v/>
      </c>
      <c r="O492" s="4">
        <f>IFERROR(M492/L492,0)</f>
        <v/>
      </c>
      <c r="P492" t="n">
        <v>0</v>
      </c>
      <c r="Q492" s="5" t="n">
        <v>0</v>
      </c>
      <c r="R492" s="7" t="n">
        <v>0</v>
      </c>
      <c r="S492" t="inlineStr">
        <is>
          <t>Мало остатка</t>
        </is>
      </c>
      <c r="T492">
        <f>IF(N492&lt;$T$1*0.5,"Низшая четверть",IF(N492&lt;$T$1,"Вторая четверть","Больше половины"))</f>
        <v/>
      </c>
      <c r="U492">
        <f>IF(O492&lt;$U$1*0.5,"Низшая четверть",IF(O492&lt;$U$1,"Вторая четверть","Больше половины"))</f>
        <v/>
      </c>
      <c r="V492">
        <f>IF(OR(N492&lt;SUMIFS(L:L,R:R,1,E:E,E492)/SUMIFS(K:K,R:R,1,E:E,E492)*0.5,O492&lt;SUMIFS(M:M,R:R,1,E:E,E492)/SUMIFS(L:L,R:R,1,E:E,E492)*0.5),"код для проверки","нормальный код")</f>
        <v/>
      </c>
      <c r="W492">
        <f>IF(N492&lt;SUMIFS(L:L,R:R,1,E:E,E492)/SUMIFS(K:K,R:R,1,E:E,E492)*0.5,"Низшая четверть",IF(N492&lt;SUMIFS(L:L,R:R,1,E:E,E492)/SUMIFS(K:K,R:R,1,E:E,E492),"Вторая четверть","Больше половины"))</f>
        <v/>
      </c>
      <c r="X492">
        <f>IF(O492&lt;SUMIFS(M:M,R:R,1,E:E,E492)/SUMIFS(L:L,R:R,1,E:E,E492)*0.5,"Низшая четверть",IF(O492&lt;SUMIFS(M:M,R:R,1,E:E,E492)/SUMIFS(L:L,R:R,1,E:E,E492),"Вторая четверть","Больше половины"))</f>
        <v/>
      </c>
      <c r="Y492" t="n">
        <v>8</v>
      </c>
    </row>
    <row r="493">
      <c r="A493" s="1" t="inlineStr">
        <is>
          <t>094000I0</t>
        </is>
      </c>
      <c r="B493" s="2" t="inlineStr">
        <is>
          <t>822827096</t>
        </is>
      </c>
      <c r="C493" s="3" t="inlineStr">
        <is>
          <t>Одежда и аксессуары</t>
        </is>
      </c>
      <c r="D493" s="2" t="inlineStr">
        <is>
          <t>Купальники женские</t>
        </is>
      </c>
      <c r="E493" s="3" t="inlineStr">
        <is>
          <t>094 Купальник</t>
        </is>
      </c>
      <c r="F493" s="2" t="inlineStr">
        <is>
          <t>лето</t>
        </is>
      </c>
      <c r="G493" s="3" t="inlineStr">
        <is>
          <t>kari</t>
        </is>
      </c>
      <c r="H493" s="2" t="inlineStr">
        <is>
          <t>Никонорова Алина</t>
        </is>
      </c>
      <c r="J493" s="3" t="inlineStr">
        <is>
          <t>2026SS</t>
        </is>
      </c>
      <c r="K493" s="3" t="n">
        <v>5622</v>
      </c>
      <c r="L493" s="3" t="n">
        <v>3851</v>
      </c>
      <c r="M493" s="3" t="n">
        <v>13</v>
      </c>
      <c r="N493" s="4">
        <f>IFERROR(L493/K493,0)</f>
        <v/>
      </c>
      <c r="O493" s="4">
        <f>IFERROR(M493/L493,0)</f>
        <v/>
      </c>
      <c r="P493" t="n">
        <v>1648</v>
      </c>
      <c r="Q493" s="5" t="n">
        <v>0.7777777777777778</v>
      </c>
      <c r="R493" s="7" t="n">
        <v>1</v>
      </c>
      <c r="S493">
        <f>IF(OR(N493&lt;$T$1*0.5,O493&lt;$U$1*0.5),"код для проверки","нормальный код")</f>
        <v/>
      </c>
      <c r="T493">
        <f>IF(N493&lt;$T$1*0.5,"Низшая четверть",IF(N493&lt;$T$1,"Вторая четверть","Больше половины"))</f>
        <v/>
      </c>
      <c r="U493">
        <f>IF(O493&lt;$U$1*0.5,"Низшая четверть",IF(O493&lt;$U$1,"Вторая четверть","Больше половины"))</f>
        <v/>
      </c>
      <c r="V493">
        <f>IF(OR(N493&lt;SUMIFS(L:L,R:R,1,E:E,E493)/SUMIFS(K:K,R:R,1,E:E,E493)*0.5,O493&lt;SUMIFS(M:M,R:R,1,E:E,E493)/SUMIFS(L:L,R:R,1,E:E,E493)*0.5),"код для проверки","нормальный код")</f>
        <v/>
      </c>
      <c r="W493">
        <f>IF(N493&lt;SUMIFS(L:L,R:R,1,E:E,E493)/SUMIFS(K:K,R:R,1,E:E,E493)*0.5,"Низшая четверть",IF(N493&lt;SUMIFS(L:L,R:R,1,E:E,E493)/SUMIFS(K:K,R:R,1,E:E,E493),"Вторая четверть","Больше половины"))</f>
        <v/>
      </c>
      <c r="X493">
        <f>IF(O493&lt;SUMIFS(M:M,R:R,1,E:E,E493)/SUMIFS(L:L,R:R,1,E:E,E493)*0.5,"Низшая четверть",IF(O493&lt;SUMIFS(M:M,R:R,1,E:E,E493)/SUMIFS(L:L,R:R,1,E:E,E493),"Вторая четверть","Больше половины"))</f>
        <v/>
      </c>
      <c r="Y493" t="n">
        <v>18</v>
      </c>
    </row>
    <row r="494">
      <c r="A494" s="1" t="inlineStr">
        <is>
          <t>29000110</t>
        </is>
      </c>
      <c r="B494" s="2" t="inlineStr">
        <is>
          <t>769002367</t>
        </is>
      </c>
      <c r="C494" s="3" t="inlineStr">
        <is>
          <t>Одежда для детей</t>
        </is>
      </c>
      <c r="D494" s="2" t="inlineStr">
        <is>
          <t>Брюки детские для девочек</t>
        </is>
      </c>
      <c r="E494" s="3" t="inlineStr">
        <is>
          <t>290 Штаны детские для девочек</t>
        </is>
      </c>
      <c r="F494" s="2" t="inlineStr">
        <is>
          <t>всесезонный</t>
        </is>
      </c>
      <c r="G494" s="3" t="inlineStr">
        <is>
          <t>kari</t>
        </is>
      </c>
      <c r="H494" s="2" t="inlineStr">
        <is>
          <t>Зиннуров Ильнур</t>
        </is>
      </c>
      <c r="J494" s="3" t="inlineStr">
        <is>
          <t>2026SS</t>
        </is>
      </c>
      <c r="K494" s="3" t="n">
        <v>5615</v>
      </c>
      <c r="L494" s="3" t="n">
        <v>369</v>
      </c>
      <c r="M494" s="3" t="n">
        <v>13</v>
      </c>
      <c r="N494" s="4">
        <f>IFERROR(L494/K494,0)</f>
        <v/>
      </c>
      <c r="O494" s="4">
        <f>IFERROR(M494/L494,0)</f>
        <v/>
      </c>
      <c r="P494" t="n">
        <v>445</v>
      </c>
      <c r="Q494" s="5" t="n">
        <v>1</v>
      </c>
      <c r="R494" s="7" t="n">
        <v>1</v>
      </c>
      <c r="S494">
        <f>IF(OR(N494&lt;$T$1*0.5,O494&lt;$U$1*0.5),"код для проверки","нормальный код")</f>
        <v/>
      </c>
      <c r="T494">
        <f>IF(N494&lt;$T$1*0.5,"Низшая четверть",IF(N494&lt;$T$1,"Вторая четверть","Больше половины"))</f>
        <v/>
      </c>
      <c r="U494">
        <f>IF(O494&lt;$U$1*0.5,"Низшая четверть",IF(O494&lt;$U$1,"Вторая четверть","Больше половины"))</f>
        <v/>
      </c>
      <c r="V494">
        <f>IF(OR(N494&lt;SUMIFS(L:L,R:R,1,E:E,E494)/SUMIFS(K:K,R:R,1,E:E,E494)*0.5,O494&lt;SUMIFS(M:M,R:R,1,E:E,E494)/SUMIFS(L:L,R:R,1,E:E,E494)*0.5),"код для проверки","нормальный код")</f>
        <v/>
      </c>
      <c r="W494">
        <f>IF(N494&lt;SUMIFS(L:L,R:R,1,E:E,E494)/SUMIFS(K:K,R:R,1,E:E,E494)*0.5,"Низшая четверть",IF(N494&lt;SUMIFS(L:L,R:R,1,E:E,E494)/SUMIFS(K:K,R:R,1,E:E,E494),"Вторая четверть","Больше половины"))</f>
        <v/>
      </c>
      <c r="X494">
        <f>IF(O494&lt;SUMIFS(M:M,R:R,1,E:E,E494)/SUMIFS(L:L,R:R,1,E:E,E494)*0.5,"Низшая четверть",IF(O494&lt;SUMIFS(M:M,R:R,1,E:E,E494)/SUMIFS(L:L,R:R,1,E:E,E494),"Вторая четверть","Больше половины"))</f>
        <v/>
      </c>
      <c r="Y494" t="n">
        <v>17</v>
      </c>
    </row>
    <row r="495">
      <c r="A495" s="1" t="inlineStr">
        <is>
          <t>a7700020</t>
        </is>
      </c>
      <c r="B495" s="2" t="inlineStr">
        <is>
          <t>695216196</t>
        </is>
      </c>
      <c r="C495" s="3" t="inlineStr">
        <is>
          <t>Одежда для детей</t>
        </is>
      </c>
      <c r="D495" s="2" t="inlineStr">
        <is>
          <t>Свитера детские для мальчиков</t>
        </is>
      </c>
      <c r="E495" s="3" t="inlineStr">
        <is>
          <t>a77 Толстовка-худи утепленная для мальчиков</t>
        </is>
      </c>
      <c r="F495" s="2" t="inlineStr">
        <is>
          <t>весна, осень, зима</t>
        </is>
      </c>
      <c r="G495" s="3" t="inlineStr">
        <is>
          <t>Kari KIDS</t>
        </is>
      </c>
      <c r="H495" s="2" t="inlineStr">
        <is>
          <t>Зиннуров Ильнур</t>
        </is>
      </c>
      <c r="J495" s="3" t="inlineStr">
        <is>
          <t>2026SS</t>
        </is>
      </c>
      <c r="K495" s="3" t="n">
        <v>5613</v>
      </c>
      <c r="L495" s="3" t="n">
        <v>529</v>
      </c>
      <c r="M495" s="3" t="n">
        <v>8</v>
      </c>
      <c r="N495" s="4">
        <f>IFERROR(L495/K495,0)</f>
        <v/>
      </c>
      <c r="O495" s="4">
        <f>IFERROR(M495/L495,0)</f>
        <v/>
      </c>
      <c r="P495" t="n">
        <v>150</v>
      </c>
      <c r="Q495" s="5" t="n">
        <v>0.6</v>
      </c>
      <c r="R495" s="7" t="n">
        <v>1</v>
      </c>
      <c r="S495">
        <f>IF(OR(N495&lt;$T$1*0.5,O495&lt;$U$1*0.5),"код для проверки","нормальный код")</f>
        <v/>
      </c>
      <c r="T495">
        <f>IF(N495&lt;$T$1*0.5,"Низшая четверть",IF(N495&lt;$T$1,"Вторая четверть","Больше половины"))</f>
        <v/>
      </c>
      <c r="U495">
        <f>IF(O495&lt;$U$1*0.5,"Низшая четверть",IF(O495&lt;$U$1,"Вторая четверть","Больше половины"))</f>
        <v/>
      </c>
      <c r="V495">
        <f>IF(OR(N495&lt;SUMIFS(L:L,R:R,1,E:E,E495)/SUMIFS(K:K,R:R,1,E:E,E495)*0.5,O495&lt;SUMIFS(M:M,R:R,1,E:E,E495)/SUMIFS(L:L,R:R,1,E:E,E495)*0.5),"код для проверки","нормальный код")</f>
        <v/>
      </c>
      <c r="W495">
        <f>IF(N495&lt;SUMIFS(L:L,R:R,1,E:E,E495)/SUMIFS(K:K,R:R,1,E:E,E495)*0.5,"Низшая четверть",IF(N495&lt;SUMIFS(L:L,R:R,1,E:E,E495)/SUMIFS(K:K,R:R,1,E:E,E495),"Вторая четверть","Больше половины"))</f>
        <v/>
      </c>
      <c r="X495">
        <f>IF(O495&lt;SUMIFS(M:M,R:R,1,E:E,E495)/SUMIFS(L:L,R:R,1,E:E,E495)*0.5,"Низшая четверть",IF(O495&lt;SUMIFS(M:M,R:R,1,E:E,E495)/SUMIFS(L:L,R:R,1,E:E,E495),"Вторая четверть","Больше половины"))</f>
        <v/>
      </c>
      <c r="Y495" t="n">
        <v>20</v>
      </c>
    </row>
    <row r="496">
      <c r="A496" s="1" t="inlineStr">
        <is>
          <t>18700060</t>
        </is>
      </c>
      <c r="B496" s="2" t="inlineStr">
        <is>
          <t>879308827</t>
        </is>
      </c>
      <c r="C496" s="3" t="inlineStr">
        <is>
          <t>Одежда и аксессуары</t>
        </is>
      </c>
      <c r="D496" s="2" t="inlineStr">
        <is>
          <t>Майки и платья женские</t>
        </is>
      </c>
      <c r="E496" s="3" t="inlineStr">
        <is>
          <t>187 Платье женское</t>
        </is>
      </c>
      <c r="F496" s="2" t="inlineStr">
        <is>
          <t>весна, лето</t>
        </is>
      </c>
      <c r="G496" s="3" t="inlineStr">
        <is>
          <t>kari</t>
        </is>
      </c>
      <c r="H496" s="2" t="inlineStr">
        <is>
          <t>Зиннуров Ильнур</t>
        </is>
      </c>
      <c r="J496" s="3" t="inlineStr">
        <is>
          <t>2026SS</t>
        </is>
      </c>
      <c r="K496" s="3" t="n">
        <v>5582</v>
      </c>
      <c r="L496" s="3" t="n">
        <v>388</v>
      </c>
      <c r="M496" s="3" t="n">
        <v>5</v>
      </c>
      <c r="N496" s="4">
        <f>IFERROR(L496/K496,0)</f>
        <v/>
      </c>
      <c r="O496" s="4">
        <f>IFERROR(M496/L496,0)</f>
        <v/>
      </c>
      <c r="P496" t="n">
        <v>275</v>
      </c>
      <c r="Q496" s="5" t="n">
        <v>1</v>
      </c>
      <c r="R496" s="7" t="n">
        <v>1</v>
      </c>
      <c r="S496">
        <f>IF(OR(N496&lt;$T$1*0.5,O496&lt;$U$1*0.5),"код для проверки","нормальный код")</f>
        <v/>
      </c>
      <c r="T496">
        <f>IF(N496&lt;$T$1*0.5,"Низшая четверть",IF(N496&lt;$T$1,"Вторая четверть","Больше половины"))</f>
        <v/>
      </c>
      <c r="U496">
        <f>IF(O496&lt;$U$1*0.5,"Низшая четверть",IF(O496&lt;$U$1,"Вторая четверть","Больше половины"))</f>
        <v/>
      </c>
      <c r="V496">
        <f>IF(OR(N496&lt;SUMIFS(L:L,R:R,1,E:E,E496)/SUMIFS(K:K,R:R,1,E:E,E496)*0.5,O496&lt;SUMIFS(M:M,R:R,1,E:E,E496)/SUMIFS(L:L,R:R,1,E:E,E496)*0.5),"код для проверки","нормальный код")</f>
        <v/>
      </c>
      <c r="W496">
        <f>IF(N496&lt;SUMIFS(L:L,R:R,1,E:E,E496)/SUMIFS(K:K,R:R,1,E:E,E496)*0.5,"Низшая четверть",IF(N496&lt;SUMIFS(L:L,R:R,1,E:E,E496)/SUMIFS(K:K,R:R,1,E:E,E496),"Вторая четверть","Больше половины"))</f>
        <v/>
      </c>
      <c r="X496">
        <f>IF(O496&lt;SUMIFS(M:M,R:R,1,E:E,E496)/SUMIFS(L:L,R:R,1,E:E,E496)*0.5,"Низшая четверть",IF(O496&lt;SUMIFS(M:M,R:R,1,E:E,E496)/SUMIFS(L:L,R:R,1,E:E,E496),"Вторая четверть","Больше половины"))</f>
        <v/>
      </c>
      <c r="Y496" t="n">
        <v>13</v>
      </c>
    </row>
    <row r="497">
      <c r="A497" s="1" t="inlineStr">
        <is>
          <t>b5008090</t>
        </is>
      </c>
      <c r="B497" s="2" t="inlineStr">
        <is>
          <t>378959578</t>
        </is>
      </c>
      <c r="C497" s="3" t="inlineStr">
        <is>
          <t>Одежда и аксессуары</t>
        </is>
      </c>
      <c r="D497" s="2" t="inlineStr">
        <is>
          <t>Майки и платья женские</t>
        </is>
      </c>
      <c r="E497" s="3" t="inlineStr">
        <is>
          <t>b50 Футболка женская для активного отдыха</t>
        </is>
      </c>
      <c r="F497" s="2" t="inlineStr">
        <is>
          <t>всесезонный</t>
        </is>
      </c>
      <c r="G497" s="3" t="inlineStr">
        <is>
          <t>kari</t>
        </is>
      </c>
      <c r="H497" s="2" t="inlineStr">
        <is>
          <t>Зиннуров Ильнур</t>
        </is>
      </c>
      <c r="J497" s="3" t="inlineStr">
        <is>
          <t>2026SS</t>
        </is>
      </c>
      <c r="K497" s="3" t="n">
        <v>5565</v>
      </c>
      <c r="L497" s="3" t="n">
        <v>254</v>
      </c>
      <c r="M497" s="3" t="n">
        <v>8</v>
      </c>
      <c r="N497" s="4">
        <f>IFERROR(L497/K497,0)</f>
        <v/>
      </c>
      <c r="O497" s="4">
        <f>IFERROR(M497/L497,0)</f>
        <v/>
      </c>
      <c r="P497" t="n">
        <v>653</v>
      </c>
      <c r="Q497" s="5" t="n">
        <v>1</v>
      </c>
      <c r="R497" s="7" t="n">
        <v>1</v>
      </c>
      <c r="S497">
        <f>IF(OR(N497&lt;$T$1*0.5,O497&lt;$U$1*0.5),"код для проверки","нормальный код")</f>
        <v/>
      </c>
      <c r="T497">
        <f>IF(N497&lt;$T$1*0.5,"Низшая четверть",IF(N497&lt;$T$1,"Вторая четверть","Больше половины"))</f>
        <v/>
      </c>
      <c r="U497">
        <f>IF(O497&lt;$U$1*0.5,"Низшая четверть",IF(O497&lt;$U$1,"Вторая четверть","Больше половины"))</f>
        <v/>
      </c>
      <c r="V497">
        <f>IF(OR(N497&lt;SUMIFS(L:L,R:R,1,E:E,E497)/SUMIFS(K:K,R:R,1,E:E,E497)*0.5,O497&lt;SUMIFS(M:M,R:R,1,E:E,E497)/SUMIFS(L:L,R:R,1,E:E,E497)*0.5),"код для проверки","нормальный код")</f>
        <v/>
      </c>
      <c r="W497">
        <f>IF(N497&lt;SUMIFS(L:L,R:R,1,E:E,E497)/SUMIFS(K:K,R:R,1,E:E,E497)*0.5,"Низшая четверть",IF(N497&lt;SUMIFS(L:L,R:R,1,E:E,E497)/SUMIFS(K:K,R:R,1,E:E,E497),"Вторая четверть","Больше половины"))</f>
        <v/>
      </c>
      <c r="X497">
        <f>IF(O497&lt;SUMIFS(M:M,R:R,1,E:E,E497)/SUMIFS(L:L,R:R,1,E:E,E497)*0.5,"Низшая четверть",IF(O497&lt;SUMIFS(M:M,R:R,1,E:E,E497)/SUMIFS(L:L,R:R,1,E:E,E497),"Вторая четверть","Больше половины"))</f>
        <v/>
      </c>
      <c r="Y497" t="n">
        <v>4</v>
      </c>
    </row>
    <row r="498">
      <c r="A498" s="1" t="inlineStr">
        <is>
          <t>18700070</t>
        </is>
      </c>
      <c r="B498" s="2" t="inlineStr">
        <is>
          <t>755304021</t>
        </is>
      </c>
      <c r="C498" s="3" t="inlineStr">
        <is>
          <t>Одежда и аксессуары</t>
        </is>
      </c>
      <c r="D498" s="2" t="inlineStr">
        <is>
          <t>Майки и платья женские</t>
        </is>
      </c>
      <c r="E498" s="3" t="inlineStr">
        <is>
          <t>187 Платье женское</t>
        </is>
      </c>
      <c r="F498" s="2" t="inlineStr">
        <is>
          <t>весна, лето</t>
        </is>
      </c>
      <c r="G498" s="3" t="inlineStr">
        <is>
          <t>kari</t>
        </is>
      </c>
      <c r="H498" s="2" t="inlineStr">
        <is>
          <t>Зиннуров Ильнур</t>
        </is>
      </c>
      <c r="J498" s="3" t="inlineStr">
        <is>
          <t>2026SS</t>
        </is>
      </c>
      <c r="K498" s="3" t="n">
        <v>5563</v>
      </c>
      <c r="L498" s="3" t="n">
        <v>215</v>
      </c>
      <c r="M498" s="3" t="n">
        <v>2</v>
      </c>
      <c r="N498" s="4">
        <f>IFERROR(L498/K498,0)</f>
        <v/>
      </c>
      <c r="O498" s="4">
        <f>IFERROR(M498/L498,0)</f>
        <v/>
      </c>
      <c r="P498" t="n">
        <v>356</v>
      </c>
      <c r="Q498" s="5" t="n">
        <v>1</v>
      </c>
      <c r="R498" s="7" t="n">
        <v>1</v>
      </c>
      <c r="S498">
        <f>IF(OR(N498&lt;$T$1*0.5,O498&lt;$U$1*0.5),"код для проверки","нормальный код")</f>
        <v/>
      </c>
      <c r="T498">
        <f>IF(N498&lt;$T$1*0.5,"Низшая четверть",IF(N498&lt;$T$1,"Вторая четверть","Больше половины"))</f>
        <v/>
      </c>
      <c r="U498">
        <f>IF(O498&lt;$U$1*0.5,"Низшая четверть",IF(O498&lt;$U$1,"Вторая четверть","Больше половины"))</f>
        <v/>
      </c>
      <c r="V498">
        <f>IF(OR(N498&lt;SUMIFS(L:L,R:R,1,E:E,E498)/SUMIFS(K:K,R:R,1,E:E,E498)*0.5,O498&lt;SUMIFS(M:M,R:R,1,E:E,E498)/SUMIFS(L:L,R:R,1,E:E,E498)*0.5),"код для проверки","нормальный код")</f>
        <v/>
      </c>
      <c r="W498">
        <f>IF(N498&lt;SUMIFS(L:L,R:R,1,E:E,E498)/SUMIFS(K:K,R:R,1,E:E,E498)*0.5,"Низшая четверть",IF(N498&lt;SUMIFS(L:L,R:R,1,E:E,E498)/SUMIFS(K:K,R:R,1,E:E,E498),"Вторая четверть","Больше половины"))</f>
        <v/>
      </c>
      <c r="X498">
        <f>IF(O498&lt;SUMIFS(M:M,R:R,1,E:E,E498)/SUMIFS(L:L,R:R,1,E:E,E498)*0.5,"Низшая четверть",IF(O498&lt;SUMIFS(M:M,R:R,1,E:E,E498)/SUMIFS(L:L,R:R,1,E:E,E498),"Вторая четверть","Больше половины"))</f>
        <v/>
      </c>
      <c r="Y498" t="n">
        <v>26</v>
      </c>
    </row>
    <row r="499">
      <c r="A499" s="1" t="inlineStr">
        <is>
          <t>20200340</t>
        </is>
      </c>
      <c r="B499" s="2" t="inlineStr">
        <is>
          <t>820479840</t>
        </is>
      </c>
      <c r="C499" s="3" t="inlineStr">
        <is>
          <t>Одежда для детей</t>
        </is>
      </c>
      <c r="D499" s="2" t="inlineStr">
        <is>
          <t>Головные уборы детские для мальчиков</t>
        </is>
      </c>
      <c r="E499" s="3" t="inlineStr">
        <is>
          <t>202 Бейсболка детская для мальчиков</t>
        </is>
      </c>
      <c r="F499" s="2" t="inlineStr">
        <is>
          <t>весна, лето</t>
        </is>
      </c>
      <c r="G499" s="3" t="inlineStr">
        <is>
          <t>kari</t>
        </is>
      </c>
      <c r="H499" s="2" t="inlineStr">
        <is>
          <t>Никонорова Алина</t>
        </is>
      </c>
      <c r="J499" s="3" t="inlineStr">
        <is>
          <t>2026SS</t>
        </is>
      </c>
      <c r="K499" s="3" t="n">
        <v>5553</v>
      </c>
      <c r="L499" s="3" t="n">
        <v>475</v>
      </c>
      <c r="M499" s="3" t="n">
        <v>8</v>
      </c>
      <c r="N499" s="4">
        <f>IFERROR(L499/K499,0)</f>
        <v/>
      </c>
      <c r="O499" s="4">
        <f>IFERROR(M499/L499,0)</f>
        <v/>
      </c>
      <c r="P499" t="n">
        <v>573</v>
      </c>
      <c r="Q499" s="5" t="n">
        <v>1</v>
      </c>
      <c r="R499" s="7" t="n">
        <v>1</v>
      </c>
      <c r="S499">
        <f>IF(OR(N499&lt;$T$1*0.5,O499&lt;$U$1*0.5),"код для проверки","нормальный код")</f>
        <v/>
      </c>
      <c r="T499">
        <f>IF(N499&lt;$T$1*0.5,"Низшая четверть",IF(N499&lt;$T$1,"Вторая четверть","Больше половины"))</f>
        <v/>
      </c>
      <c r="U499">
        <f>IF(O499&lt;$U$1*0.5,"Низшая четверть",IF(O499&lt;$U$1,"Вторая четверть","Больше половины"))</f>
        <v/>
      </c>
      <c r="V499">
        <f>IF(OR(N499&lt;SUMIFS(L:L,R:R,1,E:E,E499)/SUMIFS(K:K,R:R,1,E:E,E499)*0.5,O499&lt;SUMIFS(M:M,R:R,1,E:E,E499)/SUMIFS(L:L,R:R,1,E:E,E499)*0.5),"код для проверки","нормальный код")</f>
        <v/>
      </c>
      <c r="W499">
        <f>IF(N499&lt;SUMIFS(L:L,R:R,1,E:E,E499)/SUMIFS(K:K,R:R,1,E:E,E499)*0.5,"Низшая четверть",IF(N499&lt;SUMIFS(L:L,R:R,1,E:E,E499)/SUMIFS(K:K,R:R,1,E:E,E499),"Вторая четверть","Больше половины"))</f>
        <v/>
      </c>
      <c r="X499">
        <f>IF(O499&lt;SUMIFS(M:M,R:R,1,E:E,E499)/SUMIFS(L:L,R:R,1,E:E,E499)*0.5,"Низшая четверть",IF(O499&lt;SUMIFS(M:M,R:R,1,E:E,E499)/SUMIFS(L:L,R:R,1,E:E,E499),"Вторая четверть","Больше половины"))</f>
        <v/>
      </c>
      <c r="Y499" t="n">
        <v>8</v>
      </c>
    </row>
    <row r="500">
      <c r="A500" s="1" t="inlineStr">
        <is>
          <t>57400000</t>
        </is>
      </c>
      <c r="B500" s="2" t="inlineStr">
        <is>
          <t>772653446</t>
        </is>
      </c>
      <c r="C500" s="3" t="inlineStr">
        <is>
          <t>Одежда для детей</t>
        </is>
      </c>
      <c r="D500" s="2" t="inlineStr">
        <is>
          <t>Одежда для новорожденных</t>
        </is>
      </c>
      <c r="E500" s="3" t="inlineStr">
        <is>
          <t>574 Распашонка</t>
        </is>
      </c>
      <c r="F500" s="2" t="inlineStr">
        <is>
          <t>всесезонный</t>
        </is>
      </c>
      <c r="G500" s="3" t="inlineStr">
        <is>
          <t>Kari baby</t>
        </is>
      </c>
      <c r="H500" s="2" t="inlineStr">
        <is>
          <t>Зиннуров Ильнур</t>
        </is>
      </c>
      <c r="J500" s="3" t="inlineStr">
        <is>
          <t>2026SS</t>
        </is>
      </c>
      <c r="K500" s="3" t="n">
        <v>5525</v>
      </c>
      <c r="L500" s="3" t="n">
        <v>636</v>
      </c>
      <c r="M500" s="3" t="n">
        <v>12</v>
      </c>
      <c r="N500" s="4">
        <f>IFERROR(L500/K500,0)</f>
        <v/>
      </c>
      <c r="O500" s="4">
        <f>IFERROR(M500/L500,0)</f>
        <v/>
      </c>
      <c r="P500" t="n">
        <v>435</v>
      </c>
      <c r="Q500" s="5" t="n">
        <v>1</v>
      </c>
      <c r="R500" s="7" t="n">
        <v>1</v>
      </c>
      <c r="S500">
        <f>IF(OR(N500&lt;$T$1*0.5,O500&lt;$U$1*0.5),"код для проверки","нормальный код")</f>
        <v/>
      </c>
      <c r="T500">
        <f>IF(N500&lt;$T$1*0.5,"Низшая четверть",IF(N500&lt;$T$1,"Вторая четверть","Больше половины"))</f>
        <v/>
      </c>
      <c r="U500">
        <f>IF(O500&lt;$U$1*0.5,"Низшая четверть",IF(O500&lt;$U$1,"Вторая четверть","Больше половины"))</f>
        <v/>
      </c>
      <c r="V500">
        <f>IF(OR(N500&lt;SUMIFS(L:L,R:R,1,E:E,E500)/SUMIFS(K:K,R:R,1,E:E,E500)*0.5,O500&lt;SUMIFS(M:M,R:R,1,E:E,E500)/SUMIFS(L:L,R:R,1,E:E,E500)*0.5),"код для проверки","нормальный код")</f>
        <v/>
      </c>
      <c r="W500">
        <f>IF(N500&lt;SUMIFS(L:L,R:R,1,E:E,E500)/SUMIFS(K:K,R:R,1,E:E,E500)*0.5,"Низшая четверть",IF(N500&lt;SUMIFS(L:L,R:R,1,E:E,E500)/SUMIFS(K:K,R:R,1,E:E,E500),"Вторая четверть","Больше половины"))</f>
        <v/>
      </c>
      <c r="X500">
        <f>IF(O500&lt;SUMIFS(M:M,R:R,1,E:E,E500)/SUMIFS(L:L,R:R,1,E:E,E500)*0.5,"Низшая четверть",IF(O500&lt;SUMIFS(M:M,R:R,1,E:E,E500)/SUMIFS(L:L,R:R,1,E:E,E500),"Вторая четверть","Больше половины"))</f>
        <v/>
      </c>
      <c r="Y500" t="n">
        <v>15</v>
      </c>
    </row>
    <row r="501">
      <c r="A501" s="1" t="inlineStr">
        <is>
          <t>094000D0</t>
        </is>
      </c>
      <c r="B501" s="2" t="inlineStr">
        <is>
          <t>831959609</t>
        </is>
      </c>
      <c r="C501" s="3" t="inlineStr">
        <is>
          <t>Одежда и аксессуары</t>
        </is>
      </c>
      <c r="D501" s="2" t="inlineStr">
        <is>
          <t>Купальники женские</t>
        </is>
      </c>
      <c r="E501" s="3" t="inlineStr">
        <is>
          <t>094 Купальник</t>
        </is>
      </c>
      <c r="F501" s="2" t="inlineStr">
        <is>
          <t>лето</t>
        </is>
      </c>
      <c r="G501" s="3" t="inlineStr">
        <is>
          <t>kari</t>
        </is>
      </c>
      <c r="H501" s="2" t="inlineStr">
        <is>
          <t>Никонорова Алина</t>
        </is>
      </c>
      <c r="J501" s="3" t="inlineStr">
        <is>
          <t>2026SS</t>
        </is>
      </c>
      <c r="K501" s="3" t="n">
        <v>5516</v>
      </c>
      <c r="L501" s="3" t="n">
        <v>3057</v>
      </c>
      <c r="M501" s="3" t="n">
        <v>21</v>
      </c>
      <c r="N501" s="4">
        <f>IFERROR(L501/K501,0)</f>
        <v/>
      </c>
      <c r="O501" s="4">
        <f>IFERROR(M501/L501,0)</f>
        <v/>
      </c>
      <c r="P501" t="n">
        <v>2873</v>
      </c>
      <c r="Q501" s="5" t="n">
        <v>0.6666666666666666</v>
      </c>
      <c r="R501" s="7" t="n">
        <v>1</v>
      </c>
      <c r="S501">
        <f>IF(OR(N501&lt;$T$1*0.5,O501&lt;$U$1*0.5),"код для проверки","нормальный код")</f>
        <v/>
      </c>
      <c r="T501">
        <f>IF(N501&lt;$T$1*0.5,"Низшая четверть",IF(N501&lt;$T$1,"Вторая четверть","Больше половины"))</f>
        <v/>
      </c>
      <c r="U501">
        <f>IF(O501&lt;$U$1*0.5,"Низшая четверть",IF(O501&lt;$U$1,"Вторая четверть","Больше половины"))</f>
        <v/>
      </c>
      <c r="V501">
        <f>IF(OR(N501&lt;SUMIFS(L:L,R:R,1,E:E,E501)/SUMIFS(K:K,R:R,1,E:E,E501)*0.5,O501&lt;SUMIFS(M:M,R:R,1,E:E,E501)/SUMIFS(L:L,R:R,1,E:E,E501)*0.5),"код для проверки","нормальный код")</f>
        <v/>
      </c>
      <c r="W501">
        <f>IF(N501&lt;SUMIFS(L:L,R:R,1,E:E,E501)/SUMIFS(K:K,R:R,1,E:E,E501)*0.5,"Низшая четверть",IF(N501&lt;SUMIFS(L:L,R:R,1,E:E,E501)/SUMIFS(K:K,R:R,1,E:E,E501),"Вторая четверть","Больше половины"))</f>
        <v/>
      </c>
      <c r="X501">
        <f>IF(O501&lt;SUMIFS(M:M,R:R,1,E:E,E501)/SUMIFS(L:L,R:R,1,E:E,E501)*0.5,"Низшая четверть",IF(O501&lt;SUMIFS(M:M,R:R,1,E:E,E501)/SUMIFS(L:L,R:R,1,E:E,E501),"Вторая четверть","Больше половины"))</f>
        <v/>
      </c>
      <c r="Y501" t="n">
        <v>28</v>
      </c>
    </row>
    <row r="502">
      <c r="A502" s="1" t="inlineStr">
        <is>
          <t>31000930</t>
        </is>
      </c>
      <c r="B502" s="2" t="inlineStr">
        <is>
          <t>833589289</t>
        </is>
      </c>
      <c r="C502" s="3" t="inlineStr">
        <is>
          <t>Одежда для детей</t>
        </is>
      </c>
      <c r="D502" s="2" t="inlineStr">
        <is>
          <t>Футболки, майки, рубашки детские для мальчиков</t>
        </is>
      </c>
      <c r="E502" s="3" t="inlineStr">
        <is>
          <t>310 Футболка детская для мальчиков</t>
        </is>
      </c>
      <c r="F502" s="2" t="inlineStr">
        <is>
          <t>всесезонный</t>
        </is>
      </c>
      <c r="G502" s="3" t="inlineStr">
        <is>
          <t>Kari KIDS</t>
        </is>
      </c>
      <c r="H502" s="2" t="inlineStr">
        <is>
          <t>Зиннуров Ильнур</t>
        </is>
      </c>
      <c r="J502" s="3" t="inlineStr">
        <is>
          <t>2026SS</t>
        </is>
      </c>
      <c r="K502" s="3" t="n">
        <v>5499</v>
      </c>
      <c r="L502" s="3" t="n">
        <v>1142</v>
      </c>
      <c r="M502" s="3" t="n">
        <v>8</v>
      </c>
      <c r="N502" s="4">
        <f>IFERROR(L502/K502,0)</f>
        <v/>
      </c>
      <c r="O502" s="4">
        <f>IFERROR(M502/L502,0)</f>
        <v/>
      </c>
      <c r="P502" t="n">
        <v>101</v>
      </c>
      <c r="Q502" s="5" t="n">
        <v>1</v>
      </c>
      <c r="R502" s="7" t="n">
        <v>1</v>
      </c>
      <c r="S502">
        <f>IF(OR(N502&lt;$T$1*0.5,O502&lt;$U$1*0.5),"код для проверки","нормальный код")</f>
        <v/>
      </c>
      <c r="T502">
        <f>IF(N502&lt;$T$1*0.5,"Низшая четверть",IF(N502&lt;$T$1,"Вторая четверть","Больше половины"))</f>
        <v/>
      </c>
      <c r="U502">
        <f>IF(O502&lt;$U$1*0.5,"Низшая четверть",IF(O502&lt;$U$1,"Вторая четверть","Больше половины"))</f>
        <v/>
      </c>
      <c r="V502">
        <f>IF(OR(N502&lt;SUMIFS(L:L,R:R,1,E:E,E502)/SUMIFS(K:K,R:R,1,E:E,E502)*0.5,O502&lt;SUMIFS(M:M,R:R,1,E:E,E502)/SUMIFS(L:L,R:R,1,E:E,E502)*0.5),"код для проверки","нормальный код")</f>
        <v/>
      </c>
      <c r="W502">
        <f>IF(N502&lt;SUMIFS(L:L,R:R,1,E:E,E502)/SUMIFS(K:K,R:R,1,E:E,E502)*0.5,"Низшая четверть",IF(N502&lt;SUMIFS(L:L,R:R,1,E:E,E502)/SUMIFS(K:K,R:R,1,E:E,E502),"Вторая четверть","Больше половины"))</f>
        <v/>
      </c>
      <c r="X502">
        <f>IF(O502&lt;SUMIFS(M:M,R:R,1,E:E,E502)/SUMIFS(L:L,R:R,1,E:E,E502)*0.5,"Низшая четверть",IF(O502&lt;SUMIFS(M:M,R:R,1,E:E,E502)/SUMIFS(L:L,R:R,1,E:E,E502),"Вторая четверть","Больше половины"))</f>
        <v/>
      </c>
      <c r="Y502" t="n">
        <v>13</v>
      </c>
    </row>
    <row r="503">
      <c r="A503" s="1" t="inlineStr">
        <is>
          <t>20200330</t>
        </is>
      </c>
      <c r="B503" s="2" t="inlineStr">
        <is>
          <t>820479819</t>
        </is>
      </c>
      <c r="C503" s="3" t="inlineStr">
        <is>
          <t>Одежда для детей</t>
        </is>
      </c>
      <c r="D503" s="2" t="inlineStr">
        <is>
          <t>Головные уборы детские для мальчиков</t>
        </is>
      </c>
      <c r="E503" s="3" t="inlineStr">
        <is>
          <t>202 Бейсболка детская для мальчиков</t>
        </is>
      </c>
      <c r="F503" s="2" t="inlineStr">
        <is>
          <t>весна, лето</t>
        </is>
      </c>
      <c r="G503" s="3" t="inlineStr">
        <is>
          <t>kari</t>
        </is>
      </c>
      <c r="H503" s="2" t="inlineStr">
        <is>
          <t>Никонорова Алина</t>
        </is>
      </c>
      <c r="J503" s="3" t="inlineStr">
        <is>
          <t>2026SS</t>
        </is>
      </c>
      <c r="K503" s="3" t="n">
        <v>5499</v>
      </c>
      <c r="L503" s="3" t="n">
        <v>469</v>
      </c>
      <c r="M503" s="3" t="n">
        <v>13</v>
      </c>
      <c r="N503" s="4">
        <f>IFERROR(L503/K503,0)</f>
        <v/>
      </c>
      <c r="O503" s="4">
        <f>IFERROR(M503/L503,0)</f>
        <v/>
      </c>
      <c r="P503" t="n">
        <v>669</v>
      </c>
      <c r="Q503" s="5" t="n">
        <v>1</v>
      </c>
      <c r="R503" s="7" t="n">
        <v>1</v>
      </c>
      <c r="S503">
        <f>IF(OR(N503&lt;$T$1*0.5,O503&lt;$U$1*0.5),"код для проверки","нормальный код")</f>
        <v/>
      </c>
      <c r="T503">
        <f>IF(N503&lt;$T$1*0.5,"Низшая четверть",IF(N503&lt;$T$1,"Вторая четверть","Больше половины"))</f>
        <v/>
      </c>
      <c r="U503">
        <f>IF(O503&lt;$U$1*0.5,"Низшая четверть",IF(O503&lt;$U$1,"Вторая четверть","Больше половины"))</f>
        <v/>
      </c>
      <c r="V503">
        <f>IF(OR(N503&lt;SUMIFS(L:L,R:R,1,E:E,E503)/SUMIFS(K:K,R:R,1,E:E,E503)*0.5,O503&lt;SUMIFS(M:M,R:R,1,E:E,E503)/SUMIFS(L:L,R:R,1,E:E,E503)*0.5),"код для проверки","нормальный код")</f>
        <v/>
      </c>
      <c r="W503">
        <f>IF(N503&lt;SUMIFS(L:L,R:R,1,E:E,E503)/SUMIFS(K:K,R:R,1,E:E,E503)*0.5,"Низшая четверть",IF(N503&lt;SUMIFS(L:L,R:R,1,E:E,E503)/SUMIFS(K:K,R:R,1,E:E,E503),"Вторая четверть","Больше половины"))</f>
        <v/>
      </c>
      <c r="X503">
        <f>IF(O503&lt;SUMIFS(M:M,R:R,1,E:E,E503)/SUMIFS(L:L,R:R,1,E:E,E503)*0.5,"Низшая четверть",IF(O503&lt;SUMIFS(M:M,R:R,1,E:E,E503)/SUMIFS(L:L,R:R,1,E:E,E503),"Вторая четверть","Больше половины"))</f>
        <v/>
      </c>
      <c r="Y503" t="n">
        <v>9</v>
      </c>
    </row>
    <row r="504">
      <c r="A504" s="1" t="inlineStr">
        <is>
          <t>55300080</t>
        </is>
      </c>
      <c r="B504" s="2" t="inlineStr">
        <is>
          <t>720809045</t>
        </is>
      </c>
      <c r="C504" s="3" t="inlineStr">
        <is>
          <t>Одежда для детей</t>
        </is>
      </c>
      <c r="D504" s="2" t="inlineStr">
        <is>
          <t>Брюки детские для мальчиков</t>
        </is>
      </c>
      <c r="E504" s="3" t="inlineStr">
        <is>
          <t>553 Брюки детские для мальчиков</t>
        </is>
      </c>
      <c r="F504" s="2" t="inlineStr">
        <is>
          <t>всесезонный</t>
        </is>
      </c>
      <c r="G504" s="3" t="inlineStr">
        <is>
          <t>kari</t>
        </is>
      </c>
      <c r="H504" s="2" t="inlineStr">
        <is>
          <t>Зиннуров Ильнур</t>
        </is>
      </c>
      <c r="J504" s="3" t="inlineStr">
        <is>
          <t>2026SS</t>
        </is>
      </c>
      <c r="K504" s="3" t="n">
        <v>5498</v>
      </c>
      <c r="L504" s="3" t="n">
        <v>372</v>
      </c>
      <c r="M504" s="3" t="n">
        <v>13</v>
      </c>
      <c r="N504" s="4">
        <f>IFERROR(L504/K504,0)</f>
        <v/>
      </c>
      <c r="O504" s="4">
        <f>IFERROR(M504/L504,0)</f>
        <v/>
      </c>
      <c r="P504" t="n">
        <v>691</v>
      </c>
      <c r="Q504" s="5" t="n">
        <v>1</v>
      </c>
      <c r="R504" s="7" t="n">
        <v>1</v>
      </c>
      <c r="S504">
        <f>IF(OR(N504&lt;$T$1*0.5,O504&lt;$U$1*0.5),"код для проверки","нормальный код")</f>
        <v/>
      </c>
      <c r="T504">
        <f>IF(N504&lt;$T$1*0.5,"Низшая четверть",IF(N504&lt;$T$1,"Вторая четверть","Больше половины"))</f>
        <v/>
      </c>
      <c r="U504">
        <f>IF(O504&lt;$U$1*0.5,"Низшая четверть",IF(O504&lt;$U$1,"Вторая четверть","Больше половины"))</f>
        <v/>
      </c>
      <c r="V504">
        <f>IF(OR(N504&lt;SUMIFS(L:L,R:R,1,E:E,E504)/SUMIFS(K:K,R:R,1,E:E,E504)*0.5,O504&lt;SUMIFS(M:M,R:R,1,E:E,E504)/SUMIFS(L:L,R:R,1,E:E,E504)*0.5),"код для проверки","нормальный код")</f>
        <v/>
      </c>
      <c r="W504">
        <f>IF(N504&lt;SUMIFS(L:L,R:R,1,E:E,E504)/SUMIFS(K:K,R:R,1,E:E,E504)*0.5,"Низшая четверть",IF(N504&lt;SUMIFS(L:L,R:R,1,E:E,E504)/SUMIFS(K:K,R:R,1,E:E,E504),"Вторая четверть","Больше половины"))</f>
        <v/>
      </c>
      <c r="X504">
        <f>IF(O504&lt;SUMIFS(M:M,R:R,1,E:E,E504)/SUMIFS(L:L,R:R,1,E:E,E504)*0.5,"Низшая четверть",IF(O504&lt;SUMIFS(M:M,R:R,1,E:E,E504)/SUMIFS(L:L,R:R,1,E:E,E504),"Вторая четверть","Больше половины"))</f>
        <v/>
      </c>
      <c r="Y504" t="n">
        <v>17</v>
      </c>
    </row>
    <row r="505">
      <c r="A505" s="1" t="inlineStr">
        <is>
          <t>a8900040</t>
        </is>
      </c>
      <c r="B505" s="2" t="inlineStr">
        <is>
          <t>711885874</t>
        </is>
      </c>
      <c r="C505" s="3" t="inlineStr">
        <is>
          <t>Одежда для детей</t>
        </is>
      </c>
      <c r="D505" s="2" t="inlineStr">
        <is>
          <t>Свитера детские для девочек</t>
        </is>
      </c>
      <c r="E505" s="3" t="inlineStr">
        <is>
          <t>a89 Свитшот для девочки</t>
        </is>
      </c>
      <c r="F505" s="2" t="inlineStr">
        <is>
          <t>весна, лето, осень</t>
        </is>
      </c>
      <c r="G505" s="3" t="inlineStr">
        <is>
          <t>Kari KIDS</t>
        </is>
      </c>
      <c r="H505" s="2" t="inlineStr">
        <is>
          <t>Зиннуров Ильнур</t>
        </is>
      </c>
      <c r="J505" s="3" t="inlineStr">
        <is>
          <t>2026SS</t>
        </is>
      </c>
      <c r="K505" s="3" t="n">
        <v>5497</v>
      </c>
      <c r="L505" s="3" t="n">
        <v>339</v>
      </c>
      <c r="M505" s="3" t="n">
        <v>11</v>
      </c>
      <c r="N505" s="4">
        <f>IFERROR(L505/K505,0)</f>
        <v/>
      </c>
      <c r="O505" s="4">
        <f>IFERROR(M505/L505,0)</f>
        <v/>
      </c>
      <c r="P505" t="n">
        <v>146</v>
      </c>
      <c r="Q505" s="5" t="n">
        <v>0.8</v>
      </c>
      <c r="R505" s="7" t="n">
        <v>1</v>
      </c>
      <c r="S505">
        <f>IF(OR(N505&lt;$T$1*0.5,O505&lt;$U$1*0.5),"код для проверки","нормальный код")</f>
        <v/>
      </c>
      <c r="T505">
        <f>IF(N505&lt;$T$1*0.5,"Низшая четверть",IF(N505&lt;$T$1,"Вторая четверть","Больше половины"))</f>
        <v/>
      </c>
      <c r="U505">
        <f>IF(O505&lt;$U$1*0.5,"Низшая четверть",IF(O505&lt;$U$1,"Вторая четверть","Больше половины"))</f>
        <v/>
      </c>
      <c r="V505">
        <f>IF(OR(N505&lt;SUMIFS(L:L,R:R,1,E:E,E505)/SUMIFS(K:K,R:R,1,E:E,E505)*0.5,O505&lt;SUMIFS(M:M,R:R,1,E:E,E505)/SUMIFS(L:L,R:R,1,E:E,E505)*0.5),"код для проверки","нормальный код")</f>
        <v/>
      </c>
      <c r="W505">
        <f>IF(N505&lt;SUMIFS(L:L,R:R,1,E:E,E505)/SUMIFS(K:K,R:R,1,E:E,E505)*0.5,"Низшая четверть",IF(N505&lt;SUMIFS(L:L,R:R,1,E:E,E505)/SUMIFS(K:K,R:R,1,E:E,E505),"Вторая четверть","Больше половины"))</f>
        <v/>
      </c>
      <c r="X505">
        <f>IF(O505&lt;SUMIFS(M:M,R:R,1,E:E,E505)/SUMIFS(L:L,R:R,1,E:E,E505)*0.5,"Низшая четверть",IF(O505&lt;SUMIFS(M:M,R:R,1,E:E,E505)/SUMIFS(L:L,R:R,1,E:E,E505),"Вторая четверть","Больше половины"))</f>
        <v/>
      </c>
      <c r="Y505" t="n">
        <v>12</v>
      </c>
    </row>
    <row r="506">
      <c r="A506" s="1" t="inlineStr">
        <is>
          <t>31100030</t>
        </is>
      </c>
      <c r="B506" s="2" t="inlineStr">
        <is>
          <t>754824676</t>
        </is>
      </c>
      <c r="C506" s="3" t="inlineStr">
        <is>
          <t>Одежда и аксессуары</t>
        </is>
      </c>
      <c r="D506" s="2" t="inlineStr">
        <is>
          <t>Майки и платья женские</t>
        </is>
      </c>
      <c r="E506" s="3" t="inlineStr">
        <is>
          <t>311 Рубашка женская</t>
        </is>
      </c>
      <c r="F506" s="2" t="inlineStr">
        <is>
          <t>всесезонный</t>
        </is>
      </c>
      <c r="G506" s="3" t="inlineStr">
        <is>
          <t>kari</t>
        </is>
      </c>
      <c r="H506" s="2" t="inlineStr">
        <is>
          <t>Зиннуров Ильнур</t>
        </is>
      </c>
      <c r="J506" s="3" t="inlineStr">
        <is>
          <t>2026SS</t>
        </is>
      </c>
      <c r="K506" s="3" t="n">
        <v>5484</v>
      </c>
      <c r="L506" s="3" t="n">
        <v>864</v>
      </c>
      <c r="M506" s="3" t="n">
        <v>13</v>
      </c>
      <c r="N506" s="4">
        <f>IFERROR(L506/K506,0)</f>
        <v/>
      </c>
      <c r="O506" s="4">
        <f>IFERROR(M506/L506,0)</f>
        <v/>
      </c>
      <c r="P506" t="n">
        <v>555</v>
      </c>
      <c r="Q506" s="5" t="n">
        <v>1</v>
      </c>
      <c r="R506" s="7" t="n">
        <v>1</v>
      </c>
      <c r="S506">
        <f>IF(OR(N506&lt;$T$1*0.5,O506&lt;$U$1*0.5),"код для проверки","нормальный код")</f>
        <v/>
      </c>
      <c r="T506">
        <f>IF(N506&lt;$T$1*0.5,"Низшая четверть",IF(N506&lt;$T$1,"Вторая четверть","Больше половины"))</f>
        <v/>
      </c>
      <c r="U506">
        <f>IF(O506&lt;$U$1*0.5,"Низшая четверть",IF(O506&lt;$U$1,"Вторая четверть","Больше половины"))</f>
        <v/>
      </c>
      <c r="V506">
        <f>IF(OR(N506&lt;SUMIFS(L:L,R:R,1,E:E,E506)/SUMIFS(K:K,R:R,1,E:E,E506)*0.5,O506&lt;SUMIFS(M:M,R:R,1,E:E,E506)/SUMIFS(L:L,R:R,1,E:E,E506)*0.5),"код для проверки","нормальный код")</f>
        <v/>
      </c>
      <c r="W506">
        <f>IF(N506&lt;SUMIFS(L:L,R:R,1,E:E,E506)/SUMIFS(K:K,R:R,1,E:E,E506)*0.5,"Низшая четверть",IF(N506&lt;SUMIFS(L:L,R:R,1,E:E,E506)/SUMIFS(K:K,R:R,1,E:E,E506),"Вторая четверть","Больше половины"))</f>
        <v/>
      </c>
      <c r="X506">
        <f>IF(O506&lt;SUMIFS(M:M,R:R,1,E:E,E506)/SUMIFS(L:L,R:R,1,E:E,E506)*0.5,"Низшая четверть",IF(O506&lt;SUMIFS(M:M,R:R,1,E:E,E506)/SUMIFS(L:L,R:R,1,E:E,E506),"Вторая четверть","Больше половины"))</f>
        <v/>
      </c>
      <c r="Y506" t="n">
        <v>17</v>
      </c>
    </row>
    <row r="507">
      <c r="A507" s="1" t="inlineStr">
        <is>
          <t>19100030</t>
        </is>
      </c>
      <c r="B507" s="2" t="inlineStr">
        <is>
          <t>721093441</t>
        </is>
      </c>
      <c r="C507" s="3" t="inlineStr">
        <is>
          <t>Одежда для детей</t>
        </is>
      </c>
      <c r="D507" s="2" t="inlineStr">
        <is>
          <t>Спортивная одежда детская для девочек</t>
        </is>
      </c>
      <c r="E507" s="3" t="inlineStr">
        <is>
          <t>191 Спортивный костюм детский для девочек</t>
        </is>
      </c>
      <c r="F507" s="2" t="inlineStr">
        <is>
          <t>всесезонный</t>
        </is>
      </c>
      <c r="G507" s="3" t="inlineStr">
        <is>
          <t>kari</t>
        </is>
      </c>
      <c r="H507" s="2" t="inlineStr">
        <is>
          <t>Зиннуров Ильнур</t>
        </is>
      </c>
      <c r="J507" s="3" t="inlineStr">
        <is>
          <t>2026SS</t>
        </is>
      </c>
      <c r="K507" s="3" t="n">
        <v>5468</v>
      </c>
      <c r="L507" s="3" t="n">
        <v>329</v>
      </c>
      <c r="M507" s="3" t="n">
        <v>10</v>
      </c>
      <c r="N507" s="4">
        <f>IFERROR(L507/K507,0)</f>
        <v/>
      </c>
      <c r="O507" s="4">
        <f>IFERROR(M507/L507,0)</f>
        <v/>
      </c>
      <c r="P507" t="n">
        <v>467</v>
      </c>
      <c r="Q507" s="5" t="n">
        <v>1</v>
      </c>
      <c r="R507" s="7" t="n">
        <v>1</v>
      </c>
      <c r="S507">
        <f>IF(OR(N507&lt;$T$1*0.5,O507&lt;$U$1*0.5),"код для проверки","нормальный код")</f>
        <v/>
      </c>
      <c r="T507">
        <f>IF(N507&lt;$T$1*0.5,"Низшая четверть",IF(N507&lt;$T$1,"Вторая четверть","Больше половины"))</f>
        <v/>
      </c>
      <c r="U507">
        <f>IF(O507&lt;$U$1*0.5,"Низшая четверть",IF(O507&lt;$U$1,"Вторая четверть","Больше половины"))</f>
        <v/>
      </c>
      <c r="V507">
        <f>IF(OR(N507&lt;SUMIFS(L:L,R:R,1,E:E,E507)/SUMIFS(K:K,R:R,1,E:E,E507)*0.5,O507&lt;SUMIFS(M:M,R:R,1,E:E,E507)/SUMIFS(L:L,R:R,1,E:E,E507)*0.5),"код для проверки","нормальный код")</f>
        <v/>
      </c>
      <c r="W507">
        <f>IF(N507&lt;SUMIFS(L:L,R:R,1,E:E,E507)/SUMIFS(K:K,R:R,1,E:E,E507)*0.5,"Низшая четверть",IF(N507&lt;SUMIFS(L:L,R:R,1,E:E,E507)/SUMIFS(K:K,R:R,1,E:E,E507),"Вторая четверть","Больше половины"))</f>
        <v/>
      </c>
      <c r="X507">
        <f>IF(O507&lt;SUMIFS(M:M,R:R,1,E:E,E507)/SUMIFS(L:L,R:R,1,E:E,E507)*0.5,"Низшая четверть",IF(O507&lt;SUMIFS(M:M,R:R,1,E:E,E507)/SUMIFS(L:L,R:R,1,E:E,E507),"Вторая четверть","Больше половины"))</f>
        <v/>
      </c>
      <c r="Y507" t="n">
        <v>14</v>
      </c>
    </row>
    <row r="508">
      <c r="A508" s="1" t="inlineStr">
        <is>
          <t>29600010</t>
        </is>
      </c>
      <c r="B508" s="2" t="inlineStr">
        <is>
          <t>702147818</t>
        </is>
      </c>
      <c r="C508" s="3" t="inlineStr">
        <is>
          <t>Одежда и аксессуары</t>
        </is>
      </c>
      <c r="D508" s="2" t="inlineStr">
        <is>
          <t>Майки и платья женские</t>
        </is>
      </c>
      <c r="E508" s="3" t="inlineStr">
        <is>
          <t>296 Блузка длинный рукав женская</t>
        </is>
      </c>
      <c r="F508" s="2" t="inlineStr">
        <is>
          <t>всесезонный</t>
        </is>
      </c>
      <c r="G508" s="3" t="inlineStr">
        <is>
          <t>kari</t>
        </is>
      </c>
      <c r="H508" s="2" t="inlineStr">
        <is>
          <t>Зиннуров Ильнур</t>
        </is>
      </c>
      <c r="J508" s="3" t="inlineStr">
        <is>
          <t>2026SS</t>
        </is>
      </c>
      <c r="K508" s="3" t="n">
        <v>5442</v>
      </c>
      <c r="L508" s="3" t="n">
        <v>429</v>
      </c>
      <c r="M508" s="3" t="n">
        <v>11</v>
      </c>
      <c r="N508" s="4">
        <f>IFERROR(L508/K508,0)</f>
        <v/>
      </c>
      <c r="O508" s="4">
        <f>IFERROR(M508/L508,0)</f>
        <v/>
      </c>
      <c r="P508" t="n">
        <v>523</v>
      </c>
      <c r="Q508" s="5" t="n">
        <v>1</v>
      </c>
      <c r="R508" s="7" t="n">
        <v>1</v>
      </c>
      <c r="S508">
        <f>IF(OR(N508&lt;$T$1*0.5,O508&lt;$U$1*0.5),"код для проверки","нормальный код")</f>
        <v/>
      </c>
      <c r="T508">
        <f>IF(N508&lt;$T$1*0.5,"Низшая четверть",IF(N508&lt;$T$1,"Вторая четверть","Больше половины"))</f>
        <v/>
      </c>
      <c r="U508">
        <f>IF(O508&lt;$U$1*0.5,"Низшая четверть",IF(O508&lt;$U$1,"Вторая четверть","Больше половины"))</f>
        <v/>
      </c>
      <c r="V508">
        <f>IF(OR(N508&lt;SUMIFS(L:L,R:R,1,E:E,E508)/SUMIFS(K:K,R:R,1,E:E,E508)*0.5,O508&lt;SUMIFS(M:M,R:R,1,E:E,E508)/SUMIFS(L:L,R:R,1,E:E,E508)*0.5),"код для проверки","нормальный код")</f>
        <v/>
      </c>
      <c r="W508">
        <f>IF(N508&lt;SUMIFS(L:L,R:R,1,E:E,E508)/SUMIFS(K:K,R:R,1,E:E,E508)*0.5,"Низшая четверть",IF(N508&lt;SUMIFS(L:L,R:R,1,E:E,E508)/SUMIFS(K:K,R:R,1,E:E,E508),"Вторая четверть","Больше половины"))</f>
        <v/>
      </c>
      <c r="X508">
        <f>IF(O508&lt;SUMIFS(M:M,R:R,1,E:E,E508)/SUMIFS(L:L,R:R,1,E:E,E508)*0.5,"Низшая четверть",IF(O508&lt;SUMIFS(M:M,R:R,1,E:E,E508)/SUMIFS(L:L,R:R,1,E:E,E508),"Вторая четверть","Больше половины"))</f>
        <v/>
      </c>
      <c r="Y508" t="n">
        <v>14</v>
      </c>
    </row>
    <row r="509">
      <c r="A509" s="1" t="inlineStr">
        <is>
          <t>94606090</t>
        </is>
      </c>
      <c r="B509" s="2" t="inlineStr">
        <is>
          <t>209042891</t>
        </is>
      </c>
      <c r="C509" s="3" t="inlineStr">
        <is>
          <t>Одежда для детей</t>
        </is>
      </c>
      <c r="D509" s="2" t="inlineStr">
        <is>
          <t>Одежда для новорожденных</t>
        </is>
      </c>
      <c r="E509" s="3" t="inlineStr">
        <is>
          <t>946 Ромпер для мальчика</t>
        </is>
      </c>
      <c r="F509" s="2" t="inlineStr">
        <is>
          <t>лето</t>
        </is>
      </c>
      <c r="G509" s="3" t="inlineStr">
        <is>
          <t>Kari baby</t>
        </is>
      </c>
      <c r="H509" s="2" t="inlineStr">
        <is>
          <t>Зиннуров Ильнур</t>
        </is>
      </c>
      <c r="J509" s="3" t="inlineStr">
        <is>
          <t>2026SS</t>
        </is>
      </c>
      <c r="K509" s="3" t="n">
        <v>5420</v>
      </c>
      <c r="L509" s="3" t="n">
        <v>659</v>
      </c>
      <c r="M509" s="3" t="n">
        <v>7</v>
      </c>
      <c r="N509" s="4">
        <f>IFERROR(L509/K509,0)</f>
        <v/>
      </c>
      <c r="O509" s="4">
        <f>IFERROR(M509/L509,0)</f>
        <v/>
      </c>
      <c r="P509" t="n">
        <v>1355</v>
      </c>
      <c r="Q509" s="5" t="n">
        <v>1</v>
      </c>
      <c r="R509" s="7" t="n">
        <v>1</v>
      </c>
      <c r="S509">
        <f>IF(OR(N509&lt;$T$1*0.5,O509&lt;$U$1*0.5),"код для проверки","нормальный код")</f>
        <v/>
      </c>
      <c r="T509">
        <f>IF(N509&lt;$T$1*0.5,"Низшая четверть",IF(N509&lt;$T$1,"Вторая четверть","Больше половины"))</f>
        <v/>
      </c>
      <c r="U509">
        <f>IF(O509&lt;$U$1*0.5,"Низшая четверть",IF(O509&lt;$U$1,"Вторая четверть","Больше половины"))</f>
        <v/>
      </c>
      <c r="V509">
        <f>IF(OR(N509&lt;SUMIFS(L:L,R:R,1,E:E,E509)/SUMIFS(K:K,R:R,1,E:E,E509)*0.5,O509&lt;SUMIFS(M:M,R:R,1,E:E,E509)/SUMIFS(L:L,R:R,1,E:E,E509)*0.5),"код для проверки","нормальный код")</f>
        <v/>
      </c>
      <c r="W509">
        <f>IF(N509&lt;SUMIFS(L:L,R:R,1,E:E,E509)/SUMIFS(K:K,R:R,1,E:E,E509)*0.5,"Низшая четверть",IF(N509&lt;SUMIFS(L:L,R:R,1,E:E,E509)/SUMIFS(K:K,R:R,1,E:E,E509),"Вторая четверть","Больше половины"))</f>
        <v/>
      </c>
      <c r="X509">
        <f>IF(O509&lt;SUMIFS(M:M,R:R,1,E:E,E509)/SUMIFS(L:L,R:R,1,E:E,E509)*0.5,"Низшая четверть",IF(O509&lt;SUMIFS(M:M,R:R,1,E:E,E509)/SUMIFS(L:L,R:R,1,E:E,E509),"Вторая четверть","Больше половины"))</f>
        <v/>
      </c>
      <c r="Y509" t="n">
        <v>14</v>
      </c>
    </row>
    <row r="510">
      <c r="A510" s="1" t="inlineStr">
        <is>
          <t>19608070</t>
        </is>
      </c>
      <c r="B510" s="2" t="inlineStr">
        <is>
          <t>341720376</t>
        </is>
      </c>
      <c r="C510" s="3" t="inlineStr">
        <is>
          <t>Одежда и аксессуары</t>
        </is>
      </c>
      <c r="D510" s="2" t="inlineStr">
        <is>
          <t>Майки и платья женские</t>
        </is>
      </c>
      <c r="E510" s="3" t="inlineStr">
        <is>
          <t>196 Майка женская</t>
        </is>
      </c>
      <c r="F510" s="2" t="inlineStr">
        <is>
          <t>всесезонный</t>
        </is>
      </c>
      <c r="G510" s="3" t="inlineStr">
        <is>
          <t>kari</t>
        </is>
      </c>
      <c r="H510" s="2" t="inlineStr">
        <is>
          <t>Зиннуров Ильнур</t>
        </is>
      </c>
      <c r="J510" s="3" t="inlineStr">
        <is>
          <t>2026SS</t>
        </is>
      </c>
      <c r="K510" s="3" t="n">
        <v>5414</v>
      </c>
      <c r="L510" s="3" t="n">
        <v>260</v>
      </c>
      <c r="M510" s="3" t="n">
        <v>14</v>
      </c>
      <c r="N510" s="4">
        <f>IFERROR(L510/K510,0)</f>
        <v/>
      </c>
      <c r="O510" s="4">
        <f>IFERROR(M510/L510,0)</f>
        <v/>
      </c>
      <c r="P510" t="n">
        <v>621</v>
      </c>
      <c r="Q510" s="5" t="n">
        <v>1</v>
      </c>
      <c r="R510" s="7" t="n">
        <v>1</v>
      </c>
      <c r="S510">
        <f>IF(OR(N510&lt;$T$1*0.5,O510&lt;$U$1*0.5),"код для проверки","нормальный код")</f>
        <v/>
      </c>
      <c r="T510">
        <f>IF(N510&lt;$T$1*0.5,"Низшая четверть",IF(N510&lt;$T$1,"Вторая четверть","Больше половины"))</f>
        <v/>
      </c>
      <c r="U510">
        <f>IF(O510&lt;$U$1*0.5,"Низшая четверть",IF(O510&lt;$U$1,"Вторая четверть","Больше половины"))</f>
        <v/>
      </c>
      <c r="V510">
        <f>IF(OR(N510&lt;SUMIFS(L:L,R:R,1,E:E,E510)/SUMIFS(K:K,R:R,1,E:E,E510)*0.5,O510&lt;SUMIFS(M:M,R:R,1,E:E,E510)/SUMIFS(L:L,R:R,1,E:E,E510)*0.5),"код для проверки","нормальный код")</f>
        <v/>
      </c>
      <c r="W510">
        <f>IF(N510&lt;SUMIFS(L:L,R:R,1,E:E,E510)/SUMIFS(K:K,R:R,1,E:E,E510)*0.5,"Низшая четверть",IF(N510&lt;SUMIFS(L:L,R:R,1,E:E,E510)/SUMIFS(K:K,R:R,1,E:E,E510),"Вторая четверть","Больше половины"))</f>
        <v/>
      </c>
      <c r="X510">
        <f>IF(O510&lt;SUMIFS(M:M,R:R,1,E:E,E510)/SUMIFS(L:L,R:R,1,E:E,E510)*0.5,"Низшая четверть",IF(O510&lt;SUMIFS(M:M,R:R,1,E:E,E510)/SUMIFS(L:L,R:R,1,E:E,E510),"Вторая четверть","Больше половины"))</f>
        <v/>
      </c>
      <c r="Y510" t="n">
        <v>7</v>
      </c>
    </row>
    <row r="511">
      <c r="A511" s="1" t="inlineStr">
        <is>
          <t>a6000770</t>
        </is>
      </c>
      <c r="B511" s="2" t="inlineStr">
        <is>
          <t>815191836</t>
        </is>
      </c>
      <c r="C511" s="3" t="inlineStr">
        <is>
          <t>Одежда для детей</t>
        </is>
      </c>
      <c r="D511" s="2" t="inlineStr">
        <is>
          <t>Платья, майки, футболки детские для девочек</t>
        </is>
      </c>
      <c r="E511" s="3" t="inlineStr">
        <is>
          <t>a60 Футболка детская для девочек</t>
        </is>
      </c>
      <c r="F511" s="2" t="inlineStr">
        <is>
          <t>всесезонный</t>
        </is>
      </c>
      <c r="G511" s="3" t="inlineStr">
        <is>
          <t>kari</t>
        </is>
      </c>
      <c r="H511" s="2" t="inlineStr">
        <is>
          <t>Зиннуров Ильнур</t>
        </is>
      </c>
      <c r="J511" s="3" t="inlineStr">
        <is>
          <t>2026SS</t>
        </is>
      </c>
      <c r="K511" s="3" t="n">
        <v>5399</v>
      </c>
      <c r="L511" s="3" t="n">
        <v>873</v>
      </c>
      <c r="M511" s="3" t="n">
        <v>8</v>
      </c>
      <c r="N511" s="4">
        <f>IFERROR(L511/K511,0)</f>
        <v/>
      </c>
      <c r="O511" s="4">
        <f>IFERROR(M511/L511,0)</f>
        <v/>
      </c>
      <c r="P511" t="n">
        <v>267</v>
      </c>
      <c r="Q511" s="5" t="n">
        <v>1</v>
      </c>
      <c r="R511" s="7" t="n">
        <v>1</v>
      </c>
      <c r="S511">
        <f>IF(OR(N511&lt;$T$1*0.5,O511&lt;$U$1*0.5),"код для проверки","нормальный код")</f>
        <v/>
      </c>
      <c r="T511">
        <f>IF(N511&lt;$T$1*0.5,"Низшая четверть",IF(N511&lt;$T$1,"Вторая четверть","Больше половины"))</f>
        <v/>
      </c>
      <c r="U511">
        <f>IF(O511&lt;$U$1*0.5,"Низшая четверть",IF(O511&lt;$U$1,"Вторая четверть","Больше половины"))</f>
        <v/>
      </c>
      <c r="V511">
        <f>IF(OR(N511&lt;SUMIFS(L:L,R:R,1,E:E,E511)/SUMIFS(K:K,R:R,1,E:E,E511)*0.5,O511&lt;SUMIFS(M:M,R:R,1,E:E,E511)/SUMIFS(L:L,R:R,1,E:E,E511)*0.5),"код для проверки","нормальный код")</f>
        <v/>
      </c>
      <c r="W511">
        <f>IF(N511&lt;SUMIFS(L:L,R:R,1,E:E,E511)/SUMIFS(K:K,R:R,1,E:E,E511)*0.5,"Низшая четверть",IF(N511&lt;SUMIFS(L:L,R:R,1,E:E,E511)/SUMIFS(K:K,R:R,1,E:E,E511),"Вторая четверть","Больше половины"))</f>
        <v/>
      </c>
      <c r="X511">
        <f>IF(O511&lt;SUMIFS(M:M,R:R,1,E:E,E511)/SUMIFS(L:L,R:R,1,E:E,E511)*0.5,"Низшая четверть",IF(O511&lt;SUMIFS(M:M,R:R,1,E:E,E511)/SUMIFS(L:L,R:R,1,E:E,E511),"Вторая четверть","Больше половины"))</f>
        <v/>
      </c>
      <c r="Y511" t="n">
        <v>11</v>
      </c>
    </row>
    <row r="512">
      <c r="A512" s="1" t="inlineStr">
        <is>
          <t>31000910</t>
        </is>
      </c>
      <c r="B512" s="2" t="inlineStr">
        <is>
          <t>819952064</t>
        </is>
      </c>
      <c r="C512" s="3" t="inlineStr">
        <is>
          <t>Одежда для детей</t>
        </is>
      </c>
      <c r="D512" s="2" t="inlineStr">
        <is>
          <t>Футболки, майки, рубашки детские для мальчиков</t>
        </is>
      </c>
      <c r="E512" s="3" t="inlineStr">
        <is>
          <t>310 Футболка детская для мальчиков</t>
        </is>
      </c>
      <c r="F512" s="2" t="inlineStr">
        <is>
          <t>всесезонный</t>
        </is>
      </c>
      <c r="G512" s="3" t="inlineStr">
        <is>
          <t>kari</t>
        </is>
      </c>
      <c r="H512" s="2" t="inlineStr">
        <is>
          <t>Зиннуров Ильнур</t>
        </is>
      </c>
      <c r="J512" s="3" t="inlineStr">
        <is>
          <t>2026SS</t>
        </is>
      </c>
      <c r="K512" s="3" t="n">
        <v>5392</v>
      </c>
      <c r="L512" s="3" t="n">
        <v>1783</v>
      </c>
      <c r="M512" s="3" t="n">
        <v>16</v>
      </c>
      <c r="N512" s="4">
        <f>IFERROR(L512/K512,0)</f>
        <v/>
      </c>
      <c r="O512" s="4">
        <f>IFERROR(M512/L512,0)</f>
        <v/>
      </c>
      <c r="P512" t="n">
        <v>606</v>
      </c>
      <c r="Q512" s="5" t="n">
        <v>1</v>
      </c>
      <c r="R512" s="7" t="n">
        <v>1</v>
      </c>
      <c r="S512">
        <f>IF(OR(N512&lt;$T$1*0.5,O512&lt;$U$1*0.5),"код для проверки","нормальный код")</f>
        <v/>
      </c>
      <c r="T512">
        <f>IF(N512&lt;$T$1*0.5,"Низшая четверть",IF(N512&lt;$T$1,"Вторая четверть","Больше половины"))</f>
        <v/>
      </c>
      <c r="U512">
        <f>IF(O512&lt;$U$1*0.5,"Низшая четверть",IF(O512&lt;$U$1,"Вторая четверть","Больше половины"))</f>
        <v/>
      </c>
      <c r="V512">
        <f>IF(OR(N512&lt;SUMIFS(L:L,R:R,1,E:E,E512)/SUMIFS(K:K,R:R,1,E:E,E512)*0.5,O512&lt;SUMIFS(M:M,R:R,1,E:E,E512)/SUMIFS(L:L,R:R,1,E:E,E512)*0.5),"код для проверки","нормальный код")</f>
        <v/>
      </c>
      <c r="W512">
        <f>IF(N512&lt;SUMIFS(L:L,R:R,1,E:E,E512)/SUMIFS(K:K,R:R,1,E:E,E512)*0.5,"Низшая четверть",IF(N512&lt;SUMIFS(L:L,R:R,1,E:E,E512)/SUMIFS(K:K,R:R,1,E:E,E512),"Вторая четверть","Больше половины"))</f>
        <v/>
      </c>
      <c r="X512">
        <f>IF(O512&lt;SUMIFS(M:M,R:R,1,E:E,E512)/SUMIFS(L:L,R:R,1,E:E,E512)*0.5,"Низшая четверть",IF(O512&lt;SUMIFS(M:M,R:R,1,E:E,E512)/SUMIFS(L:L,R:R,1,E:E,E512),"Вторая четверть","Больше половины"))</f>
        <v/>
      </c>
      <c r="Y512" t="n">
        <v>13</v>
      </c>
    </row>
    <row r="513">
      <c r="A513" s="1" t="inlineStr">
        <is>
          <t>18400200</t>
        </is>
      </c>
      <c r="B513" s="2" t="inlineStr">
        <is>
          <t>879308841</t>
        </is>
      </c>
      <c r="C513" s="3" t="inlineStr">
        <is>
          <t>Одежда и аксессуары</t>
        </is>
      </c>
      <c r="D513" s="2" t="inlineStr">
        <is>
          <t>Майки и платья женские</t>
        </is>
      </c>
      <c r="E513" s="3" t="inlineStr">
        <is>
          <t>184 Женская футболка</t>
        </is>
      </c>
      <c r="F513" s="2" t="inlineStr">
        <is>
          <t>всесезонный</t>
        </is>
      </c>
      <c r="G513" s="3" t="inlineStr">
        <is>
          <t>kari</t>
        </is>
      </c>
      <c r="H513" s="2" t="inlineStr">
        <is>
          <t>Зиннуров Ильнур</t>
        </is>
      </c>
      <c r="J513" s="3" t="inlineStr">
        <is>
          <t>2026SS</t>
        </is>
      </c>
      <c r="K513" s="3" t="n">
        <v>5377</v>
      </c>
      <c r="L513" s="3" t="n">
        <v>289</v>
      </c>
      <c r="M513" s="3" t="n">
        <v>1</v>
      </c>
      <c r="N513" s="4">
        <f>IFERROR(L513/K513,0)</f>
        <v/>
      </c>
      <c r="O513" s="4">
        <f>IFERROR(M513/L513,0)</f>
        <v/>
      </c>
      <c r="P513" t="n">
        <v>798</v>
      </c>
      <c r="Q513" s="5" t="n">
        <v>1</v>
      </c>
      <c r="R513" s="7" t="n">
        <v>1</v>
      </c>
      <c r="S513">
        <f>IF(OR(N513&lt;$T$1*0.5,O513&lt;$U$1*0.5),"код для проверки","нормальный код")</f>
        <v/>
      </c>
      <c r="T513">
        <f>IF(N513&lt;$T$1*0.5,"Низшая четверть",IF(N513&lt;$T$1,"Вторая четверть","Больше половины"))</f>
        <v/>
      </c>
      <c r="U513">
        <f>IF(O513&lt;$U$1*0.5,"Низшая четверть",IF(O513&lt;$U$1,"Вторая четверть","Больше половины"))</f>
        <v/>
      </c>
      <c r="V513">
        <f>IF(OR(N513&lt;SUMIFS(L:L,R:R,1,E:E,E513)/SUMIFS(K:K,R:R,1,E:E,E513)*0.5,O513&lt;SUMIFS(M:M,R:R,1,E:E,E513)/SUMIFS(L:L,R:R,1,E:E,E513)*0.5),"код для проверки","нормальный код")</f>
        <v/>
      </c>
      <c r="W513">
        <f>IF(N513&lt;SUMIFS(L:L,R:R,1,E:E,E513)/SUMIFS(K:K,R:R,1,E:E,E513)*0.5,"Низшая четверть",IF(N513&lt;SUMIFS(L:L,R:R,1,E:E,E513)/SUMIFS(K:K,R:R,1,E:E,E513),"Вторая четверть","Больше половины"))</f>
        <v/>
      </c>
      <c r="X513">
        <f>IF(O513&lt;SUMIFS(M:M,R:R,1,E:E,E513)/SUMIFS(L:L,R:R,1,E:E,E513)*0.5,"Низшая четверть",IF(O513&lt;SUMIFS(M:M,R:R,1,E:E,E513)/SUMIFS(L:L,R:R,1,E:E,E513),"Вторая четверть","Больше половины"))</f>
        <v/>
      </c>
      <c r="Y513" t="n">
        <v>11</v>
      </c>
    </row>
    <row r="514">
      <c r="A514" s="1" t="inlineStr">
        <is>
          <t>a8800010</t>
        </is>
      </c>
      <c r="B514" s="2" t="inlineStr">
        <is>
          <t>696577014</t>
        </is>
      </c>
      <c r="C514" s="3" t="inlineStr">
        <is>
          <t>Одежда для детей</t>
        </is>
      </c>
      <c r="D514" s="2" t="inlineStr">
        <is>
          <t>Свитера детские для девочек</t>
        </is>
      </c>
      <c r="E514" s="3" t="inlineStr">
        <is>
          <t>a88 Толстовка на молнии для девочек</t>
        </is>
      </c>
      <c r="F514" s="2" t="inlineStr">
        <is>
          <t>весна, лето, осень</t>
        </is>
      </c>
      <c r="G514" s="3" t="inlineStr">
        <is>
          <t>Kari KIDS</t>
        </is>
      </c>
      <c r="H514" s="2" t="inlineStr">
        <is>
          <t>Зиннуров Ильнур</t>
        </is>
      </c>
      <c r="J514" s="3" t="inlineStr">
        <is>
          <t>2026SS</t>
        </is>
      </c>
      <c r="K514" s="3" t="n">
        <v>5374</v>
      </c>
      <c r="L514" s="3" t="n">
        <v>432</v>
      </c>
      <c r="M514" s="3" t="n">
        <v>3</v>
      </c>
      <c r="N514" s="4">
        <f>IFERROR(L514/K514,0)</f>
        <v/>
      </c>
      <c r="O514" s="4">
        <f>IFERROR(M514/L514,0)</f>
        <v/>
      </c>
      <c r="P514" t="n">
        <v>444</v>
      </c>
      <c r="Q514" s="5" t="n">
        <v>1</v>
      </c>
      <c r="R514" s="7" t="n">
        <v>1</v>
      </c>
      <c r="S514">
        <f>IF(OR(N514&lt;$T$1*0.5,O514&lt;$U$1*0.5),"код для проверки","нормальный код")</f>
        <v/>
      </c>
      <c r="T514">
        <f>IF(N514&lt;$T$1*0.5,"Низшая четверть",IF(N514&lt;$T$1,"Вторая четверть","Больше половины"))</f>
        <v/>
      </c>
      <c r="U514">
        <f>IF(O514&lt;$U$1*0.5,"Низшая четверть",IF(O514&lt;$U$1,"Вторая четверть","Больше половины"))</f>
        <v/>
      </c>
      <c r="V514">
        <f>IF(OR(N514&lt;SUMIFS(L:L,R:R,1,E:E,E514)/SUMIFS(K:K,R:R,1,E:E,E514)*0.5,O514&lt;SUMIFS(M:M,R:R,1,E:E,E514)/SUMIFS(L:L,R:R,1,E:E,E514)*0.5),"код для проверки","нормальный код")</f>
        <v/>
      </c>
      <c r="W514">
        <f>IF(N514&lt;SUMIFS(L:L,R:R,1,E:E,E514)/SUMIFS(K:K,R:R,1,E:E,E514)*0.5,"Низшая четверть",IF(N514&lt;SUMIFS(L:L,R:R,1,E:E,E514)/SUMIFS(K:K,R:R,1,E:E,E514),"Вторая четверть","Больше половины"))</f>
        <v/>
      </c>
      <c r="X514">
        <f>IF(O514&lt;SUMIFS(M:M,R:R,1,E:E,E514)/SUMIFS(L:L,R:R,1,E:E,E514)*0.5,"Низшая четверть",IF(O514&lt;SUMIFS(M:M,R:R,1,E:E,E514)/SUMIFS(L:L,R:R,1,E:E,E514),"Вторая четверть","Больше половины"))</f>
        <v/>
      </c>
      <c r="Y514" t="n">
        <v>21</v>
      </c>
    </row>
    <row r="515">
      <c r="A515" s="1" t="inlineStr">
        <is>
          <t>a6000220</t>
        </is>
      </c>
      <c r="B515" s="2" t="inlineStr">
        <is>
          <t>715352879</t>
        </is>
      </c>
      <c r="C515" s="3" t="inlineStr">
        <is>
          <t>Одежда для детей</t>
        </is>
      </c>
      <c r="D515" s="2" t="inlineStr">
        <is>
          <t>Платья, майки, футболки детские для девочек</t>
        </is>
      </c>
      <c r="E515" s="3" t="inlineStr">
        <is>
          <t>a60 Футболка детская для девочек</t>
        </is>
      </c>
      <c r="F515" s="2" t="inlineStr">
        <is>
          <t>всесезонный</t>
        </is>
      </c>
      <c r="G515" s="3" t="inlineStr">
        <is>
          <t>kari</t>
        </is>
      </c>
      <c r="H515" s="2" t="inlineStr">
        <is>
          <t>Зиннуров Ильнур</t>
        </is>
      </c>
      <c r="J515" s="3" t="inlineStr">
        <is>
          <t>2026SS</t>
        </is>
      </c>
      <c r="K515" s="3" t="n">
        <v>5358</v>
      </c>
      <c r="L515" s="3" t="n">
        <v>1048</v>
      </c>
      <c r="M515" s="3" t="n">
        <v>21</v>
      </c>
      <c r="N515" s="4">
        <f>IFERROR(L515/K515,0)</f>
        <v/>
      </c>
      <c r="O515" s="4">
        <f>IFERROR(M515/L515,0)</f>
        <v/>
      </c>
      <c r="P515" t="n">
        <v>580</v>
      </c>
      <c r="Q515" s="5" t="n">
        <v>1</v>
      </c>
      <c r="R515" s="7" t="n">
        <v>1</v>
      </c>
      <c r="S515">
        <f>IF(OR(N515&lt;$T$1*0.5,O515&lt;$U$1*0.5),"код для проверки","нормальный код")</f>
        <v/>
      </c>
      <c r="T515">
        <f>IF(N515&lt;$T$1*0.5,"Низшая четверть",IF(N515&lt;$T$1,"Вторая четверть","Больше половины"))</f>
        <v/>
      </c>
      <c r="U515">
        <f>IF(O515&lt;$U$1*0.5,"Низшая четверть",IF(O515&lt;$U$1,"Вторая четверть","Больше половины"))</f>
        <v/>
      </c>
      <c r="V515">
        <f>IF(OR(N515&lt;SUMIFS(L:L,R:R,1,E:E,E515)/SUMIFS(K:K,R:R,1,E:E,E515)*0.5,O515&lt;SUMIFS(M:M,R:R,1,E:E,E515)/SUMIFS(L:L,R:R,1,E:E,E515)*0.5),"код для проверки","нормальный код")</f>
        <v/>
      </c>
      <c r="W515">
        <f>IF(N515&lt;SUMIFS(L:L,R:R,1,E:E,E515)/SUMIFS(K:K,R:R,1,E:E,E515)*0.5,"Низшая четверть",IF(N515&lt;SUMIFS(L:L,R:R,1,E:E,E515)/SUMIFS(K:K,R:R,1,E:E,E515),"Вторая четверть","Больше половины"))</f>
        <v/>
      </c>
      <c r="X515">
        <f>IF(O515&lt;SUMIFS(M:M,R:R,1,E:E,E515)/SUMIFS(L:L,R:R,1,E:E,E515)*0.5,"Низшая четверть",IF(O515&lt;SUMIFS(M:M,R:R,1,E:E,E515)/SUMIFS(L:L,R:R,1,E:E,E515),"Вторая четверть","Больше половины"))</f>
        <v/>
      </c>
      <c r="Y515" t="n">
        <v>13</v>
      </c>
    </row>
    <row r="516">
      <c r="A516" s="1" t="inlineStr">
        <is>
          <t>a7900000</t>
        </is>
      </c>
      <c r="B516" s="2" t="inlineStr">
        <is>
          <t>695352253</t>
        </is>
      </c>
      <c r="C516" s="3" t="inlineStr">
        <is>
          <t>Одежда для детей</t>
        </is>
      </c>
      <c r="D516" s="2" t="inlineStr">
        <is>
          <t>Свитера детские для мальчиков</t>
        </is>
      </c>
      <c r="E516" s="3" t="inlineStr">
        <is>
          <t>a79 Толстовка-бомбер утепленная для мальчиков</t>
        </is>
      </c>
      <c r="F516" s="2" t="inlineStr">
        <is>
          <t>весна, осень, зима</t>
        </is>
      </c>
      <c r="G516" s="3" t="inlineStr">
        <is>
          <t>Kari KIDS</t>
        </is>
      </c>
      <c r="H516" s="2" t="inlineStr">
        <is>
          <t>Зиннуров Ильнур</t>
        </is>
      </c>
      <c r="J516" s="3" t="inlineStr">
        <is>
          <t>2026SS</t>
        </is>
      </c>
      <c r="K516" s="3" t="n">
        <v>5356</v>
      </c>
      <c r="L516" s="3" t="n">
        <v>1191</v>
      </c>
      <c r="M516" s="3" t="n">
        <v>13</v>
      </c>
      <c r="N516" s="4">
        <f>IFERROR(L516/K516,0)</f>
        <v/>
      </c>
      <c r="O516" s="4">
        <f>IFERROR(M516/L516,0)</f>
        <v/>
      </c>
      <c r="P516" t="n">
        <v>451</v>
      </c>
      <c r="Q516" s="5" t="n">
        <v>1</v>
      </c>
      <c r="R516" s="7" t="n">
        <v>1</v>
      </c>
      <c r="S516">
        <f>IF(OR(N516&lt;$T$1*0.5,O516&lt;$U$1*0.5),"код для проверки","нормальный код")</f>
        <v/>
      </c>
      <c r="T516">
        <f>IF(N516&lt;$T$1*0.5,"Низшая четверть",IF(N516&lt;$T$1,"Вторая четверть","Больше половины"))</f>
        <v/>
      </c>
      <c r="U516">
        <f>IF(O516&lt;$U$1*0.5,"Низшая четверть",IF(O516&lt;$U$1,"Вторая четверть","Больше половины"))</f>
        <v/>
      </c>
      <c r="V516">
        <f>IF(OR(N516&lt;SUMIFS(L:L,R:R,1,E:E,E516)/SUMIFS(K:K,R:R,1,E:E,E516)*0.5,O516&lt;SUMIFS(M:M,R:R,1,E:E,E516)/SUMIFS(L:L,R:R,1,E:E,E516)*0.5),"код для проверки","нормальный код")</f>
        <v/>
      </c>
      <c r="W516">
        <f>IF(N516&lt;SUMIFS(L:L,R:R,1,E:E,E516)/SUMIFS(K:K,R:R,1,E:E,E516)*0.5,"Низшая четверть",IF(N516&lt;SUMIFS(L:L,R:R,1,E:E,E516)/SUMIFS(K:K,R:R,1,E:E,E516),"Вторая четверть","Больше половины"))</f>
        <v/>
      </c>
      <c r="X516">
        <f>IF(O516&lt;SUMIFS(M:M,R:R,1,E:E,E516)/SUMIFS(L:L,R:R,1,E:E,E516)*0.5,"Низшая четверть",IF(O516&lt;SUMIFS(M:M,R:R,1,E:E,E516)/SUMIFS(L:L,R:R,1,E:E,E516),"Вторая четверть","Больше половины"))</f>
        <v/>
      </c>
      <c r="Y516" t="n">
        <v>20</v>
      </c>
    </row>
    <row r="517">
      <c r="A517" s="1" t="inlineStr">
        <is>
          <t>93706120</t>
        </is>
      </c>
      <c r="B517" s="2" t="inlineStr">
        <is>
          <t>216453946</t>
        </is>
      </c>
      <c r="C517" s="3" t="inlineStr">
        <is>
          <t>Одежда для детей</t>
        </is>
      </c>
      <c r="D517" s="2" t="inlineStr">
        <is>
          <t>Одежда для новорожденных</t>
        </is>
      </c>
      <c r="E517" s="3" t="inlineStr">
        <is>
          <t>937 Боди с коротким рукавом для мальчиков</t>
        </is>
      </c>
      <c r="F517" s="2" t="inlineStr">
        <is>
          <t>всесезонный</t>
        </is>
      </c>
      <c r="G517" s="3" t="inlineStr">
        <is>
          <t>Kari baby</t>
        </is>
      </c>
      <c r="H517" s="2" t="inlineStr">
        <is>
          <t>Зиннуров Ильнур</t>
        </is>
      </c>
      <c r="J517" s="3" t="inlineStr">
        <is>
          <t>2026SS</t>
        </is>
      </c>
      <c r="K517" s="3" t="n">
        <v>5312</v>
      </c>
      <c r="L517" s="3" t="n">
        <v>1052</v>
      </c>
      <c r="M517" s="3" t="n">
        <v>20</v>
      </c>
      <c r="N517" s="4">
        <f>IFERROR(L517/K517,0)</f>
        <v/>
      </c>
      <c r="O517" s="4">
        <f>IFERROR(M517/L517,0)</f>
        <v/>
      </c>
      <c r="P517" t="n">
        <v>200</v>
      </c>
      <c r="Q517" s="5" t="n">
        <v>1</v>
      </c>
      <c r="R517" s="7" t="n">
        <v>1</v>
      </c>
      <c r="S517">
        <f>IF(OR(N517&lt;$T$1*0.5,O517&lt;$U$1*0.5),"код для проверки","нормальный код")</f>
        <v/>
      </c>
      <c r="T517">
        <f>IF(N517&lt;$T$1*0.5,"Низшая четверть",IF(N517&lt;$T$1,"Вторая четверть","Больше половины"))</f>
        <v/>
      </c>
      <c r="U517">
        <f>IF(O517&lt;$U$1*0.5,"Низшая четверть",IF(O517&lt;$U$1,"Вторая четверть","Больше половины"))</f>
        <v/>
      </c>
      <c r="V517">
        <f>IF(OR(N517&lt;SUMIFS(L:L,R:R,1,E:E,E517)/SUMIFS(K:K,R:R,1,E:E,E517)*0.5,O517&lt;SUMIFS(M:M,R:R,1,E:E,E517)/SUMIFS(L:L,R:R,1,E:E,E517)*0.5),"код для проверки","нормальный код")</f>
        <v/>
      </c>
      <c r="W517">
        <f>IF(N517&lt;SUMIFS(L:L,R:R,1,E:E,E517)/SUMIFS(K:K,R:R,1,E:E,E517)*0.5,"Низшая четверть",IF(N517&lt;SUMIFS(L:L,R:R,1,E:E,E517)/SUMIFS(K:K,R:R,1,E:E,E517),"Вторая четверть","Больше половины"))</f>
        <v/>
      </c>
      <c r="X517">
        <f>IF(O517&lt;SUMIFS(M:M,R:R,1,E:E,E517)/SUMIFS(L:L,R:R,1,E:E,E517)*0.5,"Низшая четверть",IF(O517&lt;SUMIFS(M:M,R:R,1,E:E,E517)/SUMIFS(L:L,R:R,1,E:E,E517),"Вторая четверть","Больше половины"))</f>
        <v/>
      </c>
      <c r="Y517" t="n">
        <v>10</v>
      </c>
    </row>
    <row r="518">
      <c r="A518" s="1" t="inlineStr">
        <is>
          <t>91200110</t>
        </is>
      </c>
      <c r="B518" s="2" t="inlineStr">
        <is>
          <t>879308726</t>
        </is>
      </c>
      <c r="C518" s="3" t="inlineStr">
        <is>
          <t>Одежда для детей</t>
        </is>
      </c>
      <c r="D518" s="2" t="inlineStr">
        <is>
          <t>Одежда для новорожденных</t>
        </is>
      </c>
      <c r="E518" s="3" t="inlineStr">
        <is>
          <t>912 Джемпер для маленького мальчика</t>
        </is>
      </c>
      <c r="F518" s="2" t="inlineStr">
        <is>
          <t>всесезонный</t>
        </is>
      </c>
      <c r="G518" s="3" t="inlineStr">
        <is>
          <t>Kari baby</t>
        </is>
      </c>
      <c r="H518" s="2" t="inlineStr">
        <is>
          <t>Зиннуров Ильнур</t>
        </is>
      </c>
      <c r="J518" s="3" t="inlineStr">
        <is>
          <t>2026SS</t>
        </is>
      </c>
      <c r="K518" s="3" t="n">
        <v>5307</v>
      </c>
      <c r="L518" s="3" t="n">
        <v>379</v>
      </c>
      <c r="M518" s="3" t="n">
        <v>10</v>
      </c>
      <c r="N518" s="4">
        <f>IFERROR(L518/K518,0)</f>
        <v/>
      </c>
      <c r="O518" s="4">
        <f>IFERROR(M518/L518,0)</f>
        <v/>
      </c>
      <c r="P518" t="n">
        <v>464</v>
      </c>
      <c r="Q518" s="5" t="n">
        <v>1</v>
      </c>
      <c r="R518" s="7" t="n">
        <v>1</v>
      </c>
      <c r="S518">
        <f>IF(OR(N518&lt;$T$1*0.5,O518&lt;$U$1*0.5),"код для проверки","нормальный код")</f>
        <v/>
      </c>
      <c r="T518">
        <f>IF(N518&lt;$T$1*0.5,"Низшая четверть",IF(N518&lt;$T$1,"Вторая четверть","Больше половины"))</f>
        <v/>
      </c>
      <c r="U518">
        <f>IF(O518&lt;$U$1*0.5,"Низшая четверть",IF(O518&lt;$U$1,"Вторая четверть","Больше половины"))</f>
        <v/>
      </c>
      <c r="V518">
        <f>IF(OR(N518&lt;SUMIFS(L:L,R:R,1,E:E,E518)/SUMIFS(K:K,R:R,1,E:E,E518)*0.5,O518&lt;SUMIFS(M:M,R:R,1,E:E,E518)/SUMIFS(L:L,R:R,1,E:E,E518)*0.5),"код для проверки","нормальный код")</f>
        <v/>
      </c>
      <c r="W518">
        <f>IF(N518&lt;SUMIFS(L:L,R:R,1,E:E,E518)/SUMIFS(K:K,R:R,1,E:E,E518)*0.5,"Низшая четверть",IF(N518&lt;SUMIFS(L:L,R:R,1,E:E,E518)/SUMIFS(K:K,R:R,1,E:E,E518),"Вторая четверть","Больше половины"))</f>
        <v/>
      </c>
      <c r="X518">
        <f>IF(O518&lt;SUMIFS(M:M,R:R,1,E:E,E518)/SUMIFS(L:L,R:R,1,E:E,E518)*0.5,"Низшая четверть",IF(O518&lt;SUMIFS(M:M,R:R,1,E:E,E518)/SUMIFS(L:L,R:R,1,E:E,E518),"Вторая четверть","Больше половины"))</f>
        <v/>
      </c>
      <c r="Y518" t="n">
        <v>13</v>
      </c>
    </row>
    <row r="519">
      <c r="A519" s="1" t="inlineStr">
        <is>
          <t>13700000</t>
        </is>
      </c>
      <c r="B519" s="2" t="inlineStr">
        <is>
          <t>770920652</t>
        </is>
      </c>
      <c r="C519" s="3" t="inlineStr">
        <is>
          <t>Одежда и аксессуары</t>
        </is>
      </c>
      <c r="D519" s="2" t="inlineStr">
        <is>
          <t>Свитера женские</t>
        </is>
      </c>
      <c r="E519" s="3" t="inlineStr">
        <is>
          <t>137 Кардиган женский</t>
        </is>
      </c>
      <c r="F519" s="2" t="inlineStr">
        <is>
          <t>весна, осень, зима</t>
        </is>
      </c>
      <c r="G519" s="3" t="inlineStr">
        <is>
          <t>kari</t>
        </is>
      </c>
      <c r="H519" s="2" t="inlineStr">
        <is>
          <t>Зиннуров Ильнур</t>
        </is>
      </c>
      <c r="J519" s="3" t="inlineStr">
        <is>
          <t>2026SS</t>
        </is>
      </c>
      <c r="K519" s="3" t="n">
        <v>5301</v>
      </c>
      <c r="L519" s="3" t="n">
        <v>251</v>
      </c>
      <c r="M519" s="3" t="n">
        <v>5</v>
      </c>
      <c r="N519" s="4">
        <f>IFERROR(L519/K519,0)</f>
        <v/>
      </c>
      <c r="O519" s="4">
        <f>IFERROR(M519/L519,0)</f>
        <v/>
      </c>
      <c r="P519" t="n">
        <v>329</v>
      </c>
      <c r="Q519" s="5" t="n">
        <v>1</v>
      </c>
      <c r="R519" s="7" t="n">
        <v>1</v>
      </c>
      <c r="S519">
        <f>IF(OR(N519&lt;$T$1*0.5,O519&lt;$U$1*0.5),"код для проверки","нормальный код")</f>
        <v/>
      </c>
      <c r="T519">
        <f>IF(N519&lt;$T$1*0.5,"Низшая четверть",IF(N519&lt;$T$1,"Вторая четверть","Больше половины"))</f>
        <v/>
      </c>
      <c r="U519">
        <f>IF(O519&lt;$U$1*0.5,"Низшая четверть",IF(O519&lt;$U$1,"Вторая четверть","Больше половины"))</f>
        <v/>
      </c>
      <c r="V519">
        <f>IF(OR(N519&lt;SUMIFS(L:L,R:R,1,E:E,E519)/SUMIFS(K:K,R:R,1,E:E,E519)*0.5,O519&lt;SUMIFS(M:M,R:R,1,E:E,E519)/SUMIFS(L:L,R:R,1,E:E,E519)*0.5),"код для проверки","нормальный код")</f>
        <v/>
      </c>
      <c r="W519">
        <f>IF(N519&lt;SUMIFS(L:L,R:R,1,E:E,E519)/SUMIFS(K:K,R:R,1,E:E,E519)*0.5,"Низшая четверть",IF(N519&lt;SUMIFS(L:L,R:R,1,E:E,E519)/SUMIFS(K:K,R:R,1,E:E,E519),"Вторая четверть","Больше половины"))</f>
        <v/>
      </c>
      <c r="X519">
        <f>IF(O519&lt;SUMIFS(M:M,R:R,1,E:E,E519)/SUMIFS(L:L,R:R,1,E:E,E519)*0.5,"Низшая четверть",IF(O519&lt;SUMIFS(M:M,R:R,1,E:E,E519)/SUMIFS(L:L,R:R,1,E:E,E519),"Вторая четверть","Больше половины"))</f>
        <v/>
      </c>
      <c r="Y519" t="n">
        <v>19</v>
      </c>
    </row>
    <row r="520">
      <c r="A520" s="1" t="inlineStr">
        <is>
          <t>96800060</t>
        </is>
      </c>
      <c r="B520" s="2" t="inlineStr">
        <is>
          <t>786710154</t>
        </is>
      </c>
      <c r="C520" s="3" t="inlineStr">
        <is>
          <t>Одежда для детей</t>
        </is>
      </c>
      <c r="D520" s="2" t="inlineStr">
        <is>
          <t>Верхняя одежда детская для мальчиков</t>
        </is>
      </c>
      <c r="E520" s="3" t="inlineStr">
        <is>
          <t>968 Куртка джинсовая для мальчика</t>
        </is>
      </c>
      <c r="F520" s="2" t="inlineStr">
        <is>
          <t>весна, лето, осень</t>
        </is>
      </c>
      <c r="G520" s="3" t="inlineStr">
        <is>
          <t>Kari KIDS</t>
        </is>
      </c>
      <c r="H520" s="2" t="inlineStr">
        <is>
          <t>Зиннуров Ильнур</t>
        </is>
      </c>
      <c r="J520" s="3" t="inlineStr">
        <is>
          <t>2026SS</t>
        </is>
      </c>
      <c r="K520" s="3" t="n">
        <v>5281</v>
      </c>
      <c r="L520" s="3" t="n">
        <v>568</v>
      </c>
      <c r="M520" s="3" t="n">
        <v>1</v>
      </c>
      <c r="N520" s="4">
        <f>IFERROR(L520/K520,0)</f>
        <v/>
      </c>
      <c r="O520" s="4">
        <f>IFERROR(M520/L520,0)</f>
        <v/>
      </c>
      <c r="P520" t="n">
        <v>300</v>
      </c>
      <c r="Q520" s="5" t="n">
        <v>1</v>
      </c>
      <c r="R520" s="7" t="n">
        <v>1</v>
      </c>
      <c r="S520">
        <f>IF(OR(N520&lt;$T$1*0.5,O520&lt;$U$1*0.5),"код для проверки","нормальный код")</f>
        <v/>
      </c>
      <c r="T520">
        <f>IF(N520&lt;$T$1*0.5,"Низшая четверть",IF(N520&lt;$T$1,"Вторая четверть","Больше половины"))</f>
        <v/>
      </c>
      <c r="U520">
        <f>IF(O520&lt;$U$1*0.5,"Низшая четверть",IF(O520&lt;$U$1,"Вторая четверть","Больше половины"))</f>
        <v/>
      </c>
      <c r="V520">
        <f>IF(OR(N520&lt;SUMIFS(L:L,R:R,1,E:E,E520)/SUMIFS(K:K,R:R,1,E:E,E520)*0.5,O520&lt;SUMIFS(M:M,R:R,1,E:E,E520)/SUMIFS(L:L,R:R,1,E:E,E520)*0.5),"код для проверки","нормальный код")</f>
        <v/>
      </c>
      <c r="W520">
        <f>IF(N520&lt;SUMIFS(L:L,R:R,1,E:E,E520)/SUMIFS(K:K,R:R,1,E:E,E520)*0.5,"Низшая четверть",IF(N520&lt;SUMIFS(L:L,R:R,1,E:E,E520)/SUMIFS(K:K,R:R,1,E:E,E520),"Вторая четверть","Больше половины"))</f>
        <v/>
      </c>
      <c r="X520">
        <f>IF(O520&lt;SUMIFS(M:M,R:R,1,E:E,E520)/SUMIFS(L:L,R:R,1,E:E,E520)*0.5,"Низшая четверть",IF(O520&lt;SUMIFS(M:M,R:R,1,E:E,E520)/SUMIFS(L:L,R:R,1,E:E,E520),"Вторая четверть","Больше половины"))</f>
        <v/>
      </c>
      <c r="Y520" t="n">
        <v>17</v>
      </c>
    </row>
    <row r="521">
      <c r="A521" s="1" t="inlineStr">
        <is>
          <t>29100090</t>
        </is>
      </c>
      <c r="B521" s="2" t="inlineStr">
        <is>
          <t>698694604</t>
        </is>
      </c>
      <c r="C521" s="3" t="inlineStr">
        <is>
          <t>Одежда для детей</t>
        </is>
      </c>
      <c r="D521" s="2" t="inlineStr">
        <is>
          <t>Брюки детские для мальчиков</t>
        </is>
      </c>
      <c r="E521" s="3" t="inlineStr">
        <is>
          <t>291 Штаны детские для мальчиков</t>
        </is>
      </c>
      <c r="F521" s="2" t="inlineStr">
        <is>
          <t>всесезонный</t>
        </is>
      </c>
      <c r="G521" s="3" t="inlineStr">
        <is>
          <t>Kari KIDS</t>
        </is>
      </c>
      <c r="H521" s="2" t="inlineStr">
        <is>
          <t>Зиннуров Ильнур</t>
        </is>
      </c>
      <c r="J521" s="3" t="inlineStr">
        <is>
          <t>2026SS</t>
        </is>
      </c>
      <c r="K521" s="3" t="n">
        <v>5270</v>
      </c>
      <c r="L521" s="3" t="n">
        <v>603</v>
      </c>
      <c r="M521" s="3" t="n">
        <v>13</v>
      </c>
      <c r="N521" s="4">
        <f>IFERROR(L521/K521,0)</f>
        <v/>
      </c>
      <c r="O521" s="4">
        <f>IFERROR(M521/L521,0)</f>
        <v/>
      </c>
      <c r="P521" t="n">
        <v>318</v>
      </c>
      <c r="Q521" s="5" t="n">
        <v>1</v>
      </c>
      <c r="R521" s="7" t="n">
        <v>1</v>
      </c>
      <c r="S521">
        <f>IF(OR(N521&lt;$T$1*0.5,O521&lt;$U$1*0.5),"код для проверки","нормальный код")</f>
        <v/>
      </c>
      <c r="T521">
        <f>IF(N521&lt;$T$1*0.5,"Низшая четверть",IF(N521&lt;$T$1,"Вторая четверть","Больше половины"))</f>
        <v/>
      </c>
      <c r="U521">
        <f>IF(O521&lt;$U$1*0.5,"Низшая четверть",IF(O521&lt;$U$1,"Вторая четверть","Больше половины"))</f>
        <v/>
      </c>
      <c r="V521">
        <f>IF(OR(N521&lt;SUMIFS(L:L,R:R,1,E:E,E521)/SUMIFS(K:K,R:R,1,E:E,E521)*0.5,O521&lt;SUMIFS(M:M,R:R,1,E:E,E521)/SUMIFS(L:L,R:R,1,E:E,E521)*0.5),"код для проверки","нормальный код")</f>
        <v/>
      </c>
      <c r="W521">
        <f>IF(N521&lt;SUMIFS(L:L,R:R,1,E:E,E521)/SUMIFS(K:K,R:R,1,E:E,E521)*0.5,"Низшая четверть",IF(N521&lt;SUMIFS(L:L,R:R,1,E:E,E521)/SUMIFS(K:K,R:R,1,E:E,E521),"Вторая четверть","Больше половины"))</f>
        <v/>
      </c>
      <c r="X521">
        <f>IF(O521&lt;SUMIFS(M:M,R:R,1,E:E,E521)/SUMIFS(L:L,R:R,1,E:E,E521)*0.5,"Низшая четверть",IF(O521&lt;SUMIFS(M:M,R:R,1,E:E,E521)/SUMIFS(L:L,R:R,1,E:E,E521),"Вторая четверть","Больше половины"))</f>
        <v/>
      </c>
      <c r="Y521" t="n">
        <v>11</v>
      </c>
    </row>
    <row r="522">
      <c r="A522" s="1" t="inlineStr">
        <is>
          <t>094000C0</t>
        </is>
      </c>
      <c r="B522" s="2" t="inlineStr">
        <is>
          <t>756548662</t>
        </is>
      </c>
      <c r="C522" s="3" t="inlineStr">
        <is>
          <t>Одежда и аксессуары</t>
        </is>
      </c>
      <c r="D522" s="2" t="inlineStr">
        <is>
          <t>Купальники женские</t>
        </is>
      </c>
      <c r="E522" s="3" t="inlineStr">
        <is>
          <t>094 Купальник</t>
        </is>
      </c>
      <c r="F522" s="2" t="inlineStr">
        <is>
          <t>лето</t>
        </is>
      </c>
      <c r="G522" s="3" t="inlineStr">
        <is>
          <t>kari</t>
        </is>
      </c>
      <c r="H522" s="2" t="inlineStr">
        <is>
          <t>Никонорова Алина</t>
        </is>
      </c>
      <c r="J522" s="3" t="inlineStr">
        <is>
          <t>2026SS</t>
        </is>
      </c>
      <c r="K522" s="3" t="n">
        <v>5222</v>
      </c>
      <c r="L522" s="3" t="n">
        <v>2276</v>
      </c>
      <c r="M522" s="3" t="n">
        <v>31</v>
      </c>
      <c r="N522" s="4">
        <f>IFERROR(L522/K522,0)</f>
        <v/>
      </c>
      <c r="O522" s="4">
        <f>IFERROR(M522/L522,0)</f>
        <v/>
      </c>
      <c r="P522" t="n">
        <v>3861</v>
      </c>
      <c r="Q522" s="5" t="n">
        <v>0.8888888888888888</v>
      </c>
      <c r="R522" s="7" t="n">
        <v>1</v>
      </c>
      <c r="S522">
        <f>IF(OR(N522&lt;$T$1*0.5,O522&lt;$U$1*0.5),"код для проверки","нормальный код")</f>
        <v/>
      </c>
      <c r="T522">
        <f>IF(N522&lt;$T$1*0.5,"Низшая четверть",IF(N522&lt;$T$1,"Вторая четверть","Больше половины"))</f>
        <v/>
      </c>
      <c r="U522">
        <f>IF(O522&lt;$U$1*0.5,"Низшая четверть",IF(O522&lt;$U$1,"Вторая четверть","Больше половины"))</f>
        <v/>
      </c>
      <c r="V522">
        <f>IF(OR(N522&lt;SUMIFS(L:L,R:R,1,E:E,E522)/SUMIFS(K:K,R:R,1,E:E,E522)*0.5,O522&lt;SUMIFS(M:M,R:R,1,E:E,E522)/SUMIFS(L:L,R:R,1,E:E,E522)*0.5),"код для проверки","нормальный код")</f>
        <v/>
      </c>
      <c r="W522">
        <f>IF(N522&lt;SUMIFS(L:L,R:R,1,E:E,E522)/SUMIFS(K:K,R:R,1,E:E,E522)*0.5,"Низшая четверть",IF(N522&lt;SUMIFS(L:L,R:R,1,E:E,E522)/SUMIFS(K:K,R:R,1,E:E,E522),"Вторая четверть","Больше половины"))</f>
        <v/>
      </c>
      <c r="X522">
        <f>IF(O522&lt;SUMIFS(M:M,R:R,1,E:E,E522)/SUMIFS(L:L,R:R,1,E:E,E522)*0.5,"Низшая четверть",IF(O522&lt;SUMIFS(M:M,R:R,1,E:E,E522)/SUMIFS(L:L,R:R,1,E:E,E522),"Вторая четверть","Больше половины"))</f>
        <v/>
      </c>
      <c r="Y522" t="n">
        <v>18</v>
      </c>
    </row>
    <row r="523">
      <c r="A523" s="1" t="inlineStr">
        <is>
          <t>a6000330</t>
        </is>
      </c>
      <c r="B523" s="2" t="inlineStr">
        <is>
          <t>721315677</t>
        </is>
      </c>
      <c r="C523" s="3" t="inlineStr">
        <is>
          <t>Одежда для детей</t>
        </is>
      </c>
      <c r="D523" s="2" t="inlineStr">
        <is>
          <t>Платья, майки, футболки детские для девочек</t>
        </is>
      </c>
      <c r="E523" s="3" t="inlineStr">
        <is>
          <t>a60 Футболка детская для девочек</t>
        </is>
      </c>
      <c r="F523" s="2" t="inlineStr">
        <is>
          <t>всесезонный</t>
        </is>
      </c>
      <c r="G523" s="3" t="inlineStr">
        <is>
          <t>kari</t>
        </is>
      </c>
      <c r="H523" s="2" t="inlineStr">
        <is>
          <t>Зиннуров Ильнур</t>
        </is>
      </c>
      <c r="J523" s="3" t="inlineStr">
        <is>
          <t>2026SS</t>
        </is>
      </c>
      <c r="K523" s="3" t="n">
        <v>5217</v>
      </c>
      <c r="L523" s="3" t="n">
        <v>293</v>
      </c>
      <c r="M523" s="3" t="n">
        <v>8</v>
      </c>
      <c r="N523" s="4">
        <f>IFERROR(L523/K523,0)</f>
        <v/>
      </c>
      <c r="O523" s="4">
        <f>IFERROR(M523/L523,0)</f>
        <v/>
      </c>
      <c r="P523" t="n">
        <v>352</v>
      </c>
      <c r="Q523" s="5" t="n">
        <v>1</v>
      </c>
      <c r="R523" s="7" t="n">
        <v>1</v>
      </c>
      <c r="S523">
        <f>IF(OR(N523&lt;$T$1*0.5,O523&lt;$U$1*0.5),"код для проверки","нормальный код")</f>
        <v/>
      </c>
      <c r="T523">
        <f>IF(N523&lt;$T$1*0.5,"Низшая четверть",IF(N523&lt;$T$1,"Вторая четверть","Больше половины"))</f>
        <v/>
      </c>
      <c r="U523">
        <f>IF(O523&lt;$U$1*0.5,"Низшая четверть",IF(O523&lt;$U$1,"Вторая четверть","Больше половины"))</f>
        <v/>
      </c>
      <c r="V523">
        <f>IF(OR(N523&lt;SUMIFS(L:L,R:R,1,E:E,E523)/SUMIFS(K:K,R:R,1,E:E,E523)*0.5,O523&lt;SUMIFS(M:M,R:R,1,E:E,E523)/SUMIFS(L:L,R:R,1,E:E,E523)*0.5),"код для проверки","нормальный код")</f>
        <v/>
      </c>
      <c r="W523">
        <f>IF(N523&lt;SUMIFS(L:L,R:R,1,E:E,E523)/SUMIFS(K:K,R:R,1,E:E,E523)*0.5,"Низшая четверть",IF(N523&lt;SUMIFS(L:L,R:R,1,E:E,E523)/SUMIFS(K:K,R:R,1,E:E,E523),"Вторая четверть","Больше половины"))</f>
        <v/>
      </c>
      <c r="X523">
        <f>IF(O523&lt;SUMIFS(M:M,R:R,1,E:E,E523)/SUMIFS(L:L,R:R,1,E:E,E523)*0.5,"Низшая четверть",IF(O523&lt;SUMIFS(M:M,R:R,1,E:E,E523)/SUMIFS(L:L,R:R,1,E:E,E523),"Вторая четверть","Больше половины"))</f>
        <v/>
      </c>
      <c r="Y523" t="n">
        <v>12</v>
      </c>
    </row>
    <row r="524">
      <c r="A524" s="1" t="inlineStr">
        <is>
          <t>094002D0</t>
        </is>
      </c>
      <c r="B524" s="2" t="inlineStr">
        <is>
          <t>756548870</t>
        </is>
      </c>
      <c r="C524" s="3" t="inlineStr">
        <is>
          <t>Одежда и аксессуары</t>
        </is>
      </c>
      <c r="D524" s="2" t="inlineStr">
        <is>
          <t>Купальники женские</t>
        </is>
      </c>
      <c r="E524" s="3" t="inlineStr">
        <is>
          <t>094 Купальник</t>
        </is>
      </c>
      <c r="F524" s="2" t="inlineStr">
        <is>
          <t>лето</t>
        </is>
      </c>
      <c r="G524" s="3" t="inlineStr">
        <is>
          <t>kari</t>
        </is>
      </c>
      <c r="H524" s="2" t="inlineStr">
        <is>
          <t>Никонорова Алина</t>
        </is>
      </c>
      <c r="J524" s="3" t="inlineStr">
        <is>
          <t>2026SS</t>
        </is>
      </c>
      <c r="K524" s="3" t="n">
        <v>5169</v>
      </c>
      <c r="L524" s="3" t="n">
        <v>5111</v>
      </c>
      <c r="M524" s="3" t="n">
        <v>21</v>
      </c>
      <c r="N524" s="4">
        <f>IFERROR(L524/K524,0)</f>
        <v/>
      </c>
      <c r="O524" s="4">
        <f>IFERROR(M524/L524,0)</f>
        <v/>
      </c>
      <c r="P524" t="n">
        <v>1039</v>
      </c>
      <c r="Q524" s="5" t="n">
        <v>0.7777777777777778</v>
      </c>
      <c r="R524" s="7" t="n">
        <v>1</v>
      </c>
      <c r="S524">
        <f>IF(OR(N524&lt;$T$1*0.5,O524&lt;$U$1*0.5),"код для проверки","нормальный код")</f>
        <v/>
      </c>
      <c r="T524">
        <f>IF(N524&lt;$T$1*0.5,"Низшая четверть",IF(N524&lt;$T$1,"Вторая четверть","Больше половины"))</f>
        <v/>
      </c>
      <c r="U524">
        <f>IF(O524&lt;$U$1*0.5,"Низшая четверть",IF(O524&lt;$U$1,"Вторая четверть","Больше половины"))</f>
        <v/>
      </c>
      <c r="V524">
        <f>IF(OR(N524&lt;SUMIFS(L:L,R:R,1,E:E,E524)/SUMIFS(K:K,R:R,1,E:E,E524)*0.5,O524&lt;SUMIFS(M:M,R:R,1,E:E,E524)/SUMIFS(L:L,R:R,1,E:E,E524)*0.5),"код для проверки","нормальный код")</f>
        <v/>
      </c>
      <c r="W524">
        <f>IF(N524&lt;SUMIFS(L:L,R:R,1,E:E,E524)/SUMIFS(K:K,R:R,1,E:E,E524)*0.5,"Низшая четверть",IF(N524&lt;SUMIFS(L:L,R:R,1,E:E,E524)/SUMIFS(K:K,R:R,1,E:E,E524),"Вторая четверть","Больше половины"))</f>
        <v/>
      </c>
      <c r="X524">
        <f>IF(O524&lt;SUMIFS(M:M,R:R,1,E:E,E524)/SUMIFS(L:L,R:R,1,E:E,E524)*0.5,"Низшая четверть",IF(O524&lt;SUMIFS(M:M,R:R,1,E:E,E524)/SUMIFS(L:L,R:R,1,E:E,E524),"Вторая четверть","Больше половины"))</f>
        <v/>
      </c>
      <c r="Y524" t="n">
        <v>18</v>
      </c>
    </row>
    <row r="525">
      <c r="A525" s="1" t="inlineStr">
        <is>
          <t>88100130</t>
        </is>
      </c>
      <c r="B525" s="2" t="inlineStr">
        <is>
          <t>727422451</t>
        </is>
      </c>
      <c r="C525" s="3" t="inlineStr">
        <is>
          <t>Одежда для детей</t>
        </is>
      </c>
      <c r="D525" s="2" t="inlineStr">
        <is>
          <t>Футболки, майки, рубашки детские для мальчиков</t>
        </is>
      </c>
      <c r="E525" s="3" t="inlineStr">
        <is>
          <t>881 Футболка длинный рукав детская для мальчиков</t>
        </is>
      </c>
      <c r="F525" s="2" t="inlineStr">
        <is>
          <t>всесезонный</t>
        </is>
      </c>
      <c r="G525" s="3" t="inlineStr">
        <is>
          <t>kari</t>
        </is>
      </c>
      <c r="H525" s="2" t="inlineStr">
        <is>
          <t>Зиннуров Ильнур</t>
        </is>
      </c>
      <c r="J525" s="3" t="inlineStr">
        <is>
          <t>2026SS</t>
        </is>
      </c>
      <c r="K525" s="3" t="n">
        <v>5124</v>
      </c>
      <c r="L525" s="3" t="n">
        <v>391</v>
      </c>
      <c r="M525" s="3" t="n">
        <v>5</v>
      </c>
      <c r="N525" s="4">
        <f>IFERROR(L525/K525,0)</f>
        <v/>
      </c>
      <c r="O525" s="4">
        <f>IFERROR(M525/L525,0)</f>
        <v/>
      </c>
      <c r="P525" t="n">
        <v>236</v>
      </c>
      <c r="Q525" s="5" t="n">
        <v>1</v>
      </c>
      <c r="R525" s="7" t="n">
        <v>1</v>
      </c>
      <c r="S525">
        <f>IF(OR(N525&lt;$T$1*0.5,O525&lt;$U$1*0.5),"код для проверки","нормальный код")</f>
        <v/>
      </c>
      <c r="T525">
        <f>IF(N525&lt;$T$1*0.5,"Низшая четверть",IF(N525&lt;$T$1,"Вторая четверть","Больше половины"))</f>
        <v/>
      </c>
      <c r="U525">
        <f>IF(O525&lt;$U$1*0.5,"Низшая четверть",IF(O525&lt;$U$1,"Вторая четверть","Больше половины"))</f>
        <v/>
      </c>
      <c r="V525">
        <f>IF(OR(N525&lt;SUMIFS(L:L,R:R,1,E:E,E525)/SUMIFS(K:K,R:R,1,E:E,E525)*0.5,O525&lt;SUMIFS(M:M,R:R,1,E:E,E525)/SUMIFS(L:L,R:R,1,E:E,E525)*0.5),"код для проверки","нормальный код")</f>
        <v/>
      </c>
      <c r="W525">
        <f>IF(N525&lt;SUMIFS(L:L,R:R,1,E:E,E525)/SUMIFS(K:K,R:R,1,E:E,E525)*0.5,"Низшая четверть",IF(N525&lt;SUMIFS(L:L,R:R,1,E:E,E525)/SUMIFS(K:K,R:R,1,E:E,E525),"Вторая четверть","Больше половины"))</f>
        <v/>
      </c>
      <c r="X525">
        <f>IF(O525&lt;SUMIFS(M:M,R:R,1,E:E,E525)/SUMIFS(L:L,R:R,1,E:E,E525)*0.5,"Низшая четверть",IF(O525&lt;SUMIFS(M:M,R:R,1,E:E,E525)/SUMIFS(L:L,R:R,1,E:E,E525),"Вторая четверть","Больше половины"))</f>
        <v/>
      </c>
      <c r="Y525" t="n">
        <v>16</v>
      </c>
    </row>
    <row r="526">
      <c r="A526" s="1" t="inlineStr">
        <is>
          <t>17900000</t>
        </is>
      </c>
      <c r="B526" s="2" t="inlineStr">
        <is>
          <t>768695345</t>
        </is>
      </c>
      <c r="C526" s="3" t="inlineStr">
        <is>
          <t>Одежда и аксессуары</t>
        </is>
      </c>
      <c r="D526" s="2" t="inlineStr">
        <is>
          <t>Джинсы женские</t>
        </is>
      </c>
      <c r="E526" s="3" t="inlineStr">
        <is>
          <t>179 Джинсы женские</t>
        </is>
      </c>
      <c r="F526" s="2" t="inlineStr">
        <is>
          <t>всесезонный</t>
        </is>
      </c>
      <c r="G526" s="3" t="inlineStr">
        <is>
          <t>kari</t>
        </is>
      </c>
      <c r="H526" s="2" t="inlineStr">
        <is>
          <t>Зиннуров Ильнур</t>
        </is>
      </c>
      <c r="J526" s="3" t="inlineStr">
        <is>
          <t>2026SS</t>
        </is>
      </c>
      <c r="K526" s="3" t="n">
        <v>5118</v>
      </c>
      <c r="L526" s="3" t="n">
        <v>689</v>
      </c>
      <c r="M526" s="3" t="n">
        <v>21</v>
      </c>
      <c r="N526" s="4">
        <f>IFERROR(L526/K526,0)</f>
        <v/>
      </c>
      <c r="O526" s="4">
        <f>IFERROR(M526/L526,0)</f>
        <v/>
      </c>
      <c r="P526" t="n">
        <v>319</v>
      </c>
      <c r="Q526" s="5" t="n">
        <v>1</v>
      </c>
      <c r="R526" s="7" t="n">
        <v>1</v>
      </c>
      <c r="S526">
        <f>IF(OR(N526&lt;$T$1*0.5,O526&lt;$U$1*0.5),"код для проверки","нормальный код")</f>
        <v/>
      </c>
      <c r="T526">
        <f>IF(N526&lt;$T$1*0.5,"Низшая четверть",IF(N526&lt;$T$1,"Вторая четверть","Больше половины"))</f>
        <v/>
      </c>
      <c r="U526">
        <f>IF(O526&lt;$U$1*0.5,"Низшая четверть",IF(O526&lt;$U$1,"Вторая четверть","Больше половины"))</f>
        <v/>
      </c>
      <c r="V526">
        <f>IF(OR(N526&lt;SUMIFS(L:L,R:R,1,E:E,E526)/SUMIFS(K:K,R:R,1,E:E,E526)*0.5,O526&lt;SUMIFS(M:M,R:R,1,E:E,E526)/SUMIFS(L:L,R:R,1,E:E,E526)*0.5),"код для проверки","нормальный код")</f>
        <v/>
      </c>
      <c r="W526">
        <f>IF(N526&lt;SUMIFS(L:L,R:R,1,E:E,E526)/SUMIFS(K:K,R:R,1,E:E,E526)*0.5,"Низшая четверть",IF(N526&lt;SUMIFS(L:L,R:R,1,E:E,E526)/SUMIFS(K:K,R:R,1,E:E,E526),"Вторая четверть","Больше половины"))</f>
        <v/>
      </c>
      <c r="X526">
        <f>IF(O526&lt;SUMIFS(M:M,R:R,1,E:E,E526)/SUMIFS(L:L,R:R,1,E:E,E526)*0.5,"Низшая четверть",IF(O526&lt;SUMIFS(M:M,R:R,1,E:E,E526)/SUMIFS(L:L,R:R,1,E:E,E526),"Вторая четверть","Больше половины"))</f>
        <v/>
      </c>
      <c r="Y526" t="n">
        <v>28</v>
      </c>
    </row>
    <row r="527">
      <c r="A527" s="1" t="inlineStr">
        <is>
          <t>a6000400</t>
        </is>
      </c>
      <c r="B527" s="2" t="inlineStr">
        <is>
          <t>705939691</t>
        </is>
      </c>
      <c r="C527" s="3" t="inlineStr">
        <is>
          <t>Одежда для детей</t>
        </is>
      </c>
      <c r="D527" s="2" t="inlineStr">
        <is>
          <t>Платья, майки, футболки детские для девочек</t>
        </is>
      </c>
      <c r="E527" s="3" t="inlineStr">
        <is>
          <t>a60 Футболка детская для девочек</t>
        </is>
      </c>
      <c r="F527" s="2" t="inlineStr">
        <is>
          <t>всесезонный</t>
        </is>
      </c>
      <c r="G527" s="3" t="inlineStr">
        <is>
          <t>kari</t>
        </is>
      </c>
      <c r="H527" s="2" t="inlineStr">
        <is>
          <t>Зиннуров Ильнур</t>
        </is>
      </c>
      <c r="J527" s="3" t="inlineStr">
        <is>
          <t>2026SS</t>
        </is>
      </c>
      <c r="K527" s="3" t="n">
        <v>5082</v>
      </c>
      <c r="L527" s="3" t="n">
        <v>541</v>
      </c>
      <c r="M527" s="3" t="n">
        <v>8</v>
      </c>
      <c r="N527" s="4">
        <f>IFERROR(L527/K527,0)</f>
        <v/>
      </c>
      <c r="O527" s="4">
        <f>IFERROR(M527/L527,0)</f>
        <v/>
      </c>
      <c r="P527" t="n">
        <v>145</v>
      </c>
      <c r="Q527" s="5" t="n">
        <v>1</v>
      </c>
      <c r="R527" s="7" t="n">
        <v>1</v>
      </c>
      <c r="S527">
        <f>IF(OR(N527&lt;$T$1*0.5,O527&lt;$U$1*0.5),"код для проверки","нормальный код")</f>
        <v/>
      </c>
      <c r="T527">
        <f>IF(N527&lt;$T$1*0.5,"Низшая четверть",IF(N527&lt;$T$1,"Вторая четверть","Больше половины"))</f>
        <v/>
      </c>
      <c r="U527">
        <f>IF(O527&lt;$U$1*0.5,"Низшая четверть",IF(O527&lt;$U$1,"Вторая четверть","Больше половины"))</f>
        <v/>
      </c>
      <c r="V527">
        <f>IF(OR(N527&lt;SUMIFS(L:L,R:R,1,E:E,E527)/SUMIFS(K:K,R:R,1,E:E,E527)*0.5,O527&lt;SUMIFS(M:M,R:R,1,E:E,E527)/SUMIFS(L:L,R:R,1,E:E,E527)*0.5),"код для проверки","нормальный код")</f>
        <v/>
      </c>
      <c r="W527">
        <f>IF(N527&lt;SUMIFS(L:L,R:R,1,E:E,E527)/SUMIFS(K:K,R:R,1,E:E,E527)*0.5,"Низшая четверть",IF(N527&lt;SUMIFS(L:L,R:R,1,E:E,E527)/SUMIFS(K:K,R:R,1,E:E,E527),"Вторая четверть","Больше половины"))</f>
        <v/>
      </c>
      <c r="X527">
        <f>IF(O527&lt;SUMIFS(M:M,R:R,1,E:E,E527)/SUMIFS(L:L,R:R,1,E:E,E527)*0.5,"Низшая четверть",IF(O527&lt;SUMIFS(M:M,R:R,1,E:E,E527)/SUMIFS(L:L,R:R,1,E:E,E527),"Вторая четверть","Больше половины"))</f>
        <v/>
      </c>
      <c r="Y527" t="n">
        <v>6</v>
      </c>
    </row>
    <row r="528">
      <c r="A528" s="1" t="inlineStr">
        <is>
          <t>09400960</t>
        </is>
      </c>
      <c r="B528" s="2" t="inlineStr">
        <is>
          <t>756548682</t>
        </is>
      </c>
      <c r="C528" s="3" t="inlineStr">
        <is>
          <t>Одежда и аксессуары</t>
        </is>
      </c>
      <c r="D528" s="2" t="inlineStr">
        <is>
          <t>Купальники женские</t>
        </is>
      </c>
      <c r="E528" s="3" t="inlineStr">
        <is>
          <t>094 Купальник</t>
        </is>
      </c>
      <c r="F528" s="2" t="inlineStr">
        <is>
          <t>лето</t>
        </is>
      </c>
      <c r="G528" s="3" t="inlineStr">
        <is>
          <t>kari</t>
        </is>
      </c>
      <c r="H528" s="2" t="inlineStr">
        <is>
          <t>Никонорова Алина</t>
        </is>
      </c>
      <c r="J528" s="3" t="inlineStr">
        <is>
          <t>2026SS</t>
        </is>
      </c>
      <c r="K528" s="3" t="n">
        <v>5078</v>
      </c>
      <c r="L528" s="3" t="n">
        <v>1624</v>
      </c>
      <c r="M528" s="3" t="n">
        <v>10</v>
      </c>
      <c r="N528" s="4">
        <f>IFERROR(L528/K528,0)</f>
        <v/>
      </c>
      <c r="O528" s="4">
        <f>IFERROR(M528/L528,0)</f>
        <v/>
      </c>
      <c r="P528" t="n">
        <v>1704</v>
      </c>
      <c r="Q528" s="5" t="n">
        <v>0.7777777777777778</v>
      </c>
      <c r="R528" s="7" t="n">
        <v>1</v>
      </c>
      <c r="S528">
        <f>IF(OR(N528&lt;$T$1*0.5,O528&lt;$U$1*0.5),"код для проверки","нормальный код")</f>
        <v/>
      </c>
      <c r="T528">
        <f>IF(N528&lt;$T$1*0.5,"Низшая четверть",IF(N528&lt;$T$1,"Вторая четверть","Больше половины"))</f>
        <v/>
      </c>
      <c r="U528">
        <f>IF(O528&lt;$U$1*0.5,"Низшая четверть",IF(O528&lt;$U$1,"Вторая четверть","Больше половины"))</f>
        <v/>
      </c>
      <c r="V528">
        <f>IF(OR(N528&lt;SUMIFS(L:L,R:R,1,E:E,E528)/SUMIFS(K:K,R:R,1,E:E,E528)*0.5,O528&lt;SUMIFS(M:M,R:R,1,E:E,E528)/SUMIFS(L:L,R:R,1,E:E,E528)*0.5),"код для проверки","нормальный код")</f>
        <v/>
      </c>
      <c r="W528">
        <f>IF(N528&lt;SUMIFS(L:L,R:R,1,E:E,E528)/SUMIFS(K:K,R:R,1,E:E,E528)*0.5,"Низшая четверть",IF(N528&lt;SUMIFS(L:L,R:R,1,E:E,E528)/SUMIFS(K:K,R:R,1,E:E,E528),"Вторая четверть","Больше половины"))</f>
        <v/>
      </c>
      <c r="X528">
        <f>IF(O528&lt;SUMIFS(M:M,R:R,1,E:E,E528)/SUMIFS(L:L,R:R,1,E:E,E528)*0.5,"Низшая четверть",IF(O528&lt;SUMIFS(M:M,R:R,1,E:E,E528)/SUMIFS(L:L,R:R,1,E:E,E528),"Вторая четверть","Больше половины"))</f>
        <v/>
      </c>
      <c r="Y528" t="n">
        <v>14</v>
      </c>
    </row>
    <row r="529">
      <c r="A529" s="1" t="inlineStr">
        <is>
          <t>310000Q0</t>
        </is>
      </c>
      <c r="B529" s="2" t="inlineStr">
        <is>
          <t>788315571</t>
        </is>
      </c>
      <c r="C529" s="3" t="inlineStr">
        <is>
          <t>Одежда для детей</t>
        </is>
      </c>
      <c r="D529" s="2" t="inlineStr">
        <is>
          <t>Футболки, майки, рубашки детские для мальчиков</t>
        </is>
      </c>
      <c r="E529" s="3" t="inlineStr">
        <is>
          <t>310 Футболка детская для мальчиков</t>
        </is>
      </c>
      <c r="F529" s="2" t="inlineStr">
        <is>
          <t>всесезонный</t>
        </is>
      </c>
      <c r="G529" s="3" t="inlineStr">
        <is>
          <t>kari</t>
        </is>
      </c>
      <c r="H529" s="2" t="inlineStr">
        <is>
          <t>Зиннуров Ильнур</t>
        </is>
      </c>
      <c r="J529" s="3" t="inlineStr">
        <is>
          <t>2026SS</t>
        </is>
      </c>
      <c r="K529" s="3" t="n">
        <v>5050</v>
      </c>
      <c r="L529" s="3" t="n">
        <v>704</v>
      </c>
      <c r="M529" s="3" t="n">
        <v>14</v>
      </c>
      <c r="N529" s="4">
        <f>IFERROR(L529/K529,0)</f>
        <v/>
      </c>
      <c r="O529" s="4">
        <f>IFERROR(M529/L529,0)</f>
        <v/>
      </c>
      <c r="P529" t="n">
        <v>779</v>
      </c>
      <c r="Q529" s="5" t="n">
        <v>1</v>
      </c>
      <c r="R529" s="7" t="n">
        <v>1</v>
      </c>
      <c r="S529">
        <f>IF(OR(N529&lt;$T$1*0.5,O529&lt;$U$1*0.5),"код для проверки","нормальный код")</f>
        <v/>
      </c>
      <c r="T529">
        <f>IF(N529&lt;$T$1*0.5,"Низшая четверть",IF(N529&lt;$T$1,"Вторая четверть","Больше половины"))</f>
        <v/>
      </c>
      <c r="U529">
        <f>IF(O529&lt;$U$1*0.5,"Низшая четверть",IF(O529&lt;$U$1,"Вторая четверть","Больше половины"))</f>
        <v/>
      </c>
      <c r="V529">
        <f>IF(OR(N529&lt;SUMIFS(L:L,R:R,1,E:E,E529)/SUMIFS(K:K,R:R,1,E:E,E529)*0.5,O529&lt;SUMIFS(M:M,R:R,1,E:E,E529)/SUMIFS(L:L,R:R,1,E:E,E529)*0.5),"код для проверки","нормальный код")</f>
        <v/>
      </c>
      <c r="W529">
        <f>IF(N529&lt;SUMIFS(L:L,R:R,1,E:E,E529)/SUMIFS(K:K,R:R,1,E:E,E529)*0.5,"Низшая четверть",IF(N529&lt;SUMIFS(L:L,R:R,1,E:E,E529)/SUMIFS(K:K,R:R,1,E:E,E529),"Вторая четверть","Больше половины"))</f>
        <v/>
      </c>
      <c r="X529">
        <f>IF(O529&lt;SUMIFS(M:M,R:R,1,E:E,E529)/SUMIFS(L:L,R:R,1,E:E,E529)*0.5,"Низшая четверть",IF(O529&lt;SUMIFS(M:M,R:R,1,E:E,E529)/SUMIFS(L:L,R:R,1,E:E,E529),"Вторая четверть","Больше половины"))</f>
        <v/>
      </c>
      <c r="Y529" t="n">
        <v>16</v>
      </c>
    </row>
    <row r="530">
      <c r="A530" s="1" t="inlineStr">
        <is>
          <t>094001S0</t>
        </is>
      </c>
      <c r="B530" s="2" t="inlineStr">
        <is>
          <t>710430453</t>
        </is>
      </c>
      <c r="C530" s="3" t="inlineStr">
        <is>
          <t>Одежда и аксессуары</t>
        </is>
      </c>
      <c r="D530" s="2" t="inlineStr">
        <is>
          <t>Купальники женские</t>
        </is>
      </c>
      <c r="E530" s="3" t="inlineStr">
        <is>
          <t>094 Купальник</t>
        </is>
      </c>
      <c r="F530" s="2" t="inlineStr">
        <is>
          <t>лето</t>
        </is>
      </c>
      <c r="G530" s="3" t="inlineStr">
        <is>
          <t>kari</t>
        </is>
      </c>
      <c r="H530" s="2" t="inlineStr">
        <is>
          <t>Никонорова Алина</t>
        </is>
      </c>
      <c r="J530" s="3" t="inlineStr">
        <is>
          <t>2026SS</t>
        </is>
      </c>
      <c r="K530" s="3" t="n">
        <v>5012</v>
      </c>
      <c r="L530" s="3" t="n">
        <v>3442</v>
      </c>
      <c r="M530" s="3" t="n">
        <v>11</v>
      </c>
      <c r="N530" s="4">
        <f>IFERROR(L530/K530,0)</f>
        <v/>
      </c>
      <c r="O530" s="4">
        <f>IFERROR(M530/L530,0)</f>
        <v/>
      </c>
      <c r="P530" t="n">
        <v>1022</v>
      </c>
      <c r="Q530" s="5" t="n">
        <v>0.5555555555555556</v>
      </c>
      <c r="R530" s="7" t="n">
        <v>1</v>
      </c>
      <c r="S530">
        <f>IF(OR(N530&lt;$T$1*0.5,O530&lt;$U$1*0.5),"код для проверки","нормальный код")</f>
        <v/>
      </c>
      <c r="T530">
        <f>IF(N530&lt;$T$1*0.5,"Низшая четверть",IF(N530&lt;$T$1,"Вторая четверть","Больше половины"))</f>
        <v/>
      </c>
      <c r="U530">
        <f>IF(O530&lt;$U$1*0.5,"Низшая четверть",IF(O530&lt;$U$1,"Вторая четверть","Больше половины"))</f>
        <v/>
      </c>
      <c r="V530">
        <f>IF(OR(N530&lt;SUMIFS(L:L,R:R,1,E:E,E530)/SUMIFS(K:K,R:R,1,E:E,E530)*0.5,O530&lt;SUMIFS(M:M,R:R,1,E:E,E530)/SUMIFS(L:L,R:R,1,E:E,E530)*0.5),"код для проверки","нормальный код")</f>
        <v/>
      </c>
      <c r="W530">
        <f>IF(N530&lt;SUMIFS(L:L,R:R,1,E:E,E530)/SUMIFS(K:K,R:R,1,E:E,E530)*0.5,"Низшая четверть",IF(N530&lt;SUMIFS(L:L,R:R,1,E:E,E530)/SUMIFS(K:K,R:R,1,E:E,E530),"Вторая четверть","Больше половины"))</f>
        <v/>
      </c>
      <c r="X530">
        <f>IF(O530&lt;SUMIFS(M:M,R:R,1,E:E,E530)/SUMIFS(L:L,R:R,1,E:E,E530)*0.5,"Низшая четверть",IF(O530&lt;SUMIFS(M:M,R:R,1,E:E,E530)/SUMIFS(L:L,R:R,1,E:E,E530),"Вторая четверть","Больше половины"))</f>
        <v/>
      </c>
      <c r="Y530" t="n">
        <v>25</v>
      </c>
    </row>
    <row r="531">
      <c r="A531" s="1" t="inlineStr">
        <is>
          <t>94000200</t>
        </is>
      </c>
      <c r="B531" s="2" t="inlineStr">
        <is>
          <t>839629716</t>
        </is>
      </c>
      <c r="C531" s="3" t="inlineStr">
        <is>
          <t>Одежда для детей</t>
        </is>
      </c>
      <c r="D531" s="2" t="inlineStr">
        <is>
          <t>Одежда для новорожденных</t>
        </is>
      </c>
      <c r="E531" s="3" t="inlineStr">
        <is>
          <t>940 Футболка для маленького мальчика</t>
        </is>
      </c>
      <c r="F531" s="2" t="inlineStr">
        <is>
          <t>всесезонный</t>
        </is>
      </c>
      <c r="G531" s="3" t="inlineStr">
        <is>
          <t>Kari baby</t>
        </is>
      </c>
      <c r="H531" s="2" t="inlineStr">
        <is>
          <t>Зиннуров Ильнур</t>
        </is>
      </c>
      <c r="J531" s="3" t="inlineStr">
        <is>
          <t>2026SS</t>
        </is>
      </c>
      <c r="K531" s="3" t="n">
        <v>5002</v>
      </c>
      <c r="L531" s="3" t="n">
        <v>1330</v>
      </c>
      <c r="M531" s="3" t="n">
        <v>9</v>
      </c>
      <c r="N531" s="4">
        <f>IFERROR(L531/K531,0)</f>
        <v/>
      </c>
      <c r="O531" s="4">
        <f>IFERROR(M531/L531,0)</f>
        <v/>
      </c>
      <c r="P531" t="n">
        <v>514</v>
      </c>
      <c r="Q531" s="5" t="n">
        <v>1</v>
      </c>
      <c r="R531" s="7" t="n">
        <v>1</v>
      </c>
      <c r="S531">
        <f>IF(OR(N531&lt;$T$1*0.5,O531&lt;$U$1*0.5),"код для проверки","нормальный код")</f>
        <v/>
      </c>
      <c r="T531">
        <f>IF(N531&lt;$T$1*0.5,"Низшая четверть",IF(N531&lt;$T$1,"Вторая четверть","Больше половины"))</f>
        <v/>
      </c>
      <c r="U531">
        <f>IF(O531&lt;$U$1*0.5,"Низшая четверть",IF(O531&lt;$U$1,"Вторая четверть","Больше половины"))</f>
        <v/>
      </c>
      <c r="V531">
        <f>IF(OR(N531&lt;SUMIFS(L:L,R:R,1,E:E,E531)/SUMIFS(K:K,R:R,1,E:E,E531)*0.5,O531&lt;SUMIFS(M:M,R:R,1,E:E,E531)/SUMIFS(L:L,R:R,1,E:E,E531)*0.5),"код для проверки","нормальный код")</f>
        <v/>
      </c>
      <c r="W531">
        <f>IF(N531&lt;SUMIFS(L:L,R:R,1,E:E,E531)/SUMIFS(K:K,R:R,1,E:E,E531)*0.5,"Низшая четверть",IF(N531&lt;SUMIFS(L:L,R:R,1,E:E,E531)/SUMIFS(K:K,R:R,1,E:E,E531),"Вторая четверть","Больше половины"))</f>
        <v/>
      </c>
      <c r="X531">
        <f>IF(O531&lt;SUMIFS(M:M,R:R,1,E:E,E531)/SUMIFS(L:L,R:R,1,E:E,E531)*0.5,"Низшая четверть",IF(O531&lt;SUMIFS(M:M,R:R,1,E:E,E531)/SUMIFS(L:L,R:R,1,E:E,E531),"Вторая четверть","Больше половины"))</f>
        <v/>
      </c>
      <c r="Y531" t="n">
        <v>15</v>
      </c>
    </row>
    <row r="532">
      <c r="A532" s="1" t="inlineStr">
        <is>
          <t>094000G0</t>
        </is>
      </c>
      <c r="B532" s="2" t="inlineStr">
        <is>
          <t>710226111</t>
        </is>
      </c>
      <c r="C532" s="3" t="inlineStr">
        <is>
          <t>Одежда и аксессуары</t>
        </is>
      </c>
      <c r="D532" s="2" t="inlineStr">
        <is>
          <t>Купальники женские</t>
        </is>
      </c>
      <c r="E532" s="3" t="inlineStr">
        <is>
          <t>094 Купальник</t>
        </is>
      </c>
      <c r="F532" s="2" t="inlineStr">
        <is>
          <t>лето</t>
        </is>
      </c>
      <c r="G532" s="3" t="inlineStr">
        <is>
          <t>kari</t>
        </is>
      </c>
      <c r="H532" s="2" t="inlineStr">
        <is>
          <t>Никонорова Алина</t>
        </is>
      </c>
      <c r="J532" s="3" t="inlineStr">
        <is>
          <t>2026SS</t>
        </is>
      </c>
      <c r="K532" s="3" t="n">
        <v>4983</v>
      </c>
      <c r="L532" s="3" t="n">
        <v>3670</v>
      </c>
      <c r="M532" s="3" t="n">
        <v>16</v>
      </c>
      <c r="N532" s="4">
        <f>IFERROR(L532/K532,0)</f>
        <v/>
      </c>
      <c r="O532" s="4">
        <f>IFERROR(M532/L532,0)</f>
        <v/>
      </c>
      <c r="P532" t="n">
        <v>1661</v>
      </c>
      <c r="Q532" s="5" t="n">
        <v>0.6666666666666666</v>
      </c>
      <c r="R532" s="7" t="n">
        <v>1</v>
      </c>
      <c r="S532">
        <f>IF(OR(N532&lt;$T$1*0.5,O532&lt;$U$1*0.5),"код для проверки","нормальный код")</f>
        <v/>
      </c>
      <c r="T532">
        <f>IF(N532&lt;$T$1*0.5,"Низшая четверть",IF(N532&lt;$T$1,"Вторая четверть","Больше половины"))</f>
        <v/>
      </c>
      <c r="U532">
        <f>IF(O532&lt;$U$1*0.5,"Низшая четверть",IF(O532&lt;$U$1,"Вторая четверть","Больше половины"))</f>
        <v/>
      </c>
      <c r="V532">
        <f>IF(OR(N532&lt;SUMIFS(L:L,R:R,1,E:E,E532)/SUMIFS(K:K,R:R,1,E:E,E532)*0.5,O532&lt;SUMIFS(M:M,R:R,1,E:E,E532)/SUMIFS(L:L,R:R,1,E:E,E532)*0.5),"код для проверки","нормальный код")</f>
        <v/>
      </c>
      <c r="W532">
        <f>IF(N532&lt;SUMIFS(L:L,R:R,1,E:E,E532)/SUMIFS(K:K,R:R,1,E:E,E532)*0.5,"Низшая четверть",IF(N532&lt;SUMIFS(L:L,R:R,1,E:E,E532)/SUMIFS(K:K,R:R,1,E:E,E532),"Вторая четверть","Больше половины"))</f>
        <v/>
      </c>
      <c r="X532">
        <f>IF(O532&lt;SUMIFS(M:M,R:R,1,E:E,E532)/SUMIFS(L:L,R:R,1,E:E,E532)*0.5,"Низшая четверть",IF(O532&lt;SUMIFS(M:M,R:R,1,E:E,E532)/SUMIFS(L:L,R:R,1,E:E,E532),"Вторая четверть","Больше половины"))</f>
        <v/>
      </c>
      <c r="Y532" t="n">
        <v>22</v>
      </c>
    </row>
    <row r="533">
      <c r="A533" s="1" t="inlineStr">
        <is>
          <t>a8200020</t>
        </is>
      </c>
      <c r="B533" s="2" t="inlineStr">
        <is>
          <t>696576996</t>
        </is>
      </c>
      <c r="C533" s="3" t="inlineStr">
        <is>
          <t>Одежда для детей</t>
        </is>
      </c>
      <c r="D533" s="2" t="inlineStr">
        <is>
          <t>Свитера детские для мальчиков</t>
        </is>
      </c>
      <c r="E533" s="3" t="inlineStr">
        <is>
          <t>a82 Толстовка на молнии для мальчиков</t>
        </is>
      </c>
      <c r="F533" s="2" t="inlineStr">
        <is>
          <t>весна, лето, осень</t>
        </is>
      </c>
      <c r="G533" s="3" t="inlineStr">
        <is>
          <t>Kari KIDS</t>
        </is>
      </c>
      <c r="H533" s="2" t="inlineStr">
        <is>
          <t>Зиннуров Ильнур</t>
        </is>
      </c>
      <c r="J533" s="3" t="inlineStr">
        <is>
          <t>2026SS</t>
        </is>
      </c>
      <c r="K533" s="3" t="n">
        <v>4981</v>
      </c>
      <c r="L533" s="3" t="n">
        <v>765</v>
      </c>
      <c r="M533" s="3" t="n">
        <v>1</v>
      </c>
      <c r="N533" s="4">
        <f>IFERROR(L533/K533,0)</f>
        <v/>
      </c>
      <c r="O533" s="4">
        <f>IFERROR(M533/L533,0)</f>
        <v/>
      </c>
      <c r="P533" t="n">
        <v>170</v>
      </c>
      <c r="Q533" s="5" t="n">
        <v>1</v>
      </c>
      <c r="R533" s="7" t="n">
        <v>1</v>
      </c>
      <c r="S533">
        <f>IF(OR(N533&lt;$T$1*0.5,O533&lt;$U$1*0.5),"код для проверки","нормальный код")</f>
        <v/>
      </c>
      <c r="T533">
        <f>IF(N533&lt;$T$1*0.5,"Низшая четверть",IF(N533&lt;$T$1,"Вторая четверть","Больше половины"))</f>
        <v/>
      </c>
      <c r="U533">
        <f>IF(O533&lt;$U$1*0.5,"Низшая четверть",IF(O533&lt;$U$1,"Вторая четверть","Больше половины"))</f>
        <v/>
      </c>
      <c r="V533">
        <f>IF(OR(N533&lt;SUMIFS(L:L,R:R,1,E:E,E533)/SUMIFS(K:K,R:R,1,E:E,E533)*0.5,O533&lt;SUMIFS(M:M,R:R,1,E:E,E533)/SUMIFS(L:L,R:R,1,E:E,E533)*0.5),"код для проверки","нормальный код")</f>
        <v/>
      </c>
      <c r="W533">
        <f>IF(N533&lt;SUMIFS(L:L,R:R,1,E:E,E533)/SUMIFS(K:K,R:R,1,E:E,E533)*0.5,"Низшая четверть",IF(N533&lt;SUMIFS(L:L,R:R,1,E:E,E533)/SUMIFS(K:K,R:R,1,E:E,E533),"Вторая четверть","Больше половины"))</f>
        <v/>
      </c>
      <c r="X533">
        <f>IF(O533&lt;SUMIFS(M:M,R:R,1,E:E,E533)/SUMIFS(L:L,R:R,1,E:E,E533)*0.5,"Низшая четверть",IF(O533&lt;SUMIFS(M:M,R:R,1,E:E,E533)/SUMIFS(L:L,R:R,1,E:E,E533),"Вторая четверть","Больше половины"))</f>
        <v/>
      </c>
      <c r="Y533" t="n">
        <v>26</v>
      </c>
    </row>
    <row r="534">
      <c r="A534" s="1" t="inlineStr">
        <is>
          <t>57300180</t>
        </is>
      </c>
      <c r="B534" s="2" t="inlineStr">
        <is>
          <t>791200246</t>
        </is>
      </c>
      <c r="C534" s="3" t="inlineStr">
        <is>
          <t>Одежда для детей</t>
        </is>
      </c>
      <c r="D534" s="2" t="inlineStr">
        <is>
          <t>Одежда для новорожденных</t>
        </is>
      </c>
      <c r="E534" s="3" t="inlineStr">
        <is>
          <t>573 Штанишки для маленькой девочки</t>
        </is>
      </c>
      <c r="F534" s="2" t="inlineStr">
        <is>
          <t>всесезонный</t>
        </is>
      </c>
      <c r="G534" s="3" t="inlineStr">
        <is>
          <t>Kari baby</t>
        </is>
      </c>
      <c r="H534" s="2" t="inlineStr">
        <is>
          <t>Зиннуров Ильнур</t>
        </is>
      </c>
      <c r="J534" s="3" t="inlineStr">
        <is>
          <t>2026SS</t>
        </is>
      </c>
      <c r="K534" s="3" t="n">
        <v>4964</v>
      </c>
      <c r="L534" s="3" t="n">
        <v>678</v>
      </c>
      <c r="M534" s="3" t="n">
        <v>14</v>
      </c>
      <c r="N534" s="4">
        <f>IFERROR(L534/K534,0)</f>
        <v/>
      </c>
      <c r="O534" s="4">
        <f>IFERROR(M534/L534,0)</f>
        <v/>
      </c>
      <c r="P534" t="n">
        <v>160</v>
      </c>
      <c r="Q534" s="5" t="n">
        <v>0.75</v>
      </c>
      <c r="R534" s="7" t="n">
        <v>1</v>
      </c>
      <c r="S534">
        <f>IF(OR(N534&lt;$T$1*0.5,O534&lt;$U$1*0.5),"код для проверки","нормальный код")</f>
        <v/>
      </c>
      <c r="T534">
        <f>IF(N534&lt;$T$1*0.5,"Низшая четверть",IF(N534&lt;$T$1,"Вторая четверть","Больше половины"))</f>
        <v/>
      </c>
      <c r="U534">
        <f>IF(O534&lt;$U$1*0.5,"Низшая четверть",IF(O534&lt;$U$1,"Вторая четверть","Больше половины"))</f>
        <v/>
      </c>
      <c r="V534">
        <f>IF(OR(N534&lt;SUMIFS(L:L,R:R,1,E:E,E534)/SUMIFS(K:K,R:R,1,E:E,E534)*0.5,O534&lt;SUMIFS(M:M,R:R,1,E:E,E534)/SUMIFS(L:L,R:R,1,E:E,E534)*0.5),"код для проверки","нормальный код")</f>
        <v/>
      </c>
      <c r="W534">
        <f>IF(N534&lt;SUMIFS(L:L,R:R,1,E:E,E534)/SUMIFS(K:K,R:R,1,E:E,E534)*0.5,"Низшая четверть",IF(N534&lt;SUMIFS(L:L,R:R,1,E:E,E534)/SUMIFS(K:K,R:R,1,E:E,E534),"Вторая четверть","Больше половины"))</f>
        <v/>
      </c>
      <c r="X534">
        <f>IF(O534&lt;SUMIFS(M:M,R:R,1,E:E,E534)/SUMIFS(L:L,R:R,1,E:E,E534)*0.5,"Низшая четверть",IF(O534&lt;SUMIFS(M:M,R:R,1,E:E,E534)/SUMIFS(L:L,R:R,1,E:E,E534),"Вторая четверть","Больше половины"))</f>
        <v/>
      </c>
      <c r="Y534" t="n">
        <v>17</v>
      </c>
    </row>
    <row r="535">
      <c r="A535" s="1" t="inlineStr">
        <is>
          <t>56900130</t>
        </is>
      </c>
      <c r="B535" s="2" t="inlineStr">
        <is>
          <t>768806472</t>
        </is>
      </c>
      <c r="C535" s="3" t="inlineStr">
        <is>
          <t>Одежда для детей</t>
        </is>
      </c>
      <c r="D535" s="2" t="inlineStr">
        <is>
          <t>Одежда для новорожденных</t>
        </is>
      </c>
      <c r="E535" s="3" t="inlineStr">
        <is>
          <t>569 Комбинезон для маленькой девочки</t>
        </is>
      </c>
      <c r="F535" s="2" t="inlineStr">
        <is>
          <t>всесезонный</t>
        </is>
      </c>
      <c r="G535" s="3" t="inlineStr">
        <is>
          <t>Kari baby</t>
        </is>
      </c>
      <c r="H535" s="2" t="inlineStr">
        <is>
          <t>Зиннуров Ильнур</t>
        </is>
      </c>
      <c r="J535" s="3" t="inlineStr">
        <is>
          <t>2026SS</t>
        </is>
      </c>
      <c r="K535" s="3" t="n">
        <v>4944</v>
      </c>
      <c r="L535" s="3" t="n">
        <v>476</v>
      </c>
      <c r="M535" s="3" t="n">
        <v>6</v>
      </c>
      <c r="N535" s="4">
        <f>IFERROR(L535/K535,0)</f>
        <v/>
      </c>
      <c r="O535" s="4">
        <f>IFERROR(M535/L535,0)</f>
        <v/>
      </c>
      <c r="P535" t="n">
        <v>685</v>
      </c>
      <c r="Q535" s="5" t="n">
        <v>1</v>
      </c>
      <c r="R535" s="7" t="n">
        <v>1</v>
      </c>
      <c r="S535">
        <f>IF(OR(N535&lt;$T$1*0.5,O535&lt;$U$1*0.5),"код для проверки","нормальный код")</f>
        <v/>
      </c>
      <c r="T535">
        <f>IF(N535&lt;$T$1*0.5,"Низшая четверть",IF(N535&lt;$T$1,"Вторая четверть","Больше половины"))</f>
        <v/>
      </c>
      <c r="U535">
        <f>IF(O535&lt;$U$1*0.5,"Низшая четверть",IF(O535&lt;$U$1,"Вторая четверть","Больше половины"))</f>
        <v/>
      </c>
      <c r="V535">
        <f>IF(OR(N535&lt;SUMIFS(L:L,R:R,1,E:E,E535)/SUMIFS(K:K,R:R,1,E:E,E535)*0.5,O535&lt;SUMIFS(M:M,R:R,1,E:E,E535)/SUMIFS(L:L,R:R,1,E:E,E535)*0.5),"код для проверки","нормальный код")</f>
        <v/>
      </c>
      <c r="W535">
        <f>IF(N535&lt;SUMIFS(L:L,R:R,1,E:E,E535)/SUMIFS(K:K,R:R,1,E:E,E535)*0.5,"Низшая четверть",IF(N535&lt;SUMIFS(L:L,R:R,1,E:E,E535)/SUMIFS(K:K,R:R,1,E:E,E535),"Вторая четверть","Больше половины"))</f>
        <v/>
      </c>
      <c r="X535">
        <f>IF(O535&lt;SUMIFS(M:M,R:R,1,E:E,E535)/SUMIFS(L:L,R:R,1,E:E,E535)*0.5,"Низшая четверть",IF(O535&lt;SUMIFS(M:M,R:R,1,E:E,E535)/SUMIFS(L:L,R:R,1,E:E,E535),"Вторая четверть","Больше половины"))</f>
        <v/>
      </c>
      <c r="Y535" t="n">
        <v>15</v>
      </c>
    </row>
    <row r="536">
      <c r="A536" s="1" t="inlineStr">
        <is>
          <t>310001D0</t>
        </is>
      </c>
      <c r="B536" s="2" t="inlineStr">
        <is>
          <t>879308813</t>
        </is>
      </c>
      <c r="C536" s="3" t="inlineStr">
        <is>
          <t>Одежда для детей</t>
        </is>
      </c>
      <c r="D536" s="2" t="inlineStr">
        <is>
          <t>Футболки, майки, рубашки детские для мальчиков</t>
        </is>
      </c>
      <c r="E536" s="3" t="inlineStr">
        <is>
          <t>310 Футболка детская для мальчиков</t>
        </is>
      </c>
      <c r="F536" s="2" t="inlineStr">
        <is>
          <t>всесезонный</t>
        </is>
      </c>
      <c r="G536" s="3" t="inlineStr">
        <is>
          <t>Kari KIDS</t>
        </is>
      </c>
      <c r="H536" s="2" t="inlineStr">
        <is>
          <t>Зиннуров Ильнур</t>
        </is>
      </c>
      <c r="J536" s="3" t="inlineStr">
        <is>
          <t>2026SS</t>
        </is>
      </c>
      <c r="K536" s="3" t="n">
        <v>4928</v>
      </c>
      <c r="L536" s="3" t="n">
        <v>194</v>
      </c>
      <c r="M536" s="3" t="n">
        <v>5</v>
      </c>
      <c r="N536" s="4">
        <f>IFERROR(L536/K536,0)</f>
        <v/>
      </c>
      <c r="O536" s="4">
        <f>IFERROR(M536/L536,0)</f>
        <v/>
      </c>
      <c r="P536" t="n">
        <v>441</v>
      </c>
      <c r="Q536" s="5" t="n">
        <v>1</v>
      </c>
      <c r="R536" s="7" t="n">
        <v>1</v>
      </c>
      <c r="S536">
        <f>IF(OR(N536&lt;$T$1*0.5,O536&lt;$U$1*0.5),"код для проверки","нормальный код")</f>
        <v/>
      </c>
      <c r="T536">
        <f>IF(N536&lt;$T$1*0.5,"Низшая четверть",IF(N536&lt;$T$1,"Вторая четверть","Больше половины"))</f>
        <v/>
      </c>
      <c r="U536">
        <f>IF(O536&lt;$U$1*0.5,"Низшая четверть",IF(O536&lt;$U$1,"Вторая четверть","Больше половины"))</f>
        <v/>
      </c>
      <c r="V536">
        <f>IF(OR(N536&lt;SUMIFS(L:L,R:R,1,E:E,E536)/SUMIFS(K:K,R:R,1,E:E,E536)*0.5,O536&lt;SUMIFS(M:M,R:R,1,E:E,E536)/SUMIFS(L:L,R:R,1,E:E,E536)*0.5),"код для проверки","нормальный код")</f>
        <v/>
      </c>
      <c r="W536">
        <f>IF(N536&lt;SUMIFS(L:L,R:R,1,E:E,E536)/SUMIFS(K:K,R:R,1,E:E,E536)*0.5,"Низшая четверть",IF(N536&lt;SUMIFS(L:L,R:R,1,E:E,E536)/SUMIFS(K:K,R:R,1,E:E,E536),"Вторая четверть","Больше половины"))</f>
        <v/>
      </c>
      <c r="X536">
        <f>IF(O536&lt;SUMIFS(M:M,R:R,1,E:E,E536)/SUMIFS(L:L,R:R,1,E:E,E536)*0.5,"Низшая четверть",IF(O536&lt;SUMIFS(M:M,R:R,1,E:E,E536)/SUMIFS(L:L,R:R,1,E:E,E536),"Вторая четверть","Больше половины"))</f>
        <v/>
      </c>
      <c r="Y536" t="n">
        <v>5</v>
      </c>
    </row>
    <row r="537">
      <c r="A537" s="1" t="inlineStr">
        <is>
          <t>13700010</t>
        </is>
      </c>
      <c r="B537" s="2" t="inlineStr">
        <is>
          <t>770920657</t>
        </is>
      </c>
      <c r="C537" s="3" t="inlineStr">
        <is>
          <t>Одежда и аксессуары</t>
        </is>
      </c>
      <c r="D537" s="2" t="inlineStr">
        <is>
          <t>Свитера женские</t>
        </is>
      </c>
      <c r="E537" s="3" t="inlineStr">
        <is>
          <t>137 Кардиган женский</t>
        </is>
      </c>
      <c r="F537" s="2" t="inlineStr">
        <is>
          <t>весна, осень, зима</t>
        </is>
      </c>
      <c r="G537" s="3" t="inlineStr">
        <is>
          <t>kari</t>
        </is>
      </c>
      <c r="H537" s="2" t="inlineStr">
        <is>
          <t>Зиннуров Ильнур</t>
        </is>
      </c>
      <c r="J537" s="3" t="inlineStr">
        <is>
          <t>2026SS</t>
        </is>
      </c>
      <c r="K537" s="3" t="n">
        <v>4920</v>
      </c>
      <c r="L537" s="3" t="n">
        <v>261</v>
      </c>
      <c r="M537" s="3" t="n">
        <v>5</v>
      </c>
      <c r="N537" s="4">
        <f>IFERROR(L537/K537,0)</f>
        <v/>
      </c>
      <c r="O537" s="4">
        <f>IFERROR(M537/L537,0)</f>
        <v/>
      </c>
      <c r="P537" t="n">
        <v>179</v>
      </c>
      <c r="Q537" s="5" t="n">
        <v>1</v>
      </c>
      <c r="R537" s="7" t="n">
        <v>1</v>
      </c>
      <c r="S537">
        <f>IF(OR(N537&lt;$T$1*0.5,O537&lt;$U$1*0.5),"код для проверки","нормальный код")</f>
        <v/>
      </c>
      <c r="T537">
        <f>IF(N537&lt;$T$1*0.5,"Низшая четверть",IF(N537&lt;$T$1,"Вторая четверть","Больше половины"))</f>
        <v/>
      </c>
      <c r="U537">
        <f>IF(O537&lt;$U$1*0.5,"Низшая четверть",IF(O537&lt;$U$1,"Вторая четверть","Больше половины"))</f>
        <v/>
      </c>
      <c r="V537">
        <f>IF(OR(N537&lt;SUMIFS(L:L,R:R,1,E:E,E537)/SUMIFS(K:K,R:R,1,E:E,E537)*0.5,O537&lt;SUMIFS(M:M,R:R,1,E:E,E537)/SUMIFS(L:L,R:R,1,E:E,E537)*0.5),"код для проверки","нормальный код")</f>
        <v/>
      </c>
      <c r="W537">
        <f>IF(N537&lt;SUMIFS(L:L,R:R,1,E:E,E537)/SUMIFS(K:K,R:R,1,E:E,E537)*0.5,"Низшая четверть",IF(N537&lt;SUMIFS(L:L,R:R,1,E:E,E537)/SUMIFS(K:K,R:R,1,E:E,E537),"Вторая четверть","Больше половины"))</f>
        <v/>
      </c>
      <c r="X537">
        <f>IF(O537&lt;SUMIFS(M:M,R:R,1,E:E,E537)/SUMIFS(L:L,R:R,1,E:E,E537)*0.5,"Низшая четверть",IF(O537&lt;SUMIFS(M:M,R:R,1,E:E,E537)/SUMIFS(L:L,R:R,1,E:E,E537),"Вторая четверть","Больше половины"))</f>
        <v/>
      </c>
      <c r="Y537" t="n">
        <v>28</v>
      </c>
    </row>
    <row r="538">
      <c r="A538" s="1" t="inlineStr">
        <is>
          <t>20200250</t>
        </is>
      </c>
      <c r="B538" s="2" t="inlineStr">
        <is>
          <t>820479796</t>
        </is>
      </c>
      <c r="C538" s="3" t="inlineStr">
        <is>
          <t>Одежда для детей</t>
        </is>
      </c>
      <c r="D538" s="2" t="inlineStr">
        <is>
          <t>Головные уборы детские для мальчиков</t>
        </is>
      </c>
      <c r="E538" s="3" t="inlineStr">
        <is>
          <t>202 Бейсболка детская для мальчиков</t>
        </is>
      </c>
      <c r="F538" s="2" t="inlineStr">
        <is>
          <t>весна, лето</t>
        </is>
      </c>
      <c r="G538" s="3" t="inlineStr">
        <is>
          <t>kari</t>
        </is>
      </c>
      <c r="H538" s="2" t="inlineStr">
        <is>
          <t>Никонорова Алина</t>
        </is>
      </c>
      <c r="J538" s="3" t="inlineStr">
        <is>
          <t>2026SS</t>
        </is>
      </c>
      <c r="K538" s="3" t="n">
        <v>4911</v>
      </c>
      <c r="L538" s="3" t="n">
        <v>396</v>
      </c>
      <c r="M538" s="3" t="n">
        <v>9</v>
      </c>
      <c r="N538" s="4">
        <f>IFERROR(L538/K538,0)</f>
        <v/>
      </c>
      <c r="O538" s="4">
        <f>IFERROR(M538/L538,0)</f>
        <v/>
      </c>
      <c r="P538" t="n">
        <v>673</v>
      </c>
      <c r="Q538" s="5" t="n">
        <v>1</v>
      </c>
      <c r="R538" s="7" t="n">
        <v>1</v>
      </c>
      <c r="S538">
        <f>IF(OR(N538&lt;$T$1*0.5,O538&lt;$U$1*0.5),"код для проверки","нормальный код")</f>
        <v/>
      </c>
      <c r="T538">
        <f>IF(N538&lt;$T$1*0.5,"Низшая четверть",IF(N538&lt;$T$1,"Вторая четверть","Больше половины"))</f>
        <v/>
      </c>
      <c r="U538">
        <f>IF(O538&lt;$U$1*0.5,"Низшая четверть",IF(O538&lt;$U$1,"Вторая четверть","Больше половины"))</f>
        <v/>
      </c>
      <c r="V538">
        <f>IF(OR(N538&lt;SUMIFS(L:L,R:R,1,E:E,E538)/SUMIFS(K:K,R:R,1,E:E,E538)*0.5,O538&lt;SUMIFS(M:M,R:R,1,E:E,E538)/SUMIFS(L:L,R:R,1,E:E,E538)*0.5),"код для проверки","нормальный код")</f>
        <v/>
      </c>
      <c r="W538">
        <f>IF(N538&lt;SUMIFS(L:L,R:R,1,E:E,E538)/SUMIFS(K:K,R:R,1,E:E,E538)*0.5,"Низшая четверть",IF(N538&lt;SUMIFS(L:L,R:R,1,E:E,E538)/SUMIFS(K:K,R:R,1,E:E,E538),"Вторая четверть","Больше половины"))</f>
        <v/>
      </c>
      <c r="X538">
        <f>IF(O538&lt;SUMIFS(M:M,R:R,1,E:E,E538)/SUMIFS(L:L,R:R,1,E:E,E538)*0.5,"Низшая четверть",IF(O538&lt;SUMIFS(M:M,R:R,1,E:E,E538)/SUMIFS(L:L,R:R,1,E:E,E538),"Вторая четверть","Больше половины"))</f>
        <v/>
      </c>
      <c r="Y538" t="n">
        <v>7</v>
      </c>
    </row>
    <row r="539">
      <c r="A539" s="1" t="inlineStr">
        <is>
          <t>a8200030</t>
        </is>
      </c>
      <c r="B539" s="2" t="inlineStr">
        <is>
          <t>696577004</t>
        </is>
      </c>
      <c r="C539" s="3" t="inlineStr">
        <is>
          <t>Одежда для детей</t>
        </is>
      </c>
      <c r="D539" s="2" t="inlineStr">
        <is>
          <t>Свитера детские для мальчиков</t>
        </is>
      </c>
      <c r="E539" s="3" t="inlineStr">
        <is>
          <t>a82 Толстовка на молнии для мальчиков</t>
        </is>
      </c>
      <c r="F539" s="2" t="inlineStr">
        <is>
          <t>весна, лето, осень</t>
        </is>
      </c>
      <c r="G539" s="3" t="inlineStr">
        <is>
          <t>Kari KIDS</t>
        </is>
      </c>
      <c r="H539" s="2" t="inlineStr">
        <is>
          <t>Зиннуров Ильнур</t>
        </is>
      </c>
      <c r="J539" s="3" t="inlineStr">
        <is>
          <t>2026SS</t>
        </is>
      </c>
      <c r="K539" s="3" t="n">
        <v>4868</v>
      </c>
      <c r="L539" s="3" t="n">
        <v>597</v>
      </c>
      <c r="M539" s="3" t="n">
        <v>5</v>
      </c>
      <c r="N539" s="4">
        <f>IFERROR(L539/K539,0)</f>
        <v/>
      </c>
      <c r="O539" s="4">
        <f>IFERROR(M539/L539,0)</f>
        <v/>
      </c>
      <c r="P539" t="n">
        <v>181</v>
      </c>
      <c r="Q539" s="5" t="n">
        <v>0.6</v>
      </c>
      <c r="R539" s="7" t="n">
        <v>1</v>
      </c>
      <c r="S539">
        <f>IF(OR(N539&lt;$T$1*0.5,O539&lt;$U$1*0.5),"код для проверки","нормальный код")</f>
        <v/>
      </c>
      <c r="T539">
        <f>IF(N539&lt;$T$1*0.5,"Низшая четверть",IF(N539&lt;$T$1,"Вторая четверть","Больше половины"))</f>
        <v/>
      </c>
      <c r="U539">
        <f>IF(O539&lt;$U$1*0.5,"Низшая четверть",IF(O539&lt;$U$1,"Вторая четверть","Больше половины"))</f>
        <v/>
      </c>
      <c r="V539">
        <f>IF(OR(N539&lt;SUMIFS(L:L,R:R,1,E:E,E539)/SUMIFS(K:K,R:R,1,E:E,E539)*0.5,O539&lt;SUMIFS(M:M,R:R,1,E:E,E539)/SUMIFS(L:L,R:R,1,E:E,E539)*0.5),"код для проверки","нормальный код")</f>
        <v/>
      </c>
      <c r="W539">
        <f>IF(N539&lt;SUMIFS(L:L,R:R,1,E:E,E539)/SUMIFS(K:K,R:R,1,E:E,E539)*0.5,"Низшая четверть",IF(N539&lt;SUMIFS(L:L,R:R,1,E:E,E539)/SUMIFS(K:K,R:R,1,E:E,E539),"Вторая четверть","Больше половины"))</f>
        <v/>
      </c>
      <c r="X539">
        <f>IF(O539&lt;SUMIFS(M:M,R:R,1,E:E,E539)/SUMIFS(L:L,R:R,1,E:E,E539)*0.5,"Низшая четверть",IF(O539&lt;SUMIFS(M:M,R:R,1,E:E,E539)/SUMIFS(L:L,R:R,1,E:E,E539),"Вторая четверть","Больше половины"))</f>
        <v/>
      </c>
      <c r="Y539" t="n">
        <v>24</v>
      </c>
    </row>
    <row r="540">
      <c r="A540" s="1" t="inlineStr">
        <is>
          <t>95500410</t>
        </is>
      </c>
      <c r="B540" s="2" t="inlineStr">
        <is>
          <t>927140887</t>
        </is>
      </c>
      <c r="C540" s="3" t="inlineStr">
        <is>
          <t>Одежда для детей</t>
        </is>
      </c>
      <c r="D540" s="2" t="inlineStr">
        <is>
          <t>Платья, майки, футболки детские для девочек</t>
        </is>
      </c>
      <c r="E540" s="3" t="inlineStr">
        <is>
          <t>955 Топ детский для девочек</t>
        </is>
      </c>
      <c r="F540" s="2" t="inlineStr">
        <is>
          <t>лето</t>
        </is>
      </c>
      <c r="G540" s="3" t="inlineStr">
        <is>
          <t>kari</t>
        </is>
      </c>
      <c r="H540" s="2" t="inlineStr">
        <is>
          <t>Зиннуров Ильнур</t>
        </is>
      </c>
      <c r="J540" s="3" t="inlineStr">
        <is>
          <t>2026SS</t>
        </is>
      </c>
      <c r="K540" s="3" t="n">
        <v>4842</v>
      </c>
      <c r="L540" s="3" t="n">
        <v>247</v>
      </c>
      <c r="M540" s="3" t="n">
        <v>6</v>
      </c>
      <c r="N540" s="4">
        <f>IFERROR(L540/K540,0)</f>
        <v/>
      </c>
      <c r="O540" s="4">
        <f>IFERROR(M540/L540,0)</f>
        <v/>
      </c>
      <c r="P540" t="n">
        <v>952</v>
      </c>
      <c r="Q540" s="5" t="n">
        <v>1</v>
      </c>
      <c r="R540" s="7" t="n">
        <v>1</v>
      </c>
      <c r="S540">
        <f>IF(OR(N540&lt;$T$1*0.5,O540&lt;$U$1*0.5),"код для проверки","нормальный код")</f>
        <v/>
      </c>
      <c r="T540">
        <f>IF(N540&lt;$T$1*0.5,"Низшая четверть",IF(N540&lt;$T$1,"Вторая четверть","Больше половины"))</f>
        <v/>
      </c>
      <c r="U540">
        <f>IF(O540&lt;$U$1*0.5,"Низшая четверть",IF(O540&lt;$U$1,"Вторая четверть","Больше половины"))</f>
        <v/>
      </c>
      <c r="V540">
        <f>IF(OR(N540&lt;SUMIFS(L:L,R:R,1,E:E,E540)/SUMIFS(K:K,R:R,1,E:E,E540)*0.5,O540&lt;SUMIFS(M:M,R:R,1,E:E,E540)/SUMIFS(L:L,R:R,1,E:E,E540)*0.5),"код для проверки","нормальный код")</f>
        <v/>
      </c>
      <c r="W540">
        <f>IF(N540&lt;SUMIFS(L:L,R:R,1,E:E,E540)/SUMIFS(K:K,R:R,1,E:E,E540)*0.5,"Низшая четверть",IF(N540&lt;SUMIFS(L:L,R:R,1,E:E,E540)/SUMIFS(K:K,R:R,1,E:E,E540),"Вторая четверть","Больше половины"))</f>
        <v/>
      </c>
      <c r="X540">
        <f>IF(O540&lt;SUMIFS(M:M,R:R,1,E:E,E540)/SUMIFS(L:L,R:R,1,E:E,E540)*0.5,"Низшая четверть",IF(O540&lt;SUMIFS(M:M,R:R,1,E:E,E540)/SUMIFS(L:L,R:R,1,E:E,E540),"Вторая четверть","Больше половины"))</f>
        <v/>
      </c>
      <c r="Y540" t="n">
        <v>8</v>
      </c>
    </row>
    <row r="541">
      <c r="A541" s="1" t="inlineStr">
        <is>
          <t>094000M0</t>
        </is>
      </c>
      <c r="B541" s="2" t="inlineStr">
        <is>
          <t>710279292</t>
        </is>
      </c>
      <c r="C541" s="3" t="inlineStr">
        <is>
          <t>Одежда и аксессуары</t>
        </is>
      </c>
      <c r="D541" s="2" t="inlineStr">
        <is>
          <t>Купальники женские</t>
        </is>
      </c>
      <c r="E541" s="3" t="inlineStr">
        <is>
          <t>094 Купальник</t>
        </is>
      </c>
      <c r="F541" s="2" t="inlineStr">
        <is>
          <t>лето</t>
        </is>
      </c>
      <c r="G541" s="3" t="inlineStr">
        <is>
          <t>kari</t>
        </is>
      </c>
      <c r="H541" s="2" t="inlineStr">
        <is>
          <t>Никонорова Алина</t>
        </is>
      </c>
      <c r="J541" s="3" t="inlineStr">
        <is>
          <t>2026SS</t>
        </is>
      </c>
      <c r="K541" s="3" t="n">
        <v>4840</v>
      </c>
      <c r="L541" s="3" t="n">
        <v>1923</v>
      </c>
      <c r="M541" s="3" t="n">
        <v>30</v>
      </c>
      <c r="N541" s="4">
        <f>IFERROR(L541/K541,0)</f>
        <v/>
      </c>
      <c r="O541" s="4">
        <f>IFERROR(M541/L541,0)</f>
        <v/>
      </c>
      <c r="P541" t="n">
        <v>3353</v>
      </c>
      <c r="Q541" s="5" t="n">
        <v>0.7777777777777778</v>
      </c>
      <c r="R541" s="7" t="n">
        <v>1</v>
      </c>
      <c r="S541">
        <f>IF(OR(N541&lt;$T$1*0.5,O541&lt;$U$1*0.5),"код для проверки","нормальный код")</f>
        <v/>
      </c>
      <c r="T541">
        <f>IF(N541&lt;$T$1*0.5,"Низшая четверть",IF(N541&lt;$T$1,"Вторая четверть","Больше половины"))</f>
        <v/>
      </c>
      <c r="U541">
        <f>IF(O541&lt;$U$1*0.5,"Низшая четверть",IF(O541&lt;$U$1,"Вторая четверть","Больше половины"))</f>
        <v/>
      </c>
      <c r="V541">
        <f>IF(OR(N541&lt;SUMIFS(L:L,R:R,1,E:E,E541)/SUMIFS(K:K,R:R,1,E:E,E541)*0.5,O541&lt;SUMIFS(M:M,R:R,1,E:E,E541)/SUMIFS(L:L,R:R,1,E:E,E541)*0.5),"код для проверки","нормальный код")</f>
        <v/>
      </c>
      <c r="W541">
        <f>IF(N541&lt;SUMIFS(L:L,R:R,1,E:E,E541)/SUMIFS(K:K,R:R,1,E:E,E541)*0.5,"Низшая четверть",IF(N541&lt;SUMIFS(L:L,R:R,1,E:E,E541)/SUMIFS(K:K,R:R,1,E:E,E541),"Вторая четверть","Больше половины"))</f>
        <v/>
      </c>
      <c r="X541">
        <f>IF(O541&lt;SUMIFS(M:M,R:R,1,E:E,E541)/SUMIFS(L:L,R:R,1,E:E,E541)*0.5,"Низшая четверть",IF(O541&lt;SUMIFS(M:M,R:R,1,E:E,E541)/SUMIFS(L:L,R:R,1,E:E,E541),"Вторая четверть","Больше половины"))</f>
        <v/>
      </c>
      <c r="Y541" t="n">
        <v>16</v>
      </c>
    </row>
    <row r="542">
      <c r="A542" s="1" t="inlineStr">
        <is>
          <t>094001X0</t>
        </is>
      </c>
      <c r="B542" s="2" t="inlineStr">
        <is>
          <t>710466105</t>
        </is>
      </c>
      <c r="C542" s="3" t="inlineStr">
        <is>
          <t>Одежда и аксессуары</t>
        </is>
      </c>
      <c r="D542" s="2" t="inlineStr">
        <is>
          <t>Купальники женские</t>
        </is>
      </c>
      <c r="E542" s="3" t="inlineStr">
        <is>
          <t>094 Купальник</t>
        </is>
      </c>
      <c r="F542" s="2" t="inlineStr">
        <is>
          <t>лето</t>
        </is>
      </c>
      <c r="G542" s="3" t="inlineStr">
        <is>
          <t>kari</t>
        </is>
      </c>
      <c r="H542" s="2" t="inlineStr">
        <is>
          <t>Никонорова Алина</t>
        </is>
      </c>
      <c r="J542" s="3" t="inlineStr">
        <is>
          <t>2026SS</t>
        </is>
      </c>
      <c r="K542" s="3" t="n">
        <v>4808</v>
      </c>
      <c r="L542" s="3" t="n">
        <v>1957</v>
      </c>
      <c r="M542" s="3" t="n">
        <v>21</v>
      </c>
      <c r="N542" s="4">
        <f>IFERROR(L542/K542,0)</f>
        <v/>
      </c>
      <c r="O542" s="4">
        <f>IFERROR(M542/L542,0)</f>
        <v/>
      </c>
      <c r="P542" t="n">
        <v>2901</v>
      </c>
      <c r="Q542" s="5" t="n">
        <v>0.6666666666666666</v>
      </c>
      <c r="R542" s="7" t="n">
        <v>1</v>
      </c>
      <c r="S542">
        <f>IF(OR(N542&lt;$T$1*0.5,O542&lt;$U$1*0.5),"код для проверки","нормальный код")</f>
        <v/>
      </c>
      <c r="T542">
        <f>IF(N542&lt;$T$1*0.5,"Низшая четверть",IF(N542&lt;$T$1,"Вторая четверть","Больше половины"))</f>
        <v/>
      </c>
      <c r="U542">
        <f>IF(O542&lt;$U$1*0.5,"Низшая четверть",IF(O542&lt;$U$1,"Вторая четверть","Больше половины"))</f>
        <v/>
      </c>
      <c r="V542">
        <f>IF(OR(N542&lt;SUMIFS(L:L,R:R,1,E:E,E542)/SUMIFS(K:K,R:R,1,E:E,E542)*0.5,O542&lt;SUMIFS(M:M,R:R,1,E:E,E542)/SUMIFS(L:L,R:R,1,E:E,E542)*0.5),"код для проверки","нормальный код")</f>
        <v/>
      </c>
      <c r="W542">
        <f>IF(N542&lt;SUMIFS(L:L,R:R,1,E:E,E542)/SUMIFS(K:K,R:R,1,E:E,E542)*0.5,"Низшая четверть",IF(N542&lt;SUMIFS(L:L,R:R,1,E:E,E542)/SUMIFS(K:K,R:R,1,E:E,E542),"Вторая четверть","Больше половины"))</f>
        <v/>
      </c>
      <c r="X542">
        <f>IF(O542&lt;SUMIFS(M:M,R:R,1,E:E,E542)/SUMIFS(L:L,R:R,1,E:E,E542)*0.5,"Низшая четверть",IF(O542&lt;SUMIFS(M:M,R:R,1,E:E,E542)/SUMIFS(L:L,R:R,1,E:E,E542),"Вторая четверть","Больше половины"))</f>
        <v/>
      </c>
      <c r="Y542" t="n">
        <v>18</v>
      </c>
    </row>
    <row r="543">
      <c r="A543" s="1" t="inlineStr">
        <is>
          <t>88100170</t>
        </is>
      </c>
      <c r="B543" s="2" t="inlineStr">
        <is>
          <t>833908056</t>
        </is>
      </c>
      <c r="C543" s="3" t="inlineStr">
        <is>
          <t>Одежда для детей</t>
        </is>
      </c>
      <c r="D543" s="2" t="inlineStr">
        <is>
          <t>Футболки, майки, рубашки детские для мальчиков</t>
        </is>
      </c>
      <c r="E543" s="3" t="inlineStr">
        <is>
          <t>881 Футболка длинный рукав детская для мальчиков</t>
        </is>
      </c>
      <c r="F543" s="2" t="inlineStr">
        <is>
          <t>всесезонный</t>
        </is>
      </c>
      <c r="G543" s="3" t="inlineStr">
        <is>
          <t>Kari KIDS</t>
        </is>
      </c>
      <c r="H543" s="2" t="inlineStr">
        <is>
          <t>Зиннуров Ильнур</t>
        </is>
      </c>
      <c r="J543" s="3" t="inlineStr">
        <is>
          <t>2026SS</t>
        </is>
      </c>
      <c r="K543" s="3" t="n">
        <v>4790</v>
      </c>
      <c r="L543" s="3" t="n">
        <v>1092</v>
      </c>
      <c r="M543" s="3" t="n">
        <v>11</v>
      </c>
      <c r="N543" s="4">
        <f>IFERROR(L543/K543,0)</f>
        <v/>
      </c>
      <c r="O543" s="4">
        <f>IFERROR(M543/L543,0)</f>
        <v/>
      </c>
      <c r="P543" t="n">
        <v>469</v>
      </c>
      <c r="Q543" s="5" t="n">
        <v>1</v>
      </c>
      <c r="R543" s="7" t="n">
        <v>1</v>
      </c>
      <c r="S543">
        <f>IF(OR(N543&lt;$T$1*0.5,O543&lt;$U$1*0.5),"код для проверки","нормальный код")</f>
        <v/>
      </c>
      <c r="T543">
        <f>IF(N543&lt;$T$1*0.5,"Низшая четверть",IF(N543&lt;$T$1,"Вторая четверть","Больше половины"))</f>
        <v/>
      </c>
      <c r="U543">
        <f>IF(O543&lt;$U$1*0.5,"Низшая четверть",IF(O543&lt;$U$1,"Вторая четверть","Больше половины"))</f>
        <v/>
      </c>
      <c r="V543">
        <f>IF(OR(N543&lt;SUMIFS(L:L,R:R,1,E:E,E543)/SUMIFS(K:K,R:R,1,E:E,E543)*0.5,O543&lt;SUMIFS(M:M,R:R,1,E:E,E543)/SUMIFS(L:L,R:R,1,E:E,E543)*0.5),"код для проверки","нормальный код")</f>
        <v/>
      </c>
      <c r="W543">
        <f>IF(N543&lt;SUMIFS(L:L,R:R,1,E:E,E543)/SUMIFS(K:K,R:R,1,E:E,E543)*0.5,"Низшая четверть",IF(N543&lt;SUMIFS(L:L,R:R,1,E:E,E543)/SUMIFS(K:K,R:R,1,E:E,E543),"Вторая четверть","Больше половины"))</f>
        <v/>
      </c>
      <c r="X543">
        <f>IF(O543&lt;SUMIFS(M:M,R:R,1,E:E,E543)/SUMIFS(L:L,R:R,1,E:E,E543)*0.5,"Низшая четверть",IF(O543&lt;SUMIFS(M:M,R:R,1,E:E,E543)/SUMIFS(L:L,R:R,1,E:E,E543),"Вторая четверть","Больше половины"))</f>
        <v/>
      </c>
      <c r="Y543" t="n">
        <v>17</v>
      </c>
    </row>
    <row r="544">
      <c r="A544" s="1" t="inlineStr">
        <is>
          <t>094001R0</t>
        </is>
      </c>
      <c r="B544" s="2" t="inlineStr">
        <is>
          <t>710421826</t>
        </is>
      </c>
      <c r="C544" s="3" t="inlineStr">
        <is>
          <t>Одежда и аксессуары</t>
        </is>
      </c>
      <c r="D544" s="2" t="inlineStr">
        <is>
          <t>Купальники женские</t>
        </is>
      </c>
      <c r="E544" s="3" t="inlineStr">
        <is>
          <t>094 Купальник</t>
        </is>
      </c>
      <c r="F544" s="2" t="inlineStr">
        <is>
          <t>лето</t>
        </is>
      </c>
      <c r="G544" s="3" t="inlineStr">
        <is>
          <t>kari</t>
        </is>
      </c>
      <c r="H544" s="2" t="inlineStr">
        <is>
          <t>Никонорова Алина</t>
        </is>
      </c>
      <c r="J544" s="3" t="inlineStr">
        <is>
          <t>2026SS</t>
        </is>
      </c>
      <c r="K544" s="3" t="n">
        <v>4768</v>
      </c>
      <c r="L544" s="3" t="n">
        <v>2891</v>
      </c>
      <c r="M544" s="3" t="n">
        <v>12</v>
      </c>
      <c r="N544" s="4">
        <f>IFERROR(L544/K544,0)</f>
        <v/>
      </c>
      <c r="O544" s="4">
        <f>IFERROR(M544/L544,0)</f>
        <v/>
      </c>
      <c r="P544" t="n">
        <v>1358</v>
      </c>
      <c r="Q544" s="5" t="n">
        <v>0.5555555555555556</v>
      </c>
      <c r="R544" s="7" t="n">
        <v>1</v>
      </c>
      <c r="S544">
        <f>IF(OR(N544&lt;$T$1*0.5,O544&lt;$U$1*0.5),"код для проверки","нормальный код")</f>
        <v/>
      </c>
      <c r="T544">
        <f>IF(N544&lt;$T$1*0.5,"Низшая четверть",IF(N544&lt;$T$1,"Вторая четверть","Больше половины"))</f>
        <v/>
      </c>
      <c r="U544">
        <f>IF(O544&lt;$U$1*0.5,"Низшая четверть",IF(O544&lt;$U$1,"Вторая четверть","Больше половины"))</f>
        <v/>
      </c>
      <c r="V544">
        <f>IF(OR(N544&lt;SUMIFS(L:L,R:R,1,E:E,E544)/SUMIFS(K:K,R:R,1,E:E,E544)*0.5,O544&lt;SUMIFS(M:M,R:R,1,E:E,E544)/SUMIFS(L:L,R:R,1,E:E,E544)*0.5),"код для проверки","нормальный код")</f>
        <v/>
      </c>
      <c r="W544">
        <f>IF(N544&lt;SUMIFS(L:L,R:R,1,E:E,E544)/SUMIFS(K:K,R:R,1,E:E,E544)*0.5,"Низшая четверть",IF(N544&lt;SUMIFS(L:L,R:R,1,E:E,E544)/SUMIFS(K:K,R:R,1,E:E,E544),"Вторая четверть","Больше половины"))</f>
        <v/>
      </c>
      <c r="X544">
        <f>IF(O544&lt;SUMIFS(M:M,R:R,1,E:E,E544)/SUMIFS(L:L,R:R,1,E:E,E544)*0.5,"Низшая четверть",IF(O544&lt;SUMIFS(M:M,R:R,1,E:E,E544)/SUMIFS(L:L,R:R,1,E:E,E544),"Вторая четверть","Больше половины"))</f>
        <v/>
      </c>
      <c r="Y544" t="n">
        <v>24</v>
      </c>
    </row>
    <row r="545">
      <c r="A545" s="1" t="inlineStr">
        <is>
          <t>16800090</t>
        </is>
      </c>
      <c r="B545" s="2" t="inlineStr">
        <is>
          <t>766703811</t>
        </is>
      </c>
      <c r="C545" s="3" t="inlineStr">
        <is>
          <t>Одежда и аксессуары</t>
        </is>
      </c>
      <c r="D545" s="2" t="inlineStr">
        <is>
          <t>Головные уборы женские</t>
        </is>
      </c>
      <c r="E545" s="3" t="inlineStr">
        <is>
          <t>168 Шляпа женская летняя</t>
        </is>
      </c>
      <c r="F545" s="2" t="inlineStr">
        <is>
          <t>лето</t>
        </is>
      </c>
      <c r="G545" s="3" t="inlineStr">
        <is>
          <t>kari</t>
        </is>
      </c>
      <c r="H545" s="2" t="inlineStr">
        <is>
          <t>Никонорова Алина</t>
        </is>
      </c>
      <c r="J545" s="3" t="inlineStr">
        <is>
          <t>2026SS</t>
        </is>
      </c>
      <c r="K545" s="3" t="n">
        <v>4765</v>
      </c>
      <c r="L545" s="3" t="n">
        <v>784</v>
      </c>
      <c r="M545" s="3" t="n">
        <v>8</v>
      </c>
      <c r="N545" s="4">
        <f>IFERROR(L545/K545,0)</f>
        <v/>
      </c>
      <c r="O545" s="4">
        <f>IFERROR(M545/L545,0)</f>
        <v/>
      </c>
      <c r="P545" t="n">
        <v>921</v>
      </c>
      <c r="Q545" s="5" t="n">
        <v>1</v>
      </c>
      <c r="R545" s="7" t="n">
        <v>1</v>
      </c>
      <c r="S545">
        <f>IF(OR(N545&lt;$T$1*0.5,O545&lt;$U$1*0.5),"код для проверки","нормальный код")</f>
        <v/>
      </c>
      <c r="T545">
        <f>IF(N545&lt;$T$1*0.5,"Низшая четверть",IF(N545&lt;$T$1,"Вторая четверть","Больше половины"))</f>
        <v/>
      </c>
      <c r="U545">
        <f>IF(O545&lt;$U$1*0.5,"Низшая четверть",IF(O545&lt;$U$1,"Вторая четверть","Больше половины"))</f>
        <v/>
      </c>
      <c r="V545">
        <f>IF(OR(N545&lt;SUMIFS(L:L,R:R,1,E:E,E545)/SUMIFS(K:K,R:R,1,E:E,E545)*0.5,O545&lt;SUMIFS(M:M,R:R,1,E:E,E545)/SUMIFS(L:L,R:R,1,E:E,E545)*0.5),"код для проверки","нормальный код")</f>
        <v/>
      </c>
      <c r="W545">
        <f>IF(N545&lt;SUMIFS(L:L,R:R,1,E:E,E545)/SUMIFS(K:K,R:R,1,E:E,E545)*0.5,"Низшая четверть",IF(N545&lt;SUMIFS(L:L,R:R,1,E:E,E545)/SUMIFS(K:K,R:R,1,E:E,E545),"Вторая четверть","Больше половины"))</f>
        <v/>
      </c>
      <c r="X545">
        <f>IF(O545&lt;SUMIFS(M:M,R:R,1,E:E,E545)/SUMIFS(L:L,R:R,1,E:E,E545)*0.5,"Низшая четверть",IF(O545&lt;SUMIFS(M:M,R:R,1,E:E,E545)/SUMIFS(L:L,R:R,1,E:E,E545),"Вторая четверть","Больше половины"))</f>
        <v/>
      </c>
      <c r="Y545" t="n">
        <v>9</v>
      </c>
    </row>
    <row r="546">
      <c r="A546" s="1" t="inlineStr">
        <is>
          <t>h4200010</t>
        </is>
      </c>
      <c r="B546" s="2" t="inlineStr">
        <is>
          <t>732841113</t>
        </is>
      </c>
      <c r="C546" s="3" t="inlineStr">
        <is>
          <t>Одежда и аксессуары</t>
        </is>
      </c>
      <c r="D546" s="2" t="inlineStr">
        <is>
          <t>Майки и платья женские</t>
        </is>
      </c>
      <c r="E546" s="3" t="inlineStr">
        <is>
          <t>h42 Блузка короткий рукав женская</t>
        </is>
      </c>
      <c r="F546" s="2" t="inlineStr">
        <is>
          <t>всесезонный</t>
        </is>
      </c>
      <c r="G546" s="3" t="inlineStr">
        <is>
          <t>kari</t>
        </is>
      </c>
      <c r="H546" s="2" t="inlineStr">
        <is>
          <t>Зиннуров Ильнур</t>
        </is>
      </c>
      <c r="J546" s="3" t="inlineStr">
        <is>
          <t>2026SS</t>
        </is>
      </c>
      <c r="K546" s="3" t="n">
        <v>4760</v>
      </c>
      <c r="L546" s="3" t="n">
        <v>649</v>
      </c>
      <c r="M546" s="3" t="n">
        <v>13</v>
      </c>
      <c r="N546" s="4">
        <f>IFERROR(L546/K546,0)</f>
        <v/>
      </c>
      <c r="O546" s="4">
        <f>IFERROR(M546/L546,0)</f>
        <v/>
      </c>
      <c r="P546" t="n">
        <v>152</v>
      </c>
      <c r="Q546" s="5" t="n">
        <v>1</v>
      </c>
      <c r="R546" s="7" t="n">
        <v>1</v>
      </c>
      <c r="S546">
        <f>IF(OR(N546&lt;$T$1*0.5,O546&lt;$U$1*0.5),"код для проверки","нормальный код")</f>
        <v/>
      </c>
      <c r="T546">
        <f>IF(N546&lt;$T$1*0.5,"Низшая четверть",IF(N546&lt;$T$1,"Вторая четверть","Больше половины"))</f>
        <v/>
      </c>
      <c r="U546">
        <f>IF(O546&lt;$U$1*0.5,"Низшая четверть",IF(O546&lt;$U$1,"Вторая четверть","Больше половины"))</f>
        <v/>
      </c>
      <c r="V546">
        <f>IF(OR(N546&lt;SUMIFS(L:L,R:R,1,E:E,E546)/SUMIFS(K:K,R:R,1,E:E,E546)*0.5,O546&lt;SUMIFS(M:M,R:R,1,E:E,E546)/SUMIFS(L:L,R:R,1,E:E,E546)*0.5),"код для проверки","нормальный код")</f>
        <v/>
      </c>
      <c r="W546">
        <f>IF(N546&lt;SUMIFS(L:L,R:R,1,E:E,E546)/SUMIFS(K:K,R:R,1,E:E,E546)*0.5,"Низшая четверть",IF(N546&lt;SUMIFS(L:L,R:R,1,E:E,E546)/SUMIFS(K:K,R:R,1,E:E,E546),"Вторая четверть","Больше половины"))</f>
        <v/>
      </c>
      <c r="X546">
        <f>IF(O546&lt;SUMIFS(M:M,R:R,1,E:E,E546)/SUMIFS(L:L,R:R,1,E:E,E546)*0.5,"Низшая четверть",IF(O546&lt;SUMIFS(M:M,R:R,1,E:E,E546)/SUMIFS(L:L,R:R,1,E:E,E546),"Вторая четверть","Больше половины"))</f>
        <v/>
      </c>
      <c r="Y546" t="n">
        <v>13</v>
      </c>
    </row>
    <row r="547">
      <c r="A547" s="1" t="inlineStr">
        <is>
          <t>a8900060</t>
        </is>
      </c>
      <c r="B547" s="2" t="inlineStr">
        <is>
          <t>696912332</t>
        </is>
      </c>
      <c r="C547" s="3" t="inlineStr">
        <is>
          <t>Одежда для детей</t>
        </is>
      </c>
      <c r="D547" s="2" t="inlineStr">
        <is>
          <t>Свитера детские для девочек</t>
        </is>
      </c>
      <c r="E547" s="3" t="inlineStr">
        <is>
          <t>a89 Свитшот для девочки</t>
        </is>
      </c>
      <c r="F547" s="2" t="inlineStr">
        <is>
          <t>весна, лето, осень</t>
        </is>
      </c>
      <c r="G547" s="3" t="inlineStr">
        <is>
          <t>kari</t>
        </is>
      </c>
      <c r="H547" s="2" t="inlineStr">
        <is>
          <t>Зиннуров Ильнур</t>
        </is>
      </c>
      <c r="J547" s="3" t="inlineStr">
        <is>
          <t>2026SS</t>
        </is>
      </c>
      <c r="K547" s="3" t="n">
        <v>4756</v>
      </c>
      <c r="L547" s="3" t="n">
        <v>343</v>
      </c>
      <c r="M547" s="3" t="n">
        <v>7</v>
      </c>
      <c r="N547" s="4">
        <f>IFERROR(L547/K547,0)</f>
        <v/>
      </c>
      <c r="O547" s="4">
        <f>IFERROR(M547/L547,0)</f>
        <v/>
      </c>
      <c r="P547" t="n">
        <v>86</v>
      </c>
      <c r="Q547" s="5" t="n">
        <v>0.6</v>
      </c>
      <c r="R547" s="7" t="n">
        <v>1</v>
      </c>
      <c r="S547">
        <f>IF(OR(N547&lt;$T$1*0.5,O547&lt;$U$1*0.5),"код для проверки","нормальный код")</f>
        <v/>
      </c>
      <c r="T547">
        <f>IF(N547&lt;$T$1*0.5,"Низшая четверть",IF(N547&lt;$T$1,"Вторая четверть","Больше половины"))</f>
        <v/>
      </c>
      <c r="U547">
        <f>IF(O547&lt;$U$1*0.5,"Низшая четверть",IF(O547&lt;$U$1,"Вторая четверть","Больше половины"))</f>
        <v/>
      </c>
      <c r="V547">
        <f>IF(OR(N547&lt;SUMIFS(L:L,R:R,1,E:E,E547)/SUMIFS(K:K,R:R,1,E:E,E547)*0.5,O547&lt;SUMIFS(M:M,R:R,1,E:E,E547)/SUMIFS(L:L,R:R,1,E:E,E547)*0.5),"код для проверки","нормальный код")</f>
        <v/>
      </c>
      <c r="W547">
        <f>IF(N547&lt;SUMIFS(L:L,R:R,1,E:E,E547)/SUMIFS(K:K,R:R,1,E:E,E547)*0.5,"Низшая четверть",IF(N547&lt;SUMIFS(L:L,R:R,1,E:E,E547)/SUMIFS(K:K,R:R,1,E:E,E547),"Вторая четверть","Больше половины"))</f>
        <v/>
      </c>
      <c r="X547">
        <f>IF(O547&lt;SUMIFS(M:M,R:R,1,E:E,E547)/SUMIFS(L:L,R:R,1,E:E,E547)*0.5,"Низшая четверть",IF(O547&lt;SUMIFS(M:M,R:R,1,E:E,E547)/SUMIFS(L:L,R:R,1,E:E,E547),"Вторая четверть","Больше половины"))</f>
        <v/>
      </c>
      <c r="Y547" t="n">
        <v>18</v>
      </c>
    </row>
    <row r="548">
      <c r="A548" s="1" t="inlineStr">
        <is>
          <t>18400000</t>
        </is>
      </c>
      <c r="B548" s="2" t="inlineStr">
        <is>
          <t>879308874</t>
        </is>
      </c>
      <c r="C548" s="3" t="inlineStr">
        <is>
          <t>Одежда и аксессуары</t>
        </is>
      </c>
      <c r="D548" s="2" t="inlineStr">
        <is>
          <t>Майки и платья женские</t>
        </is>
      </c>
      <c r="E548" s="3" t="inlineStr">
        <is>
          <t>184 Женская футболка</t>
        </is>
      </c>
      <c r="F548" s="2" t="inlineStr">
        <is>
          <t>всесезонный</t>
        </is>
      </c>
      <c r="G548" s="3" t="inlineStr">
        <is>
          <t>kari</t>
        </is>
      </c>
      <c r="H548" s="2" t="inlineStr">
        <is>
          <t>Зиннуров Ильнур</t>
        </is>
      </c>
      <c r="J548" s="3" t="inlineStr">
        <is>
          <t>2026SS</t>
        </is>
      </c>
      <c r="K548" s="3" t="n">
        <v>4713</v>
      </c>
      <c r="L548" s="3" t="n">
        <v>697</v>
      </c>
      <c r="M548" s="3" t="n">
        <v>1</v>
      </c>
      <c r="N548" s="4">
        <f>IFERROR(L548/K548,0)</f>
        <v/>
      </c>
      <c r="O548" s="4">
        <f>IFERROR(M548/L548,0)</f>
        <v/>
      </c>
      <c r="P548" t="n">
        <v>179</v>
      </c>
      <c r="Q548" s="5" t="n">
        <v>1</v>
      </c>
      <c r="R548" s="7" t="n">
        <v>1</v>
      </c>
      <c r="S548">
        <f>IF(OR(N548&lt;$T$1*0.5,O548&lt;$U$1*0.5),"код для проверки","нормальный код")</f>
        <v/>
      </c>
      <c r="T548">
        <f>IF(N548&lt;$T$1*0.5,"Низшая четверть",IF(N548&lt;$T$1,"Вторая четверть","Больше половины"))</f>
        <v/>
      </c>
      <c r="U548">
        <f>IF(O548&lt;$U$1*0.5,"Низшая четверть",IF(O548&lt;$U$1,"Вторая четверть","Больше половины"))</f>
        <v/>
      </c>
      <c r="V548">
        <f>IF(OR(N548&lt;SUMIFS(L:L,R:R,1,E:E,E548)/SUMIFS(K:K,R:R,1,E:E,E548)*0.5,O548&lt;SUMIFS(M:M,R:R,1,E:E,E548)/SUMIFS(L:L,R:R,1,E:E,E548)*0.5),"код для проверки","нормальный код")</f>
        <v/>
      </c>
      <c r="W548">
        <f>IF(N548&lt;SUMIFS(L:L,R:R,1,E:E,E548)/SUMIFS(K:K,R:R,1,E:E,E548)*0.5,"Низшая четверть",IF(N548&lt;SUMIFS(L:L,R:R,1,E:E,E548)/SUMIFS(K:K,R:R,1,E:E,E548),"Вторая четверть","Больше половины"))</f>
        <v/>
      </c>
      <c r="X548">
        <f>IF(O548&lt;SUMIFS(M:M,R:R,1,E:E,E548)/SUMIFS(L:L,R:R,1,E:E,E548)*0.5,"Низшая четверть",IF(O548&lt;SUMIFS(M:M,R:R,1,E:E,E548)/SUMIFS(L:L,R:R,1,E:E,E548),"Вторая четверть","Больше половины"))</f>
        <v/>
      </c>
      <c r="Y548" t="n">
        <v>10</v>
      </c>
    </row>
    <row r="549">
      <c r="A549" s="1" t="inlineStr">
        <is>
          <t>094000F0</t>
        </is>
      </c>
      <c r="B549" s="2" t="inlineStr">
        <is>
          <t>710202786</t>
        </is>
      </c>
      <c r="C549" s="3" t="inlineStr">
        <is>
          <t>Одежда и аксессуары</t>
        </is>
      </c>
      <c r="D549" s="2" t="inlineStr">
        <is>
          <t>Купальники женские</t>
        </is>
      </c>
      <c r="E549" s="3" t="inlineStr">
        <is>
          <t>094 Купальник</t>
        </is>
      </c>
      <c r="F549" s="2" t="inlineStr">
        <is>
          <t>лето</t>
        </is>
      </c>
      <c r="G549" s="3" t="inlineStr">
        <is>
          <t>kari</t>
        </is>
      </c>
      <c r="H549" s="2" t="inlineStr">
        <is>
          <t>Никонорова Алина</t>
        </is>
      </c>
      <c r="J549" s="3" t="inlineStr">
        <is>
          <t>2026SS</t>
        </is>
      </c>
      <c r="K549" s="3" t="n">
        <v>4697</v>
      </c>
      <c r="L549" s="3" t="n">
        <v>3432</v>
      </c>
      <c r="M549" s="3" t="n">
        <v>17</v>
      </c>
      <c r="N549" s="4">
        <f>IFERROR(L549/K549,0)</f>
        <v/>
      </c>
      <c r="O549" s="4">
        <f>IFERROR(M549/L549,0)</f>
        <v/>
      </c>
      <c r="P549" t="n">
        <v>3920</v>
      </c>
      <c r="Q549" s="5" t="n">
        <v>0.6666666666666666</v>
      </c>
      <c r="R549" s="7" t="n">
        <v>1</v>
      </c>
      <c r="S549">
        <f>IF(OR(N549&lt;$T$1*0.5,O549&lt;$U$1*0.5),"код для проверки","нормальный код")</f>
        <v/>
      </c>
      <c r="T549">
        <f>IF(N549&lt;$T$1*0.5,"Низшая четверть",IF(N549&lt;$T$1,"Вторая четверть","Больше половины"))</f>
        <v/>
      </c>
      <c r="U549">
        <f>IF(O549&lt;$U$1*0.5,"Низшая четверть",IF(O549&lt;$U$1,"Вторая четверть","Больше половины"))</f>
        <v/>
      </c>
      <c r="V549">
        <f>IF(OR(N549&lt;SUMIFS(L:L,R:R,1,E:E,E549)/SUMIFS(K:K,R:R,1,E:E,E549)*0.5,O549&lt;SUMIFS(M:M,R:R,1,E:E,E549)/SUMIFS(L:L,R:R,1,E:E,E549)*0.5),"код для проверки","нормальный код")</f>
        <v/>
      </c>
      <c r="W549">
        <f>IF(N549&lt;SUMIFS(L:L,R:R,1,E:E,E549)/SUMIFS(K:K,R:R,1,E:E,E549)*0.5,"Низшая четверть",IF(N549&lt;SUMIFS(L:L,R:R,1,E:E,E549)/SUMIFS(K:K,R:R,1,E:E,E549),"Вторая четверть","Больше половины"))</f>
        <v/>
      </c>
      <c r="X549">
        <f>IF(O549&lt;SUMIFS(M:M,R:R,1,E:E,E549)/SUMIFS(L:L,R:R,1,E:E,E549)*0.5,"Низшая четверть",IF(O549&lt;SUMIFS(M:M,R:R,1,E:E,E549)/SUMIFS(L:L,R:R,1,E:E,E549),"Вторая четверть","Больше половины"))</f>
        <v/>
      </c>
      <c r="Y549" t="n">
        <v>23</v>
      </c>
    </row>
    <row r="550">
      <c r="A550" s="1" t="inlineStr">
        <is>
          <t>29100200</t>
        </is>
      </c>
      <c r="B550" s="2" t="inlineStr">
        <is>
          <t>783834040</t>
        </is>
      </c>
      <c r="C550" s="3" t="inlineStr">
        <is>
          <t>Одежда для детей</t>
        </is>
      </c>
      <c r="D550" s="2" t="inlineStr">
        <is>
          <t>Брюки детские для мальчиков</t>
        </is>
      </c>
      <c r="E550" s="3" t="inlineStr">
        <is>
          <t>291 Штаны детские для мальчиков</t>
        </is>
      </c>
      <c r="F550" s="2" t="inlineStr">
        <is>
          <t>всесезонный</t>
        </is>
      </c>
      <c r="G550" s="3" t="inlineStr">
        <is>
          <t>kari</t>
        </is>
      </c>
      <c r="H550" s="2" t="inlineStr">
        <is>
          <t>Зиннуров Ильнур</t>
        </is>
      </c>
      <c r="J550" s="3" t="inlineStr">
        <is>
          <t>2026SS</t>
        </is>
      </c>
      <c r="K550" s="3" t="n">
        <v>4696</v>
      </c>
      <c r="L550" s="3" t="n">
        <v>581</v>
      </c>
      <c r="M550" s="3" t="n">
        <v>36</v>
      </c>
      <c r="N550" s="4">
        <f>IFERROR(L550/K550,0)</f>
        <v/>
      </c>
      <c r="O550" s="4">
        <f>IFERROR(M550/L550,0)</f>
        <v/>
      </c>
      <c r="P550" t="n">
        <v>162</v>
      </c>
      <c r="Q550" s="5" t="n">
        <v>0.8</v>
      </c>
      <c r="R550" s="7" t="n">
        <v>1</v>
      </c>
      <c r="S550">
        <f>IF(OR(N550&lt;$T$1*0.5,O550&lt;$U$1*0.5),"код для проверки","нормальный код")</f>
        <v/>
      </c>
      <c r="T550">
        <f>IF(N550&lt;$T$1*0.5,"Низшая четверть",IF(N550&lt;$T$1,"Вторая четверть","Больше половины"))</f>
        <v/>
      </c>
      <c r="U550">
        <f>IF(O550&lt;$U$1*0.5,"Низшая четверть",IF(O550&lt;$U$1,"Вторая четверть","Больше половины"))</f>
        <v/>
      </c>
      <c r="V550">
        <f>IF(OR(N550&lt;SUMIFS(L:L,R:R,1,E:E,E550)/SUMIFS(K:K,R:R,1,E:E,E550)*0.5,O550&lt;SUMIFS(M:M,R:R,1,E:E,E550)/SUMIFS(L:L,R:R,1,E:E,E550)*0.5),"код для проверки","нормальный код")</f>
        <v/>
      </c>
      <c r="W550">
        <f>IF(N550&lt;SUMIFS(L:L,R:R,1,E:E,E550)/SUMIFS(K:K,R:R,1,E:E,E550)*0.5,"Низшая четверть",IF(N550&lt;SUMIFS(L:L,R:R,1,E:E,E550)/SUMIFS(K:K,R:R,1,E:E,E550),"Вторая четверть","Больше половины"))</f>
        <v/>
      </c>
      <c r="X550">
        <f>IF(O550&lt;SUMIFS(M:M,R:R,1,E:E,E550)/SUMIFS(L:L,R:R,1,E:E,E550)*0.5,"Низшая четверть",IF(O550&lt;SUMIFS(M:M,R:R,1,E:E,E550)/SUMIFS(L:L,R:R,1,E:E,E550),"Вторая четверть","Больше половины"))</f>
        <v/>
      </c>
      <c r="Y550" t="n">
        <v>21</v>
      </c>
    </row>
    <row r="551">
      <c r="A551" s="1" t="inlineStr">
        <is>
          <t>56706110</t>
        </is>
      </c>
      <c r="B551" s="2" t="inlineStr">
        <is>
          <t>216453917</t>
        </is>
      </c>
      <c r="C551" s="3" t="inlineStr">
        <is>
          <t>Одежда для детей</t>
        </is>
      </c>
      <c r="D551" s="2" t="inlineStr">
        <is>
          <t>Одежда для новорожденных</t>
        </is>
      </c>
      <c r="E551" s="3" t="inlineStr">
        <is>
          <t>567 Боди с длинным рукавом для девочек</t>
        </is>
      </c>
      <c r="F551" s="2" t="inlineStr">
        <is>
          <t>всесезонный</t>
        </is>
      </c>
      <c r="G551" s="3" t="inlineStr">
        <is>
          <t>Kari baby</t>
        </is>
      </c>
      <c r="H551" s="2" t="inlineStr">
        <is>
          <t>Зиннуров Ильнур</t>
        </is>
      </c>
      <c r="J551" s="3" t="inlineStr">
        <is>
          <t>2026SS</t>
        </is>
      </c>
      <c r="K551" s="3" t="n">
        <v>4683</v>
      </c>
      <c r="L551" s="3" t="n">
        <v>681</v>
      </c>
      <c r="M551" s="3" t="n">
        <v>21</v>
      </c>
      <c r="N551" s="4">
        <f>IFERROR(L551/K551,0)</f>
        <v/>
      </c>
      <c r="O551" s="4">
        <f>IFERROR(M551/L551,0)</f>
        <v/>
      </c>
      <c r="P551" t="n">
        <v>0</v>
      </c>
      <c r="Q551" s="5" t="n">
        <v>0.8333333333333334</v>
      </c>
      <c r="R551" s="7" t="n">
        <v>0</v>
      </c>
      <c r="S551" t="inlineStr">
        <is>
          <t>Мало остатка</t>
        </is>
      </c>
      <c r="T551">
        <f>IF(N551&lt;$T$1*0.5,"Низшая четверть",IF(N551&lt;$T$1,"Вторая четверть","Больше половины"))</f>
        <v/>
      </c>
      <c r="U551">
        <f>IF(O551&lt;$U$1*0.5,"Низшая четверть",IF(O551&lt;$U$1,"Вторая четверть","Больше половины"))</f>
        <v/>
      </c>
      <c r="V551">
        <f>IF(OR(N551&lt;SUMIFS(L:L,R:R,1,E:E,E551)/SUMIFS(K:K,R:R,1,E:E,E551)*0.5,O551&lt;SUMIFS(M:M,R:R,1,E:E,E551)/SUMIFS(L:L,R:R,1,E:E,E551)*0.5),"код для проверки","нормальный код")</f>
        <v/>
      </c>
      <c r="W551">
        <f>IF(N551&lt;SUMIFS(L:L,R:R,1,E:E,E551)/SUMIFS(K:K,R:R,1,E:E,E551)*0.5,"Низшая четверть",IF(N551&lt;SUMIFS(L:L,R:R,1,E:E,E551)/SUMIFS(K:K,R:R,1,E:E,E551),"Вторая четверть","Больше половины"))</f>
        <v/>
      </c>
      <c r="X551">
        <f>IF(O551&lt;SUMIFS(M:M,R:R,1,E:E,E551)/SUMIFS(L:L,R:R,1,E:E,E551)*0.5,"Низшая четверть",IF(O551&lt;SUMIFS(M:M,R:R,1,E:E,E551)/SUMIFS(L:L,R:R,1,E:E,E551),"Вторая четверть","Больше половины"))</f>
        <v/>
      </c>
      <c r="Y551" t="n">
        <v>8</v>
      </c>
    </row>
    <row r="552">
      <c r="A552" s="1" t="inlineStr">
        <is>
          <t>96100090</t>
        </is>
      </c>
      <c r="B552" s="2" t="inlineStr">
        <is>
          <t>913192707</t>
        </is>
      </c>
      <c r="C552" s="3" t="inlineStr">
        <is>
          <t>Одежда для детей</t>
        </is>
      </c>
      <c r="D552" s="2" t="inlineStr">
        <is>
          <t>Одежда для новорожденных</t>
        </is>
      </c>
      <c r="E552" s="3" t="inlineStr">
        <is>
          <t>961 Комплект летней одежды для маленькой девочки</t>
        </is>
      </c>
      <c r="F552" s="2" t="inlineStr">
        <is>
          <t>весна, лето</t>
        </is>
      </c>
      <c r="G552" s="3" t="inlineStr">
        <is>
          <t>Kari baby</t>
        </is>
      </c>
      <c r="H552" s="2" t="inlineStr">
        <is>
          <t>Зиннуров Ильнур</t>
        </is>
      </c>
      <c r="J552" s="3" t="inlineStr">
        <is>
          <t>2026SS</t>
        </is>
      </c>
      <c r="K552" s="3" t="n">
        <v>4666</v>
      </c>
      <c r="L552" s="3" t="n">
        <v>842</v>
      </c>
      <c r="M552" s="3" t="n">
        <v>13</v>
      </c>
      <c r="N552" s="4">
        <f>IFERROR(L552/K552,0)</f>
        <v/>
      </c>
      <c r="O552" s="4">
        <f>IFERROR(M552/L552,0)</f>
        <v/>
      </c>
      <c r="P552" t="n">
        <v>685</v>
      </c>
      <c r="Q552" s="5" t="n">
        <v>1</v>
      </c>
      <c r="R552" s="7" t="n">
        <v>1</v>
      </c>
      <c r="S552">
        <f>IF(OR(N552&lt;$T$1*0.5,O552&lt;$U$1*0.5),"код для проверки","нормальный код")</f>
        <v/>
      </c>
      <c r="T552">
        <f>IF(N552&lt;$T$1*0.5,"Низшая четверть",IF(N552&lt;$T$1,"Вторая четверть","Больше половины"))</f>
        <v/>
      </c>
      <c r="U552">
        <f>IF(O552&lt;$U$1*0.5,"Низшая четверть",IF(O552&lt;$U$1,"Вторая четверть","Больше половины"))</f>
        <v/>
      </c>
      <c r="V552">
        <f>IF(OR(N552&lt;SUMIFS(L:L,R:R,1,E:E,E552)/SUMIFS(K:K,R:R,1,E:E,E552)*0.5,O552&lt;SUMIFS(M:M,R:R,1,E:E,E552)/SUMIFS(L:L,R:R,1,E:E,E552)*0.5),"код для проверки","нормальный код")</f>
        <v/>
      </c>
      <c r="W552">
        <f>IF(N552&lt;SUMIFS(L:L,R:R,1,E:E,E552)/SUMIFS(K:K,R:R,1,E:E,E552)*0.5,"Низшая четверть",IF(N552&lt;SUMIFS(L:L,R:R,1,E:E,E552)/SUMIFS(K:K,R:R,1,E:E,E552),"Вторая четверть","Больше половины"))</f>
        <v/>
      </c>
      <c r="X552">
        <f>IF(O552&lt;SUMIFS(M:M,R:R,1,E:E,E552)/SUMIFS(L:L,R:R,1,E:E,E552)*0.5,"Низшая четверть",IF(O552&lt;SUMIFS(M:M,R:R,1,E:E,E552)/SUMIFS(L:L,R:R,1,E:E,E552),"Вторая четверть","Больше половины"))</f>
        <v/>
      </c>
      <c r="Y552" t="n">
        <v>7</v>
      </c>
    </row>
    <row r="553">
      <c r="A553" s="1" t="inlineStr">
        <is>
          <t>19100020</t>
        </is>
      </c>
      <c r="B553" s="2" t="inlineStr">
        <is>
          <t>692563430</t>
        </is>
      </c>
      <c r="C553" s="3" t="inlineStr">
        <is>
          <t>Одежда для детей</t>
        </is>
      </c>
      <c r="D553" s="2" t="inlineStr">
        <is>
          <t>Спортивная одежда детская для девочек</t>
        </is>
      </c>
      <c r="E553" s="3" t="inlineStr">
        <is>
          <t>191 Спортивный костюм детский для девочек</t>
        </is>
      </c>
      <c r="F553" s="2" t="inlineStr">
        <is>
          <t>всесезонный</t>
        </is>
      </c>
      <c r="G553" s="3" t="inlineStr">
        <is>
          <t>Kari KIDS</t>
        </is>
      </c>
      <c r="H553" s="2" t="inlineStr">
        <is>
          <t>Зиннуров Ильнур</t>
        </is>
      </c>
      <c r="J553" s="3" t="inlineStr">
        <is>
          <t>2026SS</t>
        </is>
      </c>
      <c r="K553" s="3" t="n">
        <v>4615</v>
      </c>
      <c r="L553" s="3" t="n">
        <v>544</v>
      </c>
      <c r="M553" s="3" t="n">
        <v>4</v>
      </c>
      <c r="N553" s="4">
        <f>IFERROR(L553/K553,0)</f>
        <v/>
      </c>
      <c r="O553" s="4">
        <f>IFERROR(M553/L553,0)</f>
        <v/>
      </c>
      <c r="P553" t="n">
        <v>381</v>
      </c>
      <c r="Q553" s="5" t="n">
        <v>1</v>
      </c>
      <c r="R553" s="7" t="n">
        <v>1</v>
      </c>
      <c r="S553">
        <f>IF(OR(N553&lt;$T$1*0.5,O553&lt;$U$1*0.5),"код для проверки","нормальный код")</f>
        <v/>
      </c>
      <c r="T553">
        <f>IF(N553&lt;$T$1*0.5,"Низшая четверть",IF(N553&lt;$T$1,"Вторая четверть","Больше половины"))</f>
        <v/>
      </c>
      <c r="U553">
        <f>IF(O553&lt;$U$1*0.5,"Низшая четверть",IF(O553&lt;$U$1,"Вторая четверть","Больше половины"))</f>
        <v/>
      </c>
      <c r="V553">
        <f>IF(OR(N553&lt;SUMIFS(L:L,R:R,1,E:E,E553)/SUMIFS(K:K,R:R,1,E:E,E553)*0.5,O553&lt;SUMIFS(M:M,R:R,1,E:E,E553)/SUMIFS(L:L,R:R,1,E:E,E553)*0.5),"код для проверки","нормальный код")</f>
        <v/>
      </c>
      <c r="W553">
        <f>IF(N553&lt;SUMIFS(L:L,R:R,1,E:E,E553)/SUMIFS(K:K,R:R,1,E:E,E553)*0.5,"Низшая четверть",IF(N553&lt;SUMIFS(L:L,R:R,1,E:E,E553)/SUMIFS(K:K,R:R,1,E:E,E553),"Вторая четверть","Больше половины"))</f>
        <v/>
      </c>
      <c r="X553">
        <f>IF(O553&lt;SUMIFS(M:M,R:R,1,E:E,E553)/SUMIFS(L:L,R:R,1,E:E,E553)*0.5,"Низшая четверть",IF(O553&lt;SUMIFS(M:M,R:R,1,E:E,E553)/SUMIFS(L:L,R:R,1,E:E,E553),"Вторая четверть","Больше половины"))</f>
        <v/>
      </c>
      <c r="Y553" t="n">
        <v>22</v>
      </c>
    </row>
    <row r="554">
      <c r="A554" s="1" t="inlineStr">
        <is>
          <t>42400050</t>
        </is>
      </c>
      <c r="B554" s="2" t="inlineStr">
        <is>
          <t>706564139</t>
        </is>
      </c>
      <c r="C554" s="3" t="inlineStr">
        <is>
          <t>Одежда для детей</t>
        </is>
      </c>
      <c r="D554" s="2" t="inlineStr">
        <is>
          <t>Одежда для новорожденных</t>
        </is>
      </c>
      <c r="E554" s="3" t="inlineStr">
        <is>
          <t>424 Комбинезон для новорожденных утепленный</t>
        </is>
      </c>
      <c r="F554" s="2" t="inlineStr">
        <is>
          <t>весна, осень, зима</t>
        </is>
      </c>
      <c r="G554" s="3" t="inlineStr">
        <is>
          <t>Kari baby</t>
        </is>
      </c>
      <c r="H554" s="2" t="inlineStr">
        <is>
          <t>Зиннуров Ильнур</t>
        </is>
      </c>
      <c r="J554" s="3" t="inlineStr">
        <is>
          <t>2026SS</t>
        </is>
      </c>
      <c r="K554" s="3" t="n">
        <v>4595</v>
      </c>
      <c r="L554" s="3" t="n">
        <v>826</v>
      </c>
      <c r="M554" s="3" t="n">
        <v>6</v>
      </c>
      <c r="N554" s="4">
        <f>IFERROR(L554/K554,0)</f>
        <v/>
      </c>
      <c r="O554" s="4">
        <f>IFERROR(M554/L554,0)</f>
        <v/>
      </c>
      <c r="P554" t="n">
        <v>143</v>
      </c>
      <c r="Q554" s="5" t="n">
        <v>1</v>
      </c>
      <c r="R554" s="7" t="n">
        <v>1</v>
      </c>
      <c r="S554">
        <f>IF(OR(N554&lt;$T$1*0.5,O554&lt;$U$1*0.5),"код для проверки","нормальный код")</f>
        <v/>
      </c>
      <c r="T554">
        <f>IF(N554&lt;$T$1*0.5,"Низшая четверть",IF(N554&lt;$T$1,"Вторая четверть","Больше половины"))</f>
        <v/>
      </c>
      <c r="U554">
        <f>IF(O554&lt;$U$1*0.5,"Низшая четверть",IF(O554&lt;$U$1,"Вторая четверть","Больше половины"))</f>
        <v/>
      </c>
      <c r="V554">
        <f>IF(OR(N554&lt;SUMIFS(L:L,R:R,1,E:E,E554)/SUMIFS(K:K,R:R,1,E:E,E554)*0.5,O554&lt;SUMIFS(M:M,R:R,1,E:E,E554)/SUMIFS(L:L,R:R,1,E:E,E554)*0.5),"код для проверки","нормальный код")</f>
        <v/>
      </c>
      <c r="W554">
        <f>IF(N554&lt;SUMIFS(L:L,R:R,1,E:E,E554)/SUMIFS(K:K,R:R,1,E:E,E554)*0.5,"Низшая четверть",IF(N554&lt;SUMIFS(L:L,R:R,1,E:E,E554)/SUMIFS(K:K,R:R,1,E:E,E554),"Вторая четверть","Больше половины"))</f>
        <v/>
      </c>
      <c r="X554">
        <f>IF(O554&lt;SUMIFS(M:M,R:R,1,E:E,E554)/SUMIFS(L:L,R:R,1,E:E,E554)*0.5,"Низшая четверть",IF(O554&lt;SUMIFS(M:M,R:R,1,E:E,E554)/SUMIFS(L:L,R:R,1,E:E,E554),"Вторая четверть","Больше половины"))</f>
        <v/>
      </c>
      <c r="Y554" t="n">
        <v>16</v>
      </c>
    </row>
    <row r="555">
      <c r="A555" s="1" t="inlineStr">
        <is>
          <t>16800070</t>
        </is>
      </c>
      <c r="B555" s="2" t="inlineStr">
        <is>
          <t>766703735</t>
        </is>
      </c>
      <c r="C555" s="3" t="inlineStr">
        <is>
          <t>Одежда и аксессуары</t>
        </is>
      </c>
      <c r="D555" s="2" t="inlineStr">
        <is>
          <t>Головные уборы женские</t>
        </is>
      </c>
      <c r="E555" s="3" t="inlineStr">
        <is>
          <t>168 Шляпа женская летняя</t>
        </is>
      </c>
      <c r="F555" s="2" t="inlineStr">
        <is>
          <t>лето</t>
        </is>
      </c>
      <c r="G555" s="3" t="inlineStr">
        <is>
          <t>kari</t>
        </is>
      </c>
      <c r="H555" s="2" t="inlineStr">
        <is>
          <t>Никонорова Алина</t>
        </is>
      </c>
      <c r="J555" s="3" t="inlineStr">
        <is>
          <t>2026SS</t>
        </is>
      </c>
      <c r="K555" s="3" t="n">
        <v>4572</v>
      </c>
      <c r="L555" s="3" t="n">
        <v>335</v>
      </c>
      <c r="M555" s="3" t="n">
        <v>5</v>
      </c>
      <c r="N555" s="4">
        <f>IFERROR(L555/K555,0)</f>
        <v/>
      </c>
      <c r="O555" s="4">
        <f>IFERROR(M555/L555,0)</f>
        <v/>
      </c>
      <c r="P555" t="n">
        <v>435</v>
      </c>
      <c r="Q555" s="5" t="n">
        <v>1</v>
      </c>
      <c r="R555" s="7" t="n">
        <v>1</v>
      </c>
      <c r="S555">
        <f>IF(OR(N555&lt;$T$1*0.5,O555&lt;$U$1*0.5),"код для проверки","нормальный код")</f>
        <v/>
      </c>
      <c r="T555">
        <f>IF(N555&lt;$T$1*0.5,"Низшая четверть",IF(N555&lt;$T$1,"Вторая четверть","Больше половины"))</f>
        <v/>
      </c>
      <c r="U555">
        <f>IF(O555&lt;$U$1*0.5,"Низшая четверть",IF(O555&lt;$U$1,"Вторая четверть","Больше половины"))</f>
        <v/>
      </c>
      <c r="V555">
        <f>IF(OR(N555&lt;SUMIFS(L:L,R:R,1,E:E,E555)/SUMIFS(K:K,R:R,1,E:E,E555)*0.5,O555&lt;SUMIFS(M:M,R:R,1,E:E,E555)/SUMIFS(L:L,R:R,1,E:E,E555)*0.5),"код для проверки","нормальный код")</f>
        <v/>
      </c>
      <c r="W555">
        <f>IF(N555&lt;SUMIFS(L:L,R:R,1,E:E,E555)/SUMIFS(K:K,R:R,1,E:E,E555)*0.5,"Низшая четверть",IF(N555&lt;SUMIFS(L:L,R:R,1,E:E,E555)/SUMIFS(K:K,R:R,1,E:E,E555),"Вторая четверть","Больше половины"))</f>
        <v/>
      </c>
      <c r="X555">
        <f>IF(O555&lt;SUMIFS(M:M,R:R,1,E:E,E555)/SUMIFS(L:L,R:R,1,E:E,E555)*0.5,"Низшая четверть",IF(O555&lt;SUMIFS(M:M,R:R,1,E:E,E555)/SUMIFS(L:L,R:R,1,E:E,E555),"Вторая четверть","Больше половины"))</f>
        <v/>
      </c>
      <c r="Y555" t="n">
        <v>16</v>
      </c>
    </row>
    <row r="556">
      <c r="A556" s="1" t="inlineStr">
        <is>
          <t>96100110</t>
        </is>
      </c>
      <c r="B556" s="2" t="inlineStr">
        <is>
          <t>913192709</t>
        </is>
      </c>
      <c r="C556" s="3" t="inlineStr">
        <is>
          <t>Одежда для детей</t>
        </is>
      </c>
      <c r="D556" s="2" t="inlineStr">
        <is>
          <t>Одежда для новорожденных</t>
        </is>
      </c>
      <c r="E556" s="3" t="inlineStr">
        <is>
          <t>961 Комплект летней одежды для маленькой девочки</t>
        </is>
      </c>
      <c r="F556" s="2" t="inlineStr">
        <is>
          <t>весна, лето</t>
        </is>
      </c>
      <c r="G556" s="3" t="inlineStr">
        <is>
          <t>Kari baby</t>
        </is>
      </c>
      <c r="H556" s="2" t="inlineStr">
        <is>
          <t>Зиннуров Ильнур</t>
        </is>
      </c>
      <c r="J556" s="3" t="inlineStr">
        <is>
          <t>2026SS</t>
        </is>
      </c>
      <c r="K556" s="3" t="n">
        <v>4536</v>
      </c>
      <c r="L556" s="3" t="n">
        <v>516</v>
      </c>
      <c r="M556" s="3" t="n">
        <v>0</v>
      </c>
      <c r="N556" s="4">
        <f>IFERROR(L556/K556,0)</f>
        <v/>
      </c>
      <c r="O556" s="4">
        <f>IFERROR(M556/L556,0)</f>
        <v/>
      </c>
      <c r="P556" t="n">
        <v>588</v>
      </c>
      <c r="Q556" s="5" t="n">
        <v>1</v>
      </c>
      <c r="R556" s="7" t="n">
        <v>1</v>
      </c>
      <c r="S556">
        <f>IF(OR(N556&lt;$T$1*0.5,O556&lt;$U$1*0.5),"код для проверки","нормальный код")</f>
        <v/>
      </c>
      <c r="T556">
        <f>IF(N556&lt;$T$1*0.5,"Низшая четверть",IF(N556&lt;$T$1,"Вторая четверть","Больше половины"))</f>
        <v/>
      </c>
      <c r="U556">
        <f>IF(O556&lt;$U$1*0.5,"Низшая четверть",IF(O556&lt;$U$1,"Вторая четверть","Больше половины"))</f>
        <v/>
      </c>
      <c r="V556">
        <f>IF(OR(N556&lt;SUMIFS(L:L,R:R,1,E:E,E556)/SUMIFS(K:K,R:R,1,E:E,E556)*0.5,O556&lt;SUMIFS(M:M,R:R,1,E:E,E556)/SUMIFS(L:L,R:R,1,E:E,E556)*0.5),"код для проверки","нормальный код")</f>
        <v/>
      </c>
      <c r="W556">
        <f>IF(N556&lt;SUMIFS(L:L,R:R,1,E:E,E556)/SUMIFS(K:K,R:R,1,E:E,E556)*0.5,"Низшая четверть",IF(N556&lt;SUMIFS(L:L,R:R,1,E:E,E556)/SUMIFS(K:K,R:R,1,E:E,E556),"Вторая четверть","Больше половины"))</f>
        <v/>
      </c>
      <c r="X556">
        <f>IF(O556&lt;SUMIFS(M:M,R:R,1,E:E,E556)/SUMIFS(L:L,R:R,1,E:E,E556)*0.5,"Низшая четверть",IF(O556&lt;SUMIFS(M:M,R:R,1,E:E,E556)/SUMIFS(L:L,R:R,1,E:E,E556),"Вторая четверть","Больше половины"))</f>
        <v/>
      </c>
      <c r="Y556" t="n">
        <v>14</v>
      </c>
    </row>
    <row r="557">
      <c r="A557" s="1" t="inlineStr">
        <is>
          <t>094002A0</t>
        </is>
      </c>
      <c r="B557" s="2" t="inlineStr">
        <is>
          <t>756548738</t>
        </is>
      </c>
      <c r="C557" s="3" t="inlineStr">
        <is>
          <t>Одежда и аксессуары</t>
        </is>
      </c>
      <c r="D557" s="2" t="inlineStr">
        <is>
          <t>Купальники женские</t>
        </is>
      </c>
      <c r="E557" s="3" t="inlineStr">
        <is>
          <t>094 Купальник</t>
        </is>
      </c>
      <c r="F557" s="2" t="inlineStr">
        <is>
          <t>лето</t>
        </is>
      </c>
      <c r="G557" s="3" t="inlineStr">
        <is>
          <t>kari</t>
        </is>
      </c>
      <c r="H557" s="2" t="inlineStr">
        <is>
          <t>Никонорова Алина</t>
        </is>
      </c>
      <c r="J557" s="3" t="inlineStr">
        <is>
          <t>2026SS</t>
        </is>
      </c>
      <c r="K557" s="3" t="n">
        <v>4527</v>
      </c>
      <c r="L557" s="3" t="n">
        <v>7961</v>
      </c>
      <c r="M557" s="3" t="n">
        <v>27</v>
      </c>
      <c r="N557" s="4">
        <f>IFERROR(L557/K557,0)</f>
        <v/>
      </c>
      <c r="O557" s="4">
        <f>IFERROR(M557/L557,0)</f>
        <v/>
      </c>
      <c r="P557" t="n">
        <v>2087</v>
      </c>
      <c r="Q557" s="5" t="n">
        <v>0.7777777777777778</v>
      </c>
      <c r="R557" s="7" t="n">
        <v>1</v>
      </c>
      <c r="S557">
        <f>IF(OR(N557&lt;$T$1*0.5,O557&lt;$U$1*0.5),"код для проверки","нормальный код")</f>
        <v/>
      </c>
      <c r="T557">
        <f>IF(N557&lt;$T$1*0.5,"Низшая четверть",IF(N557&lt;$T$1,"Вторая четверть","Больше половины"))</f>
        <v/>
      </c>
      <c r="U557">
        <f>IF(O557&lt;$U$1*0.5,"Низшая четверть",IF(O557&lt;$U$1,"Вторая четверть","Больше половины"))</f>
        <v/>
      </c>
      <c r="V557">
        <f>IF(OR(N557&lt;SUMIFS(L:L,R:R,1,E:E,E557)/SUMIFS(K:K,R:R,1,E:E,E557)*0.5,O557&lt;SUMIFS(M:M,R:R,1,E:E,E557)/SUMIFS(L:L,R:R,1,E:E,E557)*0.5),"код для проверки","нормальный код")</f>
        <v/>
      </c>
      <c r="W557">
        <f>IF(N557&lt;SUMIFS(L:L,R:R,1,E:E,E557)/SUMIFS(K:K,R:R,1,E:E,E557)*0.5,"Низшая четверть",IF(N557&lt;SUMIFS(L:L,R:R,1,E:E,E557)/SUMIFS(K:K,R:R,1,E:E,E557),"Вторая четверть","Больше половины"))</f>
        <v/>
      </c>
      <c r="X557">
        <f>IF(O557&lt;SUMIFS(M:M,R:R,1,E:E,E557)/SUMIFS(L:L,R:R,1,E:E,E557)*0.5,"Низшая четверть",IF(O557&lt;SUMIFS(M:M,R:R,1,E:E,E557)/SUMIFS(L:L,R:R,1,E:E,E557),"Вторая четверть","Больше половины"))</f>
        <v/>
      </c>
      <c r="Y557" t="n">
        <v>14</v>
      </c>
    </row>
    <row r="558">
      <c r="A558" s="1" t="inlineStr">
        <is>
          <t>a6000210</t>
        </is>
      </c>
      <c r="B558" s="2" t="inlineStr">
        <is>
          <t>699629770</t>
        </is>
      </c>
      <c r="C558" s="3" t="inlineStr">
        <is>
          <t>Одежда для детей</t>
        </is>
      </c>
      <c r="D558" s="2" t="inlineStr">
        <is>
          <t>Платья, майки, футболки детские для девочек</t>
        </is>
      </c>
      <c r="E558" s="3" t="inlineStr">
        <is>
          <t>a60 Футболка детская для девочек</t>
        </is>
      </c>
      <c r="F558" s="2" t="inlineStr">
        <is>
          <t>всесезонный</t>
        </is>
      </c>
      <c r="G558" s="3" t="inlineStr">
        <is>
          <t>Kari KIDS</t>
        </is>
      </c>
      <c r="H558" s="2" t="inlineStr">
        <is>
          <t>Зиннуров Ильнур</t>
        </is>
      </c>
      <c r="J558" s="3" t="inlineStr">
        <is>
          <t>2026SS</t>
        </is>
      </c>
      <c r="K558" s="3" t="n">
        <v>4491</v>
      </c>
      <c r="L558" s="3" t="n">
        <v>760</v>
      </c>
      <c r="M558" s="3" t="n">
        <v>6</v>
      </c>
      <c r="N558" s="4">
        <f>IFERROR(L558/K558,0)</f>
        <v/>
      </c>
      <c r="O558" s="4">
        <f>IFERROR(M558/L558,0)</f>
        <v/>
      </c>
      <c r="P558" t="n">
        <v>356</v>
      </c>
      <c r="Q558" s="5" t="n">
        <v>1</v>
      </c>
      <c r="R558" s="7" t="n">
        <v>1</v>
      </c>
      <c r="S558">
        <f>IF(OR(N558&lt;$T$1*0.5,O558&lt;$U$1*0.5),"код для проверки","нормальный код")</f>
        <v/>
      </c>
      <c r="T558">
        <f>IF(N558&lt;$T$1*0.5,"Низшая четверть",IF(N558&lt;$T$1,"Вторая четверть","Больше половины"))</f>
        <v/>
      </c>
      <c r="U558">
        <f>IF(O558&lt;$U$1*0.5,"Низшая четверть",IF(O558&lt;$U$1,"Вторая четверть","Больше половины"))</f>
        <v/>
      </c>
      <c r="V558">
        <f>IF(OR(N558&lt;SUMIFS(L:L,R:R,1,E:E,E558)/SUMIFS(K:K,R:R,1,E:E,E558)*0.5,O558&lt;SUMIFS(M:M,R:R,1,E:E,E558)/SUMIFS(L:L,R:R,1,E:E,E558)*0.5),"код для проверки","нормальный код")</f>
        <v/>
      </c>
      <c r="W558">
        <f>IF(N558&lt;SUMIFS(L:L,R:R,1,E:E,E558)/SUMIFS(K:K,R:R,1,E:E,E558)*0.5,"Низшая четверть",IF(N558&lt;SUMIFS(L:L,R:R,1,E:E,E558)/SUMIFS(K:K,R:R,1,E:E,E558),"Вторая четверть","Больше половины"))</f>
        <v/>
      </c>
      <c r="X558">
        <f>IF(O558&lt;SUMIFS(M:M,R:R,1,E:E,E558)/SUMIFS(L:L,R:R,1,E:E,E558)*0.5,"Низшая четверть",IF(O558&lt;SUMIFS(M:M,R:R,1,E:E,E558)/SUMIFS(L:L,R:R,1,E:E,E558),"Вторая четверть","Больше половины"))</f>
        <v/>
      </c>
      <c r="Y558" t="n">
        <v>20</v>
      </c>
    </row>
    <row r="559">
      <c r="A559" s="1" t="inlineStr">
        <is>
          <t>95500300</t>
        </is>
      </c>
      <c r="B559" s="2" t="inlineStr">
        <is>
          <t>879308829</t>
        </is>
      </c>
      <c r="C559" s="3" t="inlineStr">
        <is>
          <t>Одежда для детей</t>
        </is>
      </c>
      <c r="D559" s="2" t="inlineStr">
        <is>
          <t>Платья, майки, футболки детские для девочек</t>
        </is>
      </c>
      <c r="E559" s="3" t="inlineStr">
        <is>
          <t>955 Топ детский для девочек</t>
        </is>
      </c>
      <c r="F559" s="2" t="inlineStr">
        <is>
          <t>лето</t>
        </is>
      </c>
      <c r="G559" s="3" t="inlineStr">
        <is>
          <t>kari</t>
        </is>
      </c>
      <c r="H559" s="2" t="inlineStr">
        <is>
          <t>Зиннуров Ильнур</t>
        </is>
      </c>
      <c r="J559" s="3" t="inlineStr">
        <is>
          <t>2026SS</t>
        </is>
      </c>
      <c r="K559" s="3" t="n">
        <v>4476</v>
      </c>
      <c r="L559" s="3" t="n">
        <v>344</v>
      </c>
      <c r="M559" s="3" t="n">
        <v>33</v>
      </c>
      <c r="N559" s="4">
        <f>IFERROR(L559/K559,0)</f>
        <v/>
      </c>
      <c r="O559" s="4">
        <f>IFERROR(M559/L559,0)</f>
        <v/>
      </c>
      <c r="P559" t="n">
        <v>1529</v>
      </c>
      <c r="Q559" s="5" t="n">
        <v>1</v>
      </c>
      <c r="R559" s="7" t="n">
        <v>1</v>
      </c>
      <c r="S559">
        <f>IF(OR(N559&lt;$T$1*0.5,O559&lt;$U$1*0.5),"код для проверки","нормальный код")</f>
        <v/>
      </c>
      <c r="T559">
        <f>IF(N559&lt;$T$1*0.5,"Низшая четверть",IF(N559&lt;$T$1,"Вторая четверть","Больше половины"))</f>
        <v/>
      </c>
      <c r="U559">
        <f>IF(O559&lt;$U$1*0.5,"Низшая четверть",IF(O559&lt;$U$1,"Вторая четверть","Больше половины"))</f>
        <v/>
      </c>
      <c r="V559">
        <f>IF(OR(N559&lt;SUMIFS(L:L,R:R,1,E:E,E559)/SUMIFS(K:K,R:R,1,E:E,E559)*0.5,O559&lt;SUMIFS(M:M,R:R,1,E:E,E559)/SUMIFS(L:L,R:R,1,E:E,E559)*0.5),"код для проверки","нормальный код")</f>
        <v/>
      </c>
      <c r="W559">
        <f>IF(N559&lt;SUMIFS(L:L,R:R,1,E:E,E559)/SUMIFS(K:K,R:R,1,E:E,E559)*0.5,"Низшая четверть",IF(N559&lt;SUMIFS(L:L,R:R,1,E:E,E559)/SUMIFS(K:K,R:R,1,E:E,E559),"Вторая четверть","Больше половины"))</f>
        <v/>
      </c>
      <c r="X559">
        <f>IF(O559&lt;SUMIFS(M:M,R:R,1,E:E,E559)/SUMIFS(L:L,R:R,1,E:E,E559)*0.5,"Низшая четверть",IF(O559&lt;SUMIFS(M:M,R:R,1,E:E,E559)/SUMIFS(L:L,R:R,1,E:E,E559),"Вторая четверть","Больше половины"))</f>
        <v/>
      </c>
      <c r="Y559" t="n">
        <v>10</v>
      </c>
    </row>
    <row r="560">
      <c r="A560" s="1" t="inlineStr">
        <is>
          <t>a8900070</t>
        </is>
      </c>
      <c r="B560" s="2" t="inlineStr">
        <is>
          <t>696912275</t>
        </is>
      </c>
      <c r="C560" s="3" t="inlineStr">
        <is>
          <t>Одежда для детей</t>
        </is>
      </c>
      <c r="D560" s="2" t="inlineStr">
        <is>
          <t>Свитера детские для девочек</t>
        </is>
      </c>
      <c r="E560" s="3" t="inlineStr">
        <is>
          <t>a89 Свитшот для девочки</t>
        </is>
      </c>
      <c r="F560" s="2" t="inlineStr">
        <is>
          <t>весна, лето, осень</t>
        </is>
      </c>
      <c r="G560" s="3" t="inlineStr">
        <is>
          <t>Kari KIDS</t>
        </is>
      </c>
      <c r="H560" s="2" t="inlineStr">
        <is>
          <t>Зиннуров Ильнур</t>
        </is>
      </c>
      <c r="J560" s="3" t="inlineStr">
        <is>
          <t>2026SS</t>
        </is>
      </c>
      <c r="K560" s="3" t="n">
        <v>4459</v>
      </c>
      <c r="L560" s="3" t="n">
        <v>271</v>
      </c>
      <c r="M560" s="3" t="n">
        <v>2</v>
      </c>
      <c r="N560" s="4">
        <f>IFERROR(L560/K560,0)</f>
        <v/>
      </c>
      <c r="O560" s="4">
        <f>IFERROR(M560/L560,0)</f>
        <v/>
      </c>
      <c r="P560" t="n">
        <v>242</v>
      </c>
      <c r="Q560" s="5" t="n">
        <v>1</v>
      </c>
      <c r="R560" s="7" t="n">
        <v>1</v>
      </c>
      <c r="S560">
        <f>IF(OR(N560&lt;$T$1*0.5,O560&lt;$U$1*0.5),"код для проверки","нормальный код")</f>
        <v/>
      </c>
      <c r="T560">
        <f>IF(N560&lt;$T$1*0.5,"Низшая четверть",IF(N560&lt;$T$1,"Вторая четверть","Больше половины"))</f>
        <v/>
      </c>
      <c r="U560">
        <f>IF(O560&lt;$U$1*0.5,"Низшая четверть",IF(O560&lt;$U$1,"Вторая четверть","Больше половины"))</f>
        <v/>
      </c>
      <c r="V560">
        <f>IF(OR(N560&lt;SUMIFS(L:L,R:R,1,E:E,E560)/SUMIFS(K:K,R:R,1,E:E,E560)*0.5,O560&lt;SUMIFS(M:M,R:R,1,E:E,E560)/SUMIFS(L:L,R:R,1,E:E,E560)*0.5),"код для проверки","нормальный код")</f>
        <v/>
      </c>
      <c r="W560">
        <f>IF(N560&lt;SUMIFS(L:L,R:R,1,E:E,E560)/SUMIFS(K:K,R:R,1,E:E,E560)*0.5,"Низшая четверть",IF(N560&lt;SUMIFS(L:L,R:R,1,E:E,E560)/SUMIFS(K:K,R:R,1,E:E,E560),"Вторая четверть","Больше половины"))</f>
        <v/>
      </c>
      <c r="X560">
        <f>IF(O560&lt;SUMIFS(M:M,R:R,1,E:E,E560)/SUMIFS(L:L,R:R,1,E:E,E560)*0.5,"Низшая четверть",IF(O560&lt;SUMIFS(M:M,R:R,1,E:E,E560)/SUMIFS(L:L,R:R,1,E:E,E560),"Вторая четверть","Больше половины"))</f>
        <v/>
      </c>
      <c r="Y560" t="n">
        <v>16</v>
      </c>
    </row>
    <row r="561">
      <c r="A561" s="1" t="inlineStr">
        <is>
          <t>18408140</t>
        </is>
      </c>
      <c r="B561" s="2" t="inlineStr">
        <is>
          <t>367487671</t>
        </is>
      </c>
      <c r="C561" s="3" t="inlineStr">
        <is>
          <t>Одежда и аксессуары</t>
        </is>
      </c>
      <c r="D561" s="2" t="inlineStr">
        <is>
          <t>Майки и платья женские</t>
        </is>
      </c>
      <c r="E561" s="3" t="inlineStr">
        <is>
          <t>184 Женская футболка</t>
        </is>
      </c>
      <c r="F561" s="2" t="inlineStr">
        <is>
          <t>всесезонный</t>
        </is>
      </c>
      <c r="G561" s="3" t="inlineStr">
        <is>
          <t>kari</t>
        </is>
      </c>
      <c r="H561" s="2" t="inlineStr">
        <is>
          <t>Зиннуров Ильнур</t>
        </is>
      </c>
      <c r="J561" s="3" t="inlineStr">
        <is>
          <t>2026SS</t>
        </is>
      </c>
      <c r="K561" s="3" t="n">
        <v>4453</v>
      </c>
      <c r="L561" s="3" t="n">
        <v>619</v>
      </c>
      <c r="M561" s="3" t="n">
        <v>12</v>
      </c>
      <c r="N561" s="4">
        <f>IFERROR(L561/K561,0)</f>
        <v/>
      </c>
      <c r="O561" s="4">
        <f>IFERROR(M561/L561,0)</f>
        <v/>
      </c>
      <c r="P561" t="n">
        <v>184</v>
      </c>
      <c r="Q561" s="5" t="n">
        <v>0.8</v>
      </c>
      <c r="R561" s="7" t="n">
        <v>1</v>
      </c>
      <c r="S561">
        <f>IF(OR(N561&lt;$T$1*0.5,O561&lt;$U$1*0.5),"код для проверки","нормальный код")</f>
        <v/>
      </c>
      <c r="T561">
        <f>IF(N561&lt;$T$1*0.5,"Низшая четверть",IF(N561&lt;$T$1,"Вторая четверть","Больше половины"))</f>
        <v/>
      </c>
      <c r="U561">
        <f>IF(O561&lt;$U$1*0.5,"Низшая четверть",IF(O561&lt;$U$1,"Вторая четверть","Больше половины"))</f>
        <v/>
      </c>
      <c r="V561">
        <f>IF(OR(N561&lt;SUMIFS(L:L,R:R,1,E:E,E561)/SUMIFS(K:K,R:R,1,E:E,E561)*0.5,O561&lt;SUMIFS(M:M,R:R,1,E:E,E561)/SUMIFS(L:L,R:R,1,E:E,E561)*0.5),"код для проверки","нормальный код")</f>
        <v/>
      </c>
      <c r="W561">
        <f>IF(N561&lt;SUMIFS(L:L,R:R,1,E:E,E561)/SUMIFS(K:K,R:R,1,E:E,E561)*0.5,"Низшая четверть",IF(N561&lt;SUMIFS(L:L,R:R,1,E:E,E561)/SUMIFS(K:K,R:R,1,E:E,E561),"Вторая четверть","Больше половины"))</f>
        <v/>
      </c>
      <c r="X561">
        <f>IF(O561&lt;SUMIFS(M:M,R:R,1,E:E,E561)/SUMIFS(L:L,R:R,1,E:E,E561)*0.5,"Низшая четверть",IF(O561&lt;SUMIFS(M:M,R:R,1,E:E,E561)/SUMIFS(L:L,R:R,1,E:E,E561),"Вторая четверть","Больше половины"))</f>
        <v/>
      </c>
      <c r="Y561" t="n">
        <v>7</v>
      </c>
    </row>
    <row r="562">
      <c r="A562" s="1" t="inlineStr">
        <is>
          <t>56806170</t>
        </is>
      </c>
      <c r="B562" s="2" t="inlineStr">
        <is>
          <t>216453918</t>
        </is>
      </c>
      <c r="C562" s="3" t="inlineStr">
        <is>
          <t>Одежда для детей</t>
        </is>
      </c>
      <c r="D562" s="2" t="inlineStr">
        <is>
          <t>Одежда для новорожденных</t>
        </is>
      </c>
      <c r="E562" s="3" t="inlineStr">
        <is>
          <t>568 Боди с коротким рукавом для девочек</t>
        </is>
      </c>
      <c r="F562" s="2" t="inlineStr">
        <is>
          <t>всесезонный</t>
        </is>
      </c>
      <c r="G562" s="3" t="inlineStr">
        <is>
          <t>Kari baby</t>
        </is>
      </c>
      <c r="H562" s="2" t="inlineStr">
        <is>
          <t>Зиннуров Ильнур</t>
        </is>
      </c>
      <c r="J562" s="3" t="inlineStr">
        <is>
          <t>2026SS</t>
        </is>
      </c>
      <c r="K562" s="3" t="n">
        <v>4437</v>
      </c>
      <c r="L562" s="3" t="n">
        <v>1072</v>
      </c>
      <c r="M562" s="3" t="n">
        <v>66</v>
      </c>
      <c r="N562" s="4">
        <f>IFERROR(L562/K562,0)</f>
        <v/>
      </c>
      <c r="O562" s="4">
        <f>IFERROR(M562/L562,0)</f>
        <v/>
      </c>
      <c r="P562" t="n">
        <v>0</v>
      </c>
      <c r="Q562" s="5" t="n">
        <v>1</v>
      </c>
      <c r="R562" s="7" t="n">
        <v>0</v>
      </c>
      <c r="S562" t="inlineStr">
        <is>
          <t>Мало остатка</t>
        </is>
      </c>
      <c r="T562">
        <f>IF(N562&lt;$T$1*0.5,"Низшая четверть",IF(N562&lt;$T$1,"Вторая четверть","Больше половины"))</f>
        <v/>
      </c>
      <c r="U562">
        <f>IF(O562&lt;$U$1*0.5,"Низшая четверть",IF(O562&lt;$U$1,"Вторая четверть","Больше половины"))</f>
        <v/>
      </c>
      <c r="V562">
        <f>IF(OR(N562&lt;SUMIFS(L:L,R:R,1,E:E,E562)/SUMIFS(K:K,R:R,1,E:E,E562)*0.5,O562&lt;SUMIFS(M:M,R:R,1,E:E,E562)/SUMIFS(L:L,R:R,1,E:E,E562)*0.5),"код для проверки","нормальный код")</f>
        <v/>
      </c>
      <c r="W562">
        <f>IF(N562&lt;SUMIFS(L:L,R:R,1,E:E,E562)/SUMIFS(K:K,R:R,1,E:E,E562)*0.5,"Низшая четверть",IF(N562&lt;SUMIFS(L:L,R:R,1,E:E,E562)/SUMIFS(K:K,R:R,1,E:E,E562),"Вторая четверть","Больше половины"))</f>
        <v/>
      </c>
      <c r="X562">
        <f>IF(O562&lt;SUMIFS(M:M,R:R,1,E:E,E562)/SUMIFS(L:L,R:R,1,E:E,E562)*0.5,"Низшая четверть",IF(O562&lt;SUMIFS(M:M,R:R,1,E:E,E562)/SUMIFS(L:L,R:R,1,E:E,E562),"Вторая четверть","Больше половины"))</f>
        <v/>
      </c>
      <c r="Y562" t="n">
        <v>11</v>
      </c>
    </row>
    <row r="563">
      <c r="A563" s="1" t="inlineStr">
        <is>
          <t>23100060</t>
        </is>
      </c>
      <c r="B563" s="2" t="inlineStr">
        <is>
          <t>694287444</t>
        </is>
      </c>
      <c r="C563" s="3" t="inlineStr">
        <is>
          <t>Одежда для детей</t>
        </is>
      </c>
      <c r="D563" s="2" t="inlineStr">
        <is>
          <t>Нижнее белье детское для девочек</t>
        </is>
      </c>
      <c r="E563" s="3" t="inlineStr">
        <is>
          <t>231 Пижама детская для девочек</t>
        </is>
      </c>
      <c r="F563" s="2" t="inlineStr">
        <is>
          <t>всесезонный</t>
        </is>
      </c>
      <c r="G563" s="3" t="inlineStr">
        <is>
          <t>Kari KIDS</t>
        </is>
      </c>
      <c r="H563" s="2" t="inlineStr">
        <is>
          <t>Зиннуров Ильнур</t>
        </is>
      </c>
      <c r="J563" s="3" t="inlineStr">
        <is>
          <t>2026SS</t>
        </is>
      </c>
      <c r="K563" s="3" t="n">
        <v>4426</v>
      </c>
      <c r="L563" s="3" t="n">
        <v>389</v>
      </c>
      <c r="M563" s="3" t="n">
        <v>7</v>
      </c>
      <c r="N563" s="4">
        <f>IFERROR(L563/K563,0)</f>
        <v/>
      </c>
      <c r="O563" s="4">
        <f>IFERROR(M563/L563,0)</f>
        <v/>
      </c>
      <c r="P563" t="n">
        <v>266</v>
      </c>
      <c r="Q563" s="5" t="n">
        <v>1</v>
      </c>
      <c r="R563" s="7" t="n">
        <v>1</v>
      </c>
      <c r="S563">
        <f>IF(OR(N563&lt;$T$1*0.5,O563&lt;$U$1*0.5),"код для проверки","нормальный код")</f>
        <v/>
      </c>
      <c r="T563">
        <f>IF(N563&lt;$T$1*0.5,"Низшая четверть",IF(N563&lt;$T$1,"Вторая четверть","Больше половины"))</f>
        <v/>
      </c>
      <c r="U563">
        <f>IF(O563&lt;$U$1*0.5,"Низшая четверть",IF(O563&lt;$U$1,"Вторая четверть","Больше половины"))</f>
        <v/>
      </c>
      <c r="V563">
        <f>IF(OR(N563&lt;SUMIFS(L:L,R:R,1,E:E,E563)/SUMIFS(K:K,R:R,1,E:E,E563)*0.5,O563&lt;SUMIFS(M:M,R:R,1,E:E,E563)/SUMIFS(L:L,R:R,1,E:E,E563)*0.5),"код для проверки","нормальный код")</f>
        <v/>
      </c>
      <c r="W563">
        <f>IF(N563&lt;SUMIFS(L:L,R:R,1,E:E,E563)/SUMIFS(K:K,R:R,1,E:E,E563)*0.5,"Низшая четверть",IF(N563&lt;SUMIFS(L:L,R:R,1,E:E,E563)/SUMIFS(K:K,R:R,1,E:E,E563),"Вторая четверть","Больше половины"))</f>
        <v/>
      </c>
      <c r="X563">
        <f>IF(O563&lt;SUMIFS(M:M,R:R,1,E:E,E563)/SUMIFS(L:L,R:R,1,E:E,E563)*0.5,"Низшая четверть",IF(O563&lt;SUMIFS(M:M,R:R,1,E:E,E563)/SUMIFS(L:L,R:R,1,E:E,E563),"Вторая четверть","Больше половины"))</f>
        <v/>
      </c>
      <c r="Y563" t="n">
        <v>28</v>
      </c>
    </row>
    <row r="564">
      <c r="A564" s="1" t="inlineStr">
        <is>
          <t>57200000</t>
        </is>
      </c>
      <c r="B564" s="2" t="inlineStr">
        <is>
          <t>775959523</t>
        </is>
      </c>
      <c r="C564" s="3" t="inlineStr">
        <is>
          <t>Одежда для детей</t>
        </is>
      </c>
      <c r="D564" s="2" t="inlineStr">
        <is>
          <t>Одежда для новорожденных</t>
        </is>
      </c>
      <c r="E564" s="3" t="inlineStr">
        <is>
          <t>572 Ползунки для девочки</t>
        </is>
      </c>
      <c r="F564" s="2" t="inlineStr">
        <is>
          <t>всесезонный</t>
        </is>
      </c>
      <c r="G564" s="3" t="inlineStr">
        <is>
          <t>Kari baby</t>
        </is>
      </c>
      <c r="H564" s="2" t="inlineStr">
        <is>
          <t>Зиннуров Ильнур</t>
        </is>
      </c>
      <c r="J564" s="3" t="inlineStr">
        <is>
          <t>2026SS</t>
        </is>
      </c>
      <c r="K564" s="3" t="n">
        <v>4397</v>
      </c>
      <c r="L564" s="3" t="n">
        <v>277</v>
      </c>
      <c r="M564" s="3" t="n">
        <v>9</v>
      </c>
      <c r="N564" s="4">
        <f>IFERROR(L564/K564,0)</f>
        <v/>
      </c>
      <c r="O564" s="4">
        <f>IFERROR(M564/L564,0)</f>
        <v/>
      </c>
      <c r="P564" t="n">
        <v>443</v>
      </c>
      <c r="Q564" s="5" t="n">
        <v>1</v>
      </c>
      <c r="R564" s="7" t="n">
        <v>1</v>
      </c>
      <c r="S564">
        <f>IF(OR(N564&lt;$T$1*0.5,O564&lt;$U$1*0.5),"код для проверки","нормальный код")</f>
        <v/>
      </c>
      <c r="T564">
        <f>IF(N564&lt;$T$1*0.5,"Низшая четверть",IF(N564&lt;$T$1,"Вторая четверть","Больше половины"))</f>
        <v/>
      </c>
      <c r="U564">
        <f>IF(O564&lt;$U$1*0.5,"Низшая четверть",IF(O564&lt;$U$1,"Вторая четверть","Больше половины"))</f>
        <v/>
      </c>
      <c r="V564">
        <f>IF(OR(N564&lt;SUMIFS(L:L,R:R,1,E:E,E564)/SUMIFS(K:K,R:R,1,E:E,E564)*0.5,O564&lt;SUMIFS(M:M,R:R,1,E:E,E564)/SUMIFS(L:L,R:R,1,E:E,E564)*0.5),"код для проверки","нормальный код")</f>
        <v/>
      </c>
      <c r="W564">
        <f>IF(N564&lt;SUMIFS(L:L,R:R,1,E:E,E564)/SUMIFS(K:K,R:R,1,E:E,E564)*0.5,"Низшая четверть",IF(N564&lt;SUMIFS(L:L,R:R,1,E:E,E564)/SUMIFS(K:K,R:R,1,E:E,E564),"Вторая четверть","Больше половины"))</f>
        <v/>
      </c>
      <c r="X564">
        <f>IF(O564&lt;SUMIFS(M:M,R:R,1,E:E,E564)/SUMIFS(L:L,R:R,1,E:E,E564)*0.5,"Низшая четверть",IF(O564&lt;SUMIFS(M:M,R:R,1,E:E,E564)/SUMIFS(L:L,R:R,1,E:E,E564),"Вторая четверть","Больше половины"))</f>
        <v/>
      </c>
      <c r="Y564" t="n">
        <v>14</v>
      </c>
    </row>
    <row r="565">
      <c r="A565" s="1" t="inlineStr">
        <is>
          <t>53600300</t>
        </is>
      </c>
      <c r="B565" s="2" t="inlineStr">
        <is>
          <t>879308893</t>
        </is>
      </c>
      <c r="C565" s="3" t="inlineStr">
        <is>
          <t>Одежда для детей</t>
        </is>
      </c>
      <c r="D565" s="2" t="inlineStr">
        <is>
          <t>Платья, майки, футболки детские для девочек</t>
        </is>
      </c>
      <c r="E565" s="3" t="inlineStr">
        <is>
          <t>536 Платье летнее детское</t>
        </is>
      </c>
      <c r="F565" s="2" t="inlineStr">
        <is>
          <t>лето</t>
        </is>
      </c>
      <c r="G565" s="3" t="inlineStr">
        <is>
          <t>kari</t>
        </is>
      </c>
      <c r="H565" s="2" t="inlineStr">
        <is>
          <t>Зиннуров Ильнур</t>
        </is>
      </c>
      <c r="J565" s="3" t="inlineStr">
        <is>
          <t>2026SS</t>
        </is>
      </c>
      <c r="K565" s="3" t="n">
        <v>4387</v>
      </c>
      <c r="L565" s="3" t="n">
        <v>248</v>
      </c>
      <c r="M565" s="3" t="n">
        <v>5</v>
      </c>
      <c r="N565" s="4">
        <f>IFERROR(L565/K565,0)</f>
        <v/>
      </c>
      <c r="O565" s="4">
        <f>IFERROR(M565/L565,0)</f>
        <v/>
      </c>
      <c r="P565" t="n">
        <v>366</v>
      </c>
      <c r="Q565" s="5" t="n">
        <v>1</v>
      </c>
      <c r="R565" s="7" t="n">
        <v>1</v>
      </c>
      <c r="S565">
        <f>IF(OR(N565&lt;$T$1*0.5,O565&lt;$U$1*0.5),"код для проверки","нормальный код")</f>
        <v/>
      </c>
      <c r="T565">
        <f>IF(N565&lt;$T$1*0.5,"Низшая четверть",IF(N565&lt;$T$1,"Вторая четверть","Больше половины"))</f>
        <v/>
      </c>
      <c r="U565">
        <f>IF(O565&lt;$U$1*0.5,"Низшая четверть",IF(O565&lt;$U$1,"Вторая четверть","Больше половины"))</f>
        <v/>
      </c>
      <c r="V565">
        <f>IF(OR(N565&lt;SUMIFS(L:L,R:R,1,E:E,E565)/SUMIFS(K:K,R:R,1,E:E,E565)*0.5,O565&lt;SUMIFS(M:M,R:R,1,E:E,E565)/SUMIFS(L:L,R:R,1,E:E,E565)*0.5),"код для проверки","нормальный код")</f>
        <v/>
      </c>
      <c r="W565">
        <f>IF(N565&lt;SUMIFS(L:L,R:R,1,E:E,E565)/SUMIFS(K:K,R:R,1,E:E,E565)*0.5,"Низшая четверть",IF(N565&lt;SUMIFS(L:L,R:R,1,E:E,E565)/SUMIFS(K:K,R:R,1,E:E,E565),"Вторая четверть","Больше половины"))</f>
        <v/>
      </c>
      <c r="X565">
        <f>IF(O565&lt;SUMIFS(M:M,R:R,1,E:E,E565)/SUMIFS(L:L,R:R,1,E:E,E565)*0.5,"Низшая четверть",IF(O565&lt;SUMIFS(M:M,R:R,1,E:E,E565)/SUMIFS(L:L,R:R,1,E:E,E565),"Вторая четверть","Больше половины"))</f>
        <v/>
      </c>
      <c r="Y565" t="n">
        <v>8</v>
      </c>
    </row>
    <row r="566">
      <c r="A566" s="1" t="inlineStr">
        <is>
          <t>y5000020</t>
        </is>
      </c>
      <c r="B566" s="2" t="inlineStr">
        <is>
          <t>709528465</t>
        </is>
      </c>
      <c r="C566" s="3" t="inlineStr">
        <is>
          <t>Одежда для детей</t>
        </is>
      </c>
      <c r="D566" s="2" t="inlineStr">
        <is>
          <t>Спортивная детская одежда для мальчиков</t>
        </is>
      </c>
      <c r="E566" s="3" t="inlineStr">
        <is>
          <t>y50 Комплект летней одежды для мальчиков</t>
        </is>
      </c>
      <c r="F566" s="2" t="inlineStr">
        <is>
          <t>весна, лето</t>
        </is>
      </c>
      <c r="G566" s="3" t="inlineStr">
        <is>
          <t>Kari KIDS</t>
        </is>
      </c>
      <c r="H566" s="2" t="inlineStr">
        <is>
          <t>Зиннуров Ильнур</t>
        </is>
      </c>
      <c r="J566" s="3" t="inlineStr">
        <is>
          <t>2026SS</t>
        </is>
      </c>
      <c r="K566" s="3" t="n">
        <v>4357</v>
      </c>
      <c r="L566" s="3" t="n">
        <v>343</v>
      </c>
      <c r="M566" s="3" t="n">
        <v>11</v>
      </c>
      <c r="N566" s="4">
        <f>IFERROR(L566/K566,0)</f>
        <v/>
      </c>
      <c r="O566" s="4">
        <f>IFERROR(M566/L566,0)</f>
        <v/>
      </c>
      <c r="P566" t="n">
        <v>632</v>
      </c>
      <c r="Q566" s="5" t="n">
        <v>1</v>
      </c>
      <c r="R566" s="7" t="n">
        <v>1</v>
      </c>
      <c r="S566">
        <f>IF(OR(N566&lt;$T$1*0.5,O566&lt;$U$1*0.5),"код для проверки","нормальный код")</f>
        <v/>
      </c>
      <c r="T566">
        <f>IF(N566&lt;$T$1*0.5,"Низшая четверть",IF(N566&lt;$T$1,"Вторая четверть","Больше половины"))</f>
        <v/>
      </c>
      <c r="U566">
        <f>IF(O566&lt;$U$1*0.5,"Низшая четверть",IF(O566&lt;$U$1,"Вторая четверть","Больше половины"))</f>
        <v/>
      </c>
      <c r="V566">
        <f>IF(OR(N566&lt;SUMIFS(L:L,R:R,1,E:E,E566)/SUMIFS(K:K,R:R,1,E:E,E566)*0.5,O566&lt;SUMIFS(M:M,R:R,1,E:E,E566)/SUMIFS(L:L,R:R,1,E:E,E566)*0.5),"код для проверки","нормальный код")</f>
        <v/>
      </c>
      <c r="W566">
        <f>IF(N566&lt;SUMIFS(L:L,R:R,1,E:E,E566)/SUMIFS(K:K,R:R,1,E:E,E566)*0.5,"Низшая четверть",IF(N566&lt;SUMIFS(L:L,R:R,1,E:E,E566)/SUMIFS(K:K,R:R,1,E:E,E566),"Вторая четверть","Больше половины"))</f>
        <v/>
      </c>
      <c r="X566">
        <f>IF(O566&lt;SUMIFS(M:M,R:R,1,E:E,E566)/SUMIFS(L:L,R:R,1,E:E,E566)*0.5,"Низшая четверть",IF(O566&lt;SUMIFS(M:M,R:R,1,E:E,E566)/SUMIFS(L:L,R:R,1,E:E,E566),"Вторая четверть","Больше половины"))</f>
        <v/>
      </c>
      <c r="Y566" t="n">
        <v>13</v>
      </c>
    </row>
    <row r="567">
      <c r="A567" s="1" t="inlineStr">
        <is>
          <t>88300200</t>
        </is>
      </c>
      <c r="B567" s="2" t="inlineStr">
        <is>
          <t>714592560</t>
        </is>
      </c>
      <c r="C567" s="3" t="inlineStr">
        <is>
          <t>Одежда для детей</t>
        </is>
      </c>
      <c r="D567" s="2" t="inlineStr">
        <is>
          <t>Платья, майки, футболки детские для девочек</t>
        </is>
      </c>
      <c r="E567" s="3" t="inlineStr">
        <is>
          <t>883 Футболка длинный рукав детская для девочек</t>
        </is>
      </c>
      <c r="F567" s="2" t="inlineStr">
        <is>
          <t>всесезонный</t>
        </is>
      </c>
      <c r="G567" s="3" t="inlineStr">
        <is>
          <t>kari</t>
        </is>
      </c>
      <c r="H567" s="2" t="inlineStr">
        <is>
          <t>Зиннуров Ильнур</t>
        </is>
      </c>
      <c r="J567" s="3" t="inlineStr">
        <is>
          <t>2026SS</t>
        </is>
      </c>
      <c r="K567" s="3" t="n">
        <v>4331</v>
      </c>
      <c r="L567" s="3" t="n">
        <v>525</v>
      </c>
      <c r="M567" s="3" t="n">
        <v>6</v>
      </c>
      <c r="N567" s="4">
        <f>IFERROR(L567/K567,0)</f>
        <v/>
      </c>
      <c r="O567" s="4">
        <f>IFERROR(M567/L567,0)</f>
        <v/>
      </c>
      <c r="P567" t="n">
        <v>274</v>
      </c>
      <c r="Q567" s="5" t="n">
        <v>1</v>
      </c>
      <c r="R567" s="7" t="n">
        <v>1</v>
      </c>
      <c r="S567">
        <f>IF(OR(N567&lt;$T$1*0.5,O567&lt;$U$1*0.5),"код для проверки","нормальный код")</f>
        <v/>
      </c>
      <c r="T567">
        <f>IF(N567&lt;$T$1*0.5,"Низшая четверть",IF(N567&lt;$T$1,"Вторая четверть","Больше половины"))</f>
        <v/>
      </c>
      <c r="U567">
        <f>IF(O567&lt;$U$1*0.5,"Низшая четверть",IF(O567&lt;$U$1,"Вторая четверть","Больше половины"))</f>
        <v/>
      </c>
      <c r="V567">
        <f>IF(OR(N567&lt;SUMIFS(L:L,R:R,1,E:E,E567)/SUMIFS(K:K,R:R,1,E:E,E567)*0.5,O567&lt;SUMIFS(M:M,R:R,1,E:E,E567)/SUMIFS(L:L,R:R,1,E:E,E567)*0.5),"код для проверки","нормальный код")</f>
        <v/>
      </c>
      <c r="W567">
        <f>IF(N567&lt;SUMIFS(L:L,R:R,1,E:E,E567)/SUMIFS(K:K,R:R,1,E:E,E567)*0.5,"Низшая четверть",IF(N567&lt;SUMIFS(L:L,R:R,1,E:E,E567)/SUMIFS(K:K,R:R,1,E:E,E567),"Вторая четверть","Больше половины"))</f>
        <v/>
      </c>
      <c r="X567">
        <f>IF(O567&lt;SUMIFS(M:M,R:R,1,E:E,E567)/SUMIFS(L:L,R:R,1,E:E,E567)*0.5,"Низшая четверть",IF(O567&lt;SUMIFS(M:M,R:R,1,E:E,E567)/SUMIFS(L:L,R:R,1,E:E,E567),"Вторая четверть","Больше половины"))</f>
        <v/>
      </c>
      <c r="Y567" t="n">
        <v>22</v>
      </c>
    </row>
    <row r="568">
      <c r="A568" s="1" t="inlineStr">
        <is>
          <t>a8900030</t>
        </is>
      </c>
      <c r="B568" s="2" t="inlineStr">
        <is>
          <t>711885752</t>
        </is>
      </c>
      <c r="C568" s="3" t="inlineStr">
        <is>
          <t>Одежда для детей</t>
        </is>
      </c>
      <c r="D568" s="2" t="inlineStr">
        <is>
          <t>Свитера детские для девочек</t>
        </is>
      </c>
      <c r="E568" s="3" t="inlineStr">
        <is>
          <t>a89 Свитшот для девочки</t>
        </is>
      </c>
      <c r="F568" s="2" t="inlineStr">
        <is>
          <t>весна, лето, осень</t>
        </is>
      </c>
      <c r="G568" s="3" t="inlineStr">
        <is>
          <t>Kari KIDS</t>
        </is>
      </c>
      <c r="H568" s="2" t="inlineStr">
        <is>
          <t>Зиннуров Ильнур</t>
        </is>
      </c>
      <c r="J568" s="3" t="inlineStr">
        <is>
          <t>2026SS</t>
        </is>
      </c>
      <c r="K568" s="3" t="n">
        <v>4329</v>
      </c>
      <c r="L568" s="3" t="n">
        <v>320</v>
      </c>
      <c r="M568" s="3" t="n">
        <v>3</v>
      </c>
      <c r="N568" s="4">
        <f>IFERROR(L568/K568,0)</f>
        <v/>
      </c>
      <c r="O568" s="4">
        <f>IFERROR(M568/L568,0)</f>
        <v/>
      </c>
      <c r="P568" t="n">
        <v>257</v>
      </c>
      <c r="Q568" s="5" t="n">
        <v>0.8</v>
      </c>
      <c r="R568" s="7" t="n">
        <v>1</v>
      </c>
      <c r="S568">
        <f>IF(OR(N568&lt;$T$1*0.5,O568&lt;$U$1*0.5),"код для проверки","нормальный код")</f>
        <v/>
      </c>
      <c r="T568">
        <f>IF(N568&lt;$T$1*0.5,"Низшая четверть",IF(N568&lt;$T$1,"Вторая четверть","Больше половины"))</f>
        <v/>
      </c>
      <c r="U568">
        <f>IF(O568&lt;$U$1*0.5,"Низшая четверть",IF(O568&lt;$U$1,"Вторая четверть","Больше половины"))</f>
        <v/>
      </c>
      <c r="V568">
        <f>IF(OR(N568&lt;SUMIFS(L:L,R:R,1,E:E,E568)/SUMIFS(K:K,R:R,1,E:E,E568)*0.5,O568&lt;SUMIFS(M:M,R:R,1,E:E,E568)/SUMIFS(L:L,R:R,1,E:E,E568)*0.5),"код для проверки","нормальный код")</f>
        <v/>
      </c>
      <c r="W568">
        <f>IF(N568&lt;SUMIFS(L:L,R:R,1,E:E,E568)/SUMIFS(K:K,R:R,1,E:E,E568)*0.5,"Низшая четверть",IF(N568&lt;SUMIFS(L:L,R:R,1,E:E,E568)/SUMIFS(K:K,R:R,1,E:E,E568),"Вторая четверть","Больше половины"))</f>
        <v/>
      </c>
      <c r="X568">
        <f>IF(O568&lt;SUMIFS(M:M,R:R,1,E:E,E568)/SUMIFS(L:L,R:R,1,E:E,E568)*0.5,"Низшая четверть",IF(O568&lt;SUMIFS(M:M,R:R,1,E:E,E568)/SUMIFS(L:L,R:R,1,E:E,E568),"Вторая четверть","Больше половины"))</f>
        <v/>
      </c>
      <c r="Y568" t="n">
        <v>19</v>
      </c>
    </row>
    <row r="569">
      <c r="A569" s="1" t="inlineStr">
        <is>
          <t>y9708090</t>
        </is>
      </c>
      <c r="B569" s="2" t="inlineStr">
        <is>
          <t>373110981</t>
        </is>
      </c>
      <c r="C569" s="3" t="inlineStr">
        <is>
          <t>Одежда и аксессуары</t>
        </is>
      </c>
      <c r="D569" s="2" t="inlineStr">
        <is>
          <t>Спортивная одежда для мужчин</t>
        </is>
      </c>
      <c r="E569" s="3" t="inlineStr">
        <is>
          <t>y97 Футболка мужская</t>
        </is>
      </c>
      <c r="F569" s="2" t="inlineStr">
        <is>
          <t>всесезонный</t>
        </is>
      </c>
      <c r="G569" s="3" t="inlineStr">
        <is>
          <t>kari</t>
        </is>
      </c>
      <c r="H569" s="2" t="inlineStr">
        <is>
          <t>Зиннуров Ильнур</t>
        </is>
      </c>
      <c r="J569" s="3" t="inlineStr">
        <is>
          <t>2026SS</t>
        </is>
      </c>
      <c r="K569" s="3" t="n">
        <v>4320</v>
      </c>
      <c r="L569" s="3" t="n">
        <v>365</v>
      </c>
      <c r="M569" s="3" t="n">
        <v>10</v>
      </c>
      <c r="N569" s="4">
        <f>IFERROR(L569/K569,0)</f>
        <v/>
      </c>
      <c r="O569" s="4">
        <f>IFERROR(M569/L569,0)</f>
        <v/>
      </c>
      <c r="P569" t="n">
        <v>508</v>
      </c>
      <c r="Q569" s="5" t="n">
        <v>1</v>
      </c>
      <c r="R569" s="7" t="n">
        <v>1</v>
      </c>
      <c r="S569">
        <f>IF(OR(N569&lt;$T$1*0.5,O569&lt;$U$1*0.5),"код для проверки","нормальный код")</f>
        <v/>
      </c>
      <c r="T569">
        <f>IF(N569&lt;$T$1*0.5,"Низшая четверть",IF(N569&lt;$T$1,"Вторая четверть","Больше половины"))</f>
        <v/>
      </c>
      <c r="U569">
        <f>IF(O569&lt;$U$1*0.5,"Низшая четверть",IF(O569&lt;$U$1,"Вторая четверть","Больше половины"))</f>
        <v/>
      </c>
      <c r="V569">
        <f>IF(OR(N569&lt;SUMIFS(L:L,R:R,1,E:E,E569)/SUMIFS(K:K,R:R,1,E:E,E569)*0.5,O569&lt;SUMIFS(M:M,R:R,1,E:E,E569)/SUMIFS(L:L,R:R,1,E:E,E569)*0.5),"код для проверки","нормальный код")</f>
        <v/>
      </c>
      <c r="W569">
        <f>IF(N569&lt;SUMIFS(L:L,R:R,1,E:E,E569)/SUMIFS(K:K,R:R,1,E:E,E569)*0.5,"Низшая четверть",IF(N569&lt;SUMIFS(L:L,R:R,1,E:E,E569)/SUMIFS(K:K,R:R,1,E:E,E569),"Вторая четверть","Больше половины"))</f>
        <v/>
      </c>
      <c r="X569">
        <f>IF(O569&lt;SUMIFS(M:M,R:R,1,E:E,E569)/SUMIFS(L:L,R:R,1,E:E,E569)*0.5,"Низшая четверть",IF(O569&lt;SUMIFS(M:M,R:R,1,E:E,E569)/SUMIFS(L:L,R:R,1,E:E,E569),"Вторая четверть","Больше половины"))</f>
        <v/>
      </c>
      <c r="Y569" t="n">
        <v>9</v>
      </c>
    </row>
    <row r="570">
      <c r="A570" s="1" t="inlineStr">
        <is>
          <t>29900200</t>
        </is>
      </c>
      <c r="B570" s="2" t="inlineStr">
        <is>
          <t>765996668</t>
        </is>
      </c>
      <c r="C570" s="3" t="inlineStr">
        <is>
          <t>Одежда для детей</t>
        </is>
      </c>
      <c r="D570" s="2" t="inlineStr">
        <is>
          <t>Платья, майки, футболки детские для девочек</t>
        </is>
      </c>
      <c r="E570" s="3" t="inlineStr">
        <is>
          <t>299 Платье длинный рукав детское для девочек</t>
        </is>
      </c>
      <c r="F570" s="2" t="inlineStr">
        <is>
          <t>весна, осень, зима</t>
        </is>
      </c>
      <c r="G570" s="3" t="inlineStr">
        <is>
          <t>kari</t>
        </is>
      </c>
      <c r="H570" s="2" t="inlineStr">
        <is>
          <t>Зиннуров Ильнур</t>
        </is>
      </c>
      <c r="J570" s="3" t="inlineStr">
        <is>
          <t>2026SS</t>
        </is>
      </c>
      <c r="K570" s="3" t="n">
        <v>4285</v>
      </c>
      <c r="L570" s="3" t="n">
        <v>97</v>
      </c>
      <c r="M570" s="3" t="n">
        <v>1</v>
      </c>
      <c r="N570" s="4">
        <f>IFERROR(L570/K570,0)</f>
        <v/>
      </c>
      <c r="O570" s="4">
        <f>IFERROR(M570/L570,0)</f>
        <v/>
      </c>
      <c r="P570" t="n">
        <v>354</v>
      </c>
      <c r="Q570" s="5" t="n">
        <v>1</v>
      </c>
      <c r="R570" s="7" t="n">
        <v>1</v>
      </c>
      <c r="S570">
        <f>IF(OR(N570&lt;$T$1*0.5,O570&lt;$U$1*0.5),"код для проверки","нормальный код")</f>
        <v/>
      </c>
      <c r="T570">
        <f>IF(N570&lt;$T$1*0.5,"Низшая четверть",IF(N570&lt;$T$1,"Вторая четверть","Больше половины"))</f>
        <v/>
      </c>
      <c r="U570">
        <f>IF(O570&lt;$U$1*0.5,"Низшая четверть",IF(O570&lt;$U$1,"Вторая четверть","Больше половины"))</f>
        <v/>
      </c>
      <c r="V570">
        <f>IF(OR(N570&lt;SUMIFS(L:L,R:R,1,E:E,E570)/SUMIFS(K:K,R:R,1,E:E,E570)*0.5,O570&lt;SUMIFS(M:M,R:R,1,E:E,E570)/SUMIFS(L:L,R:R,1,E:E,E570)*0.5),"код для проверки","нормальный код")</f>
        <v/>
      </c>
      <c r="W570">
        <f>IF(N570&lt;SUMIFS(L:L,R:R,1,E:E,E570)/SUMIFS(K:K,R:R,1,E:E,E570)*0.5,"Низшая четверть",IF(N570&lt;SUMIFS(L:L,R:R,1,E:E,E570)/SUMIFS(K:K,R:R,1,E:E,E570),"Вторая четверть","Больше половины"))</f>
        <v/>
      </c>
      <c r="X570">
        <f>IF(O570&lt;SUMIFS(M:M,R:R,1,E:E,E570)/SUMIFS(L:L,R:R,1,E:E,E570)*0.5,"Низшая четверть",IF(O570&lt;SUMIFS(M:M,R:R,1,E:E,E570)/SUMIFS(L:L,R:R,1,E:E,E570),"Вторая четверть","Больше половины"))</f>
        <v/>
      </c>
      <c r="Y570" t="n">
        <v>20</v>
      </c>
    </row>
    <row r="571">
      <c r="A571" s="1" t="inlineStr">
        <is>
          <t>18400190</t>
        </is>
      </c>
      <c r="B571" s="2" t="inlineStr">
        <is>
          <t>800441836</t>
        </is>
      </c>
      <c r="C571" s="3" t="inlineStr">
        <is>
          <t>Одежда и аксессуары</t>
        </is>
      </c>
      <c r="D571" s="2" t="inlineStr">
        <is>
          <t>Майки и платья женские</t>
        </is>
      </c>
      <c r="E571" s="3" t="inlineStr">
        <is>
          <t>184 Женская футболка</t>
        </is>
      </c>
      <c r="F571" s="2" t="inlineStr">
        <is>
          <t>всесезонный</t>
        </is>
      </c>
      <c r="G571" s="3" t="inlineStr">
        <is>
          <t>kari</t>
        </is>
      </c>
      <c r="H571" s="2" t="inlineStr">
        <is>
          <t>Зиннуров Ильнур</t>
        </is>
      </c>
      <c r="J571" s="3" t="inlineStr">
        <is>
          <t>2026SS</t>
        </is>
      </c>
      <c r="K571" s="3" t="n">
        <v>4260</v>
      </c>
      <c r="L571" s="3" t="n">
        <v>297</v>
      </c>
      <c r="M571" s="3" t="n">
        <v>8</v>
      </c>
      <c r="N571" s="4">
        <f>IFERROR(L571/K571,0)</f>
        <v/>
      </c>
      <c r="O571" s="4">
        <f>IFERROR(M571/L571,0)</f>
        <v/>
      </c>
      <c r="P571" t="n">
        <v>184</v>
      </c>
      <c r="Q571" s="5" t="n">
        <v>1</v>
      </c>
      <c r="R571" s="7" t="n">
        <v>1</v>
      </c>
      <c r="S571">
        <f>IF(OR(N571&lt;$T$1*0.5,O571&lt;$U$1*0.5),"код для проверки","нормальный код")</f>
        <v/>
      </c>
      <c r="T571">
        <f>IF(N571&lt;$T$1*0.5,"Низшая четверть",IF(N571&lt;$T$1,"Вторая четверть","Больше половины"))</f>
        <v/>
      </c>
      <c r="U571">
        <f>IF(O571&lt;$U$1*0.5,"Низшая четверть",IF(O571&lt;$U$1,"Вторая четверть","Больше половины"))</f>
        <v/>
      </c>
      <c r="V571">
        <f>IF(OR(N571&lt;SUMIFS(L:L,R:R,1,E:E,E571)/SUMIFS(K:K,R:R,1,E:E,E571)*0.5,O571&lt;SUMIFS(M:M,R:R,1,E:E,E571)/SUMIFS(L:L,R:R,1,E:E,E571)*0.5),"код для проверки","нормальный код")</f>
        <v/>
      </c>
      <c r="W571">
        <f>IF(N571&lt;SUMIFS(L:L,R:R,1,E:E,E571)/SUMIFS(K:K,R:R,1,E:E,E571)*0.5,"Низшая четверть",IF(N571&lt;SUMIFS(L:L,R:R,1,E:E,E571)/SUMIFS(K:K,R:R,1,E:E,E571),"Вторая четверть","Больше половины"))</f>
        <v/>
      </c>
      <c r="X571">
        <f>IF(O571&lt;SUMIFS(M:M,R:R,1,E:E,E571)/SUMIFS(L:L,R:R,1,E:E,E571)*0.5,"Низшая четверть",IF(O571&lt;SUMIFS(M:M,R:R,1,E:E,E571)/SUMIFS(L:L,R:R,1,E:E,E571),"Вторая четверть","Больше половины"))</f>
        <v/>
      </c>
      <c r="Y571" t="n">
        <v>23</v>
      </c>
    </row>
    <row r="572">
      <c r="A572" s="1" t="inlineStr">
        <is>
          <t>30900000</t>
        </is>
      </c>
      <c r="B572" s="2" t="inlineStr">
        <is>
          <t>732910129</t>
        </is>
      </c>
      <c r="C572" s="3" t="inlineStr">
        <is>
          <t>Одежда и аксессуары</t>
        </is>
      </c>
      <c r="D572" s="2" t="inlineStr">
        <is>
          <t>Брюки, шорты женские</t>
        </is>
      </c>
      <c r="E572" s="3" t="inlineStr">
        <is>
          <t>h81 Брюки летние женские</t>
        </is>
      </c>
      <c r="F572" s="2" t="inlineStr">
        <is>
          <t>лето</t>
        </is>
      </c>
      <c r="G572" s="3" t="inlineStr">
        <is>
          <t>kari</t>
        </is>
      </c>
      <c r="H572" s="2" t="n"/>
      <c r="J572" s="3" t="inlineStr">
        <is>
          <t>2026SS</t>
        </is>
      </c>
      <c r="K572" s="3" t="n">
        <v>4238</v>
      </c>
      <c r="L572" s="3" t="n">
        <v>482</v>
      </c>
      <c r="M572" s="3" t="n">
        <v>14</v>
      </c>
      <c r="N572" s="4">
        <f>IFERROR(L572/K572,0)</f>
        <v/>
      </c>
      <c r="O572" s="4">
        <f>IFERROR(M572/L572,0)</f>
        <v/>
      </c>
      <c r="P572" t="n">
        <v>813</v>
      </c>
      <c r="Q572" s="5" t="n">
        <v>1</v>
      </c>
      <c r="R572" s="7" t="n">
        <v>1</v>
      </c>
      <c r="S572">
        <f>IF(OR(N572&lt;$T$1*0.5,O572&lt;$U$1*0.5),"код для проверки","нормальный код")</f>
        <v/>
      </c>
      <c r="T572">
        <f>IF(N572&lt;$T$1*0.5,"Низшая четверть",IF(N572&lt;$T$1,"Вторая четверть","Больше половины"))</f>
        <v/>
      </c>
      <c r="U572">
        <f>IF(O572&lt;$U$1*0.5,"Низшая четверть",IF(O572&lt;$U$1,"Вторая четверть","Больше половины"))</f>
        <v/>
      </c>
      <c r="V572">
        <f>IF(OR(N572&lt;SUMIFS(L:L,R:R,1,E:E,E572)/SUMIFS(K:K,R:R,1,E:E,E572)*0.5,O572&lt;SUMIFS(M:M,R:R,1,E:E,E572)/SUMIFS(L:L,R:R,1,E:E,E572)*0.5),"код для проверки","нормальный код")</f>
        <v/>
      </c>
      <c r="W572">
        <f>IF(N572&lt;SUMIFS(L:L,R:R,1,E:E,E572)/SUMIFS(K:K,R:R,1,E:E,E572)*0.5,"Низшая четверть",IF(N572&lt;SUMIFS(L:L,R:R,1,E:E,E572)/SUMIFS(K:K,R:R,1,E:E,E572),"Вторая четверть","Больше половины"))</f>
        <v/>
      </c>
      <c r="X572">
        <f>IF(O572&lt;SUMIFS(M:M,R:R,1,E:E,E572)/SUMIFS(L:L,R:R,1,E:E,E572)*0.5,"Низшая четверть",IF(O572&lt;SUMIFS(M:M,R:R,1,E:E,E572)/SUMIFS(L:L,R:R,1,E:E,E572),"Вторая четверть","Больше половины"))</f>
        <v/>
      </c>
      <c r="Y572" t="n">
        <v>27</v>
      </c>
    </row>
    <row r="573">
      <c r="A573" s="1" t="inlineStr">
        <is>
          <t>094001T0</t>
        </is>
      </c>
      <c r="B573" s="2" t="inlineStr">
        <is>
          <t>710433322</t>
        </is>
      </c>
      <c r="C573" s="3" t="inlineStr">
        <is>
          <t>Одежда и аксессуары</t>
        </is>
      </c>
      <c r="D573" s="2" t="inlineStr">
        <is>
          <t>Купальники женские</t>
        </is>
      </c>
      <c r="E573" s="3" t="inlineStr">
        <is>
          <t>094 Купальник</t>
        </is>
      </c>
      <c r="F573" s="2" t="inlineStr">
        <is>
          <t>лето</t>
        </is>
      </c>
      <c r="G573" s="3" t="inlineStr">
        <is>
          <t>kari</t>
        </is>
      </c>
      <c r="H573" s="2" t="inlineStr">
        <is>
          <t>Никонорова Алина</t>
        </is>
      </c>
      <c r="J573" s="3" t="inlineStr">
        <is>
          <t>2026SS</t>
        </is>
      </c>
      <c r="K573" s="3" t="n">
        <v>4220</v>
      </c>
      <c r="L573" s="3" t="n">
        <v>3631</v>
      </c>
      <c r="M573" s="3" t="n">
        <v>6</v>
      </c>
      <c r="N573" s="4">
        <f>IFERROR(L573/K573,0)</f>
        <v/>
      </c>
      <c r="O573" s="4">
        <f>IFERROR(M573/L573,0)</f>
        <v/>
      </c>
      <c r="P573" t="n">
        <v>1027</v>
      </c>
      <c r="Q573" s="5" t="n">
        <v>0.5555555555555556</v>
      </c>
      <c r="R573" s="7" t="n">
        <v>1</v>
      </c>
      <c r="S573">
        <f>IF(OR(N573&lt;$T$1*0.5,O573&lt;$U$1*0.5),"код для проверки","нормальный код")</f>
        <v/>
      </c>
      <c r="T573">
        <f>IF(N573&lt;$T$1*0.5,"Низшая четверть",IF(N573&lt;$T$1,"Вторая четверть","Больше половины"))</f>
        <v/>
      </c>
      <c r="U573">
        <f>IF(O573&lt;$U$1*0.5,"Низшая четверть",IF(O573&lt;$U$1,"Вторая четверть","Больше половины"))</f>
        <v/>
      </c>
      <c r="V573">
        <f>IF(OR(N573&lt;SUMIFS(L:L,R:R,1,E:E,E573)/SUMIFS(K:K,R:R,1,E:E,E573)*0.5,O573&lt;SUMIFS(M:M,R:R,1,E:E,E573)/SUMIFS(L:L,R:R,1,E:E,E573)*0.5),"код для проверки","нормальный код")</f>
        <v/>
      </c>
      <c r="W573">
        <f>IF(N573&lt;SUMIFS(L:L,R:R,1,E:E,E573)/SUMIFS(K:K,R:R,1,E:E,E573)*0.5,"Низшая четверть",IF(N573&lt;SUMIFS(L:L,R:R,1,E:E,E573)/SUMIFS(K:K,R:R,1,E:E,E573),"Вторая четверть","Больше половины"))</f>
        <v/>
      </c>
      <c r="X573">
        <f>IF(O573&lt;SUMIFS(M:M,R:R,1,E:E,E573)/SUMIFS(L:L,R:R,1,E:E,E573)*0.5,"Низшая четверть",IF(O573&lt;SUMIFS(M:M,R:R,1,E:E,E573)/SUMIFS(L:L,R:R,1,E:E,E573),"Вторая четверть","Больше половины"))</f>
        <v/>
      </c>
      <c r="Y573" t="n">
        <v>17</v>
      </c>
    </row>
    <row r="574">
      <c r="A574" s="1" t="inlineStr">
        <is>
          <t>12200010</t>
        </is>
      </c>
      <c r="B574" s="2" t="inlineStr">
        <is>
          <t>879023476</t>
        </is>
      </c>
      <c r="C574" s="3" t="inlineStr">
        <is>
          <t>Одежда и аксессуары</t>
        </is>
      </c>
      <c r="D574" s="2" t="inlineStr">
        <is>
          <t>Чулочные и носочные изделия для женщин</t>
        </is>
      </c>
      <c r="E574" s="3" t="inlineStr">
        <is>
          <t>122 Носки эластичные женские</t>
        </is>
      </c>
      <c r="F574" s="2" t="inlineStr">
        <is>
          <t>всесезонный</t>
        </is>
      </c>
      <c r="G574" s="3" t="inlineStr">
        <is>
          <t>kari</t>
        </is>
      </c>
      <c r="H574" s="2" t="inlineStr">
        <is>
          <t>Зиннуров Ильнур</t>
        </is>
      </c>
      <c r="J574" s="3" t="inlineStr">
        <is>
          <t>2026SS</t>
        </is>
      </c>
      <c r="K574" s="3" t="n">
        <v>4196</v>
      </c>
      <c r="L574" s="3" t="n">
        <v>1350</v>
      </c>
      <c r="M574" s="3" t="n">
        <v>24</v>
      </c>
      <c r="N574" s="4">
        <f>IFERROR(L574/K574,0)</f>
        <v/>
      </c>
      <c r="O574" s="4">
        <f>IFERROR(M574/L574,0)</f>
        <v/>
      </c>
      <c r="P574" t="n">
        <v>12525</v>
      </c>
      <c r="Q574" s="5" t="n">
        <v>1</v>
      </c>
      <c r="R574" s="7" t="n">
        <v>1</v>
      </c>
      <c r="S574">
        <f>IF(OR(N574&lt;$T$1*0.5,O574&lt;$U$1*0.5),"код для проверки","нормальный код")</f>
        <v/>
      </c>
      <c r="T574">
        <f>IF(N574&lt;$T$1*0.5,"Низшая четверть",IF(N574&lt;$T$1,"Вторая четверть","Больше половины"))</f>
        <v/>
      </c>
      <c r="U574">
        <f>IF(O574&lt;$U$1*0.5,"Низшая четверть",IF(O574&lt;$U$1,"Вторая четверть","Больше половины"))</f>
        <v/>
      </c>
      <c r="V574">
        <f>IF(OR(N574&lt;SUMIFS(L:L,R:R,1,E:E,E574)/SUMIFS(K:K,R:R,1,E:E,E574)*0.5,O574&lt;SUMIFS(M:M,R:R,1,E:E,E574)/SUMIFS(L:L,R:R,1,E:E,E574)*0.5),"код для проверки","нормальный код")</f>
        <v/>
      </c>
      <c r="W574">
        <f>IF(N574&lt;SUMIFS(L:L,R:R,1,E:E,E574)/SUMIFS(K:K,R:R,1,E:E,E574)*0.5,"Низшая четверть",IF(N574&lt;SUMIFS(L:L,R:R,1,E:E,E574)/SUMIFS(K:K,R:R,1,E:E,E574),"Вторая четверть","Больше половины"))</f>
        <v/>
      </c>
      <c r="X574">
        <f>IF(O574&lt;SUMIFS(M:M,R:R,1,E:E,E574)/SUMIFS(L:L,R:R,1,E:E,E574)*0.5,"Низшая четверть",IF(O574&lt;SUMIFS(M:M,R:R,1,E:E,E574)/SUMIFS(L:L,R:R,1,E:E,E574),"Вторая четверть","Больше половины"))</f>
        <v/>
      </c>
      <c r="Y574" t="n">
        <v>5</v>
      </c>
    </row>
    <row r="575">
      <c r="A575" s="1" t="inlineStr">
        <is>
          <t>29100100</t>
        </is>
      </c>
      <c r="B575" s="2" t="inlineStr">
        <is>
          <t>710462723</t>
        </is>
      </c>
      <c r="C575" s="3" t="inlineStr">
        <is>
          <t>Одежда для детей</t>
        </is>
      </c>
      <c r="D575" s="2" t="inlineStr">
        <is>
          <t>Брюки детские для мальчиков</t>
        </is>
      </c>
      <c r="E575" s="3" t="inlineStr">
        <is>
          <t>291 Штаны детские для мальчиков</t>
        </is>
      </c>
      <c r="F575" s="2" t="inlineStr">
        <is>
          <t>всесезонный</t>
        </is>
      </c>
      <c r="G575" s="3" t="inlineStr">
        <is>
          <t>Kari KIDS</t>
        </is>
      </c>
      <c r="H575" s="2" t="inlineStr">
        <is>
          <t>Зиннуров Ильнур</t>
        </is>
      </c>
      <c r="J575" s="3" t="inlineStr">
        <is>
          <t>2026SS</t>
        </is>
      </c>
      <c r="K575" s="3" t="n">
        <v>4174</v>
      </c>
      <c r="L575" s="3" t="n">
        <v>165</v>
      </c>
      <c r="M575" s="3" t="n">
        <v>6</v>
      </c>
      <c r="N575" s="4">
        <f>IFERROR(L575/K575,0)</f>
        <v/>
      </c>
      <c r="O575" s="4">
        <f>IFERROR(M575/L575,0)</f>
        <v/>
      </c>
      <c r="P575" t="n">
        <v>360</v>
      </c>
      <c r="Q575" s="5" t="n">
        <v>1</v>
      </c>
      <c r="R575" s="7" t="n">
        <v>1</v>
      </c>
      <c r="S575">
        <f>IF(OR(N575&lt;$T$1*0.5,O575&lt;$U$1*0.5),"код для проверки","нормальный код")</f>
        <v/>
      </c>
      <c r="T575">
        <f>IF(N575&lt;$T$1*0.5,"Низшая четверть",IF(N575&lt;$T$1,"Вторая четверть","Больше половины"))</f>
        <v/>
      </c>
      <c r="U575">
        <f>IF(O575&lt;$U$1*0.5,"Низшая четверть",IF(O575&lt;$U$1,"Вторая четверть","Больше половины"))</f>
        <v/>
      </c>
      <c r="V575">
        <f>IF(OR(N575&lt;SUMIFS(L:L,R:R,1,E:E,E575)/SUMIFS(K:K,R:R,1,E:E,E575)*0.5,O575&lt;SUMIFS(M:M,R:R,1,E:E,E575)/SUMIFS(L:L,R:R,1,E:E,E575)*0.5),"код для проверки","нормальный код")</f>
        <v/>
      </c>
      <c r="W575">
        <f>IF(N575&lt;SUMIFS(L:L,R:R,1,E:E,E575)/SUMIFS(K:K,R:R,1,E:E,E575)*0.5,"Низшая четверть",IF(N575&lt;SUMIFS(L:L,R:R,1,E:E,E575)/SUMIFS(K:K,R:R,1,E:E,E575),"Вторая четверть","Больше половины"))</f>
        <v/>
      </c>
      <c r="X575">
        <f>IF(O575&lt;SUMIFS(M:M,R:R,1,E:E,E575)/SUMIFS(L:L,R:R,1,E:E,E575)*0.5,"Низшая четверть",IF(O575&lt;SUMIFS(M:M,R:R,1,E:E,E575)/SUMIFS(L:L,R:R,1,E:E,E575),"Вторая четверть","Больше половины"))</f>
        <v/>
      </c>
      <c r="Y575" t="n">
        <v>14</v>
      </c>
    </row>
    <row r="576">
      <c r="A576" s="1" t="inlineStr">
        <is>
          <t>91100070</t>
        </is>
      </c>
      <c r="B576" s="2" t="inlineStr">
        <is>
          <t>772793624</t>
        </is>
      </c>
      <c r="C576" s="3" t="inlineStr">
        <is>
          <t>Одежда для детей</t>
        </is>
      </c>
      <c r="D576" s="2" t="inlineStr">
        <is>
          <t>Одежда для новорожденных</t>
        </is>
      </c>
      <c r="E576" s="3" t="inlineStr">
        <is>
          <t>911 Джемпер для маленькой девочки</t>
        </is>
      </c>
      <c r="F576" s="2" t="inlineStr">
        <is>
          <t>всесезонный</t>
        </is>
      </c>
      <c r="G576" s="3" t="inlineStr">
        <is>
          <t>Kari baby</t>
        </is>
      </c>
      <c r="H576" s="2" t="inlineStr">
        <is>
          <t>Зиннуров Ильнур</t>
        </is>
      </c>
      <c r="J576" s="3" t="inlineStr">
        <is>
          <t>2026SS</t>
        </is>
      </c>
      <c r="K576" s="3" t="n">
        <v>4171</v>
      </c>
      <c r="L576" s="3" t="n">
        <v>367</v>
      </c>
      <c r="M576" s="3" t="n">
        <v>6</v>
      </c>
      <c r="N576" s="4">
        <f>IFERROR(L576/K576,0)</f>
        <v/>
      </c>
      <c r="O576" s="4">
        <f>IFERROR(M576/L576,0)</f>
        <v/>
      </c>
      <c r="P576" t="n">
        <v>654</v>
      </c>
      <c r="Q576" s="5" t="n">
        <v>1</v>
      </c>
      <c r="R576" s="7" t="n">
        <v>1</v>
      </c>
      <c r="S576">
        <f>IF(OR(N576&lt;$T$1*0.5,O576&lt;$U$1*0.5),"код для проверки","нормальный код")</f>
        <v/>
      </c>
      <c r="T576">
        <f>IF(N576&lt;$T$1*0.5,"Низшая четверть",IF(N576&lt;$T$1,"Вторая четверть","Больше половины"))</f>
        <v/>
      </c>
      <c r="U576">
        <f>IF(O576&lt;$U$1*0.5,"Низшая четверть",IF(O576&lt;$U$1,"Вторая четверть","Больше половины"))</f>
        <v/>
      </c>
      <c r="V576">
        <f>IF(OR(N576&lt;SUMIFS(L:L,R:R,1,E:E,E576)/SUMIFS(K:K,R:R,1,E:E,E576)*0.5,O576&lt;SUMIFS(M:M,R:R,1,E:E,E576)/SUMIFS(L:L,R:R,1,E:E,E576)*0.5),"код для проверки","нормальный код")</f>
        <v/>
      </c>
      <c r="W576">
        <f>IF(N576&lt;SUMIFS(L:L,R:R,1,E:E,E576)/SUMIFS(K:K,R:R,1,E:E,E576)*0.5,"Низшая четверть",IF(N576&lt;SUMIFS(L:L,R:R,1,E:E,E576)/SUMIFS(K:K,R:R,1,E:E,E576),"Вторая четверть","Больше половины"))</f>
        <v/>
      </c>
      <c r="X576">
        <f>IF(O576&lt;SUMIFS(M:M,R:R,1,E:E,E576)/SUMIFS(L:L,R:R,1,E:E,E576)*0.5,"Низшая четверть",IF(O576&lt;SUMIFS(M:M,R:R,1,E:E,E576)/SUMIFS(L:L,R:R,1,E:E,E576),"Вторая четверть","Больше половины"))</f>
        <v/>
      </c>
      <c r="Y576" t="n">
        <v>9</v>
      </c>
    </row>
    <row r="577">
      <c r="A577" s="1" t="inlineStr">
        <is>
          <t>094001C0</t>
        </is>
      </c>
      <c r="B577" s="2" t="inlineStr">
        <is>
          <t>710377631</t>
        </is>
      </c>
      <c r="C577" s="3" t="inlineStr">
        <is>
          <t>Одежда и аксессуары</t>
        </is>
      </c>
      <c r="D577" s="2" t="inlineStr">
        <is>
          <t>Купальники женские</t>
        </is>
      </c>
      <c r="E577" s="3" t="inlineStr">
        <is>
          <t>094 Купальник</t>
        </is>
      </c>
      <c r="F577" s="2" t="inlineStr">
        <is>
          <t>лето</t>
        </is>
      </c>
      <c r="G577" s="3" t="inlineStr">
        <is>
          <t>kari</t>
        </is>
      </c>
      <c r="H577" s="2" t="inlineStr">
        <is>
          <t>Никонорова Алина</t>
        </is>
      </c>
      <c r="J577" s="3" t="inlineStr">
        <is>
          <t>2026SS</t>
        </is>
      </c>
      <c r="K577" s="3" t="n">
        <v>4158</v>
      </c>
      <c r="L577" s="3" t="n">
        <v>10065</v>
      </c>
      <c r="M577" s="3" t="n">
        <v>21</v>
      </c>
      <c r="N577" s="4">
        <f>IFERROR(L577/K577,0)</f>
        <v/>
      </c>
      <c r="O577" s="4">
        <f>IFERROR(M577/L577,0)</f>
        <v/>
      </c>
      <c r="P577" t="n">
        <v>2203</v>
      </c>
      <c r="Q577" s="5" t="n">
        <v>0.7777777777777778</v>
      </c>
      <c r="R577" s="7" t="n">
        <v>1</v>
      </c>
      <c r="S577">
        <f>IF(OR(N577&lt;$T$1*0.5,O577&lt;$U$1*0.5),"код для проверки","нормальный код")</f>
        <v/>
      </c>
      <c r="T577">
        <f>IF(N577&lt;$T$1*0.5,"Низшая четверть",IF(N577&lt;$T$1,"Вторая четверть","Больше половины"))</f>
        <v/>
      </c>
      <c r="U577">
        <f>IF(O577&lt;$U$1*0.5,"Низшая четверть",IF(O577&lt;$U$1,"Вторая четверть","Больше половины"))</f>
        <v/>
      </c>
      <c r="V577">
        <f>IF(OR(N577&lt;SUMIFS(L:L,R:R,1,E:E,E577)/SUMIFS(K:K,R:R,1,E:E,E577)*0.5,O577&lt;SUMIFS(M:M,R:R,1,E:E,E577)/SUMIFS(L:L,R:R,1,E:E,E577)*0.5),"код для проверки","нормальный код")</f>
        <v/>
      </c>
      <c r="W577">
        <f>IF(N577&lt;SUMIFS(L:L,R:R,1,E:E,E577)/SUMIFS(K:K,R:R,1,E:E,E577)*0.5,"Низшая четверть",IF(N577&lt;SUMIFS(L:L,R:R,1,E:E,E577)/SUMIFS(K:K,R:R,1,E:E,E577),"Вторая четверть","Больше половины"))</f>
        <v/>
      </c>
      <c r="X577">
        <f>IF(O577&lt;SUMIFS(M:M,R:R,1,E:E,E577)/SUMIFS(L:L,R:R,1,E:E,E577)*0.5,"Низшая четверть",IF(O577&lt;SUMIFS(M:M,R:R,1,E:E,E577)/SUMIFS(L:L,R:R,1,E:E,E577),"Вторая четверть","Больше половины"))</f>
        <v/>
      </c>
      <c r="Y577" t="n">
        <v>17</v>
      </c>
    </row>
    <row r="578">
      <c r="A578" s="1" t="inlineStr">
        <is>
          <t>16800180</t>
        </is>
      </c>
      <c r="B578" s="2" t="inlineStr">
        <is>
          <t>766703823</t>
        </is>
      </c>
      <c r="C578" s="3" t="inlineStr">
        <is>
          <t>Одежда и аксессуары</t>
        </is>
      </c>
      <c r="D578" s="2" t="inlineStr">
        <is>
          <t>Головные уборы женские</t>
        </is>
      </c>
      <c r="E578" s="3" t="inlineStr">
        <is>
          <t>168 Шляпа женская летняя</t>
        </is>
      </c>
      <c r="F578" s="2" t="inlineStr">
        <is>
          <t>лето</t>
        </is>
      </c>
      <c r="G578" s="3" t="inlineStr">
        <is>
          <t>kari</t>
        </is>
      </c>
      <c r="H578" s="2" t="inlineStr">
        <is>
          <t>Никонорова Алина</t>
        </is>
      </c>
      <c r="J578" s="3" t="inlineStr">
        <is>
          <t>2026SS</t>
        </is>
      </c>
      <c r="K578" s="3" t="n">
        <v>4128</v>
      </c>
      <c r="L578" s="3" t="n">
        <v>708</v>
      </c>
      <c r="M578" s="3" t="n">
        <v>6</v>
      </c>
      <c r="N578" s="4">
        <f>IFERROR(L578/K578,0)</f>
        <v/>
      </c>
      <c r="O578" s="4">
        <f>IFERROR(M578/L578,0)</f>
        <v/>
      </c>
      <c r="P578" t="n">
        <v>742</v>
      </c>
      <c r="Q578" s="5" t="n">
        <v>1</v>
      </c>
      <c r="R578" s="7" t="n">
        <v>1</v>
      </c>
      <c r="S578">
        <f>IF(OR(N578&lt;$T$1*0.5,O578&lt;$U$1*0.5),"код для проверки","нормальный код")</f>
        <v/>
      </c>
      <c r="T578">
        <f>IF(N578&lt;$T$1*0.5,"Низшая четверть",IF(N578&lt;$T$1,"Вторая четверть","Больше половины"))</f>
        <v/>
      </c>
      <c r="U578">
        <f>IF(O578&lt;$U$1*0.5,"Низшая четверть",IF(O578&lt;$U$1,"Вторая четверть","Больше половины"))</f>
        <v/>
      </c>
      <c r="V578">
        <f>IF(OR(N578&lt;SUMIFS(L:L,R:R,1,E:E,E578)/SUMIFS(K:K,R:R,1,E:E,E578)*0.5,O578&lt;SUMIFS(M:M,R:R,1,E:E,E578)/SUMIFS(L:L,R:R,1,E:E,E578)*0.5),"код для проверки","нормальный код")</f>
        <v/>
      </c>
      <c r="W578">
        <f>IF(N578&lt;SUMIFS(L:L,R:R,1,E:E,E578)/SUMIFS(K:K,R:R,1,E:E,E578)*0.5,"Низшая четверть",IF(N578&lt;SUMIFS(L:L,R:R,1,E:E,E578)/SUMIFS(K:K,R:R,1,E:E,E578),"Вторая четверть","Больше половины"))</f>
        <v/>
      </c>
      <c r="X578">
        <f>IF(O578&lt;SUMIFS(M:M,R:R,1,E:E,E578)/SUMIFS(L:L,R:R,1,E:E,E578)*0.5,"Низшая четверть",IF(O578&lt;SUMIFS(M:M,R:R,1,E:E,E578)/SUMIFS(L:L,R:R,1,E:E,E578),"Вторая четверть","Больше половины"))</f>
        <v/>
      </c>
      <c r="Y578" t="n">
        <v>17</v>
      </c>
    </row>
    <row r="579">
      <c r="A579" s="1" t="inlineStr">
        <is>
          <t>a8900080</t>
        </is>
      </c>
      <c r="B579" s="2" t="inlineStr">
        <is>
          <t>711885793</t>
        </is>
      </c>
      <c r="C579" s="3" t="inlineStr">
        <is>
          <t>Одежда для детей</t>
        </is>
      </c>
      <c r="D579" s="2" t="inlineStr">
        <is>
          <t>Свитера детские для девочек</t>
        </is>
      </c>
      <c r="E579" s="3" t="inlineStr">
        <is>
          <t>a89 Свитшот для девочки</t>
        </is>
      </c>
      <c r="F579" s="2" t="inlineStr">
        <is>
          <t>весна, лето, осень</t>
        </is>
      </c>
      <c r="G579" s="3" t="inlineStr">
        <is>
          <t>kari</t>
        </is>
      </c>
      <c r="H579" s="2" t="inlineStr">
        <is>
          <t>Зиннуров Ильнур</t>
        </is>
      </c>
      <c r="J579" s="3" t="inlineStr">
        <is>
          <t>2026SS</t>
        </is>
      </c>
      <c r="K579" s="3" t="n">
        <v>4126</v>
      </c>
      <c r="L579" s="3" t="n">
        <v>213</v>
      </c>
      <c r="M579" s="3" t="n">
        <v>1</v>
      </c>
      <c r="N579" s="4">
        <f>IFERROR(L579/K579,0)</f>
        <v/>
      </c>
      <c r="O579" s="4">
        <f>IFERROR(M579/L579,0)</f>
        <v/>
      </c>
      <c r="P579" t="n">
        <v>313</v>
      </c>
      <c r="Q579" s="5" t="n">
        <v>1</v>
      </c>
      <c r="R579" s="7" t="n">
        <v>1</v>
      </c>
      <c r="S579">
        <f>IF(OR(N579&lt;$T$1*0.5,O579&lt;$U$1*0.5),"код для проверки","нормальный код")</f>
        <v/>
      </c>
      <c r="T579">
        <f>IF(N579&lt;$T$1*0.5,"Низшая четверть",IF(N579&lt;$T$1,"Вторая четверть","Больше половины"))</f>
        <v/>
      </c>
      <c r="U579">
        <f>IF(O579&lt;$U$1*0.5,"Низшая четверть",IF(O579&lt;$U$1,"Вторая четверть","Больше половины"))</f>
        <v/>
      </c>
      <c r="V579">
        <f>IF(OR(N579&lt;SUMIFS(L:L,R:R,1,E:E,E579)/SUMIFS(K:K,R:R,1,E:E,E579)*0.5,O579&lt;SUMIFS(M:M,R:R,1,E:E,E579)/SUMIFS(L:L,R:R,1,E:E,E579)*0.5),"код для проверки","нормальный код")</f>
        <v/>
      </c>
      <c r="W579">
        <f>IF(N579&lt;SUMIFS(L:L,R:R,1,E:E,E579)/SUMIFS(K:K,R:R,1,E:E,E579)*0.5,"Низшая четверть",IF(N579&lt;SUMIFS(L:L,R:R,1,E:E,E579)/SUMIFS(K:K,R:R,1,E:E,E579),"Вторая четверть","Больше половины"))</f>
        <v/>
      </c>
      <c r="X579">
        <f>IF(O579&lt;SUMIFS(M:M,R:R,1,E:E,E579)/SUMIFS(L:L,R:R,1,E:E,E579)*0.5,"Низшая четверть",IF(O579&lt;SUMIFS(M:M,R:R,1,E:E,E579)/SUMIFS(L:L,R:R,1,E:E,E579),"Вторая четверть","Больше половины"))</f>
        <v/>
      </c>
      <c r="Y579" t="n">
        <v>13</v>
      </c>
    </row>
    <row r="580">
      <c r="A580" s="1" t="inlineStr">
        <is>
          <t>a5200130</t>
        </is>
      </c>
      <c r="B580" s="2" t="inlineStr">
        <is>
          <t>850546457</t>
        </is>
      </c>
      <c r="C580" s="3" t="inlineStr">
        <is>
          <t>Одежда для детей</t>
        </is>
      </c>
      <c r="D580" s="2" t="inlineStr">
        <is>
          <t>Брюки детские для девочек</t>
        </is>
      </c>
      <c r="E580" s="3" t="inlineStr">
        <is>
          <t>a52 Брюки летние для девочек</t>
        </is>
      </c>
      <c r="F580" s="2" t="inlineStr">
        <is>
          <t>весна, лето</t>
        </is>
      </c>
      <c r="G580" s="3" t="inlineStr">
        <is>
          <t>kari</t>
        </is>
      </c>
      <c r="H580" s="2" t="inlineStr">
        <is>
          <t>Зиннуров Ильнур</t>
        </is>
      </c>
      <c r="J580" s="3" t="inlineStr">
        <is>
          <t>2026SS</t>
        </is>
      </c>
      <c r="K580" s="3" t="n">
        <v>4110</v>
      </c>
      <c r="L580" s="3" t="n">
        <v>261</v>
      </c>
      <c r="M580" s="3" t="n">
        <v>24</v>
      </c>
      <c r="N580" s="4">
        <f>IFERROR(L580/K580,0)</f>
        <v/>
      </c>
      <c r="O580" s="4">
        <f>IFERROR(M580/L580,0)</f>
        <v/>
      </c>
      <c r="P580" t="n">
        <v>604</v>
      </c>
      <c r="Q580" s="5" t="n">
        <v>1</v>
      </c>
      <c r="R580" s="7" t="n">
        <v>1</v>
      </c>
      <c r="S580">
        <f>IF(OR(N580&lt;$T$1*0.5,O580&lt;$U$1*0.5),"код для проверки","нормальный код")</f>
        <v/>
      </c>
      <c r="T580">
        <f>IF(N580&lt;$T$1*0.5,"Низшая четверть",IF(N580&lt;$T$1,"Вторая четверть","Больше половины"))</f>
        <v/>
      </c>
      <c r="U580">
        <f>IF(O580&lt;$U$1*0.5,"Низшая четверть",IF(O580&lt;$U$1,"Вторая четверть","Больше половины"))</f>
        <v/>
      </c>
      <c r="V580">
        <f>IF(OR(N580&lt;SUMIFS(L:L,R:R,1,E:E,E580)/SUMIFS(K:K,R:R,1,E:E,E580)*0.5,O580&lt;SUMIFS(M:M,R:R,1,E:E,E580)/SUMIFS(L:L,R:R,1,E:E,E580)*0.5),"код для проверки","нормальный код")</f>
        <v/>
      </c>
      <c r="W580">
        <f>IF(N580&lt;SUMIFS(L:L,R:R,1,E:E,E580)/SUMIFS(K:K,R:R,1,E:E,E580)*0.5,"Низшая четверть",IF(N580&lt;SUMIFS(L:L,R:R,1,E:E,E580)/SUMIFS(K:K,R:R,1,E:E,E580),"Вторая четверть","Больше половины"))</f>
        <v/>
      </c>
      <c r="X580">
        <f>IF(O580&lt;SUMIFS(M:M,R:R,1,E:E,E580)/SUMIFS(L:L,R:R,1,E:E,E580)*0.5,"Низшая четверть",IF(O580&lt;SUMIFS(M:M,R:R,1,E:E,E580)/SUMIFS(L:L,R:R,1,E:E,E580),"Вторая четверть","Больше половины"))</f>
        <v/>
      </c>
      <c r="Y580" t="n">
        <v>18</v>
      </c>
    </row>
    <row r="581">
      <c r="A581" s="1" t="inlineStr">
        <is>
          <t>20100300</t>
        </is>
      </c>
      <c r="B581" s="2" t="inlineStr">
        <is>
          <t>820479777</t>
        </is>
      </c>
      <c r="C581" s="3" t="inlineStr">
        <is>
          <t>Одежда для детей</t>
        </is>
      </c>
      <c r="D581" s="2" t="inlineStr">
        <is>
          <t>Головные детские уборы для девочек</t>
        </is>
      </c>
      <c r="E581" s="3" t="inlineStr">
        <is>
          <t>201 Бейсболка детская для девочек</t>
        </is>
      </c>
      <c r="F581" s="2" t="inlineStr">
        <is>
          <t>весна, лето</t>
        </is>
      </c>
      <c r="G581" s="3" t="inlineStr">
        <is>
          <t>kari</t>
        </is>
      </c>
      <c r="H581" s="2" t="inlineStr">
        <is>
          <t>Никонорова Алина</t>
        </is>
      </c>
      <c r="J581" s="3" t="inlineStr">
        <is>
          <t>2026SS</t>
        </is>
      </c>
      <c r="K581" s="3" t="n">
        <v>4098</v>
      </c>
      <c r="L581" s="3" t="n">
        <v>578</v>
      </c>
      <c r="M581" s="3" t="n">
        <v>11</v>
      </c>
      <c r="N581" s="4">
        <f>IFERROR(L581/K581,0)</f>
        <v/>
      </c>
      <c r="O581" s="4">
        <f>IFERROR(M581/L581,0)</f>
        <v/>
      </c>
      <c r="P581" t="n">
        <v>574</v>
      </c>
      <c r="Q581" s="5" t="n">
        <v>1</v>
      </c>
      <c r="R581" s="7" t="n">
        <v>1</v>
      </c>
      <c r="S581">
        <f>IF(OR(N581&lt;$T$1*0.5,O581&lt;$U$1*0.5),"код для проверки","нормальный код")</f>
        <v/>
      </c>
      <c r="T581">
        <f>IF(N581&lt;$T$1*0.5,"Низшая четверть",IF(N581&lt;$T$1,"Вторая четверть","Больше половины"))</f>
        <v/>
      </c>
      <c r="U581">
        <f>IF(O581&lt;$U$1*0.5,"Низшая четверть",IF(O581&lt;$U$1,"Вторая четверть","Больше половины"))</f>
        <v/>
      </c>
      <c r="V581">
        <f>IF(OR(N581&lt;SUMIFS(L:L,R:R,1,E:E,E581)/SUMIFS(K:K,R:R,1,E:E,E581)*0.5,O581&lt;SUMIFS(M:M,R:R,1,E:E,E581)/SUMIFS(L:L,R:R,1,E:E,E581)*0.5),"код для проверки","нормальный код")</f>
        <v/>
      </c>
      <c r="W581">
        <f>IF(N581&lt;SUMIFS(L:L,R:R,1,E:E,E581)/SUMIFS(K:K,R:R,1,E:E,E581)*0.5,"Низшая четверть",IF(N581&lt;SUMIFS(L:L,R:R,1,E:E,E581)/SUMIFS(K:K,R:R,1,E:E,E581),"Вторая четверть","Больше половины"))</f>
        <v/>
      </c>
      <c r="X581">
        <f>IF(O581&lt;SUMIFS(M:M,R:R,1,E:E,E581)/SUMIFS(L:L,R:R,1,E:E,E581)*0.5,"Низшая четверть",IF(O581&lt;SUMIFS(M:M,R:R,1,E:E,E581)/SUMIFS(L:L,R:R,1,E:E,E581),"Вторая четверть","Больше половины"))</f>
        <v/>
      </c>
      <c r="Y581" t="n">
        <v>9</v>
      </c>
    </row>
    <row r="582">
      <c r="A582" s="1" t="inlineStr">
        <is>
          <t>094002F0</t>
        </is>
      </c>
      <c r="B582" s="2" t="inlineStr">
        <is>
          <t>710477409</t>
        </is>
      </c>
      <c r="C582" s="3" t="inlineStr">
        <is>
          <t>Одежда и аксессуары</t>
        </is>
      </c>
      <c r="D582" s="2" t="inlineStr">
        <is>
          <t>Купальники женские</t>
        </is>
      </c>
      <c r="E582" s="3" t="inlineStr">
        <is>
          <t>094 Купальник</t>
        </is>
      </c>
      <c r="F582" s="2" t="inlineStr">
        <is>
          <t>лето</t>
        </is>
      </c>
      <c r="G582" s="3" t="inlineStr">
        <is>
          <t>kari</t>
        </is>
      </c>
      <c r="H582" s="2" t="inlineStr">
        <is>
          <t>Никонорова Алина</t>
        </is>
      </c>
      <c r="J582" s="3" t="inlineStr">
        <is>
          <t>2026SS</t>
        </is>
      </c>
      <c r="K582" s="3" t="n">
        <v>4087</v>
      </c>
      <c r="L582" s="3" t="n">
        <v>4636</v>
      </c>
      <c r="M582" s="3" t="n">
        <v>17</v>
      </c>
      <c r="N582" s="4">
        <f>IFERROR(L582/K582,0)</f>
        <v/>
      </c>
      <c r="O582" s="4">
        <f>IFERROR(M582/L582,0)</f>
        <v/>
      </c>
      <c r="P582" t="n">
        <v>1163</v>
      </c>
      <c r="Q582" s="5" t="n">
        <v>0.7777777777777778</v>
      </c>
      <c r="R582" s="7" t="n">
        <v>1</v>
      </c>
      <c r="S582">
        <f>IF(OR(N582&lt;$T$1*0.5,O582&lt;$U$1*0.5),"код для проверки","нормальный код")</f>
        <v/>
      </c>
      <c r="T582">
        <f>IF(N582&lt;$T$1*0.5,"Низшая четверть",IF(N582&lt;$T$1,"Вторая четверть","Больше половины"))</f>
        <v/>
      </c>
      <c r="U582">
        <f>IF(O582&lt;$U$1*0.5,"Низшая четверть",IF(O582&lt;$U$1,"Вторая четверть","Больше половины"))</f>
        <v/>
      </c>
      <c r="V582">
        <f>IF(OR(N582&lt;SUMIFS(L:L,R:R,1,E:E,E582)/SUMIFS(K:K,R:R,1,E:E,E582)*0.5,O582&lt;SUMIFS(M:M,R:R,1,E:E,E582)/SUMIFS(L:L,R:R,1,E:E,E582)*0.5),"код для проверки","нормальный код")</f>
        <v/>
      </c>
      <c r="W582">
        <f>IF(N582&lt;SUMIFS(L:L,R:R,1,E:E,E582)/SUMIFS(K:K,R:R,1,E:E,E582)*0.5,"Низшая четверть",IF(N582&lt;SUMIFS(L:L,R:R,1,E:E,E582)/SUMIFS(K:K,R:R,1,E:E,E582),"Вторая четверть","Больше половины"))</f>
        <v/>
      </c>
      <c r="X582">
        <f>IF(O582&lt;SUMIFS(M:M,R:R,1,E:E,E582)/SUMIFS(L:L,R:R,1,E:E,E582)*0.5,"Низшая четверть",IF(O582&lt;SUMIFS(M:M,R:R,1,E:E,E582)/SUMIFS(L:L,R:R,1,E:E,E582),"Вторая четверть","Больше половины"))</f>
        <v/>
      </c>
      <c r="Y582" t="n">
        <v>18</v>
      </c>
    </row>
    <row r="583">
      <c r="A583" s="1" t="inlineStr">
        <is>
          <t>56800100</t>
        </is>
      </c>
      <c r="B583" s="2" t="inlineStr">
        <is>
          <t>766639203</t>
        </is>
      </c>
      <c r="C583" s="3" t="inlineStr">
        <is>
          <t>Одежда для детей</t>
        </is>
      </c>
      <c r="D583" s="2" t="inlineStr">
        <is>
          <t>Одежда для новорожденных</t>
        </is>
      </c>
      <c r="E583" s="3" t="inlineStr">
        <is>
          <t>568 Боди с коротким рукавом для девочек</t>
        </is>
      </c>
      <c r="F583" s="2" t="inlineStr">
        <is>
          <t>всесезонный</t>
        </is>
      </c>
      <c r="G583" s="3" t="inlineStr">
        <is>
          <t>Kari baby</t>
        </is>
      </c>
      <c r="H583" s="2" t="inlineStr">
        <is>
          <t>Зиннуров Ильнур</t>
        </is>
      </c>
      <c r="J583" s="3" t="inlineStr">
        <is>
          <t>2026SS</t>
        </is>
      </c>
      <c r="K583" s="3" t="n">
        <v>4081</v>
      </c>
      <c r="L583" s="3" t="n">
        <v>1613</v>
      </c>
      <c r="M583" s="3" t="n">
        <v>8</v>
      </c>
      <c r="N583" s="4">
        <f>IFERROR(L583/K583,0)</f>
        <v/>
      </c>
      <c r="O583" s="4">
        <f>IFERROR(M583/L583,0)</f>
        <v/>
      </c>
      <c r="P583" t="n">
        <v>454</v>
      </c>
      <c r="Q583" s="5" t="n">
        <v>1</v>
      </c>
      <c r="R583" s="7" t="n">
        <v>1</v>
      </c>
      <c r="S583">
        <f>IF(OR(N583&lt;$T$1*0.5,O583&lt;$U$1*0.5),"код для проверки","нормальный код")</f>
        <v/>
      </c>
      <c r="T583">
        <f>IF(N583&lt;$T$1*0.5,"Низшая четверть",IF(N583&lt;$T$1,"Вторая четверть","Больше половины"))</f>
        <v/>
      </c>
      <c r="U583">
        <f>IF(O583&lt;$U$1*0.5,"Низшая четверть",IF(O583&lt;$U$1,"Вторая четверть","Больше половины"))</f>
        <v/>
      </c>
      <c r="V583">
        <f>IF(OR(N583&lt;SUMIFS(L:L,R:R,1,E:E,E583)/SUMIFS(K:K,R:R,1,E:E,E583)*0.5,O583&lt;SUMIFS(M:M,R:R,1,E:E,E583)/SUMIFS(L:L,R:R,1,E:E,E583)*0.5),"код для проверки","нормальный код")</f>
        <v/>
      </c>
      <c r="W583">
        <f>IF(N583&lt;SUMIFS(L:L,R:R,1,E:E,E583)/SUMIFS(K:K,R:R,1,E:E,E583)*0.5,"Низшая четверть",IF(N583&lt;SUMIFS(L:L,R:R,1,E:E,E583)/SUMIFS(K:K,R:R,1,E:E,E583),"Вторая четверть","Больше половины"))</f>
        <v/>
      </c>
      <c r="X583">
        <f>IF(O583&lt;SUMIFS(M:M,R:R,1,E:E,E583)/SUMIFS(L:L,R:R,1,E:E,E583)*0.5,"Низшая четверть",IF(O583&lt;SUMIFS(M:M,R:R,1,E:E,E583)/SUMIFS(L:L,R:R,1,E:E,E583),"Вторая четверть","Больше половины"))</f>
        <v/>
      </c>
      <c r="Y583" t="n">
        <v>27</v>
      </c>
    </row>
    <row r="584">
      <c r="A584" s="1" t="inlineStr">
        <is>
          <t>29100140</t>
        </is>
      </c>
      <c r="B584" s="2" t="inlineStr">
        <is>
          <t>698694541</t>
        </is>
      </c>
      <c r="C584" s="3" t="inlineStr">
        <is>
          <t>Одежда для детей</t>
        </is>
      </c>
      <c r="D584" s="2" t="inlineStr">
        <is>
          <t>Брюки детские для мальчиков</t>
        </is>
      </c>
      <c r="E584" s="3" t="inlineStr">
        <is>
          <t>291 Штаны детские для мальчиков</t>
        </is>
      </c>
      <c r="F584" s="2" t="inlineStr">
        <is>
          <t>всесезонный</t>
        </is>
      </c>
      <c r="G584" s="3" t="inlineStr">
        <is>
          <t>Kari KIDS</t>
        </is>
      </c>
      <c r="H584" s="2" t="inlineStr">
        <is>
          <t>Зиннуров Ильнур</t>
        </is>
      </c>
      <c r="J584" s="3" t="inlineStr">
        <is>
          <t>2026SS</t>
        </is>
      </c>
      <c r="K584" s="3" t="n">
        <v>4068</v>
      </c>
      <c r="L584" s="3" t="n">
        <v>195</v>
      </c>
      <c r="M584" s="3" t="n">
        <v>9</v>
      </c>
      <c r="N584" s="4">
        <f>IFERROR(L584/K584,0)</f>
        <v/>
      </c>
      <c r="O584" s="4">
        <f>IFERROR(M584/L584,0)</f>
        <v/>
      </c>
      <c r="P584" t="n">
        <v>124</v>
      </c>
      <c r="Q584" s="5" t="n">
        <v>1</v>
      </c>
      <c r="R584" s="7" t="n">
        <v>1</v>
      </c>
      <c r="S584">
        <f>IF(OR(N584&lt;$T$1*0.5,O584&lt;$U$1*0.5),"код для проверки","нормальный код")</f>
        <v/>
      </c>
      <c r="T584">
        <f>IF(N584&lt;$T$1*0.5,"Низшая четверть",IF(N584&lt;$T$1,"Вторая четверть","Больше половины"))</f>
        <v/>
      </c>
      <c r="U584">
        <f>IF(O584&lt;$U$1*0.5,"Низшая четверть",IF(O584&lt;$U$1,"Вторая четверть","Больше половины"))</f>
        <v/>
      </c>
      <c r="V584">
        <f>IF(OR(N584&lt;SUMIFS(L:L,R:R,1,E:E,E584)/SUMIFS(K:K,R:R,1,E:E,E584)*0.5,O584&lt;SUMIFS(M:M,R:R,1,E:E,E584)/SUMIFS(L:L,R:R,1,E:E,E584)*0.5),"код для проверки","нормальный код")</f>
        <v/>
      </c>
      <c r="W584">
        <f>IF(N584&lt;SUMIFS(L:L,R:R,1,E:E,E584)/SUMIFS(K:K,R:R,1,E:E,E584)*0.5,"Низшая четверть",IF(N584&lt;SUMIFS(L:L,R:R,1,E:E,E584)/SUMIFS(K:K,R:R,1,E:E,E584),"Вторая четверть","Больше половины"))</f>
        <v/>
      </c>
      <c r="X584">
        <f>IF(O584&lt;SUMIFS(M:M,R:R,1,E:E,E584)/SUMIFS(L:L,R:R,1,E:E,E584)*0.5,"Низшая четверть",IF(O584&lt;SUMIFS(M:M,R:R,1,E:E,E584)/SUMIFS(L:L,R:R,1,E:E,E584),"Вторая четверть","Больше половины"))</f>
        <v/>
      </c>
      <c r="Y584" t="n">
        <v>14</v>
      </c>
    </row>
    <row r="585">
      <c r="A585" s="1" t="inlineStr">
        <is>
          <t>18700030</t>
        </is>
      </c>
      <c r="B585" s="2" t="inlineStr">
        <is>
          <t>840058004</t>
        </is>
      </c>
      <c r="C585" s="3" t="inlineStr">
        <is>
          <t>Одежда и аксессуары</t>
        </is>
      </c>
      <c r="D585" s="2" t="inlineStr">
        <is>
          <t>Майки и платья женские</t>
        </is>
      </c>
      <c r="E585" s="3" t="inlineStr">
        <is>
          <t>187 Платье женское</t>
        </is>
      </c>
      <c r="F585" s="2" t="inlineStr">
        <is>
          <t>весна, лето</t>
        </is>
      </c>
      <c r="G585" s="3" t="inlineStr">
        <is>
          <t>kari</t>
        </is>
      </c>
      <c r="H585" s="2" t="inlineStr">
        <is>
          <t>Зиннуров Ильнур</t>
        </is>
      </c>
      <c r="J585" s="3" t="inlineStr">
        <is>
          <t>2026SS</t>
        </is>
      </c>
      <c r="K585" s="3" t="n">
        <v>4042</v>
      </c>
      <c r="L585" s="3" t="n">
        <v>571</v>
      </c>
      <c r="M585" s="3" t="n">
        <v>5</v>
      </c>
      <c r="N585" s="4">
        <f>IFERROR(L585/K585,0)</f>
        <v/>
      </c>
      <c r="O585" s="4">
        <f>IFERROR(M585/L585,0)</f>
        <v/>
      </c>
      <c r="P585" t="n">
        <v>309</v>
      </c>
      <c r="Q585" s="5" t="n">
        <v>1</v>
      </c>
      <c r="R585" s="7" t="n">
        <v>1</v>
      </c>
      <c r="S585">
        <f>IF(OR(N585&lt;$T$1*0.5,O585&lt;$U$1*0.5),"код для проверки","нормальный код")</f>
        <v/>
      </c>
      <c r="T585">
        <f>IF(N585&lt;$T$1*0.5,"Низшая четверть",IF(N585&lt;$T$1,"Вторая четверть","Больше половины"))</f>
        <v/>
      </c>
      <c r="U585">
        <f>IF(O585&lt;$U$1*0.5,"Низшая четверть",IF(O585&lt;$U$1,"Вторая четверть","Больше половины"))</f>
        <v/>
      </c>
      <c r="V585">
        <f>IF(OR(N585&lt;SUMIFS(L:L,R:R,1,E:E,E585)/SUMIFS(K:K,R:R,1,E:E,E585)*0.5,O585&lt;SUMIFS(M:M,R:R,1,E:E,E585)/SUMIFS(L:L,R:R,1,E:E,E585)*0.5),"код для проверки","нормальный код")</f>
        <v/>
      </c>
      <c r="W585">
        <f>IF(N585&lt;SUMIFS(L:L,R:R,1,E:E,E585)/SUMIFS(K:K,R:R,1,E:E,E585)*0.5,"Низшая четверть",IF(N585&lt;SUMIFS(L:L,R:R,1,E:E,E585)/SUMIFS(K:K,R:R,1,E:E,E585),"Вторая четверть","Больше половины"))</f>
        <v/>
      </c>
      <c r="X585">
        <f>IF(O585&lt;SUMIFS(M:M,R:R,1,E:E,E585)/SUMIFS(L:L,R:R,1,E:E,E585)*0.5,"Низшая четверть",IF(O585&lt;SUMIFS(M:M,R:R,1,E:E,E585)/SUMIFS(L:L,R:R,1,E:E,E585),"Вторая четверть","Больше половины"))</f>
        <v/>
      </c>
      <c r="Y585" t="n">
        <v>27</v>
      </c>
    </row>
    <row r="586">
      <c r="A586" s="1" t="inlineStr">
        <is>
          <t>a8900000</t>
        </is>
      </c>
      <c r="B586" s="2" t="inlineStr">
        <is>
          <t>711885864</t>
        </is>
      </c>
      <c r="C586" s="3" t="inlineStr">
        <is>
          <t>Одежда для детей</t>
        </is>
      </c>
      <c r="D586" s="2" t="inlineStr">
        <is>
          <t>Свитера детские для девочек</t>
        </is>
      </c>
      <c r="E586" s="3" t="inlineStr">
        <is>
          <t>a89 Свитшот для девочки</t>
        </is>
      </c>
      <c r="F586" s="2" t="inlineStr">
        <is>
          <t>весна, лето, осень</t>
        </is>
      </c>
      <c r="G586" s="3" t="inlineStr">
        <is>
          <t>kari</t>
        </is>
      </c>
      <c r="H586" s="2" t="inlineStr">
        <is>
          <t>Зиннуров Ильнур</t>
        </is>
      </c>
      <c r="J586" s="3" t="inlineStr">
        <is>
          <t>2026SS</t>
        </is>
      </c>
      <c r="K586" s="3" t="n">
        <v>4035</v>
      </c>
      <c r="L586" s="3" t="n">
        <v>641</v>
      </c>
      <c r="M586" s="3" t="n">
        <v>6</v>
      </c>
      <c r="N586" s="4">
        <f>IFERROR(L586/K586,0)</f>
        <v/>
      </c>
      <c r="O586" s="4">
        <f>IFERROR(M586/L586,0)</f>
        <v/>
      </c>
      <c r="P586" t="n">
        <v>354</v>
      </c>
      <c r="Q586" s="5" t="n">
        <v>1</v>
      </c>
      <c r="R586" s="7" t="n">
        <v>1</v>
      </c>
      <c r="S586">
        <f>IF(OR(N586&lt;$T$1*0.5,O586&lt;$U$1*0.5),"код для проверки","нормальный код")</f>
        <v/>
      </c>
      <c r="T586">
        <f>IF(N586&lt;$T$1*0.5,"Низшая четверть",IF(N586&lt;$T$1,"Вторая четверть","Больше половины"))</f>
        <v/>
      </c>
      <c r="U586">
        <f>IF(O586&lt;$U$1*0.5,"Низшая четверть",IF(O586&lt;$U$1,"Вторая четверть","Больше половины"))</f>
        <v/>
      </c>
      <c r="V586">
        <f>IF(OR(N586&lt;SUMIFS(L:L,R:R,1,E:E,E586)/SUMIFS(K:K,R:R,1,E:E,E586)*0.5,O586&lt;SUMIFS(M:M,R:R,1,E:E,E586)/SUMIFS(L:L,R:R,1,E:E,E586)*0.5),"код для проверки","нормальный код")</f>
        <v/>
      </c>
      <c r="W586">
        <f>IF(N586&lt;SUMIFS(L:L,R:R,1,E:E,E586)/SUMIFS(K:K,R:R,1,E:E,E586)*0.5,"Низшая четверть",IF(N586&lt;SUMIFS(L:L,R:R,1,E:E,E586)/SUMIFS(K:K,R:R,1,E:E,E586),"Вторая четверть","Больше половины"))</f>
        <v/>
      </c>
      <c r="X586">
        <f>IF(O586&lt;SUMIFS(M:M,R:R,1,E:E,E586)/SUMIFS(L:L,R:R,1,E:E,E586)*0.5,"Низшая четверть",IF(O586&lt;SUMIFS(M:M,R:R,1,E:E,E586)/SUMIFS(L:L,R:R,1,E:E,E586),"Вторая четверть","Больше половины"))</f>
        <v/>
      </c>
      <c r="Y586" t="n">
        <v>21</v>
      </c>
    </row>
    <row r="587">
      <c r="A587" s="1" t="inlineStr">
        <is>
          <t>094001O0</t>
        </is>
      </c>
      <c r="B587" s="2" t="inlineStr">
        <is>
          <t>773198141</t>
        </is>
      </c>
      <c r="C587" s="3" t="inlineStr">
        <is>
          <t>Одежда и аксессуары</t>
        </is>
      </c>
      <c r="D587" s="2" t="inlineStr">
        <is>
          <t>Купальники женские</t>
        </is>
      </c>
      <c r="E587" s="3" t="inlineStr">
        <is>
          <t>094 Купальник</t>
        </is>
      </c>
      <c r="F587" s="2" t="inlineStr">
        <is>
          <t>лето</t>
        </is>
      </c>
      <c r="G587" s="3" t="inlineStr">
        <is>
          <t>kari</t>
        </is>
      </c>
      <c r="H587" s="2" t="inlineStr">
        <is>
          <t>Никонорова Алина</t>
        </is>
      </c>
      <c r="J587" s="3" t="inlineStr">
        <is>
          <t>2026SS</t>
        </is>
      </c>
      <c r="K587" s="3" t="n">
        <v>4034</v>
      </c>
      <c r="L587" s="3" t="n">
        <v>3110</v>
      </c>
      <c r="M587" s="3" t="n">
        <v>20</v>
      </c>
      <c r="N587" s="4">
        <f>IFERROR(L587/K587,0)</f>
        <v/>
      </c>
      <c r="O587" s="4">
        <f>IFERROR(M587/L587,0)</f>
        <v/>
      </c>
      <c r="P587" t="n">
        <v>1761</v>
      </c>
      <c r="Q587" s="5" t="n">
        <v>0.5555555555555556</v>
      </c>
      <c r="R587" s="7" t="n">
        <v>1</v>
      </c>
      <c r="S587">
        <f>IF(OR(N587&lt;$T$1*0.5,O587&lt;$U$1*0.5),"код для проверки","нормальный код")</f>
        <v/>
      </c>
      <c r="T587">
        <f>IF(N587&lt;$T$1*0.5,"Низшая четверть",IF(N587&lt;$T$1,"Вторая четверть","Больше половины"))</f>
        <v/>
      </c>
      <c r="U587">
        <f>IF(O587&lt;$U$1*0.5,"Низшая четверть",IF(O587&lt;$U$1,"Вторая четверть","Больше половины"))</f>
        <v/>
      </c>
      <c r="V587">
        <f>IF(OR(N587&lt;SUMIFS(L:L,R:R,1,E:E,E587)/SUMIFS(K:K,R:R,1,E:E,E587)*0.5,O587&lt;SUMIFS(M:M,R:R,1,E:E,E587)/SUMIFS(L:L,R:R,1,E:E,E587)*0.5),"код для проверки","нормальный код")</f>
        <v/>
      </c>
      <c r="W587">
        <f>IF(N587&lt;SUMIFS(L:L,R:R,1,E:E,E587)/SUMIFS(K:K,R:R,1,E:E,E587)*0.5,"Низшая четверть",IF(N587&lt;SUMIFS(L:L,R:R,1,E:E,E587)/SUMIFS(K:K,R:R,1,E:E,E587),"Вторая четверть","Больше половины"))</f>
        <v/>
      </c>
      <c r="X587">
        <f>IF(O587&lt;SUMIFS(M:M,R:R,1,E:E,E587)/SUMIFS(L:L,R:R,1,E:E,E587)*0.5,"Низшая четверть",IF(O587&lt;SUMIFS(M:M,R:R,1,E:E,E587)/SUMIFS(L:L,R:R,1,E:E,E587),"Вторая четверть","Больше половины"))</f>
        <v/>
      </c>
      <c r="Y587" t="n">
        <v>25</v>
      </c>
    </row>
    <row r="588">
      <c r="A588" s="1" t="inlineStr">
        <is>
          <t>18400100</t>
        </is>
      </c>
      <c r="B588" s="2" t="inlineStr">
        <is>
          <t>879308818</t>
        </is>
      </c>
      <c r="C588" s="3" t="inlineStr">
        <is>
          <t>Одежда и аксессуары</t>
        </is>
      </c>
      <c r="D588" s="2" t="inlineStr">
        <is>
          <t>Майки и платья женские</t>
        </is>
      </c>
      <c r="E588" s="3" t="inlineStr">
        <is>
          <t>184 Женская футболка</t>
        </is>
      </c>
      <c r="F588" s="2" t="inlineStr">
        <is>
          <t>всесезонный</t>
        </is>
      </c>
      <c r="G588" s="3" t="inlineStr">
        <is>
          <t>kari</t>
        </is>
      </c>
      <c r="H588" s="2" t="inlineStr">
        <is>
          <t>Зиннуров Ильнур</t>
        </is>
      </c>
      <c r="J588" s="3" t="inlineStr">
        <is>
          <t>2026SS</t>
        </is>
      </c>
      <c r="K588" s="3" t="n">
        <v>4026</v>
      </c>
      <c r="L588" s="3" t="n">
        <v>75</v>
      </c>
      <c r="M588" s="3" t="n">
        <v>1</v>
      </c>
      <c r="N588" s="4">
        <f>IFERROR(L588/K588,0)</f>
        <v/>
      </c>
      <c r="O588" s="4">
        <f>IFERROR(M588/L588,0)</f>
        <v/>
      </c>
      <c r="P588" t="n">
        <v>117</v>
      </c>
      <c r="Q588" s="5" t="n">
        <v>1</v>
      </c>
      <c r="R588" s="7" t="n">
        <v>1</v>
      </c>
      <c r="S588">
        <f>IF(OR(N588&lt;$T$1*0.5,O588&lt;$U$1*0.5),"код для проверки","нормальный код")</f>
        <v/>
      </c>
      <c r="T588">
        <f>IF(N588&lt;$T$1*0.5,"Низшая четверть",IF(N588&lt;$T$1,"Вторая четверть","Больше половины"))</f>
        <v/>
      </c>
      <c r="U588">
        <f>IF(O588&lt;$U$1*0.5,"Низшая четверть",IF(O588&lt;$U$1,"Вторая четверть","Больше половины"))</f>
        <v/>
      </c>
      <c r="V588">
        <f>IF(OR(N588&lt;SUMIFS(L:L,R:R,1,E:E,E588)/SUMIFS(K:K,R:R,1,E:E,E588)*0.5,O588&lt;SUMIFS(M:M,R:R,1,E:E,E588)/SUMIFS(L:L,R:R,1,E:E,E588)*0.5),"код для проверки","нормальный код")</f>
        <v/>
      </c>
      <c r="W588">
        <f>IF(N588&lt;SUMIFS(L:L,R:R,1,E:E,E588)/SUMIFS(K:K,R:R,1,E:E,E588)*0.5,"Низшая четверть",IF(N588&lt;SUMIFS(L:L,R:R,1,E:E,E588)/SUMIFS(K:K,R:R,1,E:E,E588),"Вторая четверть","Больше половины"))</f>
        <v/>
      </c>
      <c r="X588">
        <f>IF(O588&lt;SUMIFS(M:M,R:R,1,E:E,E588)/SUMIFS(L:L,R:R,1,E:E,E588)*0.5,"Низшая четверть",IF(O588&lt;SUMIFS(M:M,R:R,1,E:E,E588)/SUMIFS(L:L,R:R,1,E:E,E588),"Вторая четверть","Больше половины"))</f>
        <v/>
      </c>
      <c r="Y588" t="n">
        <v>8</v>
      </c>
    </row>
    <row r="589">
      <c r="A589" s="1" t="inlineStr">
        <is>
          <t>88100260</t>
        </is>
      </c>
      <c r="B589" s="2" t="inlineStr">
        <is>
          <t>817515795</t>
        </is>
      </c>
      <c r="C589" s="3" t="inlineStr">
        <is>
          <t>Одежда для детей</t>
        </is>
      </c>
      <c r="D589" s="2" t="inlineStr">
        <is>
          <t>Футболки, майки, рубашки детские для мальчиков</t>
        </is>
      </c>
      <c r="E589" s="3" t="inlineStr">
        <is>
          <t>881 Футболка длинный рукав детская для мальчиков</t>
        </is>
      </c>
      <c r="F589" s="2" t="inlineStr">
        <is>
          <t>всесезонный</t>
        </is>
      </c>
      <c r="G589" s="3" t="inlineStr">
        <is>
          <t>kari</t>
        </is>
      </c>
      <c r="H589" s="2" t="inlineStr">
        <is>
          <t>Зиннуров Ильнур</t>
        </is>
      </c>
      <c r="J589" s="3" t="inlineStr">
        <is>
          <t>2026SS</t>
        </is>
      </c>
      <c r="K589" s="3" t="n">
        <v>4010</v>
      </c>
      <c r="L589" s="3" t="n">
        <v>428</v>
      </c>
      <c r="M589" s="3" t="n">
        <v>19</v>
      </c>
      <c r="N589" s="4">
        <f>IFERROR(L589/K589,0)</f>
        <v/>
      </c>
      <c r="O589" s="4">
        <f>IFERROR(M589/L589,0)</f>
        <v/>
      </c>
      <c r="P589" t="n">
        <v>329</v>
      </c>
      <c r="Q589" s="5" t="n">
        <v>1</v>
      </c>
      <c r="R589" s="7" t="n">
        <v>1</v>
      </c>
      <c r="S589">
        <f>IF(OR(N589&lt;$T$1*0.5,O589&lt;$U$1*0.5),"код для проверки","нормальный код")</f>
        <v/>
      </c>
      <c r="T589">
        <f>IF(N589&lt;$T$1*0.5,"Низшая четверть",IF(N589&lt;$T$1,"Вторая четверть","Больше половины"))</f>
        <v/>
      </c>
      <c r="U589">
        <f>IF(O589&lt;$U$1*0.5,"Низшая четверть",IF(O589&lt;$U$1,"Вторая четверть","Больше половины"))</f>
        <v/>
      </c>
      <c r="V589">
        <f>IF(OR(N589&lt;SUMIFS(L:L,R:R,1,E:E,E589)/SUMIFS(K:K,R:R,1,E:E,E589)*0.5,O589&lt;SUMIFS(M:M,R:R,1,E:E,E589)/SUMIFS(L:L,R:R,1,E:E,E589)*0.5),"код для проверки","нормальный код")</f>
        <v/>
      </c>
      <c r="W589">
        <f>IF(N589&lt;SUMIFS(L:L,R:R,1,E:E,E589)/SUMIFS(K:K,R:R,1,E:E,E589)*0.5,"Низшая четверть",IF(N589&lt;SUMIFS(L:L,R:R,1,E:E,E589)/SUMIFS(K:K,R:R,1,E:E,E589),"Вторая четверть","Больше половины"))</f>
        <v/>
      </c>
      <c r="X589">
        <f>IF(O589&lt;SUMIFS(M:M,R:R,1,E:E,E589)/SUMIFS(L:L,R:R,1,E:E,E589)*0.5,"Низшая четверть",IF(O589&lt;SUMIFS(M:M,R:R,1,E:E,E589)/SUMIFS(L:L,R:R,1,E:E,E589),"Вторая четверть","Больше половины"))</f>
        <v/>
      </c>
      <c r="Y589" t="n">
        <v>16</v>
      </c>
    </row>
    <row r="590">
      <c r="A590" s="1" t="inlineStr">
        <is>
          <t>a6000320</t>
        </is>
      </c>
      <c r="B590" s="2" t="inlineStr">
        <is>
          <t>715352485</t>
        </is>
      </c>
      <c r="C590" s="3" t="inlineStr">
        <is>
          <t>Одежда для детей</t>
        </is>
      </c>
      <c r="D590" s="2" t="inlineStr">
        <is>
          <t>Платья, майки, футболки детские для девочек</t>
        </is>
      </c>
      <c r="E590" s="3" t="inlineStr">
        <is>
          <t>a60 Футболка детская для девочек</t>
        </is>
      </c>
      <c r="F590" s="2" t="inlineStr">
        <is>
          <t>всесезонный</t>
        </is>
      </c>
      <c r="G590" s="3" t="inlineStr">
        <is>
          <t>kari</t>
        </is>
      </c>
      <c r="H590" s="2" t="inlineStr">
        <is>
          <t>Зиннуров Ильнур</t>
        </is>
      </c>
      <c r="J590" s="3" t="inlineStr">
        <is>
          <t>2026SS</t>
        </is>
      </c>
      <c r="K590" s="3" t="n">
        <v>4005</v>
      </c>
      <c r="L590" s="3" t="n">
        <v>946</v>
      </c>
      <c r="M590" s="3" t="n">
        <v>15</v>
      </c>
      <c r="N590" s="4">
        <f>IFERROR(L590/K590,0)</f>
        <v/>
      </c>
      <c r="O590" s="4">
        <f>IFERROR(M590/L590,0)</f>
        <v/>
      </c>
      <c r="P590" t="n">
        <v>736</v>
      </c>
      <c r="Q590" s="5" t="n">
        <v>1</v>
      </c>
      <c r="R590" s="7" t="n">
        <v>1</v>
      </c>
      <c r="S590">
        <f>IF(OR(N590&lt;$T$1*0.5,O590&lt;$U$1*0.5),"код для проверки","нормальный код")</f>
        <v/>
      </c>
      <c r="T590">
        <f>IF(N590&lt;$T$1*0.5,"Низшая четверть",IF(N590&lt;$T$1,"Вторая четверть","Больше половины"))</f>
        <v/>
      </c>
      <c r="U590">
        <f>IF(O590&lt;$U$1*0.5,"Низшая четверть",IF(O590&lt;$U$1,"Вторая четверть","Больше половины"))</f>
        <v/>
      </c>
      <c r="V590">
        <f>IF(OR(N590&lt;SUMIFS(L:L,R:R,1,E:E,E590)/SUMIFS(K:K,R:R,1,E:E,E590)*0.5,O590&lt;SUMIFS(M:M,R:R,1,E:E,E590)/SUMIFS(L:L,R:R,1,E:E,E590)*0.5),"код для проверки","нормальный код")</f>
        <v/>
      </c>
      <c r="W590">
        <f>IF(N590&lt;SUMIFS(L:L,R:R,1,E:E,E590)/SUMIFS(K:K,R:R,1,E:E,E590)*0.5,"Низшая четверть",IF(N590&lt;SUMIFS(L:L,R:R,1,E:E,E590)/SUMIFS(K:K,R:R,1,E:E,E590),"Вторая четверть","Больше половины"))</f>
        <v/>
      </c>
      <c r="X590">
        <f>IF(O590&lt;SUMIFS(M:M,R:R,1,E:E,E590)/SUMIFS(L:L,R:R,1,E:E,E590)*0.5,"Низшая четверть",IF(O590&lt;SUMIFS(M:M,R:R,1,E:E,E590)/SUMIFS(L:L,R:R,1,E:E,E590),"Вторая четверть","Больше половины"))</f>
        <v/>
      </c>
      <c r="Y590" t="n">
        <v>10</v>
      </c>
    </row>
    <row r="591">
      <c r="A591" s="1" t="inlineStr">
        <is>
          <t>19400390</t>
        </is>
      </c>
      <c r="B591" s="2" t="inlineStr">
        <is>
          <t>837332434</t>
        </is>
      </c>
      <c r="C591" s="3" t="inlineStr">
        <is>
          <t>Одежда для детей</t>
        </is>
      </c>
      <c r="D591" s="2" t="inlineStr">
        <is>
          <t>Брюки детские для девочек</t>
        </is>
      </c>
      <c r="E591" s="3" t="inlineStr">
        <is>
          <t>194 Шорты детские для девочек</t>
        </is>
      </c>
      <c r="F591" s="2" t="inlineStr">
        <is>
          <t>лето</t>
        </is>
      </c>
      <c r="G591" s="3" t="inlineStr">
        <is>
          <t>Kari KIDS</t>
        </is>
      </c>
      <c r="H591" s="2" t="inlineStr">
        <is>
          <t>Зиннуров Ильнур</t>
        </is>
      </c>
      <c r="J591" s="3" t="inlineStr">
        <is>
          <t>2026SS</t>
        </is>
      </c>
      <c r="K591" s="3" t="n">
        <v>3990</v>
      </c>
      <c r="L591" s="3" t="n">
        <v>399</v>
      </c>
      <c r="M591" s="3" t="n">
        <v>2</v>
      </c>
      <c r="N591" s="4">
        <f>IFERROR(L591/K591,0)</f>
        <v/>
      </c>
      <c r="O591" s="4">
        <f>IFERROR(M591/L591,0)</f>
        <v/>
      </c>
      <c r="P591" t="n">
        <v>877</v>
      </c>
      <c r="Q591" s="5" t="n">
        <v>1</v>
      </c>
      <c r="R591" s="7" t="n">
        <v>1</v>
      </c>
      <c r="S591">
        <f>IF(OR(N591&lt;$T$1*0.5,O591&lt;$U$1*0.5),"код для проверки","нормальный код")</f>
        <v/>
      </c>
      <c r="T591">
        <f>IF(N591&lt;$T$1*0.5,"Низшая четверть",IF(N591&lt;$T$1,"Вторая четверть","Больше половины"))</f>
        <v/>
      </c>
      <c r="U591">
        <f>IF(O591&lt;$U$1*0.5,"Низшая четверть",IF(O591&lt;$U$1,"Вторая четверть","Больше половины"))</f>
        <v/>
      </c>
      <c r="V591">
        <f>IF(OR(N591&lt;SUMIFS(L:L,R:R,1,E:E,E591)/SUMIFS(K:K,R:R,1,E:E,E591)*0.5,O591&lt;SUMIFS(M:M,R:R,1,E:E,E591)/SUMIFS(L:L,R:R,1,E:E,E591)*0.5),"код для проверки","нормальный код")</f>
        <v/>
      </c>
      <c r="W591">
        <f>IF(N591&lt;SUMIFS(L:L,R:R,1,E:E,E591)/SUMIFS(K:K,R:R,1,E:E,E591)*0.5,"Низшая четверть",IF(N591&lt;SUMIFS(L:L,R:R,1,E:E,E591)/SUMIFS(K:K,R:R,1,E:E,E591),"Вторая четверть","Больше половины"))</f>
        <v/>
      </c>
      <c r="X591">
        <f>IF(O591&lt;SUMIFS(M:M,R:R,1,E:E,E591)/SUMIFS(L:L,R:R,1,E:E,E591)*0.5,"Низшая четверть",IF(O591&lt;SUMIFS(M:M,R:R,1,E:E,E591)/SUMIFS(L:L,R:R,1,E:E,E591),"Вторая четверть","Больше половины"))</f>
        <v/>
      </c>
      <c r="Y591" t="n">
        <v>19</v>
      </c>
    </row>
    <row r="592">
      <c r="A592" s="1" t="inlineStr">
        <is>
          <t>17900010</t>
        </is>
      </c>
      <c r="B592" s="2" t="inlineStr">
        <is>
          <t>768695269</t>
        </is>
      </c>
      <c r="C592" s="3" t="inlineStr">
        <is>
          <t>Одежда и аксессуары</t>
        </is>
      </c>
      <c r="D592" s="2" t="inlineStr">
        <is>
          <t>Джинсы женские</t>
        </is>
      </c>
      <c r="E592" s="3" t="inlineStr">
        <is>
          <t>179 Джинсы женские</t>
        </is>
      </c>
      <c r="F592" s="2" t="inlineStr">
        <is>
          <t>всесезонный</t>
        </is>
      </c>
      <c r="G592" s="3" t="inlineStr">
        <is>
          <t>kari</t>
        </is>
      </c>
      <c r="H592" s="2" t="inlineStr">
        <is>
          <t>Зиннуров Ильнур</t>
        </is>
      </c>
      <c r="J592" s="3" t="inlineStr">
        <is>
          <t>2026SS</t>
        </is>
      </c>
      <c r="K592" s="3" t="n">
        <v>3980</v>
      </c>
      <c r="L592" s="3" t="n">
        <v>474</v>
      </c>
      <c r="M592" s="3" t="n">
        <v>8</v>
      </c>
      <c r="N592" s="4">
        <f>IFERROR(L592/K592,0)</f>
        <v/>
      </c>
      <c r="O592" s="4">
        <f>IFERROR(M592/L592,0)</f>
        <v/>
      </c>
      <c r="P592" t="n">
        <v>493</v>
      </c>
      <c r="Q592" s="5" t="n">
        <v>1</v>
      </c>
      <c r="R592" s="7" t="n">
        <v>1</v>
      </c>
      <c r="S592">
        <f>IF(OR(N592&lt;$T$1*0.5,O592&lt;$U$1*0.5),"код для проверки","нормальный код")</f>
        <v/>
      </c>
      <c r="T592">
        <f>IF(N592&lt;$T$1*0.5,"Низшая четверть",IF(N592&lt;$T$1,"Вторая четверть","Больше половины"))</f>
        <v/>
      </c>
      <c r="U592">
        <f>IF(O592&lt;$U$1*0.5,"Низшая четверть",IF(O592&lt;$U$1,"Вторая четверть","Больше половины"))</f>
        <v/>
      </c>
      <c r="V592">
        <f>IF(OR(N592&lt;SUMIFS(L:L,R:R,1,E:E,E592)/SUMIFS(K:K,R:R,1,E:E,E592)*0.5,O592&lt;SUMIFS(M:M,R:R,1,E:E,E592)/SUMIFS(L:L,R:R,1,E:E,E592)*0.5),"код для проверки","нормальный код")</f>
        <v/>
      </c>
      <c r="W592">
        <f>IF(N592&lt;SUMIFS(L:L,R:R,1,E:E,E592)/SUMIFS(K:K,R:R,1,E:E,E592)*0.5,"Низшая четверть",IF(N592&lt;SUMIFS(L:L,R:R,1,E:E,E592)/SUMIFS(K:K,R:R,1,E:E,E592),"Вторая четверть","Больше половины"))</f>
        <v/>
      </c>
      <c r="X592">
        <f>IF(O592&lt;SUMIFS(M:M,R:R,1,E:E,E592)/SUMIFS(L:L,R:R,1,E:E,E592)*0.5,"Низшая четверть",IF(O592&lt;SUMIFS(M:M,R:R,1,E:E,E592)/SUMIFS(L:L,R:R,1,E:E,E592),"Вторая четверть","Больше половины"))</f>
        <v/>
      </c>
      <c r="Y592" t="n">
        <v>25</v>
      </c>
    </row>
    <row r="593">
      <c r="A593" s="1" t="inlineStr">
        <is>
          <t>094001L0</t>
        </is>
      </c>
      <c r="B593" s="2" t="inlineStr">
        <is>
          <t>915175650</t>
        </is>
      </c>
      <c r="C593" s="3" t="inlineStr">
        <is>
          <t>Одежда и аксессуары</t>
        </is>
      </c>
      <c r="D593" s="2" t="inlineStr">
        <is>
          <t>Купальники женские</t>
        </is>
      </c>
      <c r="E593" s="3" t="inlineStr">
        <is>
          <t>094 Купальник</t>
        </is>
      </c>
      <c r="F593" s="2" t="inlineStr">
        <is>
          <t>лето</t>
        </is>
      </c>
      <c r="G593" s="3" t="inlineStr">
        <is>
          <t>kari</t>
        </is>
      </c>
      <c r="H593" s="2" t="inlineStr">
        <is>
          <t>Никонорова Алина</t>
        </is>
      </c>
      <c r="J593" s="3" t="inlineStr">
        <is>
          <t>2026SS</t>
        </is>
      </c>
      <c r="K593" s="3" t="n">
        <v>3968</v>
      </c>
      <c r="L593" s="3" t="n">
        <v>3086</v>
      </c>
      <c r="M593" s="3" t="n">
        <v>10</v>
      </c>
      <c r="N593" s="4">
        <f>IFERROR(L593/K593,0)</f>
        <v/>
      </c>
      <c r="O593" s="4">
        <f>IFERROR(M593/L593,0)</f>
        <v/>
      </c>
      <c r="P593" t="n">
        <v>2227</v>
      </c>
      <c r="Q593" s="5" t="n">
        <v>0.6666666666666666</v>
      </c>
      <c r="R593" s="7" t="n">
        <v>1</v>
      </c>
      <c r="S593">
        <f>IF(OR(N593&lt;$T$1*0.5,O593&lt;$U$1*0.5),"код для проверки","нормальный код")</f>
        <v/>
      </c>
      <c r="T593">
        <f>IF(N593&lt;$T$1*0.5,"Низшая четверть",IF(N593&lt;$T$1,"Вторая четверть","Больше половины"))</f>
        <v/>
      </c>
      <c r="U593">
        <f>IF(O593&lt;$U$1*0.5,"Низшая четверть",IF(O593&lt;$U$1,"Вторая четверть","Больше половины"))</f>
        <v/>
      </c>
      <c r="V593">
        <f>IF(OR(N593&lt;SUMIFS(L:L,R:R,1,E:E,E593)/SUMIFS(K:K,R:R,1,E:E,E593)*0.5,O593&lt;SUMIFS(M:M,R:R,1,E:E,E593)/SUMIFS(L:L,R:R,1,E:E,E593)*0.5),"код для проверки","нормальный код")</f>
        <v/>
      </c>
      <c r="W593">
        <f>IF(N593&lt;SUMIFS(L:L,R:R,1,E:E,E593)/SUMIFS(K:K,R:R,1,E:E,E593)*0.5,"Низшая четверть",IF(N593&lt;SUMIFS(L:L,R:R,1,E:E,E593)/SUMIFS(K:K,R:R,1,E:E,E593),"Вторая четверть","Больше половины"))</f>
        <v/>
      </c>
      <c r="X593">
        <f>IF(O593&lt;SUMIFS(M:M,R:R,1,E:E,E593)/SUMIFS(L:L,R:R,1,E:E,E593)*0.5,"Низшая четверть",IF(O593&lt;SUMIFS(M:M,R:R,1,E:E,E593)/SUMIFS(L:L,R:R,1,E:E,E593),"Вторая четверть","Больше половины"))</f>
        <v/>
      </c>
      <c r="Y593" t="n">
        <v>17</v>
      </c>
    </row>
    <row r="594">
      <c r="A594" s="1" t="inlineStr">
        <is>
          <t>29000080</t>
        </is>
      </c>
      <c r="B594" s="2" t="inlineStr">
        <is>
          <t>710462714</t>
        </is>
      </c>
      <c r="C594" s="3" t="inlineStr">
        <is>
          <t>Одежда для детей</t>
        </is>
      </c>
      <c r="D594" s="2" t="inlineStr">
        <is>
          <t>Брюки детские для девочек</t>
        </is>
      </c>
      <c r="E594" s="3" t="inlineStr">
        <is>
          <t>290 Штаны детские для девочек</t>
        </is>
      </c>
      <c r="F594" s="2" t="inlineStr">
        <is>
          <t>всесезонный</t>
        </is>
      </c>
      <c r="G594" s="3" t="inlineStr">
        <is>
          <t>Kari KIDS</t>
        </is>
      </c>
      <c r="H594" s="2" t="inlineStr">
        <is>
          <t>Зиннуров Ильнур</t>
        </is>
      </c>
      <c r="J594" s="3" t="inlineStr">
        <is>
          <t>2026SS</t>
        </is>
      </c>
      <c r="K594" s="3" t="n">
        <v>3967</v>
      </c>
      <c r="L594" s="3" t="n">
        <v>579</v>
      </c>
      <c r="M594" s="3" t="n">
        <v>12</v>
      </c>
      <c r="N594" s="4">
        <f>IFERROR(L594/K594,0)</f>
        <v/>
      </c>
      <c r="O594" s="4">
        <f>IFERROR(M594/L594,0)</f>
        <v/>
      </c>
      <c r="P594" t="n">
        <v>276</v>
      </c>
      <c r="Q594" s="5" t="n">
        <v>1</v>
      </c>
      <c r="R594" s="7" t="n">
        <v>1</v>
      </c>
      <c r="S594">
        <f>IF(OR(N594&lt;$T$1*0.5,O594&lt;$U$1*0.5),"код для проверки","нормальный код")</f>
        <v/>
      </c>
      <c r="T594">
        <f>IF(N594&lt;$T$1*0.5,"Низшая четверть",IF(N594&lt;$T$1,"Вторая четверть","Больше половины"))</f>
        <v/>
      </c>
      <c r="U594">
        <f>IF(O594&lt;$U$1*0.5,"Низшая четверть",IF(O594&lt;$U$1,"Вторая четверть","Больше половины"))</f>
        <v/>
      </c>
      <c r="V594">
        <f>IF(OR(N594&lt;SUMIFS(L:L,R:R,1,E:E,E594)/SUMIFS(K:K,R:R,1,E:E,E594)*0.5,O594&lt;SUMIFS(M:M,R:R,1,E:E,E594)/SUMIFS(L:L,R:R,1,E:E,E594)*0.5),"код для проверки","нормальный код")</f>
        <v/>
      </c>
      <c r="W594">
        <f>IF(N594&lt;SUMIFS(L:L,R:R,1,E:E,E594)/SUMIFS(K:K,R:R,1,E:E,E594)*0.5,"Низшая четверть",IF(N594&lt;SUMIFS(L:L,R:R,1,E:E,E594)/SUMIFS(K:K,R:R,1,E:E,E594),"Вторая четверть","Больше половины"))</f>
        <v/>
      </c>
      <c r="X594">
        <f>IF(O594&lt;SUMIFS(M:M,R:R,1,E:E,E594)/SUMIFS(L:L,R:R,1,E:E,E594)*0.5,"Низшая четверть",IF(O594&lt;SUMIFS(M:M,R:R,1,E:E,E594)/SUMIFS(L:L,R:R,1,E:E,E594),"Вторая четверть","Больше половины"))</f>
        <v/>
      </c>
      <c r="Y594" t="n">
        <v>13</v>
      </c>
    </row>
    <row r="595">
      <c r="A595" s="1" t="inlineStr">
        <is>
          <t>a8000020</t>
        </is>
      </c>
      <c r="B595" s="2" t="inlineStr">
        <is>
          <t>785806204</t>
        </is>
      </c>
      <c r="C595" s="3" t="inlineStr">
        <is>
          <t>Одежда для детей</t>
        </is>
      </c>
      <c r="D595" s="2" t="inlineStr">
        <is>
          <t>Свитера детские для мальчиков</t>
        </is>
      </c>
      <c r="E595" s="3" t="inlineStr">
        <is>
          <t>a80 Толстовка-бомбер для мальчиков</t>
        </is>
      </c>
      <c r="F595" s="2" t="inlineStr">
        <is>
          <t>весна, лето, осень</t>
        </is>
      </c>
      <c r="G595" s="3" t="inlineStr">
        <is>
          <t>kari</t>
        </is>
      </c>
      <c r="H595" s="2" t="inlineStr">
        <is>
          <t>Зиннуров Ильнур</t>
        </is>
      </c>
      <c r="J595" s="3" t="inlineStr">
        <is>
          <t>2026SS</t>
        </is>
      </c>
      <c r="K595" s="3" t="n">
        <v>3954</v>
      </c>
      <c r="L595" s="3" t="n">
        <v>165</v>
      </c>
      <c r="M595" s="3" t="n">
        <v>3</v>
      </c>
      <c r="N595" s="4">
        <f>IFERROR(L595/K595,0)</f>
        <v/>
      </c>
      <c r="O595" s="4">
        <f>IFERROR(M595/L595,0)</f>
        <v/>
      </c>
      <c r="P595" t="n">
        <v>377</v>
      </c>
      <c r="Q595" s="5" t="n">
        <v>1</v>
      </c>
      <c r="R595" s="7" t="n">
        <v>1</v>
      </c>
      <c r="S595">
        <f>IF(OR(N595&lt;$T$1*0.5,O595&lt;$U$1*0.5),"код для проверки","нормальный код")</f>
        <v/>
      </c>
      <c r="T595">
        <f>IF(N595&lt;$T$1*0.5,"Низшая четверть",IF(N595&lt;$T$1,"Вторая четверть","Больше половины"))</f>
        <v/>
      </c>
      <c r="U595">
        <f>IF(O595&lt;$U$1*0.5,"Низшая четверть",IF(O595&lt;$U$1,"Вторая четверть","Больше половины"))</f>
        <v/>
      </c>
      <c r="V595">
        <f>IF(OR(N595&lt;SUMIFS(L:L,R:R,1,E:E,E595)/SUMIFS(K:K,R:R,1,E:E,E595)*0.5,O595&lt;SUMIFS(M:M,R:R,1,E:E,E595)/SUMIFS(L:L,R:R,1,E:E,E595)*0.5),"код для проверки","нормальный код")</f>
        <v/>
      </c>
      <c r="W595">
        <f>IF(N595&lt;SUMIFS(L:L,R:R,1,E:E,E595)/SUMIFS(K:K,R:R,1,E:E,E595)*0.5,"Низшая четверть",IF(N595&lt;SUMIFS(L:L,R:R,1,E:E,E595)/SUMIFS(K:K,R:R,1,E:E,E595),"Вторая четверть","Больше половины"))</f>
        <v/>
      </c>
      <c r="X595">
        <f>IF(O595&lt;SUMIFS(M:M,R:R,1,E:E,E595)/SUMIFS(L:L,R:R,1,E:E,E595)*0.5,"Низшая четверть",IF(O595&lt;SUMIFS(M:M,R:R,1,E:E,E595)/SUMIFS(L:L,R:R,1,E:E,E595),"Вторая четверть","Больше половины"))</f>
        <v/>
      </c>
      <c r="Y595" t="n">
        <v>11</v>
      </c>
    </row>
    <row r="596">
      <c r="A596" s="1" t="inlineStr">
        <is>
          <t>20200390</t>
        </is>
      </c>
      <c r="B596" s="2" t="inlineStr">
        <is>
          <t>881335663</t>
        </is>
      </c>
      <c r="C596" s="3" t="inlineStr">
        <is>
          <t>Одежда для детей</t>
        </is>
      </c>
      <c r="D596" s="2" t="inlineStr">
        <is>
          <t>Головные уборы детские для мальчиков</t>
        </is>
      </c>
      <c r="E596" s="3" t="inlineStr">
        <is>
          <t>202 Бейсболка детская для мальчиков</t>
        </is>
      </c>
      <c r="F596" s="2" t="inlineStr">
        <is>
          <t>весна, лето</t>
        </is>
      </c>
      <c r="G596" s="3" t="inlineStr">
        <is>
          <t>kari</t>
        </is>
      </c>
      <c r="H596" s="2" t="inlineStr">
        <is>
          <t>Никонорова Алина</t>
        </is>
      </c>
      <c r="J596" s="3" t="inlineStr">
        <is>
          <t>2026SS</t>
        </is>
      </c>
      <c r="K596" s="3" t="n">
        <v>3949</v>
      </c>
      <c r="L596" s="3" t="n">
        <v>431</v>
      </c>
      <c r="M596" s="3" t="n">
        <v>8</v>
      </c>
      <c r="N596" s="4">
        <f>IFERROR(L596/K596,0)</f>
        <v/>
      </c>
      <c r="O596" s="4">
        <f>IFERROR(M596/L596,0)</f>
        <v/>
      </c>
      <c r="P596" t="n">
        <v>429</v>
      </c>
      <c r="Q596" s="5" t="n">
        <v>1</v>
      </c>
      <c r="R596" s="7" t="n">
        <v>1</v>
      </c>
      <c r="S596">
        <f>IF(OR(N596&lt;$T$1*0.5,O596&lt;$U$1*0.5),"код для проверки","нормальный код")</f>
        <v/>
      </c>
      <c r="T596">
        <f>IF(N596&lt;$T$1*0.5,"Низшая четверть",IF(N596&lt;$T$1,"Вторая четверть","Больше половины"))</f>
        <v/>
      </c>
      <c r="U596">
        <f>IF(O596&lt;$U$1*0.5,"Низшая четверть",IF(O596&lt;$U$1,"Вторая четверть","Больше половины"))</f>
        <v/>
      </c>
      <c r="V596">
        <f>IF(OR(N596&lt;SUMIFS(L:L,R:R,1,E:E,E596)/SUMIFS(K:K,R:R,1,E:E,E596)*0.5,O596&lt;SUMIFS(M:M,R:R,1,E:E,E596)/SUMIFS(L:L,R:R,1,E:E,E596)*0.5),"код для проверки","нормальный код")</f>
        <v/>
      </c>
      <c r="W596">
        <f>IF(N596&lt;SUMIFS(L:L,R:R,1,E:E,E596)/SUMIFS(K:K,R:R,1,E:E,E596)*0.5,"Низшая четверть",IF(N596&lt;SUMIFS(L:L,R:R,1,E:E,E596)/SUMIFS(K:K,R:R,1,E:E,E596),"Вторая четверть","Больше половины"))</f>
        <v/>
      </c>
      <c r="X596">
        <f>IF(O596&lt;SUMIFS(M:M,R:R,1,E:E,E596)/SUMIFS(L:L,R:R,1,E:E,E596)*0.5,"Низшая четверть",IF(O596&lt;SUMIFS(M:M,R:R,1,E:E,E596)/SUMIFS(L:L,R:R,1,E:E,E596),"Вторая четверть","Больше половины"))</f>
        <v/>
      </c>
      <c r="Y596" t="n">
        <v>9</v>
      </c>
    </row>
    <row r="597">
      <c r="A597" s="1" t="inlineStr">
        <is>
          <t>17900070</t>
        </is>
      </c>
      <c r="B597" s="2" t="inlineStr">
        <is>
          <t>768695335</t>
        </is>
      </c>
      <c r="C597" s="3" t="inlineStr">
        <is>
          <t>Одежда и аксессуары</t>
        </is>
      </c>
      <c r="D597" s="2" t="inlineStr">
        <is>
          <t>Джинсы женские</t>
        </is>
      </c>
      <c r="E597" s="3" t="inlineStr">
        <is>
          <t>179 Джинсы женские</t>
        </is>
      </c>
      <c r="F597" s="2" t="inlineStr">
        <is>
          <t>всесезонный</t>
        </is>
      </c>
      <c r="G597" s="3" t="inlineStr">
        <is>
          <t>kari</t>
        </is>
      </c>
      <c r="H597" s="2" t="inlineStr">
        <is>
          <t>Зиннуров Ильнур</t>
        </is>
      </c>
      <c r="J597" s="3" t="inlineStr">
        <is>
          <t>2026SS</t>
        </is>
      </c>
      <c r="K597" s="3" t="n">
        <v>3938</v>
      </c>
      <c r="L597" s="3" t="n">
        <v>403</v>
      </c>
      <c r="M597" s="3" t="n">
        <v>14</v>
      </c>
      <c r="N597" s="4">
        <f>IFERROR(L597/K597,0)</f>
        <v/>
      </c>
      <c r="O597" s="4">
        <f>IFERROR(M597/L597,0)</f>
        <v/>
      </c>
      <c r="P597" t="n">
        <v>422</v>
      </c>
      <c r="Q597" s="5" t="n">
        <v>1</v>
      </c>
      <c r="R597" s="7" t="n">
        <v>1</v>
      </c>
      <c r="S597">
        <f>IF(OR(N597&lt;$T$1*0.5,O597&lt;$U$1*0.5),"код для проверки","нормальный код")</f>
        <v/>
      </c>
      <c r="T597">
        <f>IF(N597&lt;$T$1*0.5,"Низшая четверть",IF(N597&lt;$T$1,"Вторая четверть","Больше половины"))</f>
        <v/>
      </c>
      <c r="U597">
        <f>IF(O597&lt;$U$1*0.5,"Низшая четверть",IF(O597&lt;$U$1,"Вторая четверть","Больше половины"))</f>
        <v/>
      </c>
      <c r="V597">
        <f>IF(OR(N597&lt;SUMIFS(L:L,R:R,1,E:E,E597)/SUMIFS(K:K,R:R,1,E:E,E597)*0.5,O597&lt;SUMIFS(M:M,R:R,1,E:E,E597)/SUMIFS(L:L,R:R,1,E:E,E597)*0.5),"код для проверки","нормальный код")</f>
        <v/>
      </c>
      <c r="W597">
        <f>IF(N597&lt;SUMIFS(L:L,R:R,1,E:E,E597)/SUMIFS(K:K,R:R,1,E:E,E597)*0.5,"Низшая четверть",IF(N597&lt;SUMIFS(L:L,R:R,1,E:E,E597)/SUMIFS(K:K,R:R,1,E:E,E597),"Вторая четверть","Больше половины"))</f>
        <v/>
      </c>
      <c r="X597">
        <f>IF(O597&lt;SUMIFS(M:M,R:R,1,E:E,E597)/SUMIFS(L:L,R:R,1,E:E,E597)*0.5,"Низшая четверть",IF(O597&lt;SUMIFS(M:M,R:R,1,E:E,E597)/SUMIFS(L:L,R:R,1,E:E,E597),"Вторая четверть","Больше половины"))</f>
        <v/>
      </c>
      <c r="Y597" t="n">
        <v>22</v>
      </c>
    </row>
    <row r="598">
      <c r="A598" s="1" t="inlineStr">
        <is>
          <t>h7700090</t>
        </is>
      </c>
      <c r="B598" s="2" t="inlineStr">
        <is>
          <t>806627272</t>
        </is>
      </c>
      <c r="C598" s="3" t="inlineStr">
        <is>
          <t>Одежда и аксессуары</t>
        </is>
      </c>
      <c r="D598" s="2" t="inlineStr">
        <is>
          <t>Купальники женские</t>
        </is>
      </c>
      <c r="E598" s="3" t="inlineStr">
        <is>
          <t>h77 Одежда пляжная женская</t>
        </is>
      </c>
      <c r="F598" s="2" t="inlineStr">
        <is>
          <t>лето</t>
        </is>
      </c>
      <c r="G598" s="3" t="inlineStr">
        <is>
          <t>kari</t>
        </is>
      </c>
      <c r="H598" s="2" t="inlineStr">
        <is>
          <t>Зиннуров Ильнур</t>
        </is>
      </c>
      <c r="J598" s="3" t="inlineStr">
        <is>
          <t>2026SS</t>
        </is>
      </c>
      <c r="K598" s="3" t="n">
        <v>3923</v>
      </c>
      <c r="L598" s="3" t="n">
        <v>810</v>
      </c>
      <c r="M598" s="3" t="n">
        <v>21</v>
      </c>
      <c r="N598" s="4">
        <f>IFERROR(L598/K598,0)</f>
        <v/>
      </c>
      <c r="O598" s="4">
        <f>IFERROR(M598/L598,0)</f>
        <v/>
      </c>
      <c r="P598" t="n">
        <v>1233</v>
      </c>
      <c r="Q598" s="5" t="n">
        <v>1</v>
      </c>
      <c r="R598" s="7" t="n">
        <v>1</v>
      </c>
      <c r="S598">
        <f>IF(OR(N598&lt;$T$1*0.5,O598&lt;$U$1*0.5),"код для проверки","нормальный код")</f>
        <v/>
      </c>
      <c r="T598">
        <f>IF(N598&lt;$T$1*0.5,"Низшая четверть",IF(N598&lt;$T$1,"Вторая четверть","Больше половины"))</f>
        <v/>
      </c>
      <c r="U598">
        <f>IF(O598&lt;$U$1*0.5,"Низшая четверть",IF(O598&lt;$U$1,"Вторая четверть","Больше половины"))</f>
        <v/>
      </c>
      <c r="V598">
        <f>IF(OR(N598&lt;SUMIFS(L:L,R:R,1,E:E,E598)/SUMIFS(K:K,R:R,1,E:E,E598)*0.5,O598&lt;SUMIFS(M:M,R:R,1,E:E,E598)/SUMIFS(L:L,R:R,1,E:E,E598)*0.5),"код для проверки","нормальный код")</f>
        <v/>
      </c>
      <c r="W598">
        <f>IF(N598&lt;SUMIFS(L:L,R:R,1,E:E,E598)/SUMIFS(K:K,R:R,1,E:E,E598)*0.5,"Низшая четверть",IF(N598&lt;SUMIFS(L:L,R:R,1,E:E,E598)/SUMIFS(K:K,R:R,1,E:E,E598),"Вторая четверть","Больше половины"))</f>
        <v/>
      </c>
      <c r="X598">
        <f>IF(O598&lt;SUMIFS(M:M,R:R,1,E:E,E598)/SUMIFS(L:L,R:R,1,E:E,E598)*0.5,"Низшая четверть",IF(O598&lt;SUMIFS(M:M,R:R,1,E:E,E598)/SUMIFS(L:L,R:R,1,E:E,E598),"Вторая четверть","Больше половины"))</f>
        <v/>
      </c>
      <c r="Y598" t="n">
        <v>5</v>
      </c>
    </row>
    <row r="599">
      <c r="A599" s="1" t="inlineStr">
        <is>
          <t>88100250</t>
        </is>
      </c>
      <c r="B599" s="2" t="inlineStr">
        <is>
          <t>714592937</t>
        </is>
      </c>
      <c r="C599" s="3" t="inlineStr">
        <is>
          <t>Одежда для детей</t>
        </is>
      </c>
      <c r="D599" s="2" t="inlineStr">
        <is>
          <t>Футболки, майки, рубашки детские для мальчиков</t>
        </is>
      </c>
      <c r="E599" s="3" t="inlineStr">
        <is>
          <t>881 Футболка длинный рукав детская для мальчиков</t>
        </is>
      </c>
      <c r="F599" s="2" t="inlineStr">
        <is>
          <t>всесезонный</t>
        </is>
      </c>
      <c r="G599" s="3" t="inlineStr">
        <is>
          <t>Kari KIDS</t>
        </is>
      </c>
      <c r="H599" s="2" t="inlineStr">
        <is>
          <t>Зиннуров Ильнур</t>
        </is>
      </c>
      <c r="J599" s="3" t="inlineStr">
        <is>
          <t>2026SS</t>
        </is>
      </c>
      <c r="K599" s="3" t="n">
        <v>3894</v>
      </c>
      <c r="L599" s="3" t="n">
        <v>1234</v>
      </c>
      <c r="M599" s="3" t="n">
        <v>7</v>
      </c>
      <c r="N599" s="4">
        <f>IFERROR(L599/K599,0)</f>
        <v/>
      </c>
      <c r="O599" s="4">
        <f>IFERROR(M599/L599,0)</f>
        <v/>
      </c>
      <c r="P599" t="n">
        <v>513</v>
      </c>
      <c r="Q599" s="5" t="n">
        <v>1</v>
      </c>
      <c r="R599" s="7" t="n">
        <v>1</v>
      </c>
      <c r="S599">
        <f>IF(OR(N599&lt;$T$1*0.5,O599&lt;$U$1*0.5),"код для проверки","нормальный код")</f>
        <v/>
      </c>
      <c r="T599">
        <f>IF(N599&lt;$T$1*0.5,"Низшая четверть",IF(N599&lt;$T$1,"Вторая четверть","Больше половины"))</f>
        <v/>
      </c>
      <c r="U599">
        <f>IF(O599&lt;$U$1*0.5,"Низшая четверть",IF(O599&lt;$U$1,"Вторая четверть","Больше половины"))</f>
        <v/>
      </c>
      <c r="V599">
        <f>IF(OR(N599&lt;SUMIFS(L:L,R:R,1,E:E,E599)/SUMIFS(K:K,R:R,1,E:E,E599)*0.5,O599&lt;SUMIFS(M:M,R:R,1,E:E,E599)/SUMIFS(L:L,R:R,1,E:E,E599)*0.5),"код для проверки","нормальный код")</f>
        <v/>
      </c>
      <c r="W599">
        <f>IF(N599&lt;SUMIFS(L:L,R:R,1,E:E,E599)/SUMIFS(K:K,R:R,1,E:E,E599)*0.5,"Низшая четверть",IF(N599&lt;SUMIFS(L:L,R:R,1,E:E,E599)/SUMIFS(K:K,R:R,1,E:E,E599),"Вторая четверть","Больше половины"))</f>
        <v/>
      </c>
      <c r="X599">
        <f>IF(O599&lt;SUMIFS(M:M,R:R,1,E:E,E599)/SUMIFS(L:L,R:R,1,E:E,E599)*0.5,"Низшая четверть",IF(O599&lt;SUMIFS(M:M,R:R,1,E:E,E599)/SUMIFS(L:L,R:R,1,E:E,E599),"Вторая четверть","Больше половины"))</f>
        <v/>
      </c>
      <c r="Y599" t="n">
        <v>23</v>
      </c>
    </row>
    <row r="600">
      <c r="A600" s="1" t="inlineStr">
        <is>
          <t>30400010</t>
        </is>
      </c>
      <c r="B600" s="2" t="inlineStr">
        <is>
          <t>701616668</t>
        </is>
      </c>
      <c r="C600" s="3" t="inlineStr">
        <is>
          <t>Одежда и аксессуары</t>
        </is>
      </c>
      <c r="D600" s="2" t="inlineStr">
        <is>
          <t>Майки и платья женские</t>
        </is>
      </c>
      <c r="E600" s="3" t="inlineStr">
        <is>
          <t>304 Юбка женская</t>
        </is>
      </c>
      <c r="F600" s="2" t="inlineStr">
        <is>
          <t>всесезонный</t>
        </is>
      </c>
      <c r="G600" s="3" t="inlineStr">
        <is>
          <t>kari</t>
        </is>
      </c>
      <c r="H600" s="2" t="inlineStr">
        <is>
          <t>Зиннуров Ильнур</t>
        </is>
      </c>
      <c r="J600" s="3" t="inlineStr">
        <is>
          <t>2026SS</t>
        </is>
      </c>
      <c r="K600" s="3" t="n">
        <v>3888</v>
      </c>
      <c r="L600" s="3" t="n">
        <v>287</v>
      </c>
      <c r="M600" s="3" t="n">
        <v>1</v>
      </c>
      <c r="N600" s="4">
        <f>IFERROR(L600/K600,0)</f>
        <v/>
      </c>
      <c r="O600" s="4">
        <f>IFERROR(M600/L600,0)</f>
        <v/>
      </c>
      <c r="P600" t="n">
        <v>349</v>
      </c>
      <c r="Q600" s="5" t="n">
        <v>1</v>
      </c>
      <c r="R600" s="7" t="n">
        <v>1</v>
      </c>
      <c r="S600">
        <f>IF(OR(N600&lt;$T$1*0.5,O600&lt;$U$1*0.5),"код для проверки","нормальный код")</f>
        <v/>
      </c>
      <c r="T600">
        <f>IF(N600&lt;$T$1*0.5,"Низшая четверть",IF(N600&lt;$T$1,"Вторая четверть","Больше половины"))</f>
        <v/>
      </c>
      <c r="U600">
        <f>IF(O600&lt;$U$1*0.5,"Низшая четверть",IF(O600&lt;$U$1,"Вторая четверть","Больше половины"))</f>
        <v/>
      </c>
      <c r="V600">
        <f>IF(OR(N600&lt;SUMIFS(L:L,R:R,1,E:E,E600)/SUMIFS(K:K,R:R,1,E:E,E600)*0.5,O600&lt;SUMIFS(M:M,R:R,1,E:E,E600)/SUMIFS(L:L,R:R,1,E:E,E600)*0.5),"код для проверки","нормальный код")</f>
        <v/>
      </c>
      <c r="W600">
        <f>IF(N600&lt;SUMIFS(L:L,R:R,1,E:E,E600)/SUMIFS(K:K,R:R,1,E:E,E600)*0.5,"Низшая четверть",IF(N600&lt;SUMIFS(L:L,R:R,1,E:E,E600)/SUMIFS(K:K,R:R,1,E:E,E600),"Вторая четверть","Больше половины"))</f>
        <v/>
      </c>
      <c r="X600">
        <f>IF(O600&lt;SUMIFS(M:M,R:R,1,E:E,E600)/SUMIFS(L:L,R:R,1,E:E,E600)*0.5,"Низшая четверть",IF(O600&lt;SUMIFS(M:M,R:R,1,E:E,E600)/SUMIFS(L:L,R:R,1,E:E,E600),"Вторая четверть","Больше половины"))</f>
        <v/>
      </c>
      <c r="Y600" t="n">
        <v>27</v>
      </c>
    </row>
    <row r="601">
      <c r="A601" s="1" t="inlineStr">
        <is>
          <t>53000140</t>
        </is>
      </c>
      <c r="B601" s="2" t="inlineStr">
        <is>
          <t>820657735</t>
        </is>
      </c>
      <c r="C601" s="3" t="inlineStr">
        <is>
          <t>Одежда для детей</t>
        </is>
      </c>
      <c r="D601" s="2" t="inlineStr">
        <is>
          <t>Головные детские уборы для девочек</t>
        </is>
      </c>
      <c r="E601" s="3" t="inlineStr">
        <is>
          <t>530 Панама детская для девочек</t>
        </is>
      </c>
      <c r="F601" s="2" t="inlineStr">
        <is>
          <t>весна, лето</t>
        </is>
      </c>
      <c r="G601" s="3" t="inlineStr">
        <is>
          <t>kari</t>
        </is>
      </c>
      <c r="H601" s="2" t="inlineStr">
        <is>
          <t>Никонорова Алина</t>
        </is>
      </c>
      <c r="J601" s="3" t="inlineStr">
        <is>
          <t>2026SS</t>
        </is>
      </c>
      <c r="K601" s="3" t="n">
        <v>3887</v>
      </c>
      <c r="L601" s="3" t="n">
        <v>422</v>
      </c>
      <c r="M601" s="3" t="n">
        <v>6</v>
      </c>
      <c r="N601" s="4">
        <f>IFERROR(L601/K601,0)</f>
        <v/>
      </c>
      <c r="O601" s="4">
        <f>IFERROR(M601/L601,0)</f>
        <v/>
      </c>
      <c r="P601" t="n">
        <v>934</v>
      </c>
      <c r="Q601" s="5" t="n">
        <v>0.6666666666666666</v>
      </c>
      <c r="R601" s="7" t="n">
        <v>1</v>
      </c>
      <c r="S601">
        <f>IF(OR(N601&lt;$T$1*0.5,O601&lt;$U$1*0.5),"код для проверки","нормальный код")</f>
        <v/>
      </c>
      <c r="T601">
        <f>IF(N601&lt;$T$1*0.5,"Низшая четверть",IF(N601&lt;$T$1,"Вторая четверть","Больше половины"))</f>
        <v/>
      </c>
      <c r="U601">
        <f>IF(O601&lt;$U$1*0.5,"Низшая четверть",IF(O601&lt;$U$1,"Вторая четверть","Больше половины"))</f>
        <v/>
      </c>
      <c r="V601">
        <f>IF(OR(N601&lt;SUMIFS(L:L,R:R,1,E:E,E601)/SUMIFS(K:K,R:R,1,E:E,E601)*0.5,O601&lt;SUMIFS(M:M,R:R,1,E:E,E601)/SUMIFS(L:L,R:R,1,E:E,E601)*0.5),"код для проверки","нормальный код")</f>
        <v/>
      </c>
      <c r="W601">
        <f>IF(N601&lt;SUMIFS(L:L,R:R,1,E:E,E601)/SUMIFS(K:K,R:R,1,E:E,E601)*0.5,"Низшая четверть",IF(N601&lt;SUMIFS(L:L,R:R,1,E:E,E601)/SUMIFS(K:K,R:R,1,E:E,E601),"Вторая четверть","Больше половины"))</f>
        <v/>
      </c>
      <c r="X601">
        <f>IF(O601&lt;SUMIFS(M:M,R:R,1,E:E,E601)/SUMIFS(L:L,R:R,1,E:E,E601)*0.5,"Низшая четверть",IF(O601&lt;SUMIFS(M:M,R:R,1,E:E,E601)/SUMIFS(L:L,R:R,1,E:E,E601),"Вторая четверть","Больше половины"))</f>
        <v/>
      </c>
      <c r="Y601" t="n">
        <v>6</v>
      </c>
    </row>
    <row r="602">
      <c r="A602" s="1" t="inlineStr">
        <is>
          <t>h7700150</t>
        </is>
      </c>
      <c r="B602" s="2" t="inlineStr">
        <is>
          <t>782180815</t>
        </is>
      </c>
      <c r="C602" s="3" t="inlineStr">
        <is>
          <t>Одежда и аксессуары</t>
        </is>
      </c>
      <c r="D602" s="2" t="inlineStr">
        <is>
          <t>Купальники женские</t>
        </is>
      </c>
      <c r="E602" s="3" t="inlineStr">
        <is>
          <t>h77 Одежда пляжная женская</t>
        </is>
      </c>
      <c r="F602" s="2" t="inlineStr">
        <is>
          <t>лето</t>
        </is>
      </c>
      <c r="G602" s="3" t="inlineStr">
        <is>
          <t>kari</t>
        </is>
      </c>
      <c r="H602" s="2" t="inlineStr">
        <is>
          <t>Зиннуров Ильнур</t>
        </is>
      </c>
      <c r="J602" s="3" t="inlineStr">
        <is>
          <t>2026SS</t>
        </is>
      </c>
      <c r="K602" s="3" t="n">
        <v>3884</v>
      </c>
      <c r="L602" s="3" t="n">
        <v>219</v>
      </c>
      <c r="M602" s="3" t="n">
        <v>0</v>
      </c>
      <c r="N602" s="4">
        <f>IFERROR(L602/K602,0)</f>
        <v/>
      </c>
      <c r="O602" s="4">
        <f>IFERROR(M602/L602,0)</f>
        <v/>
      </c>
      <c r="P602" t="n">
        <v>2851</v>
      </c>
      <c r="Q602" s="5" t="n">
        <v>1</v>
      </c>
      <c r="R602" s="7" t="n">
        <v>1</v>
      </c>
      <c r="S602">
        <f>IF(OR(N602&lt;$T$1*0.5,O602&lt;$U$1*0.5),"код для проверки","нормальный код")</f>
        <v/>
      </c>
      <c r="T602">
        <f>IF(N602&lt;$T$1*0.5,"Низшая четверть",IF(N602&lt;$T$1,"Вторая четверть","Больше половины"))</f>
        <v/>
      </c>
      <c r="U602">
        <f>IF(O602&lt;$U$1*0.5,"Низшая четверть",IF(O602&lt;$U$1,"Вторая четверть","Больше половины"))</f>
        <v/>
      </c>
      <c r="V602">
        <f>IF(OR(N602&lt;SUMIFS(L:L,R:R,1,E:E,E602)/SUMIFS(K:K,R:R,1,E:E,E602)*0.5,O602&lt;SUMIFS(M:M,R:R,1,E:E,E602)/SUMIFS(L:L,R:R,1,E:E,E602)*0.5),"код для проверки","нормальный код")</f>
        <v/>
      </c>
      <c r="W602">
        <f>IF(N602&lt;SUMIFS(L:L,R:R,1,E:E,E602)/SUMIFS(K:K,R:R,1,E:E,E602)*0.5,"Низшая четверть",IF(N602&lt;SUMIFS(L:L,R:R,1,E:E,E602)/SUMIFS(K:K,R:R,1,E:E,E602),"Вторая четверть","Больше половины"))</f>
        <v/>
      </c>
      <c r="X602">
        <f>IF(O602&lt;SUMIFS(M:M,R:R,1,E:E,E602)/SUMIFS(L:L,R:R,1,E:E,E602)*0.5,"Низшая четверть",IF(O602&lt;SUMIFS(M:M,R:R,1,E:E,E602)/SUMIFS(L:L,R:R,1,E:E,E602),"Вторая четверть","Больше половины"))</f>
        <v/>
      </c>
      <c r="Y602" t="n">
        <v>8</v>
      </c>
    </row>
    <row r="603">
      <c r="A603" s="1" t="inlineStr">
        <is>
          <t>09400940</t>
        </is>
      </c>
      <c r="B603" s="2" t="inlineStr">
        <is>
          <t>712237394</t>
        </is>
      </c>
      <c r="C603" s="3" t="inlineStr">
        <is>
          <t>Одежда и аксессуары</t>
        </is>
      </c>
      <c r="D603" s="2" t="inlineStr">
        <is>
          <t>Купальники женские</t>
        </is>
      </c>
      <c r="E603" s="3" t="inlineStr">
        <is>
          <t>094 Купальник</t>
        </is>
      </c>
      <c r="F603" s="2" t="inlineStr">
        <is>
          <t>лето</t>
        </is>
      </c>
      <c r="G603" s="3" t="inlineStr">
        <is>
          <t>kari</t>
        </is>
      </c>
      <c r="H603" s="2" t="inlineStr">
        <is>
          <t>Никонорова Алина</t>
        </is>
      </c>
      <c r="J603" s="3" t="inlineStr">
        <is>
          <t>2026SS</t>
        </is>
      </c>
      <c r="K603" s="3" t="n">
        <v>3884</v>
      </c>
      <c r="L603" s="3" t="n">
        <v>5371</v>
      </c>
      <c r="M603" s="3" t="n">
        <v>24</v>
      </c>
      <c r="N603" s="4">
        <f>IFERROR(L603/K603,0)</f>
        <v/>
      </c>
      <c r="O603" s="4">
        <f>IFERROR(M603/L603,0)</f>
        <v/>
      </c>
      <c r="P603" t="n">
        <v>1555</v>
      </c>
      <c r="Q603" s="5" t="n">
        <v>0.6666666666666666</v>
      </c>
      <c r="R603" s="7" t="n">
        <v>1</v>
      </c>
      <c r="S603">
        <f>IF(OR(N603&lt;$T$1*0.5,O603&lt;$U$1*0.5),"код для проверки","нормальный код")</f>
        <v/>
      </c>
      <c r="T603">
        <f>IF(N603&lt;$T$1*0.5,"Низшая четверть",IF(N603&lt;$T$1,"Вторая четверть","Больше половины"))</f>
        <v/>
      </c>
      <c r="U603">
        <f>IF(O603&lt;$U$1*0.5,"Низшая четверть",IF(O603&lt;$U$1,"Вторая четверть","Больше половины"))</f>
        <v/>
      </c>
      <c r="V603">
        <f>IF(OR(N603&lt;SUMIFS(L:L,R:R,1,E:E,E603)/SUMIFS(K:K,R:R,1,E:E,E603)*0.5,O603&lt;SUMIFS(M:M,R:R,1,E:E,E603)/SUMIFS(L:L,R:R,1,E:E,E603)*0.5),"код для проверки","нормальный код")</f>
        <v/>
      </c>
      <c r="W603">
        <f>IF(N603&lt;SUMIFS(L:L,R:R,1,E:E,E603)/SUMIFS(K:K,R:R,1,E:E,E603)*0.5,"Низшая четверть",IF(N603&lt;SUMIFS(L:L,R:R,1,E:E,E603)/SUMIFS(K:K,R:R,1,E:E,E603),"Вторая четверть","Больше половины"))</f>
        <v/>
      </c>
      <c r="X603">
        <f>IF(O603&lt;SUMIFS(M:M,R:R,1,E:E,E603)/SUMIFS(L:L,R:R,1,E:E,E603)*0.5,"Низшая четверть",IF(O603&lt;SUMIFS(M:M,R:R,1,E:E,E603)/SUMIFS(L:L,R:R,1,E:E,E603),"Вторая четверть","Больше половины"))</f>
        <v/>
      </c>
      <c r="Y603" t="n">
        <v>26</v>
      </c>
    </row>
    <row r="604">
      <c r="A604" s="1" t="inlineStr">
        <is>
          <t>094000T0</t>
        </is>
      </c>
      <c r="B604" s="2" t="inlineStr">
        <is>
          <t>756548788</t>
        </is>
      </c>
      <c r="C604" s="3" t="inlineStr">
        <is>
          <t>Одежда и аксессуары</t>
        </is>
      </c>
      <c r="D604" s="2" t="inlineStr">
        <is>
          <t>Купальники женские</t>
        </is>
      </c>
      <c r="E604" s="3" t="inlineStr">
        <is>
          <t>094 Купальник</t>
        </is>
      </c>
      <c r="F604" s="2" t="inlineStr">
        <is>
          <t>лето</t>
        </is>
      </c>
      <c r="G604" s="3" t="inlineStr">
        <is>
          <t>kari</t>
        </is>
      </c>
      <c r="H604" s="2" t="inlineStr">
        <is>
          <t>Никонорова Алина</t>
        </is>
      </c>
      <c r="J604" s="3" t="inlineStr">
        <is>
          <t>2026SS</t>
        </is>
      </c>
      <c r="K604" s="3" t="n">
        <v>3850</v>
      </c>
      <c r="L604" s="3" t="n">
        <v>1760</v>
      </c>
      <c r="M604" s="3" t="n">
        <v>11</v>
      </c>
      <c r="N604" s="4">
        <f>IFERROR(L604/K604,0)</f>
        <v/>
      </c>
      <c r="O604" s="4">
        <f>IFERROR(M604/L604,0)</f>
        <v/>
      </c>
      <c r="P604" t="n">
        <v>3706</v>
      </c>
      <c r="Q604" s="5" t="n">
        <v>0.6666666666666666</v>
      </c>
      <c r="R604" s="7" t="n">
        <v>1</v>
      </c>
      <c r="S604">
        <f>IF(OR(N604&lt;$T$1*0.5,O604&lt;$U$1*0.5),"код для проверки","нормальный код")</f>
        <v/>
      </c>
      <c r="T604">
        <f>IF(N604&lt;$T$1*0.5,"Низшая четверть",IF(N604&lt;$T$1,"Вторая четверть","Больше половины"))</f>
        <v/>
      </c>
      <c r="U604">
        <f>IF(O604&lt;$U$1*0.5,"Низшая четверть",IF(O604&lt;$U$1,"Вторая четверть","Больше половины"))</f>
        <v/>
      </c>
      <c r="V604">
        <f>IF(OR(N604&lt;SUMIFS(L:L,R:R,1,E:E,E604)/SUMIFS(K:K,R:R,1,E:E,E604)*0.5,O604&lt;SUMIFS(M:M,R:R,1,E:E,E604)/SUMIFS(L:L,R:R,1,E:E,E604)*0.5),"код для проверки","нормальный код")</f>
        <v/>
      </c>
      <c r="W604">
        <f>IF(N604&lt;SUMIFS(L:L,R:R,1,E:E,E604)/SUMIFS(K:K,R:R,1,E:E,E604)*0.5,"Низшая четверть",IF(N604&lt;SUMIFS(L:L,R:R,1,E:E,E604)/SUMIFS(K:K,R:R,1,E:E,E604),"Вторая четверть","Больше половины"))</f>
        <v/>
      </c>
      <c r="X604">
        <f>IF(O604&lt;SUMIFS(M:M,R:R,1,E:E,E604)/SUMIFS(L:L,R:R,1,E:E,E604)*0.5,"Низшая четверть",IF(O604&lt;SUMIFS(M:M,R:R,1,E:E,E604)/SUMIFS(L:L,R:R,1,E:E,E604),"Вторая четверть","Больше половины"))</f>
        <v/>
      </c>
      <c r="Y604" t="n">
        <v>20</v>
      </c>
    </row>
    <row r="605">
      <c r="A605" s="1" t="inlineStr">
        <is>
          <t>44800060</t>
        </is>
      </c>
      <c r="B605" s="2" t="inlineStr">
        <is>
          <t>879308815</t>
        </is>
      </c>
      <c r="C605" s="3" t="inlineStr">
        <is>
          <t>Одежда для детей</t>
        </is>
      </c>
      <c r="D605" s="2" t="inlineStr">
        <is>
          <t>Брюки детские для девочек</t>
        </is>
      </c>
      <c r="E605" s="3" t="inlineStr">
        <is>
          <t>448 Брюки спортивные утепленные для девочек</t>
        </is>
      </c>
      <c r="F605" s="2" t="inlineStr">
        <is>
          <t>весна, осень, зима</t>
        </is>
      </c>
      <c r="G605" s="3" t="inlineStr">
        <is>
          <t>kari</t>
        </is>
      </c>
      <c r="H605" s="2" t="inlineStr">
        <is>
          <t>Зиннуров Ильнур</t>
        </is>
      </c>
      <c r="J605" s="3" t="inlineStr">
        <is>
          <t>2026SS</t>
        </is>
      </c>
      <c r="K605" s="3" t="n">
        <v>3843</v>
      </c>
      <c r="L605" s="3" t="n">
        <v>292</v>
      </c>
      <c r="M605" s="3" t="n">
        <v>21</v>
      </c>
      <c r="N605" s="4">
        <f>IFERROR(L605/K605,0)</f>
        <v/>
      </c>
      <c r="O605" s="4">
        <f>IFERROR(M605/L605,0)</f>
        <v/>
      </c>
      <c r="P605" t="n">
        <v>258</v>
      </c>
      <c r="Q605" s="5" t="n">
        <v>1</v>
      </c>
      <c r="R605" s="7" t="n">
        <v>1</v>
      </c>
      <c r="S605">
        <f>IF(OR(N605&lt;$T$1*0.5,O605&lt;$U$1*0.5),"код для проверки","нормальный код")</f>
        <v/>
      </c>
      <c r="T605">
        <f>IF(N605&lt;$T$1*0.5,"Низшая четверть",IF(N605&lt;$T$1,"Вторая четверть","Больше половины"))</f>
        <v/>
      </c>
      <c r="U605">
        <f>IF(O605&lt;$U$1*0.5,"Низшая четверть",IF(O605&lt;$U$1,"Вторая четверть","Больше половины"))</f>
        <v/>
      </c>
      <c r="V605">
        <f>IF(OR(N605&lt;SUMIFS(L:L,R:R,1,E:E,E605)/SUMIFS(K:K,R:R,1,E:E,E605)*0.5,O605&lt;SUMIFS(M:M,R:R,1,E:E,E605)/SUMIFS(L:L,R:R,1,E:E,E605)*0.5),"код для проверки","нормальный код")</f>
        <v/>
      </c>
      <c r="W605">
        <f>IF(N605&lt;SUMIFS(L:L,R:R,1,E:E,E605)/SUMIFS(K:K,R:R,1,E:E,E605)*0.5,"Низшая четверть",IF(N605&lt;SUMIFS(L:L,R:R,1,E:E,E605)/SUMIFS(K:K,R:R,1,E:E,E605),"Вторая четверть","Больше половины"))</f>
        <v/>
      </c>
      <c r="X605">
        <f>IF(O605&lt;SUMIFS(M:M,R:R,1,E:E,E605)/SUMIFS(L:L,R:R,1,E:E,E605)*0.5,"Низшая четверть",IF(O605&lt;SUMIFS(M:M,R:R,1,E:E,E605)/SUMIFS(L:L,R:R,1,E:E,E605),"Вторая четверть","Больше половины"))</f>
        <v/>
      </c>
      <c r="Y605" t="n">
        <v>7</v>
      </c>
    </row>
    <row r="606">
      <c r="A606" s="1" t="inlineStr">
        <is>
          <t>92500080</t>
        </is>
      </c>
      <c r="B606" s="2" t="inlineStr">
        <is>
          <t>766639188</t>
        </is>
      </c>
      <c r="C606" s="3" t="inlineStr">
        <is>
          <t>Одежда для детей</t>
        </is>
      </c>
      <c r="D606" s="2" t="inlineStr">
        <is>
          <t>Одежда для новорожденных</t>
        </is>
      </c>
      <c r="E606" s="3" t="inlineStr">
        <is>
          <t>925 Платье-боди</t>
        </is>
      </c>
      <c r="F606" s="2" t="inlineStr">
        <is>
          <t>лето</t>
        </is>
      </c>
      <c r="G606" s="3" t="inlineStr">
        <is>
          <t>Kari baby</t>
        </is>
      </c>
      <c r="H606" s="2" t="inlineStr">
        <is>
          <t>Зиннуров Ильнур</t>
        </is>
      </c>
      <c r="J606" s="3" t="inlineStr">
        <is>
          <t>2026SS</t>
        </is>
      </c>
      <c r="K606" s="3" t="n">
        <v>3831</v>
      </c>
      <c r="L606" s="3" t="n">
        <v>1695</v>
      </c>
      <c r="M606" s="3" t="n">
        <v>5</v>
      </c>
      <c r="N606" s="4">
        <f>IFERROR(L606/K606,0)</f>
        <v/>
      </c>
      <c r="O606" s="4">
        <f>IFERROR(M606/L606,0)</f>
        <v/>
      </c>
      <c r="P606" t="n">
        <v>653</v>
      </c>
      <c r="Q606" s="5" t="n">
        <v>1</v>
      </c>
      <c r="R606" s="7" t="n">
        <v>1</v>
      </c>
      <c r="S606">
        <f>IF(OR(N606&lt;$T$1*0.5,O606&lt;$U$1*0.5),"код для проверки","нормальный код")</f>
        <v/>
      </c>
      <c r="T606">
        <f>IF(N606&lt;$T$1*0.5,"Низшая четверть",IF(N606&lt;$T$1,"Вторая четверть","Больше половины"))</f>
        <v/>
      </c>
      <c r="U606">
        <f>IF(O606&lt;$U$1*0.5,"Низшая четверть",IF(O606&lt;$U$1,"Вторая четверть","Больше половины"))</f>
        <v/>
      </c>
      <c r="V606">
        <f>IF(OR(N606&lt;SUMIFS(L:L,R:R,1,E:E,E606)/SUMIFS(K:K,R:R,1,E:E,E606)*0.5,O606&lt;SUMIFS(M:M,R:R,1,E:E,E606)/SUMIFS(L:L,R:R,1,E:E,E606)*0.5),"код для проверки","нормальный код")</f>
        <v/>
      </c>
      <c r="W606">
        <f>IF(N606&lt;SUMIFS(L:L,R:R,1,E:E,E606)/SUMIFS(K:K,R:R,1,E:E,E606)*0.5,"Низшая четверть",IF(N606&lt;SUMIFS(L:L,R:R,1,E:E,E606)/SUMIFS(K:K,R:R,1,E:E,E606),"Вторая четверть","Больше половины"))</f>
        <v/>
      </c>
      <c r="X606">
        <f>IF(O606&lt;SUMIFS(M:M,R:R,1,E:E,E606)/SUMIFS(L:L,R:R,1,E:E,E606)*0.5,"Низшая четверть",IF(O606&lt;SUMIFS(M:M,R:R,1,E:E,E606)/SUMIFS(L:L,R:R,1,E:E,E606),"Вторая четверть","Больше половины"))</f>
        <v/>
      </c>
      <c r="Y606" t="n">
        <v>14</v>
      </c>
    </row>
    <row r="607">
      <c r="A607" s="1" t="inlineStr">
        <is>
          <t>a8400010</t>
        </is>
      </c>
      <c r="B607" s="2" t="inlineStr">
        <is>
          <t>772678762</t>
        </is>
      </c>
      <c r="C607" s="3" t="inlineStr">
        <is>
          <t>Одежда для детей</t>
        </is>
      </c>
      <c r="D607" s="2" t="inlineStr">
        <is>
          <t>Свитера детские для девочек</t>
        </is>
      </c>
      <c r="E607" s="3" t="inlineStr">
        <is>
          <t>a84 Толстовка-худи для девочек</t>
        </is>
      </c>
      <c r="F607" s="2" t="inlineStr">
        <is>
          <t>весна, лето, осень</t>
        </is>
      </c>
      <c r="G607" s="3" t="inlineStr">
        <is>
          <t>kari</t>
        </is>
      </c>
      <c r="H607" s="2" t="inlineStr">
        <is>
          <t>Зиннуров Ильнур</t>
        </is>
      </c>
      <c r="J607" s="3" t="inlineStr">
        <is>
          <t>2026SS</t>
        </is>
      </c>
      <c r="K607" s="3" t="n">
        <v>3809</v>
      </c>
      <c r="L607" s="3" t="n">
        <v>305</v>
      </c>
      <c r="M607" s="3" t="n">
        <v>2</v>
      </c>
      <c r="N607" s="4">
        <f>IFERROR(L607/K607,0)</f>
        <v/>
      </c>
      <c r="O607" s="4">
        <f>IFERROR(M607/L607,0)</f>
        <v/>
      </c>
      <c r="P607" t="n">
        <v>510</v>
      </c>
      <c r="Q607" s="5" t="n">
        <v>1</v>
      </c>
      <c r="R607" s="7" t="n">
        <v>1</v>
      </c>
      <c r="S607">
        <f>IF(OR(N607&lt;$T$1*0.5,O607&lt;$U$1*0.5),"код для проверки","нормальный код")</f>
        <v/>
      </c>
      <c r="T607">
        <f>IF(N607&lt;$T$1*0.5,"Низшая четверть",IF(N607&lt;$T$1,"Вторая четверть","Больше половины"))</f>
        <v/>
      </c>
      <c r="U607">
        <f>IF(O607&lt;$U$1*0.5,"Низшая четверть",IF(O607&lt;$U$1,"Вторая четверть","Больше половины"))</f>
        <v/>
      </c>
      <c r="V607">
        <f>IF(OR(N607&lt;SUMIFS(L:L,R:R,1,E:E,E607)/SUMIFS(K:K,R:R,1,E:E,E607)*0.5,O607&lt;SUMIFS(M:M,R:R,1,E:E,E607)/SUMIFS(L:L,R:R,1,E:E,E607)*0.5),"код для проверки","нормальный код")</f>
        <v/>
      </c>
      <c r="W607">
        <f>IF(N607&lt;SUMIFS(L:L,R:R,1,E:E,E607)/SUMIFS(K:K,R:R,1,E:E,E607)*0.5,"Низшая четверть",IF(N607&lt;SUMIFS(L:L,R:R,1,E:E,E607)/SUMIFS(K:K,R:R,1,E:E,E607),"Вторая четверть","Больше половины"))</f>
        <v/>
      </c>
      <c r="X607">
        <f>IF(O607&lt;SUMIFS(M:M,R:R,1,E:E,E607)/SUMIFS(L:L,R:R,1,E:E,E607)*0.5,"Низшая четверть",IF(O607&lt;SUMIFS(M:M,R:R,1,E:E,E607)/SUMIFS(L:L,R:R,1,E:E,E607),"Вторая четверть","Больше половины"))</f>
        <v/>
      </c>
      <c r="Y607" t="n">
        <v>22</v>
      </c>
    </row>
    <row r="608">
      <c r="A608" s="1" t="inlineStr">
        <is>
          <t>88300280</t>
        </is>
      </c>
      <c r="B608" s="2" t="inlineStr">
        <is>
          <t>697438111</t>
        </is>
      </c>
      <c r="C608" s="3" t="inlineStr">
        <is>
          <t>Одежда для детей</t>
        </is>
      </c>
      <c r="D608" s="2" t="inlineStr">
        <is>
          <t>Платья, майки, футболки детские для девочек</t>
        </is>
      </c>
      <c r="E608" s="3" t="inlineStr">
        <is>
          <t>883 Футболка длинный рукав детская для девочек</t>
        </is>
      </c>
      <c r="F608" s="2" t="inlineStr">
        <is>
          <t>всесезонный</t>
        </is>
      </c>
      <c r="G608" s="3" t="inlineStr">
        <is>
          <t>kari</t>
        </is>
      </c>
      <c r="H608" s="2" t="inlineStr">
        <is>
          <t>Зиннуров Ильнур</t>
        </is>
      </c>
      <c r="J608" s="3" t="inlineStr">
        <is>
          <t>2026SS</t>
        </is>
      </c>
      <c r="K608" s="3" t="n">
        <v>3787</v>
      </c>
      <c r="L608" s="3" t="n">
        <v>464</v>
      </c>
      <c r="M608" s="3" t="n">
        <v>5</v>
      </c>
      <c r="N608" s="4">
        <f>IFERROR(L608/K608,0)</f>
        <v/>
      </c>
      <c r="O608" s="4">
        <f>IFERROR(M608/L608,0)</f>
        <v/>
      </c>
      <c r="P608" t="n">
        <v>345</v>
      </c>
      <c r="Q608" s="5" t="n">
        <v>1</v>
      </c>
      <c r="R608" s="7" t="n">
        <v>1</v>
      </c>
      <c r="S608">
        <f>IF(OR(N608&lt;$T$1*0.5,O608&lt;$U$1*0.5),"код для проверки","нормальный код")</f>
        <v/>
      </c>
      <c r="T608">
        <f>IF(N608&lt;$T$1*0.5,"Низшая четверть",IF(N608&lt;$T$1,"Вторая четверть","Больше половины"))</f>
        <v/>
      </c>
      <c r="U608">
        <f>IF(O608&lt;$U$1*0.5,"Низшая четверть",IF(O608&lt;$U$1,"Вторая четверть","Больше половины"))</f>
        <v/>
      </c>
      <c r="V608">
        <f>IF(OR(N608&lt;SUMIFS(L:L,R:R,1,E:E,E608)/SUMIFS(K:K,R:R,1,E:E,E608)*0.5,O608&lt;SUMIFS(M:M,R:R,1,E:E,E608)/SUMIFS(L:L,R:R,1,E:E,E608)*0.5),"код для проверки","нормальный код")</f>
        <v/>
      </c>
      <c r="W608">
        <f>IF(N608&lt;SUMIFS(L:L,R:R,1,E:E,E608)/SUMIFS(K:K,R:R,1,E:E,E608)*0.5,"Низшая четверть",IF(N608&lt;SUMIFS(L:L,R:R,1,E:E,E608)/SUMIFS(K:K,R:R,1,E:E,E608),"Вторая четверть","Больше половины"))</f>
        <v/>
      </c>
      <c r="X608">
        <f>IF(O608&lt;SUMIFS(M:M,R:R,1,E:E,E608)/SUMIFS(L:L,R:R,1,E:E,E608)*0.5,"Низшая четверть",IF(O608&lt;SUMIFS(M:M,R:R,1,E:E,E608)/SUMIFS(L:L,R:R,1,E:E,E608),"Вторая четверть","Больше половины"))</f>
        <v/>
      </c>
      <c r="Y608" t="n">
        <v>16</v>
      </c>
    </row>
    <row r="609">
      <c r="A609" s="1" t="inlineStr">
        <is>
          <t>29000060</t>
        </is>
      </c>
      <c r="B609" s="2" t="inlineStr">
        <is>
          <t>698694796</t>
        </is>
      </c>
      <c r="C609" s="3" t="inlineStr">
        <is>
          <t>Одежда для детей</t>
        </is>
      </c>
      <c r="D609" s="2" t="inlineStr">
        <is>
          <t>Брюки детские для девочек</t>
        </is>
      </c>
      <c r="E609" s="3" t="inlineStr">
        <is>
          <t>290 Штаны детские для девочек</t>
        </is>
      </c>
      <c r="F609" s="2" t="inlineStr">
        <is>
          <t>всесезонный</t>
        </is>
      </c>
      <c r="G609" s="3" t="inlineStr">
        <is>
          <t>Kari KIDS</t>
        </is>
      </c>
      <c r="H609" s="2" t="inlineStr">
        <is>
          <t>Зиннуров Ильнур</t>
        </is>
      </c>
      <c r="J609" s="3" t="inlineStr">
        <is>
          <t>2026SS</t>
        </is>
      </c>
      <c r="K609" s="3" t="n">
        <v>3784</v>
      </c>
      <c r="L609" s="3" t="n">
        <v>343</v>
      </c>
      <c r="M609" s="3" t="n">
        <v>9</v>
      </c>
      <c r="N609" s="4">
        <f>IFERROR(L609/K609,0)</f>
        <v/>
      </c>
      <c r="O609" s="4">
        <f>IFERROR(M609/L609,0)</f>
        <v/>
      </c>
      <c r="P609" t="n">
        <v>355</v>
      </c>
      <c r="Q609" s="5" t="n">
        <v>0.8</v>
      </c>
      <c r="R609" s="7" t="n">
        <v>1</v>
      </c>
      <c r="S609">
        <f>IF(OR(N609&lt;$T$1*0.5,O609&lt;$U$1*0.5),"код для проверки","нормальный код")</f>
        <v/>
      </c>
      <c r="T609">
        <f>IF(N609&lt;$T$1*0.5,"Низшая четверть",IF(N609&lt;$T$1,"Вторая четверть","Больше половины"))</f>
        <v/>
      </c>
      <c r="U609">
        <f>IF(O609&lt;$U$1*0.5,"Низшая четверть",IF(O609&lt;$U$1,"Вторая четверть","Больше половины"))</f>
        <v/>
      </c>
      <c r="V609">
        <f>IF(OR(N609&lt;SUMIFS(L:L,R:R,1,E:E,E609)/SUMIFS(K:K,R:R,1,E:E,E609)*0.5,O609&lt;SUMIFS(M:M,R:R,1,E:E,E609)/SUMIFS(L:L,R:R,1,E:E,E609)*0.5),"код для проверки","нормальный код")</f>
        <v/>
      </c>
      <c r="W609">
        <f>IF(N609&lt;SUMIFS(L:L,R:R,1,E:E,E609)/SUMIFS(K:K,R:R,1,E:E,E609)*0.5,"Низшая четверть",IF(N609&lt;SUMIFS(L:L,R:R,1,E:E,E609)/SUMIFS(K:K,R:R,1,E:E,E609),"Вторая четверть","Больше половины"))</f>
        <v/>
      </c>
      <c r="X609">
        <f>IF(O609&lt;SUMIFS(M:M,R:R,1,E:E,E609)/SUMIFS(L:L,R:R,1,E:E,E609)*0.5,"Низшая четверть",IF(O609&lt;SUMIFS(M:M,R:R,1,E:E,E609)/SUMIFS(L:L,R:R,1,E:E,E609),"Вторая четверть","Больше половины"))</f>
        <v/>
      </c>
      <c r="Y609" t="n">
        <v>16</v>
      </c>
    </row>
    <row r="610">
      <c r="A610" s="1" t="inlineStr">
        <is>
          <t>a8800060</t>
        </is>
      </c>
      <c r="B610" s="2" t="inlineStr">
        <is>
          <t>772435685</t>
        </is>
      </c>
      <c r="C610" s="3" t="inlineStr">
        <is>
          <t>Одежда для детей</t>
        </is>
      </c>
      <c r="D610" s="2" t="inlineStr">
        <is>
          <t>Свитера детские для девочек</t>
        </is>
      </c>
      <c r="E610" s="3" t="inlineStr">
        <is>
          <t>a88 Толстовка на молнии для девочек</t>
        </is>
      </c>
      <c r="F610" s="2" t="inlineStr">
        <is>
          <t>весна, лето, осень</t>
        </is>
      </c>
      <c r="G610" s="3" t="inlineStr">
        <is>
          <t>kari</t>
        </is>
      </c>
      <c r="H610" s="2" t="inlineStr">
        <is>
          <t>Зиннуров Ильнур</t>
        </is>
      </c>
      <c r="J610" s="3" t="inlineStr">
        <is>
          <t>2026SS</t>
        </is>
      </c>
      <c r="K610" s="3" t="n">
        <v>3761</v>
      </c>
      <c r="L610" s="3" t="n">
        <v>553</v>
      </c>
      <c r="M610" s="3" t="n">
        <v>11</v>
      </c>
      <c r="N610" s="4">
        <f>IFERROR(L610/K610,0)</f>
        <v/>
      </c>
      <c r="O610" s="4">
        <f>IFERROR(M610/L610,0)</f>
        <v/>
      </c>
      <c r="P610" t="n">
        <v>598</v>
      </c>
      <c r="Q610" s="5" t="n">
        <v>1</v>
      </c>
      <c r="R610" s="7" t="n">
        <v>1</v>
      </c>
      <c r="S610">
        <f>IF(OR(N610&lt;$T$1*0.5,O610&lt;$U$1*0.5),"код для проверки","нормальный код")</f>
        <v/>
      </c>
      <c r="T610">
        <f>IF(N610&lt;$T$1*0.5,"Низшая четверть",IF(N610&lt;$T$1,"Вторая четверть","Больше половины"))</f>
        <v/>
      </c>
      <c r="U610">
        <f>IF(O610&lt;$U$1*0.5,"Низшая четверть",IF(O610&lt;$U$1,"Вторая четверть","Больше половины"))</f>
        <v/>
      </c>
      <c r="V610">
        <f>IF(OR(N610&lt;SUMIFS(L:L,R:R,1,E:E,E610)/SUMIFS(K:K,R:R,1,E:E,E610)*0.5,O610&lt;SUMIFS(M:M,R:R,1,E:E,E610)/SUMIFS(L:L,R:R,1,E:E,E610)*0.5),"код для проверки","нормальный код")</f>
        <v/>
      </c>
      <c r="W610">
        <f>IF(N610&lt;SUMIFS(L:L,R:R,1,E:E,E610)/SUMIFS(K:K,R:R,1,E:E,E610)*0.5,"Низшая четверть",IF(N610&lt;SUMIFS(L:L,R:R,1,E:E,E610)/SUMIFS(K:K,R:R,1,E:E,E610),"Вторая четверть","Больше половины"))</f>
        <v/>
      </c>
      <c r="X610">
        <f>IF(O610&lt;SUMIFS(M:M,R:R,1,E:E,E610)/SUMIFS(L:L,R:R,1,E:E,E610)*0.5,"Низшая четверть",IF(O610&lt;SUMIFS(M:M,R:R,1,E:E,E610)/SUMIFS(L:L,R:R,1,E:E,E610),"Вторая четверть","Больше половины"))</f>
        <v/>
      </c>
      <c r="Y610" t="n">
        <v>24</v>
      </c>
    </row>
    <row r="611">
      <c r="A611" s="1" t="inlineStr">
        <is>
          <t>094000X0</t>
        </is>
      </c>
      <c r="B611" s="2" t="inlineStr">
        <is>
          <t>831959618</t>
        </is>
      </c>
      <c r="C611" s="3" t="inlineStr">
        <is>
          <t>Одежда и аксессуары</t>
        </is>
      </c>
      <c r="D611" s="2" t="inlineStr">
        <is>
          <t>Купальники женские</t>
        </is>
      </c>
      <c r="E611" s="3" t="inlineStr">
        <is>
          <t>094 Купальник</t>
        </is>
      </c>
      <c r="F611" s="2" t="inlineStr">
        <is>
          <t>лето</t>
        </is>
      </c>
      <c r="G611" s="3" t="inlineStr">
        <is>
          <t>kari</t>
        </is>
      </c>
      <c r="H611" s="2" t="inlineStr">
        <is>
          <t>Никонорова Алина</t>
        </is>
      </c>
      <c r="J611" s="3" t="inlineStr">
        <is>
          <t>2026SS</t>
        </is>
      </c>
      <c r="K611" s="3" t="n">
        <v>3755</v>
      </c>
      <c r="L611" s="3" t="n">
        <v>2689</v>
      </c>
      <c r="M611" s="3" t="n">
        <v>28</v>
      </c>
      <c r="N611" s="4">
        <f>IFERROR(L611/K611,0)</f>
        <v/>
      </c>
      <c r="O611" s="4">
        <f>IFERROR(M611/L611,0)</f>
        <v/>
      </c>
      <c r="P611" t="n">
        <v>1490</v>
      </c>
      <c r="Q611" s="5" t="n">
        <v>0.5555555555555556</v>
      </c>
      <c r="R611" s="7" t="n">
        <v>1</v>
      </c>
      <c r="S611">
        <f>IF(OR(N611&lt;$T$1*0.5,O611&lt;$U$1*0.5),"код для проверки","нормальный код")</f>
        <v/>
      </c>
      <c r="T611">
        <f>IF(N611&lt;$T$1*0.5,"Низшая четверть",IF(N611&lt;$T$1,"Вторая четверть","Больше половины"))</f>
        <v/>
      </c>
      <c r="U611">
        <f>IF(O611&lt;$U$1*0.5,"Низшая четверть",IF(O611&lt;$U$1,"Вторая четверть","Больше половины"))</f>
        <v/>
      </c>
      <c r="V611">
        <f>IF(OR(N611&lt;SUMIFS(L:L,R:R,1,E:E,E611)/SUMIFS(K:K,R:R,1,E:E,E611)*0.5,O611&lt;SUMIFS(M:M,R:R,1,E:E,E611)/SUMIFS(L:L,R:R,1,E:E,E611)*0.5),"код для проверки","нормальный код")</f>
        <v/>
      </c>
      <c r="W611">
        <f>IF(N611&lt;SUMIFS(L:L,R:R,1,E:E,E611)/SUMIFS(K:K,R:R,1,E:E,E611)*0.5,"Низшая четверть",IF(N611&lt;SUMIFS(L:L,R:R,1,E:E,E611)/SUMIFS(K:K,R:R,1,E:E,E611),"Вторая четверть","Больше половины"))</f>
        <v/>
      </c>
      <c r="X611">
        <f>IF(O611&lt;SUMIFS(M:M,R:R,1,E:E,E611)/SUMIFS(L:L,R:R,1,E:E,E611)*0.5,"Низшая четверть",IF(O611&lt;SUMIFS(M:M,R:R,1,E:E,E611)/SUMIFS(L:L,R:R,1,E:E,E611),"Вторая четверть","Больше половины"))</f>
        <v/>
      </c>
      <c r="Y611" t="n">
        <v>27</v>
      </c>
    </row>
    <row r="612">
      <c r="A612" s="1" t="inlineStr">
        <is>
          <t>95500270</t>
        </is>
      </c>
      <c r="B612" s="2" t="inlineStr">
        <is>
          <t>895568509</t>
        </is>
      </c>
      <c r="C612" s="3" t="inlineStr">
        <is>
          <t>Одежда для детей</t>
        </is>
      </c>
      <c r="D612" s="2" t="inlineStr">
        <is>
          <t>Платья, майки, футболки детские для девочек</t>
        </is>
      </c>
      <c r="E612" s="3" t="inlineStr">
        <is>
          <t>955 Топ детский для девочек</t>
        </is>
      </c>
      <c r="F612" s="2" t="inlineStr">
        <is>
          <t>лето</t>
        </is>
      </c>
      <c r="G612" s="3" t="inlineStr">
        <is>
          <t>Kari KIDS</t>
        </is>
      </c>
      <c r="H612" s="2" t="inlineStr">
        <is>
          <t>Зиннуров Ильнур</t>
        </is>
      </c>
      <c r="J612" s="3" t="inlineStr">
        <is>
          <t>2026SS</t>
        </is>
      </c>
      <c r="K612" s="3" t="n">
        <v>3744</v>
      </c>
      <c r="L612" s="3" t="n">
        <v>570</v>
      </c>
      <c r="M612" s="3" t="n">
        <v>6</v>
      </c>
      <c r="N612" s="4">
        <f>IFERROR(L612/K612,0)</f>
        <v/>
      </c>
      <c r="O612" s="4">
        <f>IFERROR(M612/L612,0)</f>
        <v/>
      </c>
      <c r="P612" t="n">
        <v>678</v>
      </c>
      <c r="Q612" s="5" t="n">
        <v>1</v>
      </c>
      <c r="R612" s="7" t="n">
        <v>1</v>
      </c>
      <c r="S612">
        <f>IF(OR(N612&lt;$T$1*0.5,O612&lt;$U$1*0.5),"код для проверки","нормальный код")</f>
        <v/>
      </c>
      <c r="T612">
        <f>IF(N612&lt;$T$1*0.5,"Низшая четверть",IF(N612&lt;$T$1,"Вторая четверть","Больше половины"))</f>
        <v/>
      </c>
      <c r="U612">
        <f>IF(O612&lt;$U$1*0.5,"Низшая четверть",IF(O612&lt;$U$1,"Вторая четверть","Больше половины"))</f>
        <v/>
      </c>
      <c r="V612">
        <f>IF(OR(N612&lt;SUMIFS(L:L,R:R,1,E:E,E612)/SUMIFS(K:K,R:R,1,E:E,E612)*0.5,O612&lt;SUMIFS(M:M,R:R,1,E:E,E612)/SUMIFS(L:L,R:R,1,E:E,E612)*0.5),"код для проверки","нормальный код")</f>
        <v/>
      </c>
      <c r="W612">
        <f>IF(N612&lt;SUMIFS(L:L,R:R,1,E:E,E612)/SUMIFS(K:K,R:R,1,E:E,E612)*0.5,"Низшая четверть",IF(N612&lt;SUMIFS(L:L,R:R,1,E:E,E612)/SUMIFS(K:K,R:R,1,E:E,E612),"Вторая четверть","Больше половины"))</f>
        <v/>
      </c>
      <c r="X612">
        <f>IF(O612&lt;SUMIFS(M:M,R:R,1,E:E,E612)/SUMIFS(L:L,R:R,1,E:E,E612)*0.5,"Низшая четверть",IF(O612&lt;SUMIFS(M:M,R:R,1,E:E,E612)/SUMIFS(L:L,R:R,1,E:E,E612),"Вторая четверть","Больше половины"))</f>
        <v/>
      </c>
      <c r="Y612" t="n">
        <v>13</v>
      </c>
    </row>
    <row r="613">
      <c r="A613" s="1" t="inlineStr">
        <is>
          <t>094001N0</t>
        </is>
      </c>
      <c r="B613" s="2" t="inlineStr">
        <is>
          <t>804097397</t>
        </is>
      </c>
      <c r="C613" s="3" t="inlineStr">
        <is>
          <t>Одежда и аксессуары</t>
        </is>
      </c>
      <c r="D613" s="2" t="inlineStr">
        <is>
          <t>Купальники женские</t>
        </is>
      </c>
      <c r="E613" s="3" t="inlineStr">
        <is>
          <t>094 Купальник</t>
        </is>
      </c>
      <c r="F613" s="2" t="inlineStr">
        <is>
          <t>лето</t>
        </is>
      </c>
      <c r="G613" s="3" t="inlineStr">
        <is>
          <t>kari</t>
        </is>
      </c>
      <c r="H613" s="2" t="inlineStr">
        <is>
          <t>Никонорова Алина</t>
        </is>
      </c>
      <c r="J613" s="3" t="inlineStr">
        <is>
          <t>2026SS</t>
        </is>
      </c>
      <c r="K613" s="3" t="n">
        <v>3734</v>
      </c>
      <c r="L613" s="3" t="n">
        <v>2751</v>
      </c>
      <c r="M613" s="3" t="n">
        <v>18</v>
      </c>
      <c r="N613" s="4">
        <f>IFERROR(L613/K613,0)</f>
        <v/>
      </c>
      <c r="O613" s="4">
        <f>IFERROR(M613/L613,0)</f>
        <v/>
      </c>
      <c r="P613" t="n">
        <v>1199</v>
      </c>
      <c r="Q613" s="5" t="n">
        <v>0.5555555555555556</v>
      </c>
      <c r="R613" s="7" t="n">
        <v>1</v>
      </c>
      <c r="S613">
        <f>IF(OR(N613&lt;$T$1*0.5,O613&lt;$U$1*0.5),"код для проверки","нормальный код")</f>
        <v/>
      </c>
      <c r="T613">
        <f>IF(N613&lt;$T$1*0.5,"Низшая четверть",IF(N613&lt;$T$1,"Вторая четверть","Больше половины"))</f>
        <v/>
      </c>
      <c r="U613">
        <f>IF(O613&lt;$U$1*0.5,"Низшая четверть",IF(O613&lt;$U$1,"Вторая четверть","Больше половины"))</f>
        <v/>
      </c>
      <c r="V613">
        <f>IF(OR(N613&lt;SUMIFS(L:L,R:R,1,E:E,E613)/SUMIFS(K:K,R:R,1,E:E,E613)*0.5,O613&lt;SUMIFS(M:M,R:R,1,E:E,E613)/SUMIFS(L:L,R:R,1,E:E,E613)*0.5),"код для проверки","нормальный код")</f>
        <v/>
      </c>
      <c r="W613">
        <f>IF(N613&lt;SUMIFS(L:L,R:R,1,E:E,E613)/SUMIFS(K:K,R:R,1,E:E,E613)*0.5,"Низшая четверть",IF(N613&lt;SUMIFS(L:L,R:R,1,E:E,E613)/SUMIFS(K:K,R:R,1,E:E,E613),"Вторая четверть","Больше половины"))</f>
        <v/>
      </c>
      <c r="X613">
        <f>IF(O613&lt;SUMIFS(M:M,R:R,1,E:E,E613)/SUMIFS(L:L,R:R,1,E:E,E613)*0.5,"Низшая четверть",IF(O613&lt;SUMIFS(M:M,R:R,1,E:E,E613)/SUMIFS(L:L,R:R,1,E:E,E613),"Вторая четверть","Больше половины"))</f>
        <v/>
      </c>
      <c r="Y613" t="n">
        <v>18</v>
      </c>
    </row>
    <row r="614">
      <c r="A614" s="1" t="inlineStr">
        <is>
          <t>94000350</t>
        </is>
      </c>
      <c r="B614" s="2" t="inlineStr">
        <is>
          <t>839632192</t>
        </is>
      </c>
      <c r="C614" s="3" t="inlineStr">
        <is>
          <t>Одежда для детей</t>
        </is>
      </c>
      <c r="D614" s="2" t="inlineStr">
        <is>
          <t>Одежда для новорожденных</t>
        </is>
      </c>
      <c r="E614" s="3" t="inlineStr">
        <is>
          <t>940 Футболка для маленького мальчика</t>
        </is>
      </c>
      <c r="F614" s="2" t="inlineStr">
        <is>
          <t>всесезонный</t>
        </is>
      </c>
      <c r="G614" s="3" t="inlineStr">
        <is>
          <t>Kari baby</t>
        </is>
      </c>
      <c r="H614" s="2" t="inlineStr">
        <is>
          <t>Зиннуров Ильнур</t>
        </is>
      </c>
      <c r="J614" s="3" t="inlineStr">
        <is>
          <t>2026SS</t>
        </is>
      </c>
      <c r="K614" s="3" t="n">
        <v>3731</v>
      </c>
      <c r="L614" s="3" t="n">
        <v>1337</v>
      </c>
      <c r="M614" s="3" t="n">
        <v>8</v>
      </c>
      <c r="N614" s="4">
        <f>IFERROR(L614/K614,0)</f>
        <v/>
      </c>
      <c r="O614" s="4">
        <f>IFERROR(M614/L614,0)</f>
        <v/>
      </c>
      <c r="P614" t="n">
        <v>669</v>
      </c>
      <c r="Q614" s="5" t="n">
        <v>1</v>
      </c>
      <c r="R614" s="7" t="n">
        <v>1</v>
      </c>
      <c r="S614">
        <f>IF(OR(N614&lt;$T$1*0.5,O614&lt;$U$1*0.5),"код для проверки","нормальный код")</f>
        <v/>
      </c>
      <c r="T614">
        <f>IF(N614&lt;$T$1*0.5,"Низшая четверть",IF(N614&lt;$T$1,"Вторая четверть","Больше половины"))</f>
        <v/>
      </c>
      <c r="U614">
        <f>IF(O614&lt;$U$1*0.5,"Низшая четверть",IF(O614&lt;$U$1,"Вторая четверть","Больше половины"))</f>
        <v/>
      </c>
      <c r="V614">
        <f>IF(OR(N614&lt;SUMIFS(L:L,R:R,1,E:E,E614)/SUMIFS(K:K,R:R,1,E:E,E614)*0.5,O614&lt;SUMIFS(M:M,R:R,1,E:E,E614)/SUMIFS(L:L,R:R,1,E:E,E614)*0.5),"код для проверки","нормальный код")</f>
        <v/>
      </c>
      <c r="W614">
        <f>IF(N614&lt;SUMIFS(L:L,R:R,1,E:E,E614)/SUMIFS(K:K,R:R,1,E:E,E614)*0.5,"Низшая четверть",IF(N614&lt;SUMIFS(L:L,R:R,1,E:E,E614)/SUMIFS(K:K,R:R,1,E:E,E614),"Вторая четверть","Больше половины"))</f>
        <v/>
      </c>
      <c r="X614">
        <f>IF(O614&lt;SUMIFS(M:M,R:R,1,E:E,E614)/SUMIFS(L:L,R:R,1,E:E,E614)*0.5,"Низшая четверть",IF(O614&lt;SUMIFS(M:M,R:R,1,E:E,E614)/SUMIFS(L:L,R:R,1,E:E,E614),"Вторая четверть","Больше половины"))</f>
        <v/>
      </c>
      <c r="Y614" t="n">
        <v>14</v>
      </c>
    </row>
    <row r="615">
      <c r="A615" s="1" t="inlineStr">
        <is>
          <t>094001J0</t>
        </is>
      </c>
      <c r="B615" s="2" t="inlineStr">
        <is>
          <t>756547990</t>
        </is>
      </c>
      <c r="C615" s="3" t="inlineStr">
        <is>
          <t>Одежда и аксессуары</t>
        </is>
      </c>
      <c r="D615" s="2" t="inlineStr">
        <is>
          <t>Купальники женские</t>
        </is>
      </c>
      <c r="E615" s="3" t="inlineStr">
        <is>
          <t>094 Купальник</t>
        </is>
      </c>
      <c r="F615" s="2" t="inlineStr">
        <is>
          <t>лето</t>
        </is>
      </c>
      <c r="G615" s="3" t="inlineStr">
        <is>
          <t>kari</t>
        </is>
      </c>
      <c r="H615" s="2" t="inlineStr">
        <is>
          <t>Никонорова Алина</t>
        </is>
      </c>
      <c r="J615" s="3" t="inlineStr">
        <is>
          <t>2026SS</t>
        </is>
      </c>
      <c r="K615" s="3" t="n">
        <v>3726</v>
      </c>
      <c r="L615" s="3" t="n">
        <v>3556</v>
      </c>
      <c r="M615" s="3" t="n">
        <v>13</v>
      </c>
      <c r="N615" s="4">
        <f>IFERROR(L615/K615,0)</f>
        <v/>
      </c>
      <c r="O615" s="4">
        <f>IFERROR(M615/L615,0)</f>
        <v/>
      </c>
      <c r="P615" t="n">
        <v>1726</v>
      </c>
      <c r="Q615" s="5" t="n">
        <v>0.7777777777777778</v>
      </c>
      <c r="R615" s="7" t="n">
        <v>1</v>
      </c>
      <c r="S615">
        <f>IF(OR(N615&lt;$T$1*0.5,O615&lt;$U$1*0.5),"код для проверки","нормальный код")</f>
        <v/>
      </c>
      <c r="T615">
        <f>IF(N615&lt;$T$1*0.5,"Низшая четверть",IF(N615&lt;$T$1,"Вторая четверть","Больше половины"))</f>
        <v/>
      </c>
      <c r="U615">
        <f>IF(O615&lt;$U$1*0.5,"Низшая четверть",IF(O615&lt;$U$1,"Вторая четверть","Больше половины"))</f>
        <v/>
      </c>
      <c r="V615">
        <f>IF(OR(N615&lt;SUMIFS(L:L,R:R,1,E:E,E615)/SUMIFS(K:K,R:R,1,E:E,E615)*0.5,O615&lt;SUMIFS(M:M,R:R,1,E:E,E615)/SUMIFS(L:L,R:R,1,E:E,E615)*0.5),"код для проверки","нормальный код")</f>
        <v/>
      </c>
      <c r="W615">
        <f>IF(N615&lt;SUMIFS(L:L,R:R,1,E:E,E615)/SUMIFS(K:K,R:R,1,E:E,E615)*0.5,"Низшая четверть",IF(N615&lt;SUMIFS(L:L,R:R,1,E:E,E615)/SUMIFS(K:K,R:R,1,E:E,E615),"Вторая четверть","Больше половины"))</f>
        <v/>
      </c>
      <c r="X615">
        <f>IF(O615&lt;SUMIFS(M:M,R:R,1,E:E,E615)/SUMIFS(L:L,R:R,1,E:E,E615)*0.5,"Низшая четверть",IF(O615&lt;SUMIFS(M:M,R:R,1,E:E,E615)/SUMIFS(L:L,R:R,1,E:E,E615),"Вторая четверть","Больше половины"))</f>
        <v/>
      </c>
      <c r="Y615" t="n">
        <v>17</v>
      </c>
    </row>
    <row r="616">
      <c r="A616" s="1" t="inlineStr">
        <is>
          <t>31000940</t>
        </is>
      </c>
      <c r="B616" s="2" t="inlineStr">
        <is>
          <t>723105239</t>
        </is>
      </c>
      <c r="C616" s="3" t="inlineStr">
        <is>
          <t>Одежда для детей</t>
        </is>
      </c>
      <c r="D616" s="2" t="inlineStr">
        <is>
          <t>Футболки, майки, рубашки детские для мальчиков</t>
        </is>
      </c>
      <c r="E616" s="3" t="inlineStr">
        <is>
          <t>310 Футболка детская для мальчиков</t>
        </is>
      </c>
      <c r="F616" s="2" t="inlineStr">
        <is>
          <t>всесезонный</t>
        </is>
      </c>
      <c r="G616" s="3" t="inlineStr">
        <is>
          <t>Kari KIDS</t>
        </is>
      </c>
      <c r="H616" s="2" t="inlineStr">
        <is>
          <t>Зиннуров Ильнур</t>
        </is>
      </c>
      <c r="J616" s="3" t="inlineStr">
        <is>
          <t>2026SS</t>
        </is>
      </c>
      <c r="K616" s="3" t="n">
        <v>3725</v>
      </c>
      <c r="L616" s="3" t="n">
        <v>641</v>
      </c>
      <c r="M616" s="3" t="n">
        <v>4</v>
      </c>
      <c r="N616" s="4">
        <f>IFERROR(L616/K616,0)</f>
        <v/>
      </c>
      <c r="O616" s="4">
        <f>IFERROR(M616/L616,0)</f>
        <v/>
      </c>
      <c r="P616" t="n">
        <v>266</v>
      </c>
      <c r="Q616" s="5" t="n">
        <v>1</v>
      </c>
      <c r="R616" s="7" t="n">
        <v>1</v>
      </c>
      <c r="S616">
        <f>IF(OR(N616&lt;$T$1*0.5,O616&lt;$U$1*0.5),"код для проверки","нормальный код")</f>
        <v/>
      </c>
      <c r="T616">
        <f>IF(N616&lt;$T$1*0.5,"Низшая четверть",IF(N616&lt;$T$1,"Вторая четверть","Больше половины"))</f>
        <v/>
      </c>
      <c r="U616">
        <f>IF(O616&lt;$U$1*0.5,"Низшая четверть",IF(O616&lt;$U$1,"Вторая четверть","Больше половины"))</f>
        <v/>
      </c>
      <c r="V616">
        <f>IF(OR(N616&lt;SUMIFS(L:L,R:R,1,E:E,E616)/SUMIFS(K:K,R:R,1,E:E,E616)*0.5,O616&lt;SUMIFS(M:M,R:R,1,E:E,E616)/SUMIFS(L:L,R:R,1,E:E,E616)*0.5),"код для проверки","нормальный код")</f>
        <v/>
      </c>
      <c r="W616">
        <f>IF(N616&lt;SUMIFS(L:L,R:R,1,E:E,E616)/SUMIFS(K:K,R:R,1,E:E,E616)*0.5,"Низшая четверть",IF(N616&lt;SUMIFS(L:L,R:R,1,E:E,E616)/SUMIFS(K:K,R:R,1,E:E,E616),"Вторая четверть","Больше половины"))</f>
        <v/>
      </c>
      <c r="X616">
        <f>IF(O616&lt;SUMIFS(M:M,R:R,1,E:E,E616)/SUMIFS(L:L,R:R,1,E:E,E616)*0.5,"Низшая четверть",IF(O616&lt;SUMIFS(M:M,R:R,1,E:E,E616)/SUMIFS(L:L,R:R,1,E:E,E616),"Вторая четверть","Больше половины"))</f>
        <v/>
      </c>
      <c r="Y616" t="n">
        <v>17</v>
      </c>
    </row>
    <row r="617">
      <c r="A617" s="1" t="inlineStr">
        <is>
          <t>310000C0</t>
        </is>
      </c>
      <c r="B617" s="2" t="inlineStr">
        <is>
          <t>701976636</t>
        </is>
      </c>
      <c r="C617" s="3" t="inlineStr">
        <is>
          <t>Одежда для детей</t>
        </is>
      </c>
      <c r="D617" s="2" t="inlineStr">
        <is>
          <t>Футболки, майки, рубашки детские для мальчиков</t>
        </is>
      </c>
      <c r="E617" s="3" t="inlineStr">
        <is>
          <t>310 Футболка детская для мальчиков</t>
        </is>
      </c>
      <c r="F617" s="2" t="inlineStr">
        <is>
          <t>всесезонный</t>
        </is>
      </c>
      <c r="G617" s="3" t="inlineStr">
        <is>
          <t>Kari KIDS</t>
        </is>
      </c>
      <c r="H617" s="2" t="inlineStr">
        <is>
          <t>Зиннуров Ильнур</t>
        </is>
      </c>
      <c r="J617" s="3" t="inlineStr">
        <is>
          <t>2026SS</t>
        </is>
      </c>
      <c r="K617" s="3" t="n">
        <v>3720</v>
      </c>
      <c r="L617" s="3" t="n">
        <v>1219</v>
      </c>
      <c r="M617" s="3" t="n">
        <v>6</v>
      </c>
      <c r="N617" s="4">
        <f>IFERROR(L617/K617,0)</f>
        <v/>
      </c>
      <c r="O617" s="4">
        <f>IFERROR(M617/L617,0)</f>
        <v/>
      </c>
      <c r="P617" t="n">
        <v>347</v>
      </c>
      <c r="Q617" s="5" t="n">
        <v>1</v>
      </c>
      <c r="R617" s="7" t="n">
        <v>1</v>
      </c>
      <c r="S617">
        <f>IF(OR(N617&lt;$T$1*0.5,O617&lt;$U$1*0.5),"код для проверки","нормальный код")</f>
        <v/>
      </c>
      <c r="T617">
        <f>IF(N617&lt;$T$1*0.5,"Низшая четверть",IF(N617&lt;$T$1,"Вторая четверть","Больше половины"))</f>
        <v/>
      </c>
      <c r="U617">
        <f>IF(O617&lt;$U$1*0.5,"Низшая четверть",IF(O617&lt;$U$1,"Вторая четверть","Больше половины"))</f>
        <v/>
      </c>
      <c r="V617">
        <f>IF(OR(N617&lt;SUMIFS(L:L,R:R,1,E:E,E617)/SUMIFS(K:K,R:R,1,E:E,E617)*0.5,O617&lt;SUMIFS(M:M,R:R,1,E:E,E617)/SUMIFS(L:L,R:R,1,E:E,E617)*0.5),"код для проверки","нормальный код")</f>
        <v/>
      </c>
      <c r="W617">
        <f>IF(N617&lt;SUMIFS(L:L,R:R,1,E:E,E617)/SUMIFS(K:K,R:R,1,E:E,E617)*0.5,"Низшая четверть",IF(N617&lt;SUMIFS(L:L,R:R,1,E:E,E617)/SUMIFS(K:K,R:R,1,E:E,E617),"Вторая четверть","Больше половины"))</f>
        <v/>
      </c>
      <c r="X617">
        <f>IF(O617&lt;SUMIFS(M:M,R:R,1,E:E,E617)/SUMIFS(L:L,R:R,1,E:E,E617)*0.5,"Низшая четверть",IF(O617&lt;SUMIFS(M:M,R:R,1,E:E,E617)/SUMIFS(L:L,R:R,1,E:E,E617),"Вторая четверть","Больше половины"))</f>
        <v/>
      </c>
      <c r="Y617" t="n">
        <v>21</v>
      </c>
    </row>
    <row r="618">
      <c r="A618" s="1" t="inlineStr">
        <is>
          <t>16800210</t>
        </is>
      </c>
      <c r="B618" s="2" t="inlineStr">
        <is>
          <t>766703746</t>
        </is>
      </c>
      <c r="C618" s="3" t="inlineStr">
        <is>
          <t>Одежда и аксессуары</t>
        </is>
      </c>
      <c r="D618" s="2" t="inlineStr">
        <is>
          <t>Головные уборы женские</t>
        </is>
      </c>
      <c r="E618" s="3" t="inlineStr">
        <is>
          <t>168 Шляпа женская летняя</t>
        </is>
      </c>
      <c r="F618" s="2" t="inlineStr">
        <is>
          <t>лето</t>
        </is>
      </c>
      <c r="G618" s="3" t="inlineStr">
        <is>
          <t>kari</t>
        </is>
      </c>
      <c r="H618" s="2" t="inlineStr">
        <is>
          <t>Никонорова Алина</t>
        </is>
      </c>
      <c r="J618" s="3" t="inlineStr">
        <is>
          <t>2026SS</t>
        </is>
      </c>
      <c r="K618" s="3" t="n">
        <v>3705</v>
      </c>
      <c r="L618" s="3" t="n">
        <v>765</v>
      </c>
      <c r="M618" s="3" t="n">
        <v>6</v>
      </c>
      <c r="N618" s="4">
        <f>IFERROR(L618/K618,0)</f>
        <v/>
      </c>
      <c r="O618" s="4">
        <f>IFERROR(M618/L618,0)</f>
        <v/>
      </c>
      <c r="P618" t="n">
        <v>1064</v>
      </c>
      <c r="Q618" s="5" t="n">
        <v>1</v>
      </c>
      <c r="R618" s="7" t="n">
        <v>1</v>
      </c>
      <c r="S618">
        <f>IF(OR(N618&lt;$T$1*0.5,O618&lt;$U$1*0.5),"код для проверки","нормальный код")</f>
        <v/>
      </c>
      <c r="T618">
        <f>IF(N618&lt;$T$1*0.5,"Низшая четверть",IF(N618&lt;$T$1,"Вторая четверть","Больше половины"))</f>
        <v/>
      </c>
      <c r="U618">
        <f>IF(O618&lt;$U$1*0.5,"Низшая четверть",IF(O618&lt;$U$1,"Вторая четверть","Больше половины"))</f>
        <v/>
      </c>
      <c r="V618">
        <f>IF(OR(N618&lt;SUMIFS(L:L,R:R,1,E:E,E618)/SUMIFS(K:K,R:R,1,E:E,E618)*0.5,O618&lt;SUMIFS(M:M,R:R,1,E:E,E618)/SUMIFS(L:L,R:R,1,E:E,E618)*0.5),"код для проверки","нормальный код")</f>
        <v/>
      </c>
      <c r="W618">
        <f>IF(N618&lt;SUMIFS(L:L,R:R,1,E:E,E618)/SUMIFS(K:K,R:R,1,E:E,E618)*0.5,"Низшая четверть",IF(N618&lt;SUMIFS(L:L,R:R,1,E:E,E618)/SUMIFS(K:K,R:R,1,E:E,E618),"Вторая четверть","Больше половины"))</f>
        <v/>
      </c>
      <c r="X618">
        <f>IF(O618&lt;SUMIFS(M:M,R:R,1,E:E,E618)/SUMIFS(L:L,R:R,1,E:E,E618)*0.5,"Низшая четверть",IF(O618&lt;SUMIFS(M:M,R:R,1,E:E,E618)/SUMIFS(L:L,R:R,1,E:E,E618),"Вторая четверть","Больше половины"))</f>
        <v/>
      </c>
      <c r="Y618" t="n">
        <v>14</v>
      </c>
    </row>
    <row r="619">
      <c r="A619" s="1" t="inlineStr">
        <is>
          <t>y9708210</t>
        </is>
      </c>
      <c r="B619" s="2" t="inlineStr">
        <is>
          <t>360618209</t>
        </is>
      </c>
      <c r="C619" s="3" t="inlineStr">
        <is>
          <t>Одежда и аксессуары</t>
        </is>
      </c>
      <c r="D619" s="2" t="inlineStr">
        <is>
          <t>Футболки, рубашки мужские</t>
        </is>
      </c>
      <c r="E619" s="3" t="inlineStr">
        <is>
          <t>h10 Футболка мужская</t>
        </is>
      </c>
      <c r="F619" s="2" t="inlineStr">
        <is>
          <t>всесезонный</t>
        </is>
      </c>
      <c r="G619" s="3" t="inlineStr">
        <is>
          <t>kari</t>
        </is>
      </c>
      <c r="H619" s="2" t="inlineStr">
        <is>
          <t>Зиннуров Ильнур</t>
        </is>
      </c>
      <c r="J619" s="3" t="inlineStr">
        <is>
          <t>2026SS</t>
        </is>
      </c>
      <c r="K619" s="3" t="n">
        <v>3672</v>
      </c>
      <c r="L619" s="3" t="n">
        <v>113</v>
      </c>
      <c r="M619" s="3" t="n">
        <v>4</v>
      </c>
      <c r="N619" s="4">
        <f>IFERROR(L619/K619,0)</f>
        <v/>
      </c>
      <c r="O619" s="4">
        <f>IFERROR(M619/L619,0)</f>
        <v/>
      </c>
      <c r="P619" t="n">
        <v>62</v>
      </c>
      <c r="Q619" s="5" t="n">
        <v>0.6</v>
      </c>
      <c r="R619" s="7" t="n">
        <v>1</v>
      </c>
      <c r="S619">
        <f>IF(OR(N619&lt;$T$1*0.5,O619&lt;$U$1*0.5),"код для проверки","нормальный код")</f>
        <v/>
      </c>
      <c r="T619">
        <f>IF(N619&lt;$T$1*0.5,"Низшая четверть",IF(N619&lt;$T$1,"Вторая четверть","Больше половины"))</f>
        <v/>
      </c>
      <c r="U619">
        <f>IF(O619&lt;$U$1*0.5,"Низшая четверть",IF(O619&lt;$U$1,"Вторая четверть","Больше половины"))</f>
        <v/>
      </c>
      <c r="V619">
        <f>IF(OR(N619&lt;SUMIFS(L:L,R:R,1,E:E,E619)/SUMIFS(K:K,R:R,1,E:E,E619)*0.5,O619&lt;SUMIFS(M:M,R:R,1,E:E,E619)/SUMIFS(L:L,R:R,1,E:E,E619)*0.5),"код для проверки","нормальный код")</f>
        <v/>
      </c>
      <c r="W619">
        <f>IF(N619&lt;SUMIFS(L:L,R:R,1,E:E,E619)/SUMIFS(K:K,R:R,1,E:E,E619)*0.5,"Низшая четверть",IF(N619&lt;SUMIFS(L:L,R:R,1,E:E,E619)/SUMIFS(K:K,R:R,1,E:E,E619),"Вторая четверть","Больше половины"))</f>
        <v/>
      </c>
      <c r="X619">
        <f>IF(O619&lt;SUMIFS(M:M,R:R,1,E:E,E619)/SUMIFS(L:L,R:R,1,E:E,E619)*0.5,"Низшая четверть",IF(O619&lt;SUMIFS(M:M,R:R,1,E:E,E619)/SUMIFS(L:L,R:R,1,E:E,E619),"Вторая четверть","Больше половины"))</f>
        <v/>
      </c>
      <c r="Y619" t="n">
        <v>12</v>
      </c>
    </row>
    <row r="620">
      <c r="A620" s="1" t="inlineStr">
        <is>
          <t>18700100</t>
        </is>
      </c>
      <c r="B620" s="2" t="inlineStr">
        <is>
          <t>797255086</t>
        </is>
      </c>
      <c r="C620" s="3" t="inlineStr">
        <is>
          <t>Одежда и аксессуары</t>
        </is>
      </c>
      <c r="D620" s="2" t="inlineStr">
        <is>
          <t>Майки и платья женские</t>
        </is>
      </c>
      <c r="E620" s="3" t="inlineStr">
        <is>
          <t>187 Платье женское</t>
        </is>
      </c>
      <c r="F620" s="2" t="inlineStr">
        <is>
          <t>весна, лето</t>
        </is>
      </c>
      <c r="G620" s="3" t="inlineStr">
        <is>
          <t>kari</t>
        </is>
      </c>
      <c r="H620" s="2" t="inlineStr">
        <is>
          <t>Зиннуров Ильнур</t>
        </is>
      </c>
      <c r="J620" s="3" t="inlineStr">
        <is>
          <t>2026SS</t>
        </is>
      </c>
      <c r="K620" s="3" t="n">
        <v>3671</v>
      </c>
      <c r="L620" s="3" t="n">
        <v>185</v>
      </c>
      <c r="M620" s="3" t="n">
        <v>1</v>
      </c>
      <c r="N620" s="4">
        <f>IFERROR(L620/K620,0)</f>
        <v/>
      </c>
      <c r="O620" s="4">
        <f>IFERROR(M620/L620,0)</f>
        <v/>
      </c>
      <c r="P620" t="n">
        <v>847</v>
      </c>
      <c r="Q620" s="5" t="n">
        <v>1</v>
      </c>
      <c r="R620" s="7" t="n">
        <v>1</v>
      </c>
      <c r="S620">
        <f>IF(OR(N620&lt;$T$1*0.5,O620&lt;$U$1*0.5),"код для проверки","нормальный код")</f>
        <v/>
      </c>
      <c r="T620">
        <f>IF(N620&lt;$T$1*0.5,"Низшая четверть",IF(N620&lt;$T$1,"Вторая четверть","Больше половины"))</f>
        <v/>
      </c>
      <c r="U620">
        <f>IF(O620&lt;$U$1*0.5,"Низшая четверть",IF(O620&lt;$U$1,"Вторая четверть","Больше половины"))</f>
        <v/>
      </c>
      <c r="V620">
        <f>IF(OR(N620&lt;SUMIFS(L:L,R:R,1,E:E,E620)/SUMIFS(K:K,R:R,1,E:E,E620)*0.5,O620&lt;SUMIFS(M:M,R:R,1,E:E,E620)/SUMIFS(L:L,R:R,1,E:E,E620)*0.5),"код для проверки","нормальный код")</f>
        <v/>
      </c>
      <c r="W620">
        <f>IF(N620&lt;SUMIFS(L:L,R:R,1,E:E,E620)/SUMIFS(K:K,R:R,1,E:E,E620)*0.5,"Низшая четверть",IF(N620&lt;SUMIFS(L:L,R:R,1,E:E,E620)/SUMIFS(K:K,R:R,1,E:E,E620),"Вторая четверть","Больше половины"))</f>
        <v/>
      </c>
      <c r="X620">
        <f>IF(O620&lt;SUMIFS(M:M,R:R,1,E:E,E620)/SUMIFS(L:L,R:R,1,E:E,E620)*0.5,"Низшая четверть",IF(O620&lt;SUMIFS(M:M,R:R,1,E:E,E620)/SUMIFS(L:L,R:R,1,E:E,E620),"Вторая четверть","Больше половины"))</f>
        <v/>
      </c>
      <c r="Y620" t="n">
        <v>21</v>
      </c>
    </row>
    <row r="621">
      <c r="A621" s="1" t="inlineStr">
        <is>
          <t>a8600010</t>
        </is>
      </c>
      <c r="B621" s="2" t="inlineStr">
        <is>
          <t>695348293</t>
        </is>
      </c>
      <c r="C621" s="3" t="inlineStr">
        <is>
          <t>Одежда для детей</t>
        </is>
      </c>
      <c r="D621" s="2" t="inlineStr">
        <is>
          <t>Свитера детские для девочек</t>
        </is>
      </c>
      <c r="E621" s="3" t="inlineStr">
        <is>
          <t>a86 Толстовка-бомбер для девочек</t>
        </is>
      </c>
      <c r="F621" s="2" t="inlineStr">
        <is>
          <t>весна, лето, осень</t>
        </is>
      </c>
      <c r="G621" s="3" t="inlineStr">
        <is>
          <t>Kari KIDS</t>
        </is>
      </c>
      <c r="H621" s="2" t="inlineStr">
        <is>
          <t>Зиннуров Ильнур</t>
        </is>
      </c>
      <c r="J621" s="3" t="inlineStr">
        <is>
          <t>2026SS</t>
        </is>
      </c>
      <c r="K621" s="3" t="n">
        <v>3641</v>
      </c>
      <c r="L621" s="3" t="n">
        <v>389</v>
      </c>
      <c r="M621" s="3" t="n">
        <v>2</v>
      </c>
      <c r="N621" s="4">
        <f>IFERROR(L621/K621,0)</f>
        <v/>
      </c>
      <c r="O621" s="4">
        <f>IFERROR(M621/L621,0)</f>
        <v/>
      </c>
      <c r="P621" t="n">
        <v>554</v>
      </c>
      <c r="Q621" s="5" t="n">
        <v>1</v>
      </c>
      <c r="R621" s="7" t="n">
        <v>1</v>
      </c>
      <c r="S621">
        <f>IF(OR(N621&lt;$T$1*0.5,O621&lt;$U$1*0.5),"код для проверки","нормальный код")</f>
        <v/>
      </c>
      <c r="T621">
        <f>IF(N621&lt;$T$1*0.5,"Низшая четверть",IF(N621&lt;$T$1,"Вторая четверть","Больше половины"))</f>
        <v/>
      </c>
      <c r="U621">
        <f>IF(O621&lt;$U$1*0.5,"Низшая четверть",IF(O621&lt;$U$1,"Вторая четверть","Больше половины"))</f>
        <v/>
      </c>
      <c r="V621">
        <f>IF(OR(N621&lt;SUMIFS(L:L,R:R,1,E:E,E621)/SUMIFS(K:K,R:R,1,E:E,E621)*0.5,O621&lt;SUMIFS(M:M,R:R,1,E:E,E621)/SUMIFS(L:L,R:R,1,E:E,E621)*0.5),"код для проверки","нормальный код")</f>
        <v/>
      </c>
      <c r="W621">
        <f>IF(N621&lt;SUMIFS(L:L,R:R,1,E:E,E621)/SUMIFS(K:K,R:R,1,E:E,E621)*0.5,"Низшая четверть",IF(N621&lt;SUMIFS(L:L,R:R,1,E:E,E621)/SUMIFS(K:K,R:R,1,E:E,E621),"Вторая четверть","Больше половины"))</f>
        <v/>
      </c>
      <c r="X621">
        <f>IF(O621&lt;SUMIFS(M:M,R:R,1,E:E,E621)/SUMIFS(L:L,R:R,1,E:E,E621)*0.5,"Низшая четверть",IF(O621&lt;SUMIFS(M:M,R:R,1,E:E,E621)/SUMIFS(L:L,R:R,1,E:E,E621),"Вторая четверть","Больше половины"))</f>
        <v/>
      </c>
      <c r="Y621" t="n">
        <v>15</v>
      </c>
    </row>
    <row r="622">
      <c r="A622" s="1" t="inlineStr">
        <is>
          <t>094001V0</t>
        </is>
      </c>
      <c r="B622" s="2" t="inlineStr">
        <is>
          <t>710462861</t>
        </is>
      </c>
      <c r="C622" s="3" t="inlineStr">
        <is>
          <t>Одежда и аксессуары</t>
        </is>
      </c>
      <c r="D622" s="2" t="inlineStr">
        <is>
          <t>Купальники женские</t>
        </is>
      </c>
      <c r="E622" s="3" t="inlineStr">
        <is>
          <t>094 Купальник</t>
        </is>
      </c>
      <c r="F622" s="2" t="inlineStr">
        <is>
          <t>лето</t>
        </is>
      </c>
      <c r="G622" s="3" t="inlineStr">
        <is>
          <t>kari</t>
        </is>
      </c>
      <c r="H622" s="2" t="inlineStr">
        <is>
          <t>Никонорова Алина</t>
        </is>
      </c>
      <c r="J622" s="3" t="inlineStr">
        <is>
          <t>2026SS</t>
        </is>
      </c>
      <c r="K622" s="3" t="n">
        <v>3622</v>
      </c>
      <c r="L622" s="3" t="n">
        <v>2631</v>
      </c>
      <c r="M622" s="3" t="n">
        <v>7</v>
      </c>
      <c r="N622" s="4">
        <f>IFERROR(L622/K622,0)</f>
        <v/>
      </c>
      <c r="O622" s="4">
        <f>IFERROR(M622/L622,0)</f>
        <v/>
      </c>
      <c r="P622" t="n">
        <v>1775</v>
      </c>
      <c r="Q622" s="5" t="n">
        <v>0.6666666666666666</v>
      </c>
      <c r="R622" s="7" t="n">
        <v>1</v>
      </c>
      <c r="S622">
        <f>IF(OR(N622&lt;$T$1*0.5,O622&lt;$U$1*0.5),"код для проверки","нормальный код")</f>
        <v/>
      </c>
      <c r="T622">
        <f>IF(N622&lt;$T$1*0.5,"Низшая четверть",IF(N622&lt;$T$1,"Вторая четверть","Больше половины"))</f>
        <v/>
      </c>
      <c r="U622">
        <f>IF(O622&lt;$U$1*0.5,"Низшая четверть",IF(O622&lt;$U$1,"Вторая четверть","Больше половины"))</f>
        <v/>
      </c>
      <c r="V622">
        <f>IF(OR(N622&lt;SUMIFS(L:L,R:R,1,E:E,E622)/SUMIFS(K:K,R:R,1,E:E,E622)*0.5,O622&lt;SUMIFS(M:M,R:R,1,E:E,E622)/SUMIFS(L:L,R:R,1,E:E,E622)*0.5),"код для проверки","нормальный код")</f>
        <v/>
      </c>
      <c r="W622">
        <f>IF(N622&lt;SUMIFS(L:L,R:R,1,E:E,E622)/SUMIFS(K:K,R:R,1,E:E,E622)*0.5,"Низшая четверть",IF(N622&lt;SUMIFS(L:L,R:R,1,E:E,E622)/SUMIFS(K:K,R:R,1,E:E,E622),"Вторая четверть","Больше половины"))</f>
        <v/>
      </c>
      <c r="X622">
        <f>IF(O622&lt;SUMIFS(M:M,R:R,1,E:E,E622)/SUMIFS(L:L,R:R,1,E:E,E622)*0.5,"Низшая четверть",IF(O622&lt;SUMIFS(M:M,R:R,1,E:E,E622)/SUMIFS(L:L,R:R,1,E:E,E622),"Вторая четверть","Больше половины"))</f>
        <v/>
      </c>
      <c r="Y622" t="n">
        <v>17</v>
      </c>
    </row>
    <row r="623">
      <c r="A623" s="1" t="inlineStr">
        <is>
          <t>094000A0</t>
        </is>
      </c>
      <c r="B623" s="2" t="inlineStr">
        <is>
          <t>756548664</t>
        </is>
      </c>
      <c r="C623" s="3" t="inlineStr">
        <is>
          <t>Одежда и аксессуары</t>
        </is>
      </c>
      <c r="D623" s="2" t="inlineStr">
        <is>
          <t>Купальники женские</t>
        </is>
      </c>
      <c r="E623" s="3" t="inlineStr">
        <is>
          <t>094 Купальник</t>
        </is>
      </c>
      <c r="F623" s="2" t="inlineStr">
        <is>
          <t>лето</t>
        </is>
      </c>
      <c r="G623" s="3" t="inlineStr">
        <is>
          <t>kari</t>
        </is>
      </c>
      <c r="H623" s="2" t="inlineStr">
        <is>
          <t>Никонорова Алина</t>
        </is>
      </c>
      <c r="J623" s="3" t="inlineStr">
        <is>
          <t>2026SS</t>
        </is>
      </c>
      <c r="K623" s="3" t="n">
        <v>3618</v>
      </c>
      <c r="L623" s="3" t="n">
        <v>8026</v>
      </c>
      <c r="M623" s="3" t="n">
        <v>10</v>
      </c>
      <c r="N623" s="4">
        <f>IFERROR(L623/K623,0)</f>
        <v/>
      </c>
      <c r="O623" s="4">
        <f>IFERROR(M623/L623,0)</f>
        <v/>
      </c>
      <c r="P623" t="n">
        <v>1229</v>
      </c>
      <c r="Q623" s="5" t="n">
        <v>0.6666666666666666</v>
      </c>
      <c r="R623" s="7" t="n">
        <v>1</v>
      </c>
      <c r="S623">
        <f>IF(OR(N623&lt;$T$1*0.5,O623&lt;$U$1*0.5),"код для проверки","нормальный код")</f>
        <v/>
      </c>
      <c r="T623">
        <f>IF(N623&lt;$T$1*0.5,"Низшая четверть",IF(N623&lt;$T$1,"Вторая четверть","Больше половины"))</f>
        <v/>
      </c>
      <c r="U623">
        <f>IF(O623&lt;$U$1*0.5,"Низшая четверть",IF(O623&lt;$U$1,"Вторая четверть","Больше половины"))</f>
        <v/>
      </c>
      <c r="V623">
        <f>IF(OR(N623&lt;SUMIFS(L:L,R:R,1,E:E,E623)/SUMIFS(K:K,R:R,1,E:E,E623)*0.5,O623&lt;SUMIFS(M:M,R:R,1,E:E,E623)/SUMIFS(L:L,R:R,1,E:E,E623)*0.5),"код для проверки","нормальный код")</f>
        <v/>
      </c>
      <c r="W623">
        <f>IF(N623&lt;SUMIFS(L:L,R:R,1,E:E,E623)/SUMIFS(K:K,R:R,1,E:E,E623)*0.5,"Низшая четверть",IF(N623&lt;SUMIFS(L:L,R:R,1,E:E,E623)/SUMIFS(K:K,R:R,1,E:E,E623),"Вторая четверть","Больше половины"))</f>
        <v/>
      </c>
      <c r="X623">
        <f>IF(O623&lt;SUMIFS(M:M,R:R,1,E:E,E623)/SUMIFS(L:L,R:R,1,E:E,E623)*0.5,"Низшая четверть",IF(O623&lt;SUMIFS(M:M,R:R,1,E:E,E623)/SUMIFS(L:L,R:R,1,E:E,E623),"Вторая четверть","Больше половины"))</f>
        <v/>
      </c>
      <c r="Y623" t="n">
        <v>20</v>
      </c>
    </row>
    <row r="624">
      <c r="A624" s="1" t="inlineStr">
        <is>
          <t>h1800000</t>
        </is>
      </c>
      <c r="B624" s="2" t="inlineStr">
        <is>
          <t>732910205</t>
        </is>
      </c>
      <c r="C624" s="3" t="inlineStr">
        <is>
          <t>Одежда и аксессуары</t>
        </is>
      </c>
      <c r="D624" s="2" t="inlineStr">
        <is>
          <t>Спортивная одежда для женщин</t>
        </is>
      </c>
      <c r="E624" s="3" t="inlineStr">
        <is>
          <t>h28 Брюки спортивные женские</t>
        </is>
      </c>
      <c r="F624" s="2" t="inlineStr">
        <is>
          <t>всесезонный</t>
        </is>
      </c>
      <c r="G624" s="3" t="inlineStr">
        <is>
          <t>kari</t>
        </is>
      </c>
      <c r="H624" s="2" t="inlineStr">
        <is>
          <t>Зиннуров Ильнур</t>
        </is>
      </c>
      <c r="J624" s="3" t="inlineStr">
        <is>
          <t>2026SS</t>
        </is>
      </c>
      <c r="K624" s="3" t="n">
        <v>3607</v>
      </c>
      <c r="L624" s="3" t="n">
        <v>819</v>
      </c>
      <c r="M624" s="3" t="n">
        <v>29</v>
      </c>
      <c r="N624" s="4">
        <f>IFERROR(L624/K624,0)</f>
        <v/>
      </c>
      <c r="O624" s="4">
        <f>IFERROR(M624/L624,0)</f>
        <v/>
      </c>
      <c r="P624" t="n">
        <v>240</v>
      </c>
      <c r="Q624" s="5" t="n">
        <v>1</v>
      </c>
      <c r="R624" s="7" t="n">
        <v>1</v>
      </c>
      <c r="S624">
        <f>IF(OR(N624&lt;$T$1*0.5,O624&lt;$U$1*0.5),"код для проверки","нормальный код")</f>
        <v/>
      </c>
      <c r="T624">
        <f>IF(N624&lt;$T$1*0.5,"Низшая четверть",IF(N624&lt;$T$1,"Вторая четверть","Больше половины"))</f>
        <v/>
      </c>
      <c r="U624">
        <f>IF(O624&lt;$U$1*0.5,"Низшая четверть",IF(O624&lt;$U$1,"Вторая четверть","Больше половины"))</f>
        <v/>
      </c>
      <c r="V624">
        <f>IF(OR(N624&lt;SUMIFS(L:L,R:R,1,E:E,E624)/SUMIFS(K:K,R:R,1,E:E,E624)*0.5,O624&lt;SUMIFS(M:M,R:R,1,E:E,E624)/SUMIFS(L:L,R:R,1,E:E,E624)*0.5),"код для проверки","нормальный код")</f>
        <v/>
      </c>
      <c r="W624">
        <f>IF(N624&lt;SUMIFS(L:L,R:R,1,E:E,E624)/SUMIFS(K:K,R:R,1,E:E,E624)*0.5,"Низшая четверть",IF(N624&lt;SUMIFS(L:L,R:R,1,E:E,E624)/SUMIFS(K:K,R:R,1,E:E,E624),"Вторая четверть","Больше половины"))</f>
        <v/>
      </c>
      <c r="X624">
        <f>IF(O624&lt;SUMIFS(M:M,R:R,1,E:E,E624)/SUMIFS(L:L,R:R,1,E:E,E624)*0.5,"Низшая четверть",IF(O624&lt;SUMIFS(M:M,R:R,1,E:E,E624)/SUMIFS(L:L,R:R,1,E:E,E624),"Вторая четверть","Больше половины"))</f>
        <v/>
      </c>
      <c r="Y624" t="n">
        <v>28</v>
      </c>
    </row>
    <row r="625">
      <c r="A625" s="1" t="inlineStr">
        <is>
          <t>a6000390</t>
        </is>
      </c>
      <c r="B625" s="2" t="inlineStr">
        <is>
          <t>715352640</t>
        </is>
      </c>
      <c r="C625" s="3" t="inlineStr">
        <is>
          <t>Одежда для детей</t>
        </is>
      </c>
      <c r="D625" s="2" t="inlineStr">
        <is>
          <t>Платья, майки, футболки детские для девочек</t>
        </is>
      </c>
      <c r="E625" s="3" t="inlineStr">
        <is>
          <t>a60 Футболка детская для девочек</t>
        </is>
      </c>
      <c r="F625" s="2" t="inlineStr">
        <is>
          <t>всесезонный</t>
        </is>
      </c>
      <c r="G625" s="3" t="inlineStr">
        <is>
          <t>kari</t>
        </is>
      </c>
      <c r="H625" s="2" t="inlineStr">
        <is>
          <t>Зиннуров Ильнур</t>
        </is>
      </c>
      <c r="J625" s="3" t="inlineStr">
        <is>
          <t>2026SS</t>
        </is>
      </c>
      <c r="K625" s="3" t="n">
        <v>3602</v>
      </c>
      <c r="L625" s="3" t="n">
        <v>233</v>
      </c>
      <c r="M625" s="3" t="n">
        <v>7</v>
      </c>
      <c r="N625" s="4">
        <f>IFERROR(L625/K625,0)</f>
        <v/>
      </c>
      <c r="O625" s="4">
        <f>IFERROR(M625/L625,0)</f>
        <v/>
      </c>
      <c r="P625" t="n">
        <v>658</v>
      </c>
      <c r="Q625" s="5" t="n">
        <v>1</v>
      </c>
      <c r="R625" s="7" t="n">
        <v>1</v>
      </c>
      <c r="S625">
        <f>IF(OR(N625&lt;$T$1*0.5,O625&lt;$U$1*0.5),"код для проверки","нормальный код")</f>
        <v/>
      </c>
      <c r="T625">
        <f>IF(N625&lt;$T$1*0.5,"Низшая четверть",IF(N625&lt;$T$1,"Вторая четверть","Больше половины"))</f>
        <v/>
      </c>
      <c r="U625">
        <f>IF(O625&lt;$U$1*0.5,"Низшая четверть",IF(O625&lt;$U$1,"Вторая четверть","Больше половины"))</f>
        <v/>
      </c>
      <c r="V625">
        <f>IF(OR(N625&lt;SUMIFS(L:L,R:R,1,E:E,E625)/SUMIFS(K:K,R:R,1,E:E,E625)*0.5,O625&lt;SUMIFS(M:M,R:R,1,E:E,E625)/SUMIFS(L:L,R:R,1,E:E,E625)*0.5),"код для проверки","нормальный код")</f>
        <v/>
      </c>
      <c r="W625">
        <f>IF(N625&lt;SUMIFS(L:L,R:R,1,E:E,E625)/SUMIFS(K:K,R:R,1,E:E,E625)*0.5,"Низшая четверть",IF(N625&lt;SUMIFS(L:L,R:R,1,E:E,E625)/SUMIFS(K:K,R:R,1,E:E,E625),"Вторая четверть","Больше половины"))</f>
        <v/>
      </c>
      <c r="X625">
        <f>IF(O625&lt;SUMIFS(M:M,R:R,1,E:E,E625)/SUMIFS(L:L,R:R,1,E:E,E625)*0.5,"Низшая четверть",IF(O625&lt;SUMIFS(M:M,R:R,1,E:E,E625)/SUMIFS(L:L,R:R,1,E:E,E625),"Вторая четверть","Больше половины"))</f>
        <v/>
      </c>
      <c r="Y625" t="n">
        <v>5</v>
      </c>
    </row>
    <row r="626">
      <c r="A626" s="1" t="inlineStr">
        <is>
          <t>094001A0</t>
        </is>
      </c>
      <c r="B626" s="2" t="inlineStr">
        <is>
          <t>710372961</t>
        </is>
      </c>
      <c r="C626" s="3" t="inlineStr">
        <is>
          <t>Одежда и аксессуары</t>
        </is>
      </c>
      <c r="D626" s="2" t="inlineStr">
        <is>
          <t>Купальники женские</t>
        </is>
      </c>
      <c r="E626" s="3" t="inlineStr">
        <is>
          <t>094 Купальник</t>
        </is>
      </c>
      <c r="F626" s="2" t="inlineStr">
        <is>
          <t>лето</t>
        </is>
      </c>
      <c r="G626" s="3" t="inlineStr">
        <is>
          <t>kari</t>
        </is>
      </c>
      <c r="H626" s="2" t="inlineStr">
        <is>
          <t>Никонорова Алина</t>
        </is>
      </c>
      <c r="J626" s="3" t="inlineStr">
        <is>
          <t>2026SS</t>
        </is>
      </c>
      <c r="K626" s="3" t="n">
        <v>3569</v>
      </c>
      <c r="L626" s="3" t="n">
        <v>2122</v>
      </c>
      <c r="M626" s="3" t="n">
        <v>12</v>
      </c>
      <c r="N626" s="4">
        <f>IFERROR(L626/K626,0)</f>
        <v/>
      </c>
      <c r="O626" s="4">
        <f>IFERROR(M626/L626,0)</f>
        <v/>
      </c>
      <c r="P626" t="n">
        <v>1568</v>
      </c>
      <c r="Q626" s="5" t="n">
        <v>0.5555555555555556</v>
      </c>
      <c r="R626" s="7" t="n">
        <v>1</v>
      </c>
      <c r="S626">
        <f>IF(OR(N626&lt;$T$1*0.5,O626&lt;$U$1*0.5),"код для проверки","нормальный код")</f>
        <v/>
      </c>
      <c r="T626">
        <f>IF(N626&lt;$T$1*0.5,"Низшая четверть",IF(N626&lt;$T$1,"Вторая четверть","Больше половины"))</f>
        <v/>
      </c>
      <c r="U626">
        <f>IF(O626&lt;$U$1*0.5,"Низшая четверть",IF(O626&lt;$U$1,"Вторая четверть","Больше половины"))</f>
        <v/>
      </c>
      <c r="V626">
        <f>IF(OR(N626&lt;SUMIFS(L:L,R:R,1,E:E,E626)/SUMIFS(K:K,R:R,1,E:E,E626)*0.5,O626&lt;SUMIFS(M:M,R:R,1,E:E,E626)/SUMIFS(L:L,R:R,1,E:E,E626)*0.5),"код для проверки","нормальный код")</f>
        <v/>
      </c>
      <c r="W626">
        <f>IF(N626&lt;SUMIFS(L:L,R:R,1,E:E,E626)/SUMIFS(K:K,R:R,1,E:E,E626)*0.5,"Низшая четверть",IF(N626&lt;SUMIFS(L:L,R:R,1,E:E,E626)/SUMIFS(K:K,R:R,1,E:E,E626),"Вторая четверть","Больше половины"))</f>
        <v/>
      </c>
      <c r="X626">
        <f>IF(O626&lt;SUMIFS(M:M,R:R,1,E:E,E626)/SUMIFS(L:L,R:R,1,E:E,E626)*0.5,"Низшая четверть",IF(O626&lt;SUMIFS(M:M,R:R,1,E:E,E626)/SUMIFS(L:L,R:R,1,E:E,E626),"Вторая четверть","Больше половины"))</f>
        <v/>
      </c>
      <c r="Y626" t="n">
        <v>20</v>
      </c>
    </row>
    <row r="627">
      <c r="A627" s="1" t="inlineStr">
        <is>
          <t>h1800010</t>
        </is>
      </c>
      <c r="B627" s="2" t="inlineStr">
        <is>
          <t>732910206</t>
        </is>
      </c>
      <c r="C627" s="3" t="inlineStr">
        <is>
          <t>Одежда и аксессуары</t>
        </is>
      </c>
      <c r="D627" s="2" t="inlineStr">
        <is>
          <t>Спортивная одежда для женщин</t>
        </is>
      </c>
      <c r="E627" s="3" t="inlineStr">
        <is>
          <t>h28 Брюки спортивные женские</t>
        </is>
      </c>
      <c r="F627" s="2" t="inlineStr">
        <is>
          <t>всесезонный</t>
        </is>
      </c>
      <c r="G627" s="3" t="inlineStr">
        <is>
          <t>kari</t>
        </is>
      </c>
      <c r="H627" s="2" t="inlineStr">
        <is>
          <t>Зиннуров Ильнур</t>
        </is>
      </c>
      <c r="J627" s="3" t="inlineStr">
        <is>
          <t>2026SS</t>
        </is>
      </c>
      <c r="K627" s="3" t="n">
        <v>3560</v>
      </c>
      <c r="L627" s="3" t="n">
        <v>741</v>
      </c>
      <c r="M627" s="3" t="n">
        <v>27</v>
      </c>
      <c r="N627" s="4">
        <f>IFERROR(L627/K627,0)</f>
        <v/>
      </c>
      <c r="O627" s="4">
        <f>IFERROR(M627/L627,0)</f>
        <v/>
      </c>
      <c r="P627" t="n">
        <v>221</v>
      </c>
      <c r="Q627" s="5" t="n">
        <v>1</v>
      </c>
      <c r="R627" s="7" t="n">
        <v>1</v>
      </c>
      <c r="S627">
        <f>IF(OR(N627&lt;$T$1*0.5,O627&lt;$U$1*0.5),"код для проверки","нормальный код")</f>
        <v/>
      </c>
      <c r="T627">
        <f>IF(N627&lt;$T$1*0.5,"Низшая четверть",IF(N627&lt;$T$1,"Вторая четверть","Больше половины"))</f>
        <v/>
      </c>
      <c r="U627">
        <f>IF(O627&lt;$U$1*0.5,"Низшая четверть",IF(O627&lt;$U$1,"Вторая четверть","Больше половины"))</f>
        <v/>
      </c>
      <c r="V627">
        <f>IF(OR(N627&lt;SUMIFS(L:L,R:R,1,E:E,E627)/SUMIFS(K:K,R:R,1,E:E,E627)*0.5,O627&lt;SUMIFS(M:M,R:R,1,E:E,E627)/SUMIFS(L:L,R:R,1,E:E,E627)*0.5),"код для проверки","нормальный код")</f>
        <v/>
      </c>
      <c r="W627">
        <f>IF(N627&lt;SUMIFS(L:L,R:R,1,E:E,E627)/SUMIFS(K:K,R:R,1,E:E,E627)*0.5,"Низшая четверть",IF(N627&lt;SUMIFS(L:L,R:R,1,E:E,E627)/SUMIFS(K:K,R:R,1,E:E,E627),"Вторая четверть","Больше половины"))</f>
        <v/>
      </c>
      <c r="X627">
        <f>IF(O627&lt;SUMIFS(M:M,R:R,1,E:E,E627)/SUMIFS(L:L,R:R,1,E:E,E627)*0.5,"Низшая четверть",IF(O627&lt;SUMIFS(M:M,R:R,1,E:E,E627)/SUMIFS(L:L,R:R,1,E:E,E627),"Вторая четверть","Больше половины"))</f>
        <v/>
      </c>
      <c r="Y627" t="n">
        <v>25</v>
      </c>
    </row>
    <row r="628">
      <c r="A628" s="1" t="inlineStr">
        <is>
          <t>a9100020</t>
        </is>
      </c>
      <c r="B628" s="2" t="inlineStr">
        <is>
          <t>696912349</t>
        </is>
      </c>
      <c r="C628" s="3" t="inlineStr">
        <is>
          <t>Одежда для детей</t>
        </is>
      </c>
      <c r="D628" s="2" t="inlineStr">
        <is>
          <t>Свитера детские для мальчиков</t>
        </is>
      </c>
      <c r="E628" s="3" t="inlineStr">
        <is>
          <t>a91 Свитшот для мальчика</t>
        </is>
      </c>
      <c r="F628" s="2" t="inlineStr">
        <is>
          <t>весна, лето, осень</t>
        </is>
      </c>
      <c r="G628" s="3" t="inlineStr">
        <is>
          <t>Kari KIDS</t>
        </is>
      </c>
      <c r="H628" s="2" t="inlineStr">
        <is>
          <t>Зиннуров Ильнур</t>
        </is>
      </c>
      <c r="J628" s="3" t="inlineStr">
        <is>
          <t>2026SS</t>
        </is>
      </c>
      <c r="K628" s="3" t="n">
        <v>3538</v>
      </c>
      <c r="L628" s="3" t="n">
        <v>388</v>
      </c>
      <c r="M628" s="3" t="n">
        <v>4</v>
      </c>
      <c r="N628" s="4">
        <f>IFERROR(L628/K628,0)</f>
        <v/>
      </c>
      <c r="O628" s="4">
        <f>IFERROR(M628/L628,0)</f>
        <v/>
      </c>
      <c r="P628" t="n">
        <v>320</v>
      </c>
      <c r="Q628" s="5" t="n">
        <v>1</v>
      </c>
      <c r="R628" s="7" t="n">
        <v>1</v>
      </c>
      <c r="S628">
        <f>IF(OR(N628&lt;$T$1*0.5,O628&lt;$U$1*0.5),"код для проверки","нормальный код")</f>
        <v/>
      </c>
      <c r="T628">
        <f>IF(N628&lt;$T$1*0.5,"Низшая четверть",IF(N628&lt;$T$1,"Вторая четверть","Больше половины"))</f>
        <v/>
      </c>
      <c r="U628">
        <f>IF(O628&lt;$U$1*0.5,"Низшая четверть",IF(O628&lt;$U$1,"Вторая четверть","Больше половины"))</f>
        <v/>
      </c>
      <c r="V628">
        <f>IF(OR(N628&lt;SUMIFS(L:L,R:R,1,E:E,E628)/SUMIFS(K:K,R:R,1,E:E,E628)*0.5,O628&lt;SUMIFS(M:M,R:R,1,E:E,E628)/SUMIFS(L:L,R:R,1,E:E,E628)*0.5),"код для проверки","нормальный код")</f>
        <v/>
      </c>
      <c r="W628">
        <f>IF(N628&lt;SUMIFS(L:L,R:R,1,E:E,E628)/SUMIFS(K:K,R:R,1,E:E,E628)*0.5,"Низшая четверть",IF(N628&lt;SUMIFS(L:L,R:R,1,E:E,E628)/SUMIFS(K:K,R:R,1,E:E,E628),"Вторая четверть","Больше половины"))</f>
        <v/>
      </c>
      <c r="X628">
        <f>IF(O628&lt;SUMIFS(M:M,R:R,1,E:E,E628)/SUMIFS(L:L,R:R,1,E:E,E628)*0.5,"Низшая четверть",IF(O628&lt;SUMIFS(M:M,R:R,1,E:E,E628)/SUMIFS(L:L,R:R,1,E:E,E628),"Вторая четверть","Больше половины"))</f>
        <v/>
      </c>
      <c r="Y628" t="n">
        <v>17</v>
      </c>
    </row>
    <row r="629">
      <c r="A629" s="1" t="inlineStr">
        <is>
          <t>96600020</t>
        </is>
      </c>
      <c r="B629" s="2" t="inlineStr">
        <is>
          <t>709711403</t>
        </is>
      </c>
      <c r="C629" s="3" t="inlineStr">
        <is>
          <t>Одежда для детей</t>
        </is>
      </c>
      <c r="D629" s="2" t="inlineStr">
        <is>
          <t>Платья, майки, футболки детские для девочек</t>
        </is>
      </c>
      <c r="E629" s="3" t="inlineStr">
        <is>
          <t>966 Сарафан джинсовый детский для девочек</t>
        </is>
      </c>
      <c r="F629" s="2" t="inlineStr">
        <is>
          <t>весна, лето</t>
        </is>
      </c>
      <c r="G629" s="3" t="inlineStr">
        <is>
          <t>Kari KIDS</t>
        </is>
      </c>
      <c r="H629" s="2" t="inlineStr">
        <is>
          <t>Зиннуров Ильнур</t>
        </is>
      </c>
      <c r="J629" s="3" t="inlineStr">
        <is>
          <t>2026SS</t>
        </is>
      </c>
      <c r="K629" s="3" t="n">
        <v>3534</v>
      </c>
      <c r="L629" s="3" t="n">
        <v>1136</v>
      </c>
      <c r="M629" s="3" t="n">
        <v>4</v>
      </c>
      <c r="N629" s="4">
        <f>IFERROR(L629/K629,0)</f>
        <v/>
      </c>
      <c r="O629" s="4">
        <f>IFERROR(M629/L629,0)</f>
        <v/>
      </c>
      <c r="P629" t="n">
        <v>389</v>
      </c>
      <c r="Q629" s="5" t="n">
        <v>1</v>
      </c>
      <c r="R629" s="7" t="n">
        <v>1</v>
      </c>
      <c r="S629">
        <f>IF(OR(N629&lt;$T$1*0.5,O629&lt;$U$1*0.5),"код для проверки","нормальный код")</f>
        <v/>
      </c>
      <c r="T629">
        <f>IF(N629&lt;$T$1*0.5,"Низшая четверть",IF(N629&lt;$T$1,"Вторая четверть","Больше половины"))</f>
        <v/>
      </c>
      <c r="U629">
        <f>IF(O629&lt;$U$1*0.5,"Низшая четверть",IF(O629&lt;$U$1,"Вторая четверть","Больше половины"))</f>
        <v/>
      </c>
      <c r="V629">
        <f>IF(OR(N629&lt;SUMIFS(L:L,R:R,1,E:E,E629)/SUMIFS(K:K,R:R,1,E:E,E629)*0.5,O629&lt;SUMIFS(M:M,R:R,1,E:E,E629)/SUMIFS(L:L,R:R,1,E:E,E629)*0.5),"код для проверки","нормальный код")</f>
        <v/>
      </c>
      <c r="W629">
        <f>IF(N629&lt;SUMIFS(L:L,R:R,1,E:E,E629)/SUMIFS(K:K,R:R,1,E:E,E629)*0.5,"Низшая четверть",IF(N629&lt;SUMIFS(L:L,R:R,1,E:E,E629)/SUMIFS(K:K,R:R,1,E:E,E629),"Вторая четверть","Больше половины"))</f>
        <v/>
      </c>
      <c r="X629">
        <f>IF(O629&lt;SUMIFS(M:M,R:R,1,E:E,E629)/SUMIFS(L:L,R:R,1,E:E,E629)*0.5,"Низшая четверть",IF(O629&lt;SUMIFS(M:M,R:R,1,E:E,E629)/SUMIFS(L:L,R:R,1,E:E,E629),"Вторая четверть","Больше половины"))</f>
        <v/>
      </c>
      <c r="Y629" t="n">
        <v>14</v>
      </c>
    </row>
    <row r="630">
      <c r="A630" s="1" t="inlineStr">
        <is>
          <t>19800130</t>
        </is>
      </c>
      <c r="B630" s="2" t="inlineStr">
        <is>
          <t>755027398</t>
        </is>
      </c>
      <c r="C630" s="3" t="inlineStr">
        <is>
          <t>Одежда и аксессуары</t>
        </is>
      </c>
      <c r="D630" s="2" t="inlineStr">
        <is>
          <t>Майки и платья женские</t>
        </is>
      </c>
      <c r="E630" s="3" t="inlineStr">
        <is>
          <t>198 Топ женский</t>
        </is>
      </c>
      <c r="F630" s="2" t="inlineStr">
        <is>
          <t>лето</t>
        </is>
      </c>
      <c r="G630" s="3" t="inlineStr">
        <is>
          <t>kari</t>
        </is>
      </c>
      <c r="H630" s="2" t="inlineStr">
        <is>
          <t>Зиннуров Ильнур</t>
        </is>
      </c>
      <c r="J630" s="3" t="inlineStr">
        <is>
          <t>2026SS</t>
        </is>
      </c>
      <c r="K630" s="3" t="n">
        <v>3522</v>
      </c>
      <c r="L630" s="3" t="n">
        <v>668</v>
      </c>
      <c r="M630" s="3" t="n">
        <v>13</v>
      </c>
      <c r="N630" s="4">
        <f>IFERROR(L630/K630,0)</f>
        <v/>
      </c>
      <c r="O630" s="4">
        <f>IFERROR(M630/L630,0)</f>
        <v/>
      </c>
      <c r="P630" t="n">
        <v>404</v>
      </c>
      <c r="Q630" s="5" t="n">
        <v>1</v>
      </c>
      <c r="R630" s="7" t="n">
        <v>1</v>
      </c>
      <c r="S630">
        <f>IF(OR(N630&lt;$T$1*0.5,O630&lt;$U$1*0.5),"код для проверки","нормальный код")</f>
        <v/>
      </c>
      <c r="T630">
        <f>IF(N630&lt;$T$1*0.5,"Низшая четверть",IF(N630&lt;$T$1,"Вторая четверть","Больше половины"))</f>
        <v/>
      </c>
      <c r="U630">
        <f>IF(O630&lt;$U$1*0.5,"Низшая четверть",IF(O630&lt;$U$1,"Вторая четверть","Больше половины"))</f>
        <v/>
      </c>
      <c r="V630">
        <f>IF(OR(N630&lt;SUMIFS(L:L,R:R,1,E:E,E630)/SUMIFS(K:K,R:R,1,E:E,E630)*0.5,O630&lt;SUMIFS(M:M,R:R,1,E:E,E630)/SUMIFS(L:L,R:R,1,E:E,E630)*0.5),"код для проверки","нормальный код")</f>
        <v/>
      </c>
      <c r="W630">
        <f>IF(N630&lt;SUMIFS(L:L,R:R,1,E:E,E630)/SUMIFS(K:K,R:R,1,E:E,E630)*0.5,"Низшая четверть",IF(N630&lt;SUMIFS(L:L,R:R,1,E:E,E630)/SUMIFS(K:K,R:R,1,E:E,E630),"Вторая четверть","Больше половины"))</f>
        <v/>
      </c>
      <c r="X630">
        <f>IF(O630&lt;SUMIFS(M:M,R:R,1,E:E,E630)/SUMIFS(L:L,R:R,1,E:E,E630)*0.5,"Низшая четверть",IF(O630&lt;SUMIFS(M:M,R:R,1,E:E,E630)/SUMIFS(L:L,R:R,1,E:E,E630),"Вторая четверть","Больше половины"))</f>
        <v/>
      </c>
      <c r="Y630" t="n">
        <v>19</v>
      </c>
    </row>
    <row r="631">
      <c r="A631" s="1" t="inlineStr">
        <is>
          <t>69100010</t>
        </is>
      </c>
      <c r="B631" s="2" t="inlineStr">
        <is>
          <t>775639265</t>
        </is>
      </c>
      <c r="C631" s="3" t="inlineStr">
        <is>
          <t>Одежда для детей</t>
        </is>
      </c>
      <c r="D631" s="2" t="inlineStr">
        <is>
          <t>Одежда для новорожденных</t>
        </is>
      </c>
      <c r="E631" s="3" t="inlineStr">
        <is>
          <t>691 Юбка для маленькой девочки</t>
        </is>
      </c>
      <c r="F631" s="2" t="inlineStr">
        <is>
          <t>всесезонный</t>
        </is>
      </c>
      <c r="G631" s="3" t="inlineStr">
        <is>
          <t>Kari baby</t>
        </is>
      </c>
      <c r="H631" s="2" t="inlineStr">
        <is>
          <t>Зиннуров Ильнур</t>
        </is>
      </c>
      <c r="J631" s="3" t="inlineStr">
        <is>
          <t>2026SS</t>
        </is>
      </c>
      <c r="K631" s="3" t="n">
        <v>3507</v>
      </c>
      <c r="L631" s="3" t="n">
        <v>384</v>
      </c>
      <c r="M631" s="3" t="n">
        <v>14</v>
      </c>
      <c r="N631" s="4">
        <f>IFERROR(L631/K631,0)</f>
        <v/>
      </c>
      <c r="O631" s="4">
        <f>IFERROR(M631/L631,0)</f>
        <v/>
      </c>
      <c r="P631" t="n">
        <v>354</v>
      </c>
      <c r="Q631" s="5" t="n">
        <v>1</v>
      </c>
      <c r="R631" s="7" t="n">
        <v>1</v>
      </c>
      <c r="S631">
        <f>IF(OR(N631&lt;$T$1*0.5,O631&lt;$U$1*0.5),"код для проверки","нормальный код")</f>
        <v/>
      </c>
      <c r="T631">
        <f>IF(N631&lt;$T$1*0.5,"Низшая четверть",IF(N631&lt;$T$1,"Вторая четверть","Больше половины"))</f>
        <v/>
      </c>
      <c r="U631">
        <f>IF(O631&lt;$U$1*0.5,"Низшая четверть",IF(O631&lt;$U$1,"Вторая четверть","Больше половины"))</f>
        <v/>
      </c>
      <c r="V631">
        <f>IF(OR(N631&lt;SUMIFS(L:L,R:R,1,E:E,E631)/SUMIFS(K:K,R:R,1,E:E,E631)*0.5,O631&lt;SUMIFS(M:M,R:R,1,E:E,E631)/SUMIFS(L:L,R:R,1,E:E,E631)*0.5),"код для проверки","нормальный код")</f>
        <v/>
      </c>
      <c r="W631">
        <f>IF(N631&lt;SUMIFS(L:L,R:R,1,E:E,E631)/SUMIFS(K:K,R:R,1,E:E,E631)*0.5,"Низшая четверть",IF(N631&lt;SUMIFS(L:L,R:R,1,E:E,E631)/SUMIFS(K:K,R:R,1,E:E,E631),"Вторая четверть","Больше половины"))</f>
        <v/>
      </c>
      <c r="X631">
        <f>IF(O631&lt;SUMIFS(M:M,R:R,1,E:E,E631)/SUMIFS(L:L,R:R,1,E:E,E631)*0.5,"Низшая четверть",IF(O631&lt;SUMIFS(M:M,R:R,1,E:E,E631)/SUMIFS(L:L,R:R,1,E:E,E631),"Вторая четверть","Больше половины"))</f>
        <v/>
      </c>
      <c r="Y631" t="n">
        <v>12</v>
      </c>
    </row>
    <row r="632">
      <c r="A632" s="1" t="inlineStr">
        <is>
          <t>a9100040</t>
        </is>
      </c>
      <c r="B632" s="2" t="inlineStr">
        <is>
          <t>783984299</t>
        </is>
      </c>
      <c r="C632" s="3" t="inlineStr">
        <is>
          <t>Одежда для детей</t>
        </is>
      </c>
      <c r="D632" s="2" t="inlineStr">
        <is>
          <t>Свитера детские для мальчиков</t>
        </is>
      </c>
      <c r="E632" s="3" t="inlineStr">
        <is>
          <t>a91 Свитшот для мальчика</t>
        </is>
      </c>
      <c r="F632" s="2" t="inlineStr">
        <is>
          <t>весна, лето, осень</t>
        </is>
      </c>
      <c r="G632" s="3" t="inlineStr">
        <is>
          <t>kari</t>
        </is>
      </c>
      <c r="H632" s="2" t="inlineStr">
        <is>
          <t>Зиннуров Ильнур</t>
        </is>
      </c>
      <c r="J632" s="3" t="inlineStr">
        <is>
          <t>2026SS</t>
        </is>
      </c>
      <c r="K632" s="3" t="n">
        <v>3491</v>
      </c>
      <c r="L632" s="3" t="n">
        <v>241</v>
      </c>
      <c r="M632" s="3" t="n">
        <v>7</v>
      </c>
      <c r="N632" s="4">
        <f>IFERROR(L632/K632,0)</f>
        <v/>
      </c>
      <c r="O632" s="4">
        <f>IFERROR(M632/L632,0)</f>
        <v/>
      </c>
      <c r="P632" t="n">
        <v>227</v>
      </c>
      <c r="Q632" s="5" t="n">
        <v>1</v>
      </c>
      <c r="R632" s="7" t="n">
        <v>1</v>
      </c>
      <c r="S632">
        <f>IF(OR(N632&lt;$T$1*0.5,O632&lt;$U$1*0.5),"код для проверки","нормальный код")</f>
        <v/>
      </c>
      <c r="T632">
        <f>IF(N632&lt;$T$1*0.5,"Низшая четверть",IF(N632&lt;$T$1,"Вторая четверть","Больше половины"))</f>
        <v/>
      </c>
      <c r="U632">
        <f>IF(O632&lt;$U$1*0.5,"Низшая четверть",IF(O632&lt;$U$1,"Вторая четверть","Больше половины"))</f>
        <v/>
      </c>
      <c r="V632">
        <f>IF(OR(N632&lt;SUMIFS(L:L,R:R,1,E:E,E632)/SUMIFS(K:K,R:R,1,E:E,E632)*0.5,O632&lt;SUMIFS(M:M,R:R,1,E:E,E632)/SUMIFS(L:L,R:R,1,E:E,E632)*0.5),"код для проверки","нормальный код")</f>
        <v/>
      </c>
      <c r="W632">
        <f>IF(N632&lt;SUMIFS(L:L,R:R,1,E:E,E632)/SUMIFS(K:K,R:R,1,E:E,E632)*0.5,"Низшая четверть",IF(N632&lt;SUMIFS(L:L,R:R,1,E:E,E632)/SUMIFS(K:K,R:R,1,E:E,E632),"Вторая четверть","Больше половины"))</f>
        <v/>
      </c>
      <c r="X632">
        <f>IF(O632&lt;SUMIFS(M:M,R:R,1,E:E,E632)/SUMIFS(L:L,R:R,1,E:E,E632)*0.5,"Низшая четверть",IF(O632&lt;SUMIFS(M:M,R:R,1,E:E,E632)/SUMIFS(L:L,R:R,1,E:E,E632),"Вторая четверть","Больше половины"))</f>
        <v/>
      </c>
      <c r="Y632" t="n">
        <v>19</v>
      </c>
    </row>
    <row r="633">
      <c r="A633" s="1" t="inlineStr">
        <is>
          <t>a9000030</t>
        </is>
      </c>
      <c r="B633" s="2" t="inlineStr">
        <is>
          <t>783984287</t>
        </is>
      </c>
      <c r="C633" s="3" t="inlineStr">
        <is>
          <t>Одежда для детей</t>
        </is>
      </c>
      <c r="D633" s="2" t="inlineStr">
        <is>
          <t>Свитера детские для девочек</t>
        </is>
      </c>
      <c r="E633" s="3" t="inlineStr">
        <is>
          <t>a90 Свитшот  утепленный для девочки</t>
        </is>
      </c>
      <c r="F633" s="2" t="inlineStr">
        <is>
          <t>весна, осень, зима</t>
        </is>
      </c>
      <c r="G633" s="3" t="inlineStr">
        <is>
          <t>Kari KIDS</t>
        </is>
      </c>
      <c r="H633" s="2" t="inlineStr">
        <is>
          <t>Зиннуров Ильнур</t>
        </is>
      </c>
      <c r="J633" s="3" t="inlineStr">
        <is>
          <t>2026SS</t>
        </is>
      </c>
      <c r="K633" s="3" t="n">
        <v>3476</v>
      </c>
      <c r="L633" s="3" t="n">
        <v>322</v>
      </c>
      <c r="M633" s="3" t="n">
        <v>3</v>
      </c>
      <c r="N633" s="4">
        <f>IFERROR(L633/K633,0)</f>
        <v/>
      </c>
      <c r="O633" s="4">
        <f>IFERROR(M633/L633,0)</f>
        <v/>
      </c>
      <c r="P633" t="n">
        <v>431</v>
      </c>
      <c r="Q633" s="5" t="n">
        <v>1</v>
      </c>
      <c r="R633" s="7" t="n">
        <v>1</v>
      </c>
      <c r="S633">
        <f>IF(OR(N633&lt;$T$1*0.5,O633&lt;$U$1*0.5),"код для проверки","нормальный код")</f>
        <v/>
      </c>
      <c r="T633">
        <f>IF(N633&lt;$T$1*0.5,"Низшая четверть",IF(N633&lt;$T$1,"Вторая четверть","Больше половины"))</f>
        <v/>
      </c>
      <c r="U633">
        <f>IF(O633&lt;$U$1*0.5,"Низшая четверть",IF(O633&lt;$U$1,"Вторая четверть","Больше половины"))</f>
        <v/>
      </c>
      <c r="V633">
        <f>IF(OR(N633&lt;SUMIFS(L:L,R:R,1,E:E,E633)/SUMIFS(K:K,R:R,1,E:E,E633)*0.5,O633&lt;SUMIFS(M:M,R:R,1,E:E,E633)/SUMIFS(L:L,R:R,1,E:E,E633)*0.5),"код для проверки","нормальный код")</f>
        <v/>
      </c>
      <c r="W633">
        <f>IF(N633&lt;SUMIFS(L:L,R:R,1,E:E,E633)/SUMIFS(K:K,R:R,1,E:E,E633)*0.5,"Низшая четверть",IF(N633&lt;SUMIFS(L:L,R:R,1,E:E,E633)/SUMIFS(K:K,R:R,1,E:E,E633),"Вторая четверть","Больше половины"))</f>
        <v/>
      </c>
      <c r="X633">
        <f>IF(O633&lt;SUMIFS(M:M,R:R,1,E:E,E633)/SUMIFS(L:L,R:R,1,E:E,E633)*0.5,"Низшая четверть",IF(O633&lt;SUMIFS(M:M,R:R,1,E:E,E633)/SUMIFS(L:L,R:R,1,E:E,E633),"Вторая четверть","Больше половины"))</f>
        <v/>
      </c>
      <c r="Y633" t="n">
        <v>8</v>
      </c>
    </row>
    <row r="634">
      <c r="A634" s="1" t="inlineStr">
        <is>
          <t>93900220</t>
        </is>
      </c>
      <c r="B634" s="2" t="inlineStr">
        <is>
          <t>766736537</t>
        </is>
      </c>
      <c r="C634" s="3" t="inlineStr">
        <is>
          <t>Одежда для детей</t>
        </is>
      </c>
      <c r="D634" s="2" t="inlineStr">
        <is>
          <t>Одежда для новорожденных</t>
        </is>
      </c>
      <c r="E634" s="3" t="inlineStr">
        <is>
          <t>939 Футболка для маленькой девочки</t>
        </is>
      </c>
      <c r="F634" s="2" t="inlineStr">
        <is>
          <t>всесезонный</t>
        </is>
      </c>
      <c r="G634" s="3" t="inlineStr">
        <is>
          <t>Kari baby</t>
        </is>
      </c>
      <c r="H634" s="2" t="inlineStr">
        <is>
          <t>Зиннуров Ильнур</t>
        </is>
      </c>
      <c r="J634" s="3" t="inlineStr">
        <is>
          <t>2026SS</t>
        </is>
      </c>
      <c r="K634" s="3" t="n">
        <v>3472</v>
      </c>
      <c r="L634" s="3" t="n">
        <v>513</v>
      </c>
      <c r="M634" s="3" t="n">
        <v>3</v>
      </c>
      <c r="N634" s="4">
        <f>IFERROR(L634/K634,0)</f>
        <v/>
      </c>
      <c r="O634" s="4">
        <f>IFERROR(M634/L634,0)</f>
        <v/>
      </c>
      <c r="P634" t="n">
        <v>712</v>
      </c>
      <c r="Q634" s="5" t="n">
        <v>1</v>
      </c>
      <c r="R634" s="7" t="n">
        <v>1</v>
      </c>
      <c r="S634">
        <f>IF(OR(N634&lt;$T$1*0.5,O634&lt;$U$1*0.5),"код для проверки","нормальный код")</f>
        <v/>
      </c>
      <c r="T634">
        <f>IF(N634&lt;$T$1*0.5,"Низшая четверть",IF(N634&lt;$T$1,"Вторая четверть","Больше половины"))</f>
        <v/>
      </c>
      <c r="U634">
        <f>IF(O634&lt;$U$1*0.5,"Низшая четверть",IF(O634&lt;$U$1,"Вторая четверть","Больше половины"))</f>
        <v/>
      </c>
      <c r="V634">
        <f>IF(OR(N634&lt;SUMIFS(L:L,R:R,1,E:E,E634)/SUMIFS(K:K,R:R,1,E:E,E634)*0.5,O634&lt;SUMIFS(M:M,R:R,1,E:E,E634)/SUMIFS(L:L,R:R,1,E:E,E634)*0.5),"код для проверки","нормальный код")</f>
        <v/>
      </c>
      <c r="W634">
        <f>IF(N634&lt;SUMIFS(L:L,R:R,1,E:E,E634)/SUMIFS(K:K,R:R,1,E:E,E634)*0.5,"Низшая четверть",IF(N634&lt;SUMIFS(L:L,R:R,1,E:E,E634)/SUMIFS(K:K,R:R,1,E:E,E634),"Вторая четверть","Больше половины"))</f>
        <v/>
      </c>
      <c r="X634">
        <f>IF(O634&lt;SUMIFS(M:M,R:R,1,E:E,E634)/SUMIFS(L:L,R:R,1,E:E,E634)*0.5,"Низшая четверть",IF(O634&lt;SUMIFS(M:M,R:R,1,E:E,E634)/SUMIFS(L:L,R:R,1,E:E,E634),"Вторая четверть","Больше половины"))</f>
        <v/>
      </c>
      <c r="Y634" t="n">
        <v>5</v>
      </c>
    </row>
    <row r="635">
      <c r="A635" s="1" t="inlineStr">
        <is>
          <t>a5700010</t>
        </is>
      </c>
      <c r="B635" s="2" t="inlineStr">
        <is>
          <t>722704823</t>
        </is>
      </c>
      <c r="C635" s="3" t="inlineStr">
        <is>
          <t>Одежда для детей</t>
        </is>
      </c>
      <c r="D635" s="2" t="inlineStr">
        <is>
          <t>Одежда для новорожденных</t>
        </is>
      </c>
      <c r="E635" s="3" t="inlineStr">
        <is>
          <t>a57 Летнее платье для маленькой девочки</t>
        </is>
      </c>
      <c r="F635" s="2" t="inlineStr">
        <is>
          <t>весна, лето</t>
        </is>
      </c>
      <c r="G635" s="3" t="inlineStr">
        <is>
          <t>Kari baby</t>
        </is>
      </c>
      <c r="H635" s="2" t="inlineStr">
        <is>
          <t>Зиннуров Ильнур</t>
        </is>
      </c>
      <c r="J635" s="3" t="inlineStr">
        <is>
          <t>2026SS</t>
        </is>
      </c>
      <c r="K635" s="3" t="n">
        <v>3470</v>
      </c>
      <c r="L635" s="3" t="n">
        <v>549</v>
      </c>
      <c r="M635" s="3" t="n">
        <v>0</v>
      </c>
      <c r="N635" s="4">
        <f>IFERROR(L635/K635,0)</f>
        <v/>
      </c>
      <c r="O635" s="4">
        <f>IFERROR(M635/L635,0)</f>
        <v/>
      </c>
      <c r="P635" t="n">
        <v>477</v>
      </c>
      <c r="Q635" s="5" t="n">
        <v>1</v>
      </c>
      <c r="R635" s="7" t="n">
        <v>1</v>
      </c>
      <c r="S635">
        <f>IF(OR(N635&lt;$T$1*0.5,O635&lt;$U$1*0.5),"код для проверки","нормальный код")</f>
        <v/>
      </c>
      <c r="T635">
        <f>IF(N635&lt;$T$1*0.5,"Низшая четверть",IF(N635&lt;$T$1,"Вторая четверть","Больше половины"))</f>
        <v/>
      </c>
      <c r="U635">
        <f>IF(O635&lt;$U$1*0.5,"Низшая четверть",IF(O635&lt;$U$1,"Вторая четверть","Больше половины"))</f>
        <v/>
      </c>
      <c r="V635">
        <f>IF(OR(N635&lt;SUMIFS(L:L,R:R,1,E:E,E635)/SUMIFS(K:K,R:R,1,E:E,E635)*0.5,O635&lt;SUMIFS(M:M,R:R,1,E:E,E635)/SUMIFS(L:L,R:R,1,E:E,E635)*0.5),"код для проверки","нормальный код")</f>
        <v/>
      </c>
      <c r="W635">
        <f>IF(N635&lt;SUMIFS(L:L,R:R,1,E:E,E635)/SUMIFS(K:K,R:R,1,E:E,E635)*0.5,"Низшая четверть",IF(N635&lt;SUMIFS(L:L,R:R,1,E:E,E635)/SUMIFS(K:K,R:R,1,E:E,E635),"Вторая четверть","Больше половины"))</f>
        <v/>
      </c>
      <c r="X635">
        <f>IF(O635&lt;SUMIFS(M:M,R:R,1,E:E,E635)/SUMIFS(L:L,R:R,1,E:E,E635)*0.5,"Низшая четверть",IF(O635&lt;SUMIFS(M:M,R:R,1,E:E,E635)/SUMIFS(L:L,R:R,1,E:E,E635),"Вторая четверть","Больше половины"))</f>
        <v/>
      </c>
      <c r="Y635" t="n">
        <v>13</v>
      </c>
    </row>
    <row r="636">
      <c r="A636" s="1" t="inlineStr">
        <is>
          <t>094000Y0</t>
        </is>
      </c>
      <c r="B636" s="2" t="inlineStr">
        <is>
          <t>710347957</t>
        </is>
      </c>
      <c r="C636" s="3" t="inlineStr">
        <is>
          <t>Одежда и аксессуары</t>
        </is>
      </c>
      <c r="D636" s="2" t="inlineStr">
        <is>
          <t>Купальники женские</t>
        </is>
      </c>
      <c r="E636" s="3" t="inlineStr">
        <is>
          <t>094 Купальник</t>
        </is>
      </c>
      <c r="F636" s="2" t="inlineStr">
        <is>
          <t>лето</t>
        </is>
      </c>
      <c r="G636" s="3" t="inlineStr">
        <is>
          <t>kari</t>
        </is>
      </c>
      <c r="H636" s="2" t="inlineStr">
        <is>
          <t>Никонорова Алина</t>
        </is>
      </c>
      <c r="J636" s="3" t="inlineStr">
        <is>
          <t>2026SS</t>
        </is>
      </c>
      <c r="K636" s="3" t="n">
        <v>3451</v>
      </c>
      <c r="L636" s="3" t="n">
        <v>2620</v>
      </c>
      <c r="M636" s="3" t="n">
        <v>10</v>
      </c>
      <c r="N636" s="4">
        <f>IFERROR(L636/K636,0)</f>
        <v/>
      </c>
      <c r="O636" s="4">
        <f>IFERROR(M636/L636,0)</f>
        <v/>
      </c>
      <c r="P636" t="n">
        <v>1548</v>
      </c>
      <c r="Q636" s="5" t="n">
        <v>0.5555555555555556</v>
      </c>
      <c r="R636" s="7" t="n">
        <v>1</v>
      </c>
      <c r="S636">
        <f>IF(OR(N636&lt;$T$1*0.5,O636&lt;$U$1*0.5),"код для проверки","нормальный код")</f>
        <v/>
      </c>
      <c r="T636">
        <f>IF(N636&lt;$T$1*0.5,"Низшая четверть",IF(N636&lt;$T$1,"Вторая четверть","Больше половины"))</f>
        <v/>
      </c>
      <c r="U636">
        <f>IF(O636&lt;$U$1*0.5,"Низшая четверть",IF(O636&lt;$U$1,"Вторая четверть","Больше половины"))</f>
        <v/>
      </c>
      <c r="V636">
        <f>IF(OR(N636&lt;SUMIFS(L:L,R:R,1,E:E,E636)/SUMIFS(K:K,R:R,1,E:E,E636)*0.5,O636&lt;SUMIFS(M:M,R:R,1,E:E,E636)/SUMIFS(L:L,R:R,1,E:E,E636)*0.5),"код для проверки","нормальный код")</f>
        <v/>
      </c>
      <c r="W636">
        <f>IF(N636&lt;SUMIFS(L:L,R:R,1,E:E,E636)/SUMIFS(K:K,R:R,1,E:E,E636)*0.5,"Низшая четверть",IF(N636&lt;SUMIFS(L:L,R:R,1,E:E,E636)/SUMIFS(K:K,R:R,1,E:E,E636),"Вторая четверть","Больше половины"))</f>
        <v/>
      </c>
      <c r="X636">
        <f>IF(O636&lt;SUMIFS(M:M,R:R,1,E:E,E636)/SUMIFS(L:L,R:R,1,E:E,E636)*0.5,"Низшая четверть",IF(O636&lt;SUMIFS(M:M,R:R,1,E:E,E636)/SUMIFS(L:L,R:R,1,E:E,E636),"Вторая четверть","Больше половины"))</f>
        <v/>
      </c>
      <c r="Y636" t="n">
        <v>22</v>
      </c>
    </row>
    <row r="637">
      <c r="A637" s="1" t="inlineStr">
        <is>
          <t>18400210</t>
        </is>
      </c>
      <c r="B637" s="2" t="inlineStr">
        <is>
          <t>800441839</t>
        </is>
      </c>
      <c r="C637" s="3" t="inlineStr">
        <is>
          <t>Одежда и аксессуары</t>
        </is>
      </c>
      <c r="D637" s="2" t="inlineStr">
        <is>
          <t>Майки и платья женские</t>
        </is>
      </c>
      <c r="E637" s="3" t="inlineStr">
        <is>
          <t>184 Женская футболка</t>
        </is>
      </c>
      <c r="F637" s="2" t="inlineStr">
        <is>
          <t>всесезонный</t>
        </is>
      </c>
      <c r="G637" s="3" t="inlineStr">
        <is>
          <t>kari</t>
        </is>
      </c>
      <c r="H637" s="2" t="inlineStr">
        <is>
          <t>Зиннуров Ильнур</t>
        </is>
      </c>
      <c r="J637" s="3" t="inlineStr">
        <is>
          <t>2026SS</t>
        </is>
      </c>
      <c r="K637" s="3" t="n">
        <v>3450</v>
      </c>
      <c r="L637" s="3" t="n">
        <v>202</v>
      </c>
      <c r="M637" s="3" t="n">
        <v>5</v>
      </c>
      <c r="N637" s="4">
        <f>IFERROR(L637/K637,0)</f>
        <v/>
      </c>
      <c r="O637" s="4">
        <f>IFERROR(M637/L637,0)</f>
        <v/>
      </c>
      <c r="P637" t="n">
        <v>435</v>
      </c>
      <c r="Q637" s="5" t="n">
        <v>1</v>
      </c>
      <c r="R637" s="7" t="n">
        <v>1</v>
      </c>
      <c r="S637">
        <f>IF(OR(N637&lt;$T$1*0.5,O637&lt;$U$1*0.5),"код для проверки","нормальный код")</f>
        <v/>
      </c>
      <c r="T637">
        <f>IF(N637&lt;$T$1*0.5,"Низшая четверть",IF(N637&lt;$T$1,"Вторая четверть","Больше половины"))</f>
        <v/>
      </c>
      <c r="U637">
        <f>IF(O637&lt;$U$1*0.5,"Низшая четверть",IF(O637&lt;$U$1,"Вторая четверть","Больше половины"))</f>
        <v/>
      </c>
      <c r="V637">
        <f>IF(OR(N637&lt;SUMIFS(L:L,R:R,1,E:E,E637)/SUMIFS(K:K,R:R,1,E:E,E637)*0.5,O637&lt;SUMIFS(M:M,R:R,1,E:E,E637)/SUMIFS(L:L,R:R,1,E:E,E637)*0.5),"код для проверки","нормальный код")</f>
        <v/>
      </c>
      <c r="W637">
        <f>IF(N637&lt;SUMIFS(L:L,R:R,1,E:E,E637)/SUMIFS(K:K,R:R,1,E:E,E637)*0.5,"Низшая четверть",IF(N637&lt;SUMIFS(L:L,R:R,1,E:E,E637)/SUMIFS(K:K,R:R,1,E:E,E637),"Вторая четверть","Больше половины"))</f>
        <v/>
      </c>
      <c r="X637">
        <f>IF(O637&lt;SUMIFS(M:M,R:R,1,E:E,E637)/SUMIFS(L:L,R:R,1,E:E,E637)*0.5,"Низшая четверть",IF(O637&lt;SUMIFS(M:M,R:R,1,E:E,E637)/SUMIFS(L:L,R:R,1,E:E,E637),"Вторая четверть","Больше половины"))</f>
        <v/>
      </c>
      <c r="Y637" t="n">
        <v>15</v>
      </c>
    </row>
    <row r="638">
      <c r="A638" s="1" t="inlineStr">
        <is>
          <t>b4806060</t>
        </is>
      </c>
      <c r="B638" s="2" t="inlineStr">
        <is>
          <t>209221216</t>
        </is>
      </c>
      <c r="C638" s="3" t="inlineStr">
        <is>
          <t>Одежда и аксессуары</t>
        </is>
      </c>
      <c r="D638" s="2" t="inlineStr">
        <is>
          <t>Майки и платья женские</t>
        </is>
      </c>
      <c r="E638" s="3" t="inlineStr">
        <is>
          <t>b48 Топ женский для активного отдыха</t>
        </is>
      </c>
      <c r="F638" s="2" t="inlineStr">
        <is>
          <t>всесезонный</t>
        </is>
      </c>
      <c r="G638" s="3" t="inlineStr">
        <is>
          <t>kari</t>
        </is>
      </c>
      <c r="H638" s="2" t="inlineStr">
        <is>
          <t>Зиннуров Ильнур</t>
        </is>
      </c>
      <c r="J638" s="3" t="inlineStr">
        <is>
          <t>2026SS</t>
        </is>
      </c>
      <c r="K638" s="3" t="n">
        <v>3441</v>
      </c>
      <c r="L638" s="3" t="n">
        <v>141</v>
      </c>
      <c r="M638" s="3" t="n">
        <v>10</v>
      </c>
      <c r="N638" s="4">
        <f>IFERROR(L638/K638,0)</f>
        <v/>
      </c>
      <c r="O638" s="4">
        <f>IFERROR(M638/L638,0)</f>
        <v/>
      </c>
      <c r="P638" t="n">
        <v>360</v>
      </c>
      <c r="Q638" s="5" t="n">
        <v>1</v>
      </c>
      <c r="R638" s="7" t="n">
        <v>1</v>
      </c>
      <c r="S638">
        <f>IF(OR(N638&lt;$T$1*0.5,O638&lt;$U$1*0.5),"код для проверки","нормальный код")</f>
        <v/>
      </c>
      <c r="T638">
        <f>IF(N638&lt;$T$1*0.5,"Низшая четверть",IF(N638&lt;$T$1,"Вторая четверть","Больше половины"))</f>
        <v/>
      </c>
      <c r="U638">
        <f>IF(O638&lt;$U$1*0.5,"Низшая четверть",IF(O638&lt;$U$1,"Вторая четверть","Больше половины"))</f>
        <v/>
      </c>
      <c r="V638">
        <f>IF(OR(N638&lt;SUMIFS(L:L,R:R,1,E:E,E638)/SUMIFS(K:K,R:R,1,E:E,E638)*0.5,O638&lt;SUMIFS(M:M,R:R,1,E:E,E638)/SUMIFS(L:L,R:R,1,E:E,E638)*0.5),"код для проверки","нормальный код")</f>
        <v/>
      </c>
      <c r="W638">
        <f>IF(N638&lt;SUMIFS(L:L,R:R,1,E:E,E638)/SUMIFS(K:K,R:R,1,E:E,E638)*0.5,"Низшая четверть",IF(N638&lt;SUMIFS(L:L,R:R,1,E:E,E638)/SUMIFS(K:K,R:R,1,E:E,E638),"Вторая четверть","Больше половины"))</f>
        <v/>
      </c>
      <c r="X638">
        <f>IF(O638&lt;SUMIFS(M:M,R:R,1,E:E,E638)/SUMIFS(L:L,R:R,1,E:E,E638)*0.5,"Низшая четверть",IF(O638&lt;SUMIFS(M:M,R:R,1,E:E,E638)/SUMIFS(L:L,R:R,1,E:E,E638),"Вторая четверть","Больше половины"))</f>
        <v/>
      </c>
      <c r="Y638" t="n">
        <v>3</v>
      </c>
    </row>
    <row r="639">
      <c r="A639" s="1" t="inlineStr">
        <is>
          <t>93900270</t>
        </is>
      </c>
      <c r="B639" s="2" t="inlineStr">
        <is>
          <t>907850052</t>
        </is>
      </c>
      <c r="C639" s="3" t="inlineStr">
        <is>
          <t>Одежда для детей</t>
        </is>
      </c>
      <c r="D639" s="2" t="inlineStr">
        <is>
          <t>Одежда для новорожденных</t>
        </is>
      </c>
      <c r="E639" s="3" t="inlineStr">
        <is>
          <t>939 Футболка для маленькой девочки</t>
        </is>
      </c>
      <c r="F639" s="2" t="inlineStr">
        <is>
          <t>всесезонный</t>
        </is>
      </c>
      <c r="G639" s="3" t="inlineStr">
        <is>
          <t>Kari baby</t>
        </is>
      </c>
      <c r="H639" s="2" t="inlineStr">
        <is>
          <t>Зиннуров Ильнур</t>
        </is>
      </c>
      <c r="J639" s="3" t="inlineStr">
        <is>
          <t>2026SS</t>
        </is>
      </c>
      <c r="K639" s="3" t="n">
        <v>3432</v>
      </c>
      <c r="L639" s="3" t="n">
        <v>102</v>
      </c>
      <c r="M639" s="3" t="n">
        <v>3</v>
      </c>
      <c r="N639" s="4">
        <f>IFERROR(L639/K639,0)</f>
        <v/>
      </c>
      <c r="O639" s="4">
        <f>IFERROR(M639/L639,0)</f>
        <v/>
      </c>
      <c r="P639" t="n">
        <v>655</v>
      </c>
      <c r="Q639" s="5" t="n">
        <v>1</v>
      </c>
      <c r="R639" s="7" t="n">
        <v>1</v>
      </c>
      <c r="S639">
        <f>IF(OR(N639&lt;$T$1*0.5,O639&lt;$U$1*0.5),"код для проверки","нормальный код")</f>
        <v/>
      </c>
      <c r="T639">
        <f>IF(N639&lt;$T$1*0.5,"Низшая четверть",IF(N639&lt;$T$1,"Вторая четверть","Больше половины"))</f>
        <v/>
      </c>
      <c r="U639">
        <f>IF(O639&lt;$U$1*0.5,"Низшая четверть",IF(O639&lt;$U$1,"Вторая четверть","Больше половины"))</f>
        <v/>
      </c>
      <c r="V639">
        <f>IF(OR(N639&lt;SUMIFS(L:L,R:R,1,E:E,E639)/SUMIFS(K:K,R:R,1,E:E,E639)*0.5,O639&lt;SUMIFS(M:M,R:R,1,E:E,E639)/SUMIFS(L:L,R:R,1,E:E,E639)*0.5),"код для проверки","нормальный код")</f>
        <v/>
      </c>
      <c r="W639">
        <f>IF(N639&lt;SUMIFS(L:L,R:R,1,E:E,E639)/SUMIFS(K:K,R:R,1,E:E,E639)*0.5,"Низшая четверть",IF(N639&lt;SUMIFS(L:L,R:R,1,E:E,E639)/SUMIFS(K:K,R:R,1,E:E,E639),"Вторая четверть","Больше половины"))</f>
        <v/>
      </c>
      <c r="X639">
        <f>IF(O639&lt;SUMIFS(M:M,R:R,1,E:E,E639)/SUMIFS(L:L,R:R,1,E:E,E639)*0.5,"Низшая четверть",IF(O639&lt;SUMIFS(M:M,R:R,1,E:E,E639)/SUMIFS(L:L,R:R,1,E:E,E639),"Вторая четверть","Больше половины"))</f>
        <v/>
      </c>
      <c r="Y639" t="n">
        <v>15</v>
      </c>
    </row>
    <row r="640">
      <c r="A640" s="1" t="inlineStr">
        <is>
          <t>310000X0</t>
        </is>
      </c>
      <c r="B640" s="2" t="inlineStr">
        <is>
          <t>819952045</t>
        </is>
      </c>
      <c r="C640" s="3" t="inlineStr">
        <is>
          <t>Одежда для детей</t>
        </is>
      </c>
      <c r="D640" s="2" t="inlineStr">
        <is>
          <t>Футболки, майки, рубашки детские для мальчиков</t>
        </is>
      </c>
      <c r="E640" s="3" t="inlineStr">
        <is>
          <t>310 Футболка детская для мальчиков</t>
        </is>
      </c>
      <c r="F640" s="2" t="inlineStr">
        <is>
          <t>всесезонный</t>
        </is>
      </c>
      <c r="G640" s="3" t="inlineStr">
        <is>
          <t>kari</t>
        </is>
      </c>
      <c r="H640" s="2" t="inlineStr">
        <is>
          <t>Зиннуров Ильнур</t>
        </is>
      </c>
      <c r="J640" s="3" t="inlineStr">
        <is>
          <t>2026SS</t>
        </is>
      </c>
      <c r="K640" s="3" t="n">
        <v>3425</v>
      </c>
      <c r="L640" s="3" t="n">
        <v>1385</v>
      </c>
      <c r="M640" s="3" t="n">
        <v>8</v>
      </c>
      <c r="N640" s="4">
        <f>IFERROR(L640/K640,0)</f>
        <v/>
      </c>
      <c r="O640" s="4">
        <f>IFERROR(M640/L640,0)</f>
        <v/>
      </c>
      <c r="P640" t="n">
        <v>390</v>
      </c>
      <c r="Q640" s="5" t="n">
        <v>1</v>
      </c>
      <c r="R640" s="7" t="n">
        <v>1</v>
      </c>
      <c r="S640">
        <f>IF(OR(N640&lt;$T$1*0.5,O640&lt;$U$1*0.5),"код для проверки","нормальный код")</f>
        <v/>
      </c>
      <c r="T640">
        <f>IF(N640&lt;$T$1*0.5,"Низшая четверть",IF(N640&lt;$T$1,"Вторая четверть","Больше половины"))</f>
        <v/>
      </c>
      <c r="U640">
        <f>IF(O640&lt;$U$1*0.5,"Низшая четверть",IF(O640&lt;$U$1,"Вторая четверть","Больше половины"))</f>
        <v/>
      </c>
      <c r="V640">
        <f>IF(OR(N640&lt;SUMIFS(L:L,R:R,1,E:E,E640)/SUMIFS(K:K,R:R,1,E:E,E640)*0.5,O640&lt;SUMIFS(M:M,R:R,1,E:E,E640)/SUMIFS(L:L,R:R,1,E:E,E640)*0.5),"код для проверки","нормальный код")</f>
        <v/>
      </c>
      <c r="W640">
        <f>IF(N640&lt;SUMIFS(L:L,R:R,1,E:E,E640)/SUMIFS(K:K,R:R,1,E:E,E640)*0.5,"Низшая четверть",IF(N640&lt;SUMIFS(L:L,R:R,1,E:E,E640)/SUMIFS(K:K,R:R,1,E:E,E640),"Вторая четверть","Больше половины"))</f>
        <v/>
      </c>
      <c r="X640">
        <f>IF(O640&lt;SUMIFS(M:M,R:R,1,E:E,E640)/SUMIFS(L:L,R:R,1,E:E,E640)*0.5,"Низшая четверть",IF(O640&lt;SUMIFS(M:M,R:R,1,E:E,E640)/SUMIFS(L:L,R:R,1,E:E,E640),"Вторая четверть","Больше половины"))</f>
        <v/>
      </c>
      <c r="Y640" t="n">
        <v>7</v>
      </c>
    </row>
    <row r="641">
      <c r="A641" s="1" t="inlineStr">
        <is>
          <t>094000K0</t>
        </is>
      </c>
      <c r="B641" s="2" t="inlineStr">
        <is>
          <t>710249045</t>
        </is>
      </c>
      <c r="C641" s="3" t="inlineStr">
        <is>
          <t>Одежда и аксессуары</t>
        </is>
      </c>
      <c r="D641" s="2" t="inlineStr">
        <is>
          <t>Купальники женские</t>
        </is>
      </c>
      <c r="E641" s="3" t="inlineStr">
        <is>
          <t>094 Купальник</t>
        </is>
      </c>
      <c r="F641" s="2" t="inlineStr">
        <is>
          <t>лето</t>
        </is>
      </c>
      <c r="G641" s="3" t="inlineStr">
        <is>
          <t>kari</t>
        </is>
      </c>
      <c r="H641" s="2" t="inlineStr">
        <is>
          <t>Никонорова Алина</t>
        </is>
      </c>
      <c r="J641" s="3" t="inlineStr">
        <is>
          <t>2026SS</t>
        </is>
      </c>
      <c r="K641" s="3" t="n">
        <v>3424</v>
      </c>
      <c r="L641" s="3" t="n">
        <v>3367</v>
      </c>
      <c r="M641" s="3" t="n">
        <v>12</v>
      </c>
      <c r="N641" s="4">
        <f>IFERROR(L641/K641,0)</f>
        <v/>
      </c>
      <c r="O641" s="4">
        <f>IFERROR(M641/L641,0)</f>
        <v/>
      </c>
      <c r="P641" t="n">
        <v>1646</v>
      </c>
      <c r="Q641" s="5" t="n">
        <v>0.7777777777777778</v>
      </c>
      <c r="R641" s="7" t="n">
        <v>1</v>
      </c>
      <c r="S641">
        <f>IF(OR(N641&lt;$T$1*0.5,O641&lt;$U$1*0.5),"код для проверки","нормальный код")</f>
        <v/>
      </c>
      <c r="T641">
        <f>IF(N641&lt;$T$1*0.5,"Низшая четверть",IF(N641&lt;$T$1,"Вторая четверть","Больше половины"))</f>
        <v/>
      </c>
      <c r="U641">
        <f>IF(O641&lt;$U$1*0.5,"Низшая четверть",IF(O641&lt;$U$1,"Вторая четверть","Больше половины"))</f>
        <v/>
      </c>
      <c r="V641">
        <f>IF(OR(N641&lt;SUMIFS(L:L,R:R,1,E:E,E641)/SUMIFS(K:K,R:R,1,E:E,E641)*0.5,O641&lt;SUMIFS(M:M,R:R,1,E:E,E641)/SUMIFS(L:L,R:R,1,E:E,E641)*0.5),"код для проверки","нормальный код")</f>
        <v/>
      </c>
      <c r="W641">
        <f>IF(N641&lt;SUMIFS(L:L,R:R,1,E:E,E641)/SUMIFS(K:K,R:R,1,E:E,E641)*0.5,"Низшая четверть",IF(N641&lt;SUMIFS(L:L,R:R,1,E:E,E641)/SUMIFS(K:K,R:R,1,E:E,E641),"Вторая четверть","Больше половины"))</f>
        <v/>
      </c>
      <c r="X641">
        <f>IF(O641&lt;SUMIFS(M:M,R:R,1,E:E,E641)/SUMIFS(L:L,R:R,1,E:E,E641)*0.5,"Низшая четверть",IF(O641&lt;SUMIFS(M:M,R:R,1,E:E,E641)/SUMIFS(L:L,R:R,1,E:E,E641),"Вторая четверть","Больше половины"))</f>
        <v/>
      </c>
      <c r="Y641" t="n">
        <v>12</v>
      </c>
    </row>
    <row r="642">
      <c r="A642" s="1" t="inlineStr">
        <is>
          <t>30400110</t>
        </is>
      </c>
      <c r="B642" s="2" t="inlineStr">
        <is>
          <t>768031868</t>
        </is>
      </c>
      <c r="C642" s="3" t="inlineStr">
        <is>
          <t>Одежда и аксессуары</t>
        </is>
      </c>
      <c r="D642" s="2" t="inlineStr">
        <is>
          <t>Майки и платья женские</t>
        </is>
      </c>
      <c r="E642" s="3" t="inlineStr">
        <is>
          <t>304 Юбка женская</t>
        </is>
      </c>
      <c r="F642" s="2" t="inlineStr">
        <is>
          <t>всесезонный</t>
        </is>
      </c>
      <c r="G642" s="3" t="inlineStr">
        <is>
          <t>kari</t>
        </is>
      </c>
      <c r="H642" s="2" t="inlineStr">
        <is>
          <t>Зиннуров Ильнур</t>
        </is>
      </c>
      <c r="J642" s="3" t="inlineStr">
        <is>
          <t>2026SS</t>
        </is>
      </c>
      <c r="K642" s="3" t="n">
        <v>3423</v>
      </c>
      <c r="L642" s="3" t="n">
        <v>306</v>
      </c>
      <c r="M642" s="3" t="n">
        <v>2</v>
      </c>
      <c r="N642" s="4">
        <f>IFERROR(L642/K642,0)</f>
        <v/>
      </c>
      <c r="O642" s="4">
        <f>IFERROR(M642/L642,0)</f>
        <v/>
      </c>
      <c r="P642" t="n">
        <v>177</v>
      </c>
      <c r="Q642" s="5" t="n">
        <v>0.6</v>
      </c>
      <c r="R642" s="7" t="n">
        <v>1</v>
      </c>
      <c r="S642">
        <f>IF(OR(N642&lt;$T$1*0.5,O642&lt;$U$1*0.5),"код для проверки","нормальный код")</f>
        <v/>
      </c>
      <c r="T642">
        <f>IF(N642&lt;$T$1*0.5,"Низшая четверть",IF(N642&lt;$T$1,"Вторая четверть","Больше половины"))</f>
        <v/>
      </c>
      <c r="U642">
        <f>IF(O642&lt;$U$1*0.5,"Низшая четверть",IF(O642&lt;$U$1,"Вторая четверть","Больше половины"))</f>
        <v/>
      </c>
      <c r="V642">
        <f>IF(OR(N642&lt;SUMIFS(L:L,R:R,1,E:E,E642)/SUMIFS(K:K,R:R,1,E:E,E642)*0.5,O642&lt;SUMIFS(M:M,R:R,1,E:E,E642)/SUMIFS(L:L,R:R,1,E:E,E642)*0.5),"код для проверки","нормальный код")</f>
        <v/>
      </c>
      <c r="W642">
        <f>IF(N642&lt;SUMIFS(L:L,R:R,1,E:E,E642)/SUMIFS(K:K,R:R,1,E:E,E642)*0.5,"Низшая четверть",IF(N642&lt;SUMIFS(L:L,R:R,1,E:E,E642)/SUMIFS(K:K,R:R,1,E:E,E642),"Вторая четверть","Больше половины"))</f>
        <v/>
      </c>
      <c r="X642">
        <f>IF(O642&lt;SUMIFS(M:M,R:R,1,E:E,E642)/SUMIFS(L:L,R:R,1,E:E,E642)*0.5,"Низшая четверть",IF(O642&lt;SUMIFS(M:M,R:R,1,E:E,E642)/SUMIFS(L:L,R:R,1,E:E,E642),"Вторая четверть","Больше половины"))</f>
        <v/>
      </c>
      <c r="Y642" t="n">
        <v>20</v>
      </c>
    </row>
    <row r="643">
      <c r="A643" s="1" t="inlineStr">
        <is>
          <t>a9000000</t>
        </is>
      </c>
      <c r="B643" s="2" t="inlineStr">
        <is>
          <t>711885800</t>
        </is>
      </c>
      <c r="C643" s="3" t="inlineStr">
        <is>
          <t>Одежда для детей</t>
        </is>
      </c>
      <c r="D643" s="2" t="inlineStr">
        <is>
          <t>Свитера детские для девочек</t>
        </is>
      </c>
      <c r="E643" s="3" t="inlineStr">
        <is>
          <t>a90 Свитшот  утепленный для девочки</t>
        </is>
      </c>
      <c r="F643" s="2" t="inlineStr">
        <is>
          <t>весна, осень, зима</t>
        </is>
      </c>
      <c r="G643" s="3" t="inlineStr">
        <is>
          <t>Kari KIDS</t>
        </is>
      </c>
      <c r="H643" s="2" t="inlineStr">
        <is>
          <t>Зиннуров Ильнур</t>
        </is>
      </c>
      <c r="J643" s="3" t="inlineStr">
        <is>
          <t>2026SS</t>
        </is>
      </c>
      <c r="K643" s="3" t="n">
        <v>3413</v>
      </c>
      <c r="L643" s="3" t="n">
        <v>281</v>
      </c>
      <c r="M643" s="3" t="n">
        <v>0</v>
      </c>
      <c r="N643" s="4">
        <f>IFERROR(L643/K643,0)</f>
        <v/>
      </c>
      <c r="O643" s="4">
        <f>IFERROR(M643/L643,0)</f>
        <v/>
      </c>
      <c r="P643" t="n">
        <v>325</v>
      </c>
      <c r="Q643" s="5" t="n">
        <v>0.8</v>
      </c>
      <c r="R643" s="7" t="n">
        <v>1</v>
      </c>
      <c r="S643">
        <f>IF(OR(N643&lt;$T$1*0.5,O643&lt;$U$1*0.5),"код для проверки","нормальный код")</f>
        <v/>
      </c>
      <c r="T643">
        <f>IF(N643&lt;$T$1*0.5,"Низшая четверть",IF(N643&lt;$T$1,"Вторая четверть","Больше половины"))</f>
        <v/>
      </c>
      <c r="U643">
        <f>IF(O643&lt;$U$1*0.5,"Низшая четверть",IF(O643&lt;$U$1,"Вторая четверть","Больше половины"))</f>
        <v/>
      </c>
      <c r="V643">
        <f>IF(OR(N643&lt;SUMIFS(L:L,R:R,1,E:E,E643)/SUMIFS(K:K,R:R,1,E:E,E643)*0.5,O643&lt;SUMIFS(M:M,R:R,1,E:E,E643)/SUMIFS(L:L,R:R,1,E:E,E643)*0.5),"код для проверки","нормальный код")</f>
        <v/>
      </c>
      <c r="W643">
        <f>IF(N643&lt;SUMIFS(L:L,R:R,1,E:E,E643)/SUMIFS(K:K,R:R,1,E:E,E643)*0.5,"Низшая четверть",IF(N643&lt;SUMIFS(L:L,R:R,1,E:E,E643)/SUMIFS(K:K,R:R,1,E:E,E643),"Вторая четверть","Больше половины"))</f>
        <v/>
      </c>
      <c r="X643">
        <f>IF(O643&lt;SUMIFS(M:M,R:R,1,E:E,E643)/SUMIFS(L:L,R:R,1,E:E,E643)*0.5,"Низшая четверть",IF(O643&lt;SUMIFS(M:M,R:R,1,E:E,E643)/SUMIFS(L:L,R:R,1,E:E,E643),"Вторая четверть","Больше половины"))</f>
        <v/>
      </c>
      <c r="Y643" t="n">
        <v>13</v>
      </c>
    </row>
    <row r="644">
      <c r="A644" s="1" t="inlineStr">
        <is>
          <t>094000B0</t>
        </is>
      </c>
      <c r="B644" s="2" t="inlineStr">
        <is>
          <t>709812035</t>
        </is>
      </c>
      <c r="C644" s="3" t="inlineStr">
        <is>
          <t>Одежда и аксессуары</t>
        </is>
      </c>
      <c r="D644" s="2" t="inlineStr">
        <is>
          <t>Купальники женские</t>
        </is>
      </c>
      <c r="E644" s="3" t="inlineStr">
        <is>
          <t>094 Купальник</t>
        </is>
      </c>
      <c r="F644" s="2" t="inlineStr">
        <is>
          <t>лето</t>
        </is>
      </c>
      <c r="G644" s="3" t="inlineStr">
        <is>
          <t>kari</t>
        </is>
      </c>
      <c r="H644" s="2" t="inlineStr">
        <is>
          <t>Никонорова Алина</t>
        </is>
      </c>
      <c r="J644" s="3" t="inlineStr">
        <is>
          <t>2026SS</t>
        </is>
      </c>
      <c r="K644" s="3" t="n">
        <v>3407</v>
      </c>
      <c r="L644" s="3" t="n">
        <v>1612</v>
      </c>
      <c r="M644" s="3" t="n">
        <v>15</v>
      </c>
      <c r="N644" s="4">
        <f>IFERROR(L644/K644,0)</f>
        <v/>
      </c>
      <c r="O644" s="4">
        <f>IFERROR(M644/L644,0)</f>
        <v/>
      </c>
      <c r="P644" t="n">
        <v>3688</v>
      </c>
      <c r="Q644" s="5" t="n">
        <v>0.6666666666666666</v>
      </c>
      <c r="R644" s="7" t="n">
        <v>1</v>
      </c>
      <c r="S644">
        <f>IF(OR(N644&lt;$T$1*0.5,O644&lt;$U$1*0.5),"код для проверки","нормальный код")</f>
        <v/>
      </c>
      <c r="T644">
        <f>IF(N644&lt;$T$1*0.5,"Низшая четверть",IF(N644&lt;$T$1,"Вторая четверть","Больше половины"))</f>
        <v/>
      </c>
      <c r="U644">
        <f>IF(O644&lt;$U$1*0.5,"Низшая четверть",IF(O644&lt;$U$1,"Вторая четверть","Больше половины"))</f>
        <v/>
      </c>
      <c r="V644">
        <f>IF(OR(N644&lt;SUMIFS(L:L,R:R,1,E:E,E644)/SUMIFS(K:K,R:R,1,E:E,E644)*0.5,O644&lt;SUMIFS(M:M,R:R,1,E:E,E644)/SUMIFS(L:L,R:R,1,E:E,E644)*0.5),"код для проверки","нормальный код")</f>
        <v/>
      </c>
      <c r="W644">
        <f>IF(N644&lt;SUMIFS(L:L,R:R,1,E:E,E644)/SUMIFS(K:K,R:R,1,E:E,E644)*0.5,"Низшая четверть",IF(N644&lt;SUMIFS(L:L,R:R,1,E:E,E644)/SUMIFS(K:K,R:R,1,E:E,E644),"Вторая четверть","Больше половины"))</f>
        <v/>
      </c>
      <c r="X644">
        <f>IF(O644&lt;SUMIFS(M:M,R:R,1,E:E,E644)/SUMIFS(L:L,R:R,1,E:E,E644)*0.5,"Низшая четверть",IF(O644&lt;SUMIFS(M:M,R:R,1,E:E,E644)/SUMIFS(L:L,R:R,1,E:E,E644),"Вторая четверть","Больше половины"))</f>
        <v/>
      </c>
      <c r="Y644" t="n">
        <v>24</v>
      </c>
    </row>
    <row r="645">
      <c r="A645" s="1" t="inlineStr">
        <is>
          <t>310000M0</t>
        </is>
      </c>
      <c r="B645" s="2" t="inlineStr">
        <is>
          <t>699629755</t>
        </is>
      </c>
      <c r="C645" s="3" t="inlineStr">
        <is>
          <t>Одежда для детей</t>
        </is>
      </c>
      <c r="D645" s="2" t="inlineStr">
        <is>
          <t>Футболки, майки, рубашки детские для мальчиков</t>
        </is>
      </c>
      <c r="E645" s="3" t="inlineStr">
        <is>
          <t>310 Футболка детская для мальчиков</t>
        </is>
      </c>
      <c r="F645" s="2" t="inlineStr">
        <is>
          <t>всесезонный</t>
        </is>
      </c>
      <c r="G645" s="3" t="inlineStr">
        <is>
          <t>Kari KIDS</t>
        </is>
      </c>
      <c r="H645" s="2" t="inlineStr">
        <is>
          <t>Зиннуров Ильнур</t>
        </is>
      </c>
      <c r="J645" s="3" t="inlineStr">
        <is>
          <t>2026SS</t>
        </is>
      </c>
      <c r="K645" s="3" t="n">
        <v>3386</v>
      </c>
      <c r="L645" s="3" t="n">
        <v>557</v>
      </c>
      <c r="M645" s="3" t="n">
        <v>8</v>
      </c>
      <c r="N645" s="4">
        <f>IFERROR(L645/K645,0)</f>
        <v/>
      </c>
      <c r="O645" s="4">
        <f>IFERROR(M645/L645,0)</f>
        <v/>
      </c>
      <c r="P645" t="n">
        <v>102</v>
      </c>
      <c r="Q645" s="5" t="n">
        <v>1</v>
      </c>
      <c r="R645" s="7" t="n">
        <v>1</v>
      </c>
      <c r="S645">
        <f>IF(OR(N645&lt;$T$1*0.5,O645&lt;$U$1*0.5),"код для проверки","нормальный код")</f>
        <v/>
      </c>
      <c r="T645">
        <f>IF(N645&lt;$T$1*0.5,"Низшая четверть",IF(N645&lt;$T$1,"Вторая четверть","Больше половины"))</f>
        <v/>
      </c>
      <c r="U645">
        <f>IF(O645&lt;$U$1*0.5,"Низшая четверть",IF(O645&lt;$U$1,"Вторая четверть","Больше половины"))</f>
        <v/>
      </c>
      <c r="V645">
        <f>IF(OR(N645&lt;SUMIFS(L:L,R:R,1,E:E,E645)/SUMIFS(K:K,R:R,1,E:E,E645)*0.5,O645&lt;SUMIFS(M:M,R:R,1,E:E,E645)/SUMIFS(L:L,R:R,1,E:E,E645)*0.5),"код для проверки","нормальный код")</f>
        <v/>
      </c>
      <c r="W645">
        <f>IF(N645&lt;SUMIFS(L:L,R:R,1,E:E,E645)/SUMIFS(K:K,R:R,1,E:E,E645)*0.5,"Низшая четверть",IF(N645&lt;SUMIFS(L:L,R:R,1,E:E,E645)/SUMIFS(K:K,R:R,1,E:E,E645),"Вторая четверть","Больше половины"))</f>
        <v/>
      </c>
      <c r="X645">
        <f>IF(O645&lt;SUMIFS(M:M,R:R,1,E:E,E645)/SUMIFS(L:L,R:R,1,E:E,E645)*0.5,"Низшая четверть",IF(O645&lt;SUMIFS(M:M,R:R,1,E:E,E645)/SUMIFS(L:L,R:R,1,E:E,E645),"Вторая четверть","Больше половины"))</f>
        <v/>
      </c>
      <c r="Y645" t="n">
        <v>19</v>
      </c>
    </row>
    <row r="646">
      <c r="A646" s="1" t="inlineStr">
        <is>
          <t>094000U0</t>
        </is>
      </c>
      <c r="B646" s="2" t="inlineStr">
        <is>
          <t>756548616</t>
        </is>
      </c>
      <c r="C646" s="3" t="inlineStr">
        <is>
          <t>Одежда и аксессуары</t>
        </is>
      </c>
      <c r="D646" s="2" t="inlineStr">
        <is>
          <t>Купальники женские</t>
        </is>
      </c>
      <c r="E646" s="3" t="inlineStr">
        <is>
          <t>094 Купальник</t>
        </is>
      </c>
      <c r="F646" s="2" t="inlineStr">
        <is>
          <t>лето</t>
        </is>
      </c>
      <c r="G646" s="3" t="inlineStr">
        <is>
          <t>kari</t>
        </is>
      </c>
      <c r="H646" s="2" t="inlineStr">
        <is>
          <t>Никонорова Алина</t>
        </is>
      </c>
      <c r="J646" s="3" t="inlineStr">
        <is>
          <t>2026SS</t>
        </is>
      </c>
      <c r="K646" s="3" t="n">
        <v>3381</v>
      </c>
      <c r="L646" s="3" t="n">
        <v>1802</v>
      </c>
      <c r="M646" s="3" t="n">
        <v>9</v>
      </c>
      <c r="N646" s="4">
        <f>IFERROR(L646/K646,0)</f>
        <v/>
      </c>
      <c r="O646" s="4">
        <f>IFERROR(M646/L646,0)</f>
        <v/>
      </c>
      <c r="P646" t="n">
        <v>2166</v>
      </c>
      <c r="Q646" s="5" t="n">
        <v>0.8888888888888888</v>
      </c>
      <c r="R646" s="7" t="n">
        <v>1</v>
      </c>
      <c r="S646">
        <f>IF(OR(N646&lt;$T$1*0.5,O646&lt;$U$1*0.5),"код для проверки","нормальный код")</f>
        <v/>
      </c>
      <c r="T646">
        <f>IF(N646&lt;$T$1*0.5,"Низшая четверть",IF(N646&lt;$T$1,"Вторая четверть","Больше половины"))</f>
        <v/>
      </c>
      <c r="U646">
        <f>IF(O646&lt;$U$1*0.5,"Низшая четверть",IF(O646&lt;$U$1,"Вторая четверть","Больше половины"))</f>
        <v/>
      </c>
      <c r="V646">
        <f>IF(OR(N646&lt;SUMIFS(L:L,R:R,1,E:E,E646)/SUMIFS(K:K,R:R,1,E:E,E646)*0.5,O646&lt;SUMIFS(M:M,R:R,1,E:E,E646)/SUMIFS(L:L,R:R,1,E:E,E646)*0.5),"код для проверки","нормальный код")</f>
        <v/>
      </c>
      <c r="W646">
        <f>IF(N646&lt;SUMIFS(L:L,R:R,1,E:E,E646)/SUMIFS(K:K,R:R,1,E:E,E646)*0.5,"Низшая четверть",IF(N646&lt;SUMIFS(L:L,R:R,1,E:E,E646)/SUMIFS(K:K,R:R,1,E:E,E646),"Вторая четверть","Больше половины"))</f>
        <v/>
      </c>
      <c r="X646">
        <f>IF(O646&lt;SUMIFS(M:M,R:R,1,E:E,E646)/SUMIFS(L:L,R:R,1,E:E,E646)*0.5,"Низшая четверть",IF(O646&lt;SUMIFS(M:M,R:R,1,E:E,E646)/SUMIFS(L:L,R:R,1,E:E,E646),"Вторая четверть","Больше половины"))</f>
        <v/>
      </c>
      <c r="Y646" t="n">
        <v>17</v>
      </c>
    </row>
    <row r="647">
      <c r="A647" s="1" t="inlineStr">
        <is>
          <t>a8200010</t>
        </is>
      </c>
      <c r="B647" s="2" t="inlineStr">
        <is>
          <t>716561244</t>
        </is>
      </c>
      <c r="C647" s="3" t="inlineStr">
        <is>
          <t>Одежда для детей</t>
        </is>
      </c>
      <c r="D647" s="2" t="inlineStr">
        <is>
          <t>Свитера детские для мальчиков</t>
        </is>
      </c>
      <c r="E647" s="3" t="inlineStr">
        <is>
          <t>a82 Толстовка на молнии для мальчиков</t>
        </is>
      </c>
      <c r="F647" s="2" t="inlineStr">
        <is>
          <t>весна, лето, осень</t>
        </is>
      </c>
      <c r="G647" s="3" t="inlineStr">
        <is>
          <t>Kari KIDS</t>
        </is>
      </c>
      <c r="H647" s="2" t="inlineStr">
        <is>
          <t>Зиннуров Ильнур</t>
        </is>
      </c>
      <c r="J647" s="3" t="inlineStr">
        <is>
          <t>2026SS</t>
        </is>
      </c>
      <c r="K647" s="3" t="n">
        <v>3379</v>
      </c>
      <c r="L647" s="3" t="n">
        <v>77</v>
      </c>
      <c r="M647" s="3" t="n">
        <v>2</v>
      </c>
      <c r="N647" s="4">
        <f>IFERROR(L647/K647,0)</f>
        <v/>
      </c>
      <c r="O647" s="4">
        <f>IFERROR(M647/L647,0)</f>
        <v/>
      </c>
      <c r="P647" t="n">
        <v>401</v>
      </c>
      <c r="Q647" s="5" t="n">
        <v>1</v>
      </c>
      <c r="R647" s="7" t="n">
        <v>1</v>
      </c>
      <c r="S647">
        <f>IF(OR(N647&lt;$T$1*0.5,O647&lt;$U$1*0.5),"код для проверки","нормальный код")</f>
        <v/>
      </c>
      <c r="T647">
        <f>IF(N647&lt;$T$1*0.5,"Низшая четверть",IF(N647&lt;$T$1,"Вторая четверть","Больше половины"))</f>
        <v/>
      </c>
      <c r="U647">
        <f>IF(O647&lt;$U$1*0.5,"Низшая четверть",IF(O647&lt;$U$1,"Вторая четверть","Больше половины"))</f>
        <v/>
      </c>
      <c r="V647">
        <f>IF(OR(N647&lt;SUMIFS(L:L,R:R,1,E:E,E647)/SUMIFS(K:K,R:R,1,E:E,E647)*0.5,O647&lt;SUMIFS(M:M,R:R,1,E:E,E647)/SUMIFS(L:L,R:R,1,E:E,E647)*0.5),"код для проверки","нормальный код")</f>
        <v/>
      </c>
      <c r="W647">
        <f>IF(N647&lt;SUMIFS(L:L,R:R,1,E:E,E647)/SUMIFS(K:K,R:R,1,E:E,E647)*0.5,"Низшая четверть",IF(N647&lt;SUMIFS(L:L,R:R,1,E:E,E647)/SUMIFS(K:K,R:R,1,E:E,E647),"Вторая четверть","Больше половины"))</f>
        <v/>
      </c>
      <c r="X647">
        <f>IF(O647&lt;SUMIFS(M:M,R:R,1,E:E,E647)/SUMIFS(L:L,R:R,1,E:E,E647)*0.5,"Низшая четверть",IF(O647&lt;SUMIFS(M:M,R:R,1,E:E,E647)/SUMIFS(L:L,R:R,1,E:E,E647),"Вторая четверть","Больше половины"))</f>
        <v/>
      </c>
      <c r="Y647" t="n">
        <v>23</v>
      </c>
    </row>
    <row r="648">
      <c r="A648" s="1" t="inlineStr">
        <is>
          <t>a6000650</t>
        </is>
      </c>
      <c r="B648" s="2" t="inlineStr">
        <is>
          <t>914676210</t>
        </is>
      </c>
      <c r="C648" s="3" t="inlineStr">
        <is>
          <t>Одежда для детей</t>
        </is>
      </c>
      <c r="D648" s="2" t="inlineStr">
        <is>
          <t>Платья, майки, футболки детские для девочек</t>
        </is>
      </c>
      <c r="E648" s="3" t="inlineStr">
        <is>
          <t>a60 Футболка детская для девочек</t>
        </is>
      </c>
      <c r="F648" s="2" t="inlineStr">
        <is>
          <t>всесезонный</t>
        </is>
      </c>
      <c r="G648" s="3" t="inlineStr">
        <is>
          <t>Kari KIDS</t>
        </is>
      </c>
      <c r="H648" s="2" t="inlineStr">
        <is>
          <t>Зиннуров Ильнур</t>
        </is>
      </c>
      <c r="J648" s="3" t="inlineStr">
        <is>
          <t>2026SS</t>
        </is>
      </c>
      <c r="K648" s="3" t="n">
        <v>3344</v>
      </c>
      <c r="L648" s="3" t="n">
        <v>5312</v>
      </c>
      <c r="M648" s="3" t="n">
        <v>7</v>
      </c>
      <c r="N648" s="4">
        <f>IFERROR(L648/K648,0)</f>
        <v/>
      </c>
      <c r="O648" s="4">
        <f>IFERROR(M648/L648,0)</f>
        <v/>
      </c>
      <c r="P648" t="n">
        <v>617</v>
      </c>
      <c r="Q648" s="5" t="n">
        <v>0.8</v>
      </c>
      <c r="R648" s="7" t="n">
        <v>1</v>
      </c>
      <c r="S648">
        <f>IF(OR(N648&lt;$T$1*0.5,O648&lt;$U$1*0.5),"код для проверки","нормальный код")</f>
        <v/>
      </c>
      <c r="T648">
        <f>IF(N648&lt;$T$1*0.5,"Низшая четверть",IF(N648&lt;$T$1,"Вторая четверть","Больше половины"))</f>
        <v/>
      </c>
      <c r="U648">
        <f>IF(O648&lt;$U$1*0.5,"Низшая четверть",IF(O648&lt;$U$1,"Вторая четверть","Больше половины"))</f>
        <v/>
      </c>
      <c r="V648">
        <f>IF(OR(N648&lt;SUMIFS(L:L,R:R,1,E:E,E648)/SUMIFS(K:K,R:R,1,E:E,E648)*0.5,O648&lt;SUMIFS(M:M,R:R,1,E:E,E648)/SUMIFS(L:L,R:R,1,E:E,E648)*0.5),"код для проверки","нормальный код")</f>
        <v/>
      </c>
      <c r="W648">
        <f>IF(N648&lt;SUMIFS(L:L,R:R,1,E:E,E648)/SUMIFS(K:K,R:R,1,E:E,E648)*0.5,"Низшая четверть",IF(N648&lt;SUMIFS(L:L,R:R,1,E:E,E648)/SUMIFS(K:K,R:R,1,E:E,E648),"Вторая четверть","Больше половины"))</f>
        <v/>
      </c>
      <c r="X648">
        <f>IF(O648&lt;SUMIFS(M:M,R:R,1,E:E,E648)/SUMIFS(L:L,R:R,1,E:E,E648)*0.5,"Низшая четверть",IF(O648&lt;SUMIFS(M:M,R:R,1,E:E,E648)/SUMIFS(L:L,R:R,1,E:E,E648),"Вторая четверть","Больше половины"))</f>
        <v/>
      </c>
      <c r="Y648" t="n">
        <v>10</v>
      </c>
    </row>
    <row r="649">
      <c r="A649" s="1" t="inlineStr">
        <is>
          <t>53600250</t>
        </is>
      </c>
      <c r="B649" s="2" t="inlineStr">
        <is>
          <t>699198370</t>
        </is>
      </c>
      <c r="C649" s="3" t="inlineStr">
        <is>
          <t>Одежда для детей</t>
        </is>
      </c>
      <c r="D649" s="2" t="inlineStr">
        <is>
          <t>Платья, майки, футболки детские для девочек</t>
        </is>
      </c>
      <c r="E649" s="3" t="inlineStr">
        <is>
          <t>536 Платье летнее детское</t>
        </is>
      </c>
      <c r="F649" s="2" t="inlineStr">
        <is>
          <t>лето</t>
        </is>
      </c>
      <c r="G649" s="3" t="inlineStr">
        <is>
          <t>Kari KIDS</t>
        </is>
      </c>
      <c r="H649" s="2" t="inlineStr">
        <is>
          <t>Зиннуров Ильнур</t>
        </is>
      </c>
      <c r="J649" s="3" t="inlineStr">
        <is>
          <t>2026SS</t>
        </is>
      </c>
      <c r="K649" s="3" t="n">
        <v>3332</v>
      </c>
      <c r="L649" s="3" t="n">
        <v>700</v>
      </c>
      <c r="M649" s="3" t="n">
        <v>3</v>
      </c>
      <c r="N649" s="4">
        <f>IFERROR(L649/K649,0)</f>
        <v/>
      </c>
      <c r="O649" s="4">
        <f>IFERROR(M649/L649,0)</f>
        <v/>
      </c>
      <c r="P649" t="n">
        <v>485</v>
      </c>
      <c r="Q649" s="5" t="n">
        <v>1</v>
      </c>
      <c r="R649" s="7" t="n">
        <v>1</v>
      </c>
      <c r="S649">
        <f>IF(OR(N649&lt;$T$1*0.5,O649&lt;$U$1*0.5),"код для проверки","нормальный код")</f>
        <v/>
      </c>
      <c r="T649">
        <f>IF(N649&lt;$T$1*0.5,"Низшая четверть",IF(N649&lt;$T$1,"Вторая четверть","Больше половины"))</f>
        <v/>
      </c>
      <c r="U649">
        <f>IF(O649&lt;$U$1*0.5,"Низшая четверть",IF(O649&lt;$U$1,"Вторая четверть","Больше половины"))</f>
        <v/>
      </c>
      <c r="V649">
        <f>IF(OR(N649&lt;SUMIFS(L:L,R:R,1,E:E,E649)/SUMIFS(K:K,R:R,1,E:E,E649)*0.5,O649&lt;SUMIFS(M:M,R:R,1,E:E,E649)/SUMIFS(L:L,R:R,1,E:E,E649)*0.5),"код для проверки","нормальный код")</f>
        <v/>
      </c>
      <c r="W649">
        <f>IF(N649&lt;SUMIFS(L:L,R:R,1,E:E,E649)/SUMIFS(K:K,R:R,1,E:E,E649)*0.5,"Низшая четверть",IF(N649&lt;SUMIFS(L:L,R:R,1,E:E,E649)/SUMIFS(K:K,R:R,1,E:E,E649),"Вторая четверть","Больше половины"))</f>
        <v/>
      </c>
      <c r="X649">
        <f>IF(O649&lt;SUMIFS(M:M,R:R,1,E:E,E649)/SUMIFS(L:L,R:R,1,E:E,E649)*0.5,"Низшая четверть",IF(O649&lt;SUMIFS(M:M,R:R,1,E:E,E649)/SUMIFS(L:L,R:R,1,E:E,E649),"Вторая четверть","Больше половины"))</f>
        <v/>
      </c>
      <c r="Y649" t="n">
        <v>18</v>
      </c>
    </row>
    <row r="650">
      <c r="A650" s="1" t="inlineStr">
        <is>
          <t>30400120</t>
        </is>
      </c>
      <c r="B650" s="2" t="inlineStr">
        <is>
          <t>768031869</t>
        </is>
      </c>
      <c r="C650" s="3" t="inlineStr">
        <is>
          <t>Одежда и аксессуары</t>
        </is>
      </c>
      <c r="D650" s="2" t="inlineStr">
        <is>
          <t>Майки и платья женские</t>
        </is>
      </c>
      <c r="E650" s="3" t="inlineStr">
        <is>
          <t>304 Юбка женская</t>
        </is>
      </c>
      <c r="F650" s="2" t="inlineStr">
        <is>
          <t>всесезонный</t>
        </is>
      </c>
      <c r="G650" s="3" t="inlineStr">
        <is>
          <t>kari</t>
        </is>
      </c>
      <c r="H650" s="2" t="inlineStr">
        <is>
          <t>Зиннуров Ильнур</t>
        </is>
      </c>
      <c r="J650" s="3" t="inlineStr">
        <is>
          <t>2026SS</t>
        </is>
      </c>
      <c r="K650" s="3" t="n">
        <v>3322</v>
      </c>
      <c r="L650" s="3" t="n">
        <v>339</v>
      </c>
      <c r="M650" s="3" t="n">
        <v>2</v>
      </c>
      <c r="N650" s="4">
        <f>IFERROR(L650/K650,0)</f>
        <v/>
      </c>
      <c r="O650" s="4">
        <f>IFERROR(M650/L650,0)</f>
        <v/>
      </c>
      <c r="P650" t="n">
        <v>233</v>
      </c>
      <c r="Q650" s="5" t="n">
        <v>1</v>
      </c>
      <c r="R650" s="7" t="n">
        <v>1</v>
      </c>
      <c r="S650">
        <f>IF(OR(N650&lt;$T$1*0.5,O650&lt;$U$1*0.5),"код для проверки","нормальный код")</f>
        <v/>
      </c>
      <c r="T650">
        <f>IF(N650&lt;$T$1*0.5,"Низшая четверть",IF(N650&lt;$T$1,"Вторая четверть","Больше половины"))</f>
        <v/>
      </c>
      <c r="U650">
        <f>IF(O650&lt;$U$1*0.5,"Низшая четверть",IF(O650&lt;$U$1,"Вторая четверть","Больше половины"))</f>
        <v/>
      </c>
      <c r="V650">
        <f>IF(OR(N650&lt;SUMIFS(L:L,R:R,1,E:E,E650)/SUMIFS(K:K,R:R,1,E:E,E650)*0.5,O650&lt;SUMIFS(M:M,R:R,1,E:E,E650)/SUMIFS(L:L,R:R,1,E:E,E650)*0.5),"код для проверки","нормальный код")</f>
        <v/>
      </c>
      <c r="W650">
        <f>IF(N650&lt;SUMIFS(L:L,R:R,1,E:E,E650)/SUMIFS(K:K,R:R,1,E:E,E650)*0.5,"Низшая четверть",IF(N650&lt;SUMIFS(L:L,R:R,1,E:E,E650)/SUMIFS(K:K,R:R,1,E:E,E650),"Вторая четверть","Больше половины"))</f>
        <v/>
      </c>
      <c r="X650">
        <f>IF(O650&lt;SUMIFS(M:M,R:R,1,E:E,E650)/SUMIFS(L:L,R:R,1,E:E,E650)*0.5,"Низшая четверть",IF(O650&lt;SUMIFS(M:M,R:R,1,E:E,E650)/SUMIFS(L:L,R:R,1,E:E,E650),"Вторая четверть","Больше половины"))</f>
        <v/>
      </c>
      <c r="Y650" t="n">
        <v>22</v>
      </c>
    </row>
    <row r="651">
      <c r="A651" s="1" t="inlineStr">
        <is>
          <t>h1800020</t>
        </is>
      </c>
      <c r="B651" s="2" t="inlineStr">
        <is>
          <t>732910207</t>
        </is>
      </c>
      <c r="C651" s="3" t="inlineStr">
        <is>
          <t>Одежда и аксессуары</t>
        </is>
      </c>
      <c r="D651" s="2" t="inlineStr">
        <is>
          <t>Спортивная одежда для женщин</t>
        </is>
      </c>
      <c r="E651" s="3" t="inlineStr">
        <is>
          <t>h28 Брюки спортивные женские</t>
        </is>
      </c>
      <c r="F651" s="2" t="inlineStr">
        <is>
          <t>всесезонный</t>
        </is>
      </c>
      <c r="G651" s="3" t="inlineStr">
        <is>
          <t>kari</t>
        </is>
      </c>
      <c r="H651" s="2" t="inlineStr">
        <is>
          <t>Зиннуров Ильнур</t>
        </is>
      </c>
      <c r="J651" s="3" t="inlineStr">
        <is>
          <t>2026SS</t>
        </is>
      </c>
      <c r="K651" s="3" t="n">
        <v>3307</v>
      </c>
      <c r="L651" s="3" t="n">
        <v>755</v>
      </c>
      <c r="M651" s="3" t="n">
        <v>10</v>
      </c>
      <c r="N651" s="4">
        <f>IFERROR(L651/K651,0)</f>
        <v/>
      </c>
      <c r="O651" s="4">
        <f>IFERROR(M651/L651,0)</f>
        <v/>
      </c>
      <c r="P651" t="n">
        <v>145</v>
      </c>
      <c r="Q651" s="5" t="n">
        <v>0.8</v>
      </c>
      <c r="R651" s="7" t="n">
        <v>1</v>
      </c>
      <c r="S651">
        <f>IF(OR(N651&lt;$T$1*0.5,O651&lt;$U$1*0.5),"код для проверки","нормальный код")</f>
        <v/>
      </c>
      <c r="T651">
        <f>IF(N651&lt;$T$1*0.5,"Низшая четверть",IF(N651&lt;$T$1,"Вторая четверть","Больше половины"))</f>
        <v/>
      </c>
      <c r="U651">
        <f>IF(O651&lt;$U$1*0.5,"Низшая четверть",IF(O651&lt;$U$1,"Вторая четверть","Больше половины"))</f>
        <v/>
      </c>
      <c r="V651">
        <f>IF(OR(N651&lt;SUMIFS(L:L,R:R,1,E:E,E651)/SUMIFS(K:K,R:R,1,E:E,E651)*0.5,O651&lt;SUMIFS(M:M,R:R,1,E:E,E651)/SUMIFS(L:L,R:R,1,E:E,E651)*0.5),"код для проверки","нормальный код")</f>
        <v/>
      </c>
      <c r="W651">
        <f>IF(N651&lt;SUMIFS(L:L,R:R,1,E:E,E651)/SUMIFS(K:K,R:R,1,E:E,E651)*0.5,"Низшая четверть",IF(N651&lt;SUMIFS(L:L,R:R,1,E:E,E651)/SUMIFS(K:K,R:R,1,E:E,E651),"Вторая четверть","Больше половины"))</f>
        <v/>
      </c>
      <c r="X651">
        <f>IF(O651&lt;SUMIFS(M:M,R:R,1,E:E,E651)/SUMIFS(L:L,R:R,1,E:E,E651)*0.5,"Низшая четверть",IF(O651&lt;SUMIFS(M:M,R:R,1,E:E,E651)/SUMIFS(L:L,R:R,1,E:E,E651),"Вторая четверть","Больше половины"))</f>
        <v/>
      </c>
      <c r="Y651" t="n">
        <v>28</v>
      </c>
    </row>
    <row r="652">
      <c r="A652" s="1" t="inlineStr">
        <is>
          <t>310003T0</t>
        </is>
      </c>
      <c r="B652" s="2" t="inlineStr">
        <is>
          <t>847892204</t>
        </is>
      </c>
      <c r="C652" s="3" t="inlineStr">
        <is>
          <t>Одежда для детей</t>
        </is>
      </c>
      <c r="D652" s="2" t="inlineStr">
        <is>
          <t>Футболки, майки, рубашки детские для мальчиков</t>
        </is>
      </c>
      <c r="E652" s="3" t="inlineStr">
        <is>
          <t>310 Футболка детская для мальчиков</t>
        </is>
      </c>
      <c r="F652" s="2" t="inlineStr">
        <is>
          <t>всесезонный</t>
        </is>
      </c>
      <c r="G652" s="3" t="inlineStr">
        <is>
          <t>Kari KIDS</t>
        </is>
      </c>
      <c r="H652" s="2" t="inlineStr">
        <is>
          <t>Зиннуров Ильнур</t>
        </is>
      </c>
      <c r="J652" s="3" t="inlineStr">
        <is>
          <t>2026SS</t>
        </is>
      </c>
      <c r="K652" s="3" t="n">
        <v>3307</v>
      </c>
      <c r="L652" s="3" t="n">
        <v>1268</v>
      </c>
      <c r="M652" s="3" t="n">
        <v>4</v>
      </c>
      <c r="N652" s="4">
        <f>IFERROR(L652/K652,0)</f>
        <v/>
      </c>
      <c r="O652" s="4">
        <f>IFERROR(M652/L652,0)</f>
        <v/>
      </c>
      <c r="P652" t="n">
        <v>292</v>
      </c>
      <c r="Q652" s="5" t="n">
        <v>1</v>
      </c>
      <c r="R652" s="7" t="n">
        <v>1</v>
      </c>
      <c r="S652">
        <f>IF(OR(N652&lt;$T$1*0.5,O652&lt;$U$1*0.5),"код для проверки","нормальный код")</f>
        <v/>
      </c>
      <c r="T652">
        <f>IF(N652&lt;$T$1*0.5,"Низшая четверть",IF(N652&lt;$T$1,"Вторая четверть","Больше половины"))</f>
        <v/>
      </c>
      <c r="U652">
        <f>IF(O652&lt;$U$1*0.5,"Низшая четверть",IF(O652&lt;$U$1,"Вторая четверть","Больше половины"))</f>
        <v/>
      </c>
      <c r="V652">
        <f>IF(OR(N652&lt;SUMIFS(L:L,R:R,1,E:E,E652)/SUMIFS(K:K,R:R,1,E:E,E652)*0.5,O652&lt;SUMIFS(M:M,R:R,1,E:E,E652)/SUMIFS(L:L,R:R,1,E:E,E652)*0.5),"код для проверки","нормальный код")</f>
        <v/>
      </c>
      <c r="W652">
        <f>IF(N652&lt;SUMIFS(L:L,R:R,1,E:E,E652)/SUMIFS(K:K,R:R,1,E:E,E652)*0.5,"Низшая четверть",IF(N652&lt;SUMIFS(L:L,R:R,1,E:E,E652)/SUMIFS(K:K,R:R,1,E:E,E652),"Вторая четверть","Больше половины"))</f>
        <v/>
      </c>
      <c r="X652">
        <f>IF(O652&lt;SUMIFS(M:M,R:R,1,E:E,E652)/SUMIFS(L:L,R:R,1,E:E,E652)*0.5,"Низшая четверть",IF(O652&lt;SUMIFS(M:M,R:R,1,E:E,E652)/SUMIFS(L:L,R:R,1,E:E,E652),"Вторая четверть","Больше половины"))</f>
        <v/>
      </c>
      <c r="Y652" t="n">
        <v>15</v>
      </c>
    </row>
    <row r="653">
      <c r="A653" s="1" t="inlineStr">
        <is>
          <t>y9708100</t>
        </is>
      </c>
      <c r="B653" s="2" t="inlineStr">
        <is>
          <t>373110972</t>
        </is>
      </c>
      <c r="C653" s="3" t="inlineStr">
        <is>
          <t>Одежда и аксессуары</t>
        </is>
      </c>
      <c r="D653" s="2" t="inlineStr">
        <is>
          <t>Спортивная одежда для мужчин</t>
        </is>
      </c>
      <c r="E653" s="3" t="inlineStr">
        <is>
          <t>y97 Футболка мужская</t>
        </is>
      </c>
      <c r="F653" s="2" t="inlineStr">
        <is>
          <t>всесезонный</t>
        </is>
      </c>
      <c r="G653" s="3" t="inlineStr">
        <is>
          <t>kari</t>
        </is>
      </c>
      <c r="H653" s="2" t="inlineStr">
        <is>
          <t>Зиннуров Ильнур</t>
        </is>
      </c>
      <c r="J653" s="3" t="inlineStr">
        <is>
          <t>2026SS</t>
        </is>
      </c>
      <c r="K653" s="3" t="n">
        <v>3294</v>
      </c>
      <c r="L653" s="3" t="n">
        <v>272</v>
      </c>
      <c r="M653" s="3" t="n">
        <v>11</v>
      </c>
      <c r="N653" s="4">
        <f>IFERROR(L653/K653,0)</f>
        <v/>
      </c>
      <c r="O653" s="4">
        <f>IFERROR(M653/L653,0)</f>
        <v/>
      </c>
      <c r="P653" t="n">
        <v>291</v>
      </c>
      <c r="Q653" s="5" t="n">
        <v>1</v>
      </c>
      <c r="R653" s="7" t="n">
        <v>1</v>
      </c>
      <c r="S653">
        <f>IF(OR(N653&lt;$T$1*0.5,O653&lt;$U$1*0.5),"код для проверки","нормальный код")</f>
        <v/>
      </c>
      <c r="T653">
        <f>IF(N653&lt;$T$1*0.5,"Низшая четверть",IF(N653&lt;$T$1,"Вторая четверть","Больше половины"))</f>
        <v/>
      </c>
      <c r="U653">
        <f>IF(O653&lt;$U$1*0.5,"Низшая четверть",IF(O653&lt;$U$1,"Вторая четверть","Больше половины"))</f>
        <v/>
      </c>
      <c r="V653">
        <f>IF(OR(N653&lt;SUMIFS(L:L,R:R,1,E:E,E653)/SUMIFS(K:K,R:R,1,E:E,E653)*0.5,O653&lt;SUMIFS(M:M,R:R,1,E:E,E653)/SUMIFS(L:L,R:R,1,E:E,E653)*0.5),"код для проверки","нормальный код")</f>
        <v/>
      </c>
      <c r="W653">
        <f>IF(N653&lt;SUMIFS(L:L,R:R,1,E:E,E653)/SUMIFS(K:K,R:R,1,E:E,E653)*0.5,"Низшая четверть",IF(N653&lt;SUMIFS(L:L,R:R,1,E:E,E653)/SUMIFS(K:K,R:R,1,E:E,E653),"Вторая четверть","Больше половины"))</f>
        <v/>
      </c>
      <c r="X653">
        <f>IF(O653&lt;SUMIFS(M:M,R:R,1,E:E,E653)/SUMIFS(L:L,R:R,1,E:E,E653)*0.5,"Низшая четверть",IF(O653&lt;SUMIFS(M:M,R:R,1,E:E,E653)/SUMIFS(L:L,R:R,1,E:E,E653),"Вторая четверть","Больше половины"))</f>
        <v/>
      </c>
      <c r="Y653" t="n">
        <v>9</v>
      </c>
    </row>
    <row r="654">
      <c r="A654" s="1" t="inlineStr">
        <is>
          <t>94600130</t>
        </is>
      </c>
      <c r="B654" s="2" t="inlineStr">
        <is>
          <t>925975021</t>
        </is>
      </c>
      <c r="C654" s="3" t="inlineStr">
        <is>
          <t>Одежда для детей</t>
        </is>
      </c>
      <c r="D654" s="2" t="inlineStr">
        <is>
          <t>Одежда для новорожденных</t>
        </is>
      </c>
      <c r="E654" s="3" t="inlineStr">
        <is>
          <t>946 Ромпер для мальчика</t>
        </is>
      </c>
      <c r="F654" s="2" t="inlineStr">
        <is>
          <t>лето</t>
        </is>
      </c>
      <c r="G654" s="3" t="inlineStr">
        <is>
          <t>Kari baby</t>
        </is>
      </c>
      <c r="H654" s="2" t="inlineStr">
        <is>
          <t>Зиннуров Ильнур</t>
        </is>
      </c>
      <c r="J654" s="3" t="inlineStr">
        <is>
          <t>2026SS</t>
        </is>
      </c>
      <c r="K654" s="3" t="n">
        <v>3284</v>
      </c>
      <c r="L654" s="3" t="n">
        <v>494</v>
      </c>
      <c r="M654" s="3" t="n">
        <v>5</v>
      </c>
      <c r="N654" s="4">
        <f>IFERROR(L654/K654,0)</f>
        <v/>
      </c>
      <c r="O654" s="4">
        <f>IFERROR(M654/L654,0)</f>
        <v/>
      </c>
      <c r="P654" t="n">
        <v>408</v>
      </c>
      <c r="Q654" s="5" t="n">
        <v>1</v>
      </c>
      <c r="R654" s="7" t="n">
        <v>1</v>
      </c>
      <c r="S654">
        <f>IF(OR(N654&lt;$T$1*0.5,O654&lt;$U$1*0.5),"код для проверки","нормальный код")</f>
        <v/>
      </c>
      <c r="T654">
        <f>IF(N654&lt;$T$1*0.5,"Низшая четверть",IF(N654&lt;$T$1,"Вторая четверть","Больше половины"))</f>
        <v/>
      </c>
      <c r="U654">
        <f>IF(O654&lt;$U$1*0.5,"Низшая четверть",IF(O654&lt;$U$1,"Вторая четверть","Больше половины"))</f>
        <v/>
      </c>
      <c r="V654">
        <f>IF(OR(N654&lt;SUMIFS(L:L,R:R,1,E:E,E654)/SUMIFS(K:K,R:R,1,E:E,E654)*0.5,O654&lt;SUMIFS(M:M,R:R,1,E:E,E654)/SUMIFS(L:L,R:R,1,E:E,E654)*0.5),"код для проверки","нормальный код")</f>
        <v/>
      </c>
      <c r="W654">
        <f>IF(N654&lt;SUMIFS(L:L,R:R,1,E:E,E654)/SUMIFS(K:K,R:R,1,E:E,E654)*0.5,"Низшая четверть",IF(N654&lt;SUMIFS(L:L,R:R,1,E:E,E654)/SUMIFS(K:K,R:R,1,E:E,E654),"Вторая четверть","Больше половины"))</f>
        <v/>
      </c>
      <c r="X654">
        <f>IF(O654&lt;SUMIFS(M:M,R:R,1,E:E,E654)/SUMIFS(L:L,R:R,1,E:E,E654)*0.5,"Низшая четверть",IF(O654&lt;SUMIFS(M:M,R:R,1,E:E,E654)/SUMIFS(L:L,R:R,1,E:E,E654),"Вторая четверть","Больше половины"))</f>
        <v/>
      </c>
      <c r="Y654" t="n">
        <v>16</v>
      </c>
    </row>
    <row r="655">
      <c r="A655" s="1" t="inlineStr">
        <is>
          <t>18700090</t>
        </is>
      </c>
      <c r="B655" s="2" t="inlineStr">
        <is>
          <t>797255068</t>
        </is>
      </c>
      <c r="C655" s="3" t="inlineStr">
        <is>
          <t>Одежда и аксессуары</t>
        </is>
      </c>
      <c r="D655" s="2" t="inlineStr">
        <is>
          <t>Майки и платья женские</t>
        </is>
      </c>
      <c r="E655" s="3" t="inlineStr">
        <is>
          <t>187 Платье женское</t>
        </is>
      </c>
      <c r="F655" s="2" t="inlineStr">
        <is>
          <t>весна, лето</t>
        </is>
      </c>
      <c r="G655" s="3" t="inlineStr">
        <is>
          <t>kari</t>
        </is>
      </c>
      <c r="H655" s="2" t="inlineStr">
        <is>
          <t>Зиннуров Ильнур</t>
        </is>
      </c>
      <c r="J655" s="3" t="inlineStr">
        <is>
          <t>2026SS</t>
        </is>
      </c>
      <c r="K655" s="3" t="n">
        <v>3280</v>
      </c>
      <c r="L655" s="3" t="n">
        <v>129</v>
      </c>
      <c r="M655" s="3" t="n">
        <v>3</v>
      </c>
      <c r="N655" s="4">
        <f>IFERROR(L655/K655,0)</f>
        <v/>
      </c>
      <c r="O655" s="4">
        <f>IFERROR(M655/L655,0)</f>
        <v/>
      </c>
      <c r="P655" t="n">
        <v>438</v>
      </c>
      <c r="Q655" s="5" t="n">
        <v>1</v>
      </c>
      <c r="R655" s="7" t="n">
        <v>1</v>
      </c>
      <c r="S655">
        <f>IF(OR(N655&lt;$T$1*0.5,O655&lt;$U$1*0.5),"код для проверки","нормальный код")</f>
        <v/>
      </c>
      <c r="T655">
        <f>IF(N655&lt;$T$1*0.5,"Низшая четверть",IF(N655&lt;$T$1,"Вторая четверть","Больше половины"))</f>
        <v/>
      </c>
      <c r="U655">
        <f>IF(O655&lt;$U$1*0.5,"Низшая четверть",IF(O655&lt;$U$1,"Вторая четверть","Больше половины"))</f>
        <v/>
      </c>
      <c r="V655">
        <f>IF(OR(N655&lt;SUMIFS(L:L,R:R,1,E:E,E655)/SUMIFS(K:K,R:R,1,E:E,E655)*0.5,O655&lt;SUMIFS(M:M,R:R,1,E:E,E655)/SUMIFS(L:L,R:R,1,E:E,E655)*0.5),"код для проверки","нормальный код")</f>
        <v/>
      </c>
      <c r="W655">
        <f>IF(N655&lt;SUMIFS(L:L,R:R,1,E:E,E655)/SUMIFS(K:K,R:R,1,E:E,E655)*0.5,"Низшая четверть",IF(N655&lt;SUMIFS(L:L,R:R,1,E:E,E655)/SUMIFS(K:K,R:R,1,E:E,E655),"Вторая четверть","Больше половины"))</f>
        <v/>
      </c>
      <c r="X655">
        <f>IF(O655&lt;SUMIFS(M:M,R:R,1,E:E,E655)/SUMIFS(L:L,R:R,1,E:E,E655)*0.5,"Низшая четверть",IF(O655&lt;SUMIFS(M:M,R:R,1,E:E,E655)/SUMIFS(L:L,R:R,1,E:E,E655),"Вторая четверть","Больше половины"))</f>
        <v/>
      </c>
      <c r="Y655" t="n">
        <v>24</v>
      </c>
    </row>
    <row r="656">
      <c r="A656" s="1" t="inlineStr">
        <is>
          <t>56900110</t>
        </is>
      </c>
      <c r="B656" s="2" t="inlineStr">
        <is>
          <t>721197638</t>
        </is>
      </c>
      <c r="C656" s="3" t="inlineStr">
        <is>
          <t>Одежда для детей</t>
        </is>
      </c>
      <c r="D656" s="2" t="inlineStr">
        <is>
          <t>Одежда для новорожденных</t>
        </is>
      </c>
      <c r="E656" s="3" t="inlineStr">
        <is>
          <t>569 Комбинезон для маленькой девочки</t>
        </is>
      </c>
      <c r="F656" s="2" t="inlineStr">
        <is>
          <t>всесезонный</t>
        </is>
      </c>
      <c r="G656" s="3" t="inlineStr">
        <is>
          <t>Kari baby</t>
        </is>
      </c>
      <c r="H656" s="2" t="inlineStr">
        <is>
          <t>Зиннуров Ильнур</t>
        </is>
      </c>
      <c r="J656" s="3" t="inlineStr">
        <is>
          <t>2026SS</t>
        </is>
      </c>
      <c r="K656" s="3" t="n">
        <v>3278</v>
      </c>
      <c r="L656" s="3" t="n">
        <v>272</v>
      </c>
      <c r="M656" s="3" t="n">
        <v>4</v>
      </c>
      <c r="N656" s="4">
        <f>IFERROR(L656/K656,0)</f>
        <v/>
      </c>
      <c r="O656" s="4">
        <f>IFERROR(M656/L656,0)</f>
        <v/>
      </c>
      <c r="P656" t="n">
        <v>231</v>
      </c>
      <c r="Q656" s="5" t="n">
        <v>1</v>
      </c>
      <c r="R656" s="7" t="n">
        <v>1</v>
      </c>
      <c r="S656">
        <f>IF(OR(N656&lt;$T$1*0.5,O656&lt;$U$1*0.5),"код для проверки","нормальный код")</f>
        <v/>
      </c>
      <c r="T656">
        <f>IF(N656&lt;$T$1*0.5,"Низшая четверть",IF(N656&lt;$T$1,"Вторая четверть","Больше половины"))</f>
        <v/>
      </c>
      <c r="U656">
        <f>IF(O656&lt;$U$1*0.5,"Низшая четверть",IF(O656&lt;$U$1,"Вторая четверть","Больше половины"))</f>
        <v/>
      </c>
      <c r="V656">
        <f>IF(OR(N656&lt;SUMIFS(L:L,R:R,1,E:E,E656)/SUMIFS(K:K,R:R,1,E:E,E656)*0.5,O656&lt;SUMIFS(M:M,R:R,1,E:E,E656)/SUMIFS(L:L,R:R,1,E:E,E656)*0.5),"код для проверки","нормальный код")</f>
        <v/>
      </c>
      <c r="W656">
        <f>IF(N656&lt;SUMIFS(L:L,R:R,1,E:E,E656)/SUMIFS(K:K,R:R,1,E:E,E656)*0.5,"Низшая четверть",IF(N656&lt;SUMIFS(L:L,R:R,1,E:E,E656)/SUMIFS(K:K,R:R,1,E:E,E656),"Вторая четверть","Больше половины"))</f>
        <v/>
      </c>
      <c r="X656">
        <f>IF(O656&lt;SUMIFS(M:M,R:R,1,E:E,E656)/SUMIFS(L:L,R:R,1,E:E,E656)*0.5,"Низшая четверть",IF(O656&lt;SUMIFS(M:M,R:R,1,E:E,E656)/SUMIFS(L:L,R:R,1,E:E,E656),"Вторая четверть","Больше половины"))</f>
        <v/>
      </c>
      <c r="Y656" t="n">
        <v>15</v>
      </c>
    </row>
    <row r="657">
      <c r="A657" s="1" t="inlineStr">
        <is>
          <t>30308030</t>
        </is>
      </c>
      <c r="B657" s="2" t="inlineStr">
        <is>
          <t>378959600</t>
        </is>
      </c>
      <c r="C657" s="3" t="inlineStr">
        <is>
          <t>Одежда для детей</t>
        </is>
      </c>
      <c r="D657" s="2" t="inlineStr">
        <is>
          <t>Платья, майки, футболки детские для девочек</t>
        </is>
      </c>
      <c r="E657" s="3" t="inlineStr">
        <is>
          <t>303 Юбка летняя детская</t>
        </is>
      </c>
      <c r="F657" s="2" t="inlineStr">
        <is>
          <t>лето</t>
        </is>
      </c>
      <c r="G657" s="3" t="inlineStr">
        <is>
          <t>kari</t>
        </is>
      </c>
      <c r="H657" s="2" t="inlineStr">
        <is>
          <t>Зиннуров Ильнур</t>
        </is>
      </c>
      <c r="J657" s="3" t="inlineStr">
        <is>
          <t>2026SS</t>
        </is>
      </c>
      <c r="K657" s="3" t="n">
        <v>3275</v>
      </c>
      <c r="L657" s="3" t="n">
        <v>155</v>
      </c>
      <c r="M657" s="3" t="n">
        <v>2</v>
      </c>
      <c r="N657" s="4">
        <f>IFERROR(L657/K657,0)</f>
        <v/>
      </c>
      <c r="O657" s="4">
        <f>IFERROR(M657/L657,0)</f>
        <v/>
      </c>
      <c r="P657" t="n">
        <v>1506</v>
      </c>
      <c r="Q657" s="5" t="n">
        <v>1</v>
      </c>
      <c r="R657" s="7" t="n">
        <v>1</v>
      </c>
      <c r="S657">
        <f>IF(OR(N657&lt;$T$1*0.5,O657&lt;$U$1*0.5),"код для проверки","нормальный код")</f>
        <v/>
      </c>
      <c r="T657">
        <f>IF(N657&lt;$T$1*0.5,"Низшая четверть",IF(N657&lt;$T$1,"Вторая четверть","Больше половины"))</f>
        <v/>
      </c>
      <c r="U657">
        <f>IF(O657&lt;$U$1*0.5,"Низшая четверть",IF(O657&lt;$U$1,"Вторая четверть","Больше половины"))</f>
        <v/>
      </c>
      <c r="V657">
        <f>IF(OR(N657&lt;SUMIFS(L:L,R:R,1,E:E,E657)/SUMIFS(K:K,R:R,1,E:E,E657)*0.5,O657&lt;SUMIFS(M:M,R:R,1,E:E,E657)/SUMIFS(L:L,R:R,1,E:E,E657)*0.5),"код для проверки","нормальный код")</f>
        <v/>
      </c>
      <c r="W657">
        <f>IF(N657&lt;SUMIFS(L:L,R:R,1,E:E,E657)/SUMIFS(K:K,R:R,1,E:E,E657)*0.5,"Низшая четверть",IF(N657&lt;SUMIFS(L:L,R:R,1,E:E,E657)/SUMIFS(K:K,R:R,1,E:E,E657),"Вторая четверть","Больше половины"))</f>
        <v/>
      </c>
      <c r="X657">
        <f>IF(O657&lt;SUMIFS(M:M,R:R,1,E:E,E657)/SUMIFS(L:L,R:R,1,E:E,E657)*0.5,"Низшая четверть",IF(O657&lt;SUMIFS(M:M,R:R,1,E:E,E657)/SUMIFS(L:L,R:R,1,E:E,E657),"Вторая четверть","Больше половины"))</f>
        <v/>
      </c>
      <c r="Y657" t="n">
        <v>15</v>
      </c>
    </row>
    <row r="658">
      <c r="A658" s="1" t="inlineStr">
        <is>
          <t>53000090</t>
        </is>
      </c>
      <c r="B658" s="2" t="inlineStr">
        <is>
          <t>371244538</t>
        </is>
      </c>
      <c r="C658" s="3" t="inlineStr">
        <is>
          <t>Одежда для детей</t>
        </is>
      </c>
      <c r="D658" s="2" t="inlineStr">
        <is>
          <t>Головные детские уборы для девочек</t>
        </is>
      </c>
      <c r="E658" s="3" t="inlineStr">
        <is>
          <t>530 Панама детская для девочек</t>
        </is>
      </c>
      <c r="F658" s="2" t="inlineStr">
        <is>
          <t>весна, лето</t>
        </is>
      </c>
      <c r="G658" s="3" t="inlineStr">
        <is>
          <t>kari</t>
        </is>
      </c>
      <c r="H658" s="2" t="inlineStr">
        <is>
          <t>Никонорова Алина</t>
        </is>
      </c>
      <c r="J658" s="3" t="inlineStr">
        <is>
          <t>2026SS</t>
        </is>
      </c>
      <c r="K658" s="3" t="n">
        <v>3262</v>
      </c>
      <c r="L658" s="3" t="n">
        <v>298</v>
      </c>
      <c r="M658" s="3" t="n">
        <v>5</v>
      </c>
      <c r="N658" s="4">
        <f>IFERROR(L658/K658,0)</f>
        <v/>
      </c>
      <c r="O658" s="4">
        <f>IFERROR(M658/L658,0)</f>
        <v/>
      </c>
      <c r="P658" t="n">
        <v>0</v>
      </c>
      <c r="Q658" s="5" t="n">
        <v>0</v>
      </c>
      <c r="R658" s="7" t="n">
        <v>0</v>
      </c>
      <c r="S658" t="inlineStr">
        <is>
          <t>Мало остатка</t>
        </is>
      </c>
      <c r="T658">
        <f>IF(N658&lt;$T$1*0.5,"Низшая четверть",IF(N658&lt;$T$1,"Вторая четверть","Больше половины"))</f>
        <v/>
      </c>
      <c r="U658">
        <f>IF(O658&lt;$U$1*0.5,"Низшая четверть",IF(O658&lt;$U$1,"Вторая четверть","Больше половины"))</f>
        <v/>
      </c>
      <c r="V658">
        <f>IF(OR(N658&lt;SUMIFS(L:L,R:R,1,E:E,E658)/SUMIFS(K:K,R:R,1,E:E,E658)*0.5,O658&lt;SUMIFS(M:M,R:R,1,E:E,E658)/SUMIFS(L:L,R:R,1,E:E,E658)*0.5),"код для проверки","нормальный код")</f>
        <v/>
      </c>
      <c r="W658">
        <f>IF(N658&lt;SUMIFS(L:L,R:R,1,E:E,E658)/SUMIFS(K:K,R:R,1,E:E,E658)*0.5,"Низшая четверть",IF(N658&lt;SUMIFS(L:L,R:R,1,E:E,E658)/SUMIFS(K:K,R:R,1,E:E,E658),"Вторая четверть","Больше половины"))</f>
        <v/>
      </c>
      <c r="X658">
        <f>IF(O658&lt;SUMIFS(M:M,R:R,1,E:E,E658)/SUMIFS(L:L,R:R,1,E:E,E658)*0.5,"Низшая четверть",IF(O658&lt;SUMIFS(M:M,R:R,1,E:E,E658)/SUMIFS(L:L,R:R,1,E:E,E658),"Вторая четверть","Больше половины"))</f>
        <v/>
      </c>
      <c r="Y658" t="n">
        <v>3</v>
      </c>
    </row>
    <row r="659">
      <c r="A659" s="1" t="inlineStr">
        <is>
          <t>20200270</t>
        </is>
      </c>
      <c r="B659" s="2" t="inlineStr">
        <is>
          <t>820479803</t>
        </is>
      </c>
      <c r="C659" s="3" t="inlineStr">
        <is>
          <t>Одежда для детей</t>
        </is>
      </c>
      <c r="D659" s="2" t="inlineStr">
        <is>
          <t>Головные уборы детские для мальчиков</t>
        </is>
      </c>
      <c r="E659" s="3" t="inlineStr">
        <is>
          <t>202 Бейсболка детская для мальчиков</t>
        </is>
      </c>
      <c r="F659" s="2" t="inlineStr">
        <is>
          <t>весна, лето</t>
        </is>
      </c>
      <c r="G659" s="3" t="inlineStr">
        <is>
          <t>kari</t>
        </is>
      </c>
      <c r="H659" s="2" t="inlineStr">
        <is>
          <t>Никонорова Алина</t>
        </is>
      </c>
      <c r="J659" s="3" t="inlineStr">
        <is>
          <t>2026SS</t>
        </is>
      </c>
      <c r="K659" s="3" t="n">
        <v>3260</v>
      </c>
      <c r="L659" s="3" t="n">
        <v>494</v>
      </c>
      <c r="M659" s="3" t="n">
        <v>13</v>
      </c>
      <c r="N659" s="4">
        <f>IFERROR(L659/K659,0)</f>
        <v/>
      </c>
      <c r="O659" s="4">
        <f>IFERROR(M659/L659,0)</f>
        <v/>
      </c>
      <c r="P659" t="n">
        <v>574</v>
      </c>
      <c r="Q659" s="5" t="n">
        <v>1</v>
      </c>
      <c r="R659" s="7" t="n">
        <v>1</v>
      </c>
      <c r="S659">
        <f>IF(OR(N659&lt;$T$1*0.5,O659&lt;$U$1*0.5),"код для проверки","нормальный код")</f>
        <v/>
      </c>
      <c r="T659">
        <f>IF(N659&lt;$T$1*0.5,"Низшая четверть",IF(N659&lt;$T$1,"Вторая четверть","Больше половины"))</f>
        <v/>
      </c>
      <c r="U659">
        <f>IF(O659&lt;$U$1*0.5,"Низшая четверть",IF(O659&lt;$U$1,"Вторая четверть","Больше половины"))</f>
        <v/>
      </c>
      <c r="V659">
        <f>IF(OR(N659&lt;SUMIFS(L:L,R:R,1,E:E,E659)/SUMIFS(K:K,R:R,1,E:E,E659)*0.5,O659&lt;SUMIFS(M:M,R:R,1,E:E,E659)/SUMIFS(L:L,R:R,1,E:E,E659)*0.5),"код для проверки","нормальный код")</f>
        <v/>
      </c>
      <c r="W659">
        <f>IF(N659&lt;SUMIFS(L:L,R:R,1,E:E,E659)/SUMIFS(K:K,R:R,1,E:E,E659)*0.5,"Низшая четверть",IF(N659&lt;SUMIFS(L:L,R:R,1,E:E,E659)/SUMIFS(K:K,R:R,1,E:E,E659),"Вторая четверть","Больше половины"))</f>
        <v/>
      </c>
      <c r="X659">
        <f>IF(O659&lt;SUMIFS(M:M,R:R,1,E:E,E659)/SUMIFS(L:L,R:R,1,E:E,E659)*0.5,"Низшая четверть",IF(O659&lt;SUMIFS(M:M,R:R,1,E:E,E659)/SUMIFS(L:L,R:R,1,E:E,E659),"Вторая четверть","Больше половины"))</f>
        <v/>
      </c>
      <c r="Y659" t="n">
        <v>9</v>
      </c>
    </row>
    <row r="660">
      <c r="A660" s="1" t="inlineStr">
        <is>
          <t>310000P0</t>
        </is>
      </c>
      <c r="B660" s="2" t="inlineStr">
        <is>
          <t>788315560</t>
        </is>
      </c>
      <c r="C660" s="3" t="inlineStr">
        <is>
          <t>Одежда для детей</t>
        </is>
      </c>
      <c r="D660" s="2" t="inlineStr">
        <is>
          <t>Футболки, майки, рубашки детские для мальчиков</t>
        </is>
      </c>
      <c r="E660" s="3" t="inlineStr">
        <is>
          <t>310 Футболка детская для мальчиков</t>
        </is>
      </c>
      <c r="F660" s="2" t="inlineStr">
        <is>
          <t>всесезонный</t>
        </is>
      </c>
      <c r="G660" s="3" t="inlineStr">
        <is>
          <t>kari</t>
        </is>
      </c>
      <c r="H660" s="2" t="inlineStr">
        <is>
          <t>Зиннуров Ильнур</t>
        </is>
      </c>
      <c r="J660" s="3" t="inlineStr">
        <is>
          <t>2026SS</t>
        </is>
      </c>
      <c r="K660" s="3" t="n">
        <v>3241</v>
      </c>
      <c r="L660" s="3" t="n">
        <v>649</v>
      </c>
      <c r="M660" s="3" t="n">
        <v>9</v>
      </c>
      <c r="N660" s="4">
        <f>IFERROR(L660/K660,0)</f>
        <v/>
      </c>
      <c r="O660" s="4">
        <f>IFERROR(M660/L660,0)</f>
        <v/>
      </c>
      <c r="P660" t="n">
        <v>526</v>
      </c>
      <c r="Q660" s="5" t="n">
        <v>1</v>
      </c>
      <c r="R660" s="7" t="n">
        <v>1</v>
      </c>
      <c r="S660">
        <f>IF(OR(N660&lt;$T$1*0.5,O660&lt;$U$1*0.5),"код для проверки","нормальный код")</f>
        <v/>
      </c>
      <c r="T660">
        <f>IF(N660&lt;$T$1*0.5,"Низшая четверть",IF(N660&lt;$T$1,"Вторая четверть","Больше половины"))</f>
        <v/>
      </c>
      <c r="U660">
        <f>IF(O660&lt;$U$1*0.5,"Низшая четверть",IF(O660&lt;$U$1,"Вторая четверть","Больше половины"))</f>
        <v/>
      </c>
      <c r="V660">
        <f>IF(OR(N660&lt;SUMIFS(L:L,R:R,1,E:E,E660)/SUMIFS(K:K,R:R,1,E:E,E660)*0.5,O660&lt;SUMIFS(M:M,R:R,1,E:E,E660)/SUMIFS(L:L,R:R,1,E:E,E660)*0.5),"код для проверки","нормальный код")</f>
        <v/>
      </c>
      <c r="W660">
        <f>IF(N660&lt;SUMIFS(L:L,R:R,1,E:E,E660)/SUMIFS(K:K,R:R,1,E:E,E660)*0.5,"Низшая четверть",IF(N660&lt;SUMIFS(L:L,R:R,1,E:E,E660)/SUMIFS(K:K,R:R,1,E:E,E660),"Вторая четверть","Больше половины"))</f>
        <v/>
      </c>
      <c r="X660">
        <f>IF(O660&lt;SUMIFS(M:M,R:R,1,E:E,E660)/SUMIFS(L:L,R:R,1,E:E,E660)*0.5,"Низшая четверть",IF(O660&lt;SUMIFS(M:M,R:R,1,E:E,E660)/SUMIFS(L:L,R:R,1,E:E,E660),"Вторая четверть","Больше половины"))</f>
        <v/>
      </c>
      <c r="Y660" t="n">
        <v>16</v>
      </c>
    </row>
    <row r="661">
      <c r="A661" s="1" t="inlineStr">
        <is>
          <t>a8800000</t>
        </is>
      </c>
      <c r="B661" s="2" t="inlineStr">
        <is>
          <t>696577009</t>
        </is>
      </c>
      <c r="C661" s="3" t="inlineStr">
        <is>
          <t>Одежда для детей</t>
        </is>
      </c>
      <c r="D661" s="2" t="inlineStr">
        <is>
          <t>Свитера детские для девочек</t>
        </is>
      </c>
      <c r="E661" s="3" t="inlineStr">
        <is>
          <t>a88 Толстовка на молнии для девочек</t>
        </is>
      </c>
      <c r="F661" s="2" t="inlineStr">
        <is>
          <t>весна, лето, осень</t>
        </is>
      </c>
      <c r="G661" s="3" t="inlineStr">
        <is>
          <t>Kari KIDS</t>
        </is>
      </c>
      <c r="H661" s="2" t="inlineStr">
        <is>
          <t>Зиннуров Ильнур</t>
        </is>
      </c>
      <c r="J661" s="3" t="inlineStr">
        <is>
          <t>2026SS</t>
        </is>
      </c>
      <c r="K661" s="3" t="n">
        <v>3233</v>
      </c>
      <c r="L661" s="3" t="n">
        <v>290</v>
      </c>
      <c r="M661" s="3" t="n">
        <v>8</v>
      </c>
      <c r="N661" s="4">
        <f>IFERROR(L661/K661,0)</f>
        <v/>
      </c>
      <c r="O661" s="4">
        <f>IFERROR(M661/L661,0)</f>
        <v/>
      </c>
      <c r="P661" t="n">
        <v>185</v>
      </c>
      <c r="Q661" s="5" t="n">
        <v>1</v>
      </c>
      <c r="R661" s="7" t="n">
        <v>1</v>
      </c>
      <c r="S661">
        <f>IF(OR(N661&lt;$T$1*0.5,O661&lt;$U$1*0.5),"код для проверки","нормальный код")</f>
        <v/>
      </c>
      <c r="T661">
        <f>IF(N661&lt;$T$1*0.5,"Низшая четверть",IF(N661&lt;$T$1,"Вторая четверть","Больше половины"))</f>
        <v/>
      </c>
      <c r="U661">
        <f>IF(O661&lt;$U$1*0.5,"Низшая четверть",IF(O661&lt;$U$1,"Вторая четверть","Больше половины"))</f>
        <v/>
      </c>
      <c r="V661">
        <f>IF(OR(N661&lt;SUMIFS(L:L,R:R,1,E:E,E661)/SUMIFS(K:K,R:R,1,E:E,E661)*0.5,O661&lt;SUMIFS(M:M,R:R,1,E:E,E661)/SUMIFS(L:L,R:R,1,E:E,E661)*0.5),"код для проверки","нормальный код")</f>
        <v/>
      </c>
      <c r="W661">
        <f>IF(N661&lt;SUMIFS(L:L,R:R,1,E:E,E661)/SUMIFS(K:K,R:R,1,E:E,E661)*0.5,"Низшая четверть",IF(N661&lt;SUMIFS(L:L,R:R,1,E:E,E661)/SUMIFS(K:K,R:R,1,E:E,E661),"Вторая четверть","Больше половины"))</f>
        <v/>
      </c>
      <c r="X661">
        <f>IF(O661&lt;SUMIFS(M:M,R:R,1,E:E,E661)/SUMIFS(L:L,R:R,1,E:E,E661)*0.5,"Низшая четверть",IF(O661&lt;SUMIFS(M:M,R:R,1,E:E,E661)/SUMIFS(L:L,R:R,1,E:E,E661),"Вторая четверть","Больше половины"))</f>
        <v/>
      </c>
      <c r="Y661" t="n">
        <v>23</v>
      </c>
    </row>
    <row r="662">
      <c r="A662" s="1" t="inlineStr">
        <is>
          <t>29100180</t>
        </is>
      </c>
      <c r="B662" s="2" t="inlineStr">
        <is>
          <t>710462786</t>
        </is>
      </c>
      <c r="C662" s="3" t="inlineStr">
        <is>
          <t>Одежда для детей</t>
        </is>
      </c>
      <c r="D662" s="2" t="inlineStr">
        <is>
          <t>Брюки детские для мальчиков</t>
        </is>
      </c>
      <c r="E662" s="3" t="inlineStr">
        <is>
          <t>291 Штаны детские для мальчиков</t>
        </is>
      </c>
      <c r="F662" s="2" t="inlineStr">
        <is>
          <t>всесезонный</t>
        </is>
      </c>
      <c r="G662" s="3" t="inlineStr">
        <is>
          <t>Kari KIDS</t>
        </is>
      </c>
      <c r="H662" s="2" t="inlineStr">
        <is>
          <t>Зиннуров Ильнур</t>
        </is>
      </c>
      <c r="J662" s="3" t="inlineStr">
        <is>
          <t>2026SS</t>
        </is>
      </c>
      <c r="K662" s="3" t="n">
        <v>3231</v>
      </c>
      <c r="L662" s="3" t="n">
        <v>278</v>
      </c>
      <c r="M662" s="3" t="n">
        <v>6</v>
      </c>
      <c r="N662" s="4">
        <f>IFERROR(L662/K662,0)</f>
        <v/>
      </c>
      <c r="O662" s="4">
        <f>IFERROR(M662/L662,0)</f>
        <v/>
      </c>
      <c r="P662" t="n">
        <v>678</v>
      </c>
      <c r="Q662" s="5" t="n">
        <v>1</v>
      </c>
      <c r="R662" s="7" t="n">
        <v>1</v>
      </c>
      <c r="S662">
        <f>IF(OR(N662&lt;$T$1*0.5,O662&lt;$U$1*0.5),"код для проверки","нормальный код")</f>
        <v/>
      </c>
      <c r="T662">
        <f>IF(N662&lt;$T$1*0.5,"Низшая четверть",IF(N662&lt;$T$1,"Вторая четверть","Больше половины"))</f>
        <v/>
      </c>
      <c r="U662">
        <f>IF(O662&lt;$U$1*0.5,"Низшая четверть",IF(O662&lt;$U$1,"Вторая четверть","Больше половины"))</f>
        <v/>
      </c>
      <c r="V662">
        <f>IF(OR(N662&lt;SUMIFS(L:L,R:R,1,E:E,E662)/SUMIFS(K:K,R:R,1,E:E,E662)*0.5,O662&lt;SUMIFS(M:M,R:R,1,E:E,E662)/SUMIFS(L:L,R:R,1,E:E,E662)*0.5),"код для проверки","нормальный код")</f>
        <v/>
      </c>
      <c r="W662">
        <f>IF(N662&lt;SUMIFS(L:L,R:R,1,E:E,E662)/SUMIFS(K:K,R:R,1,E:E,E662)*0.5,"Низшая четверть",IF(N662&lt;SUMIFS(L:L,R:R,1,E:E,E662)/SUMIFS(K:K,R:R,1,E:E,E662),"Вторая четверть","Больше половины"))</f>
        <v/>
      </c>
      <c r="X662">
        <f>IF(O662&lt;SUMIFS(M:M,R:R,1,E:E,E662)/SUMIFS(L:L,R:R,1,E:E,E662)*0.5,"Низшая четверть",IF(O662&lt;SUMIFS(M:M,R:R,1,E:E,E662)/SUMIFS(L:L,R:R,1,E:E,E662),"Вторая четверть","Больше половины"))</f>
        <v/>
      </c>
      <c r="Y662" t="n">
        <v>15</v>
      </c>
    </row>
    <row r="663">
      <c r="A663" s="1" t="inlineStr">
        <is>
          <t>18400010</t>
        </is>
      </c>
      <c r="B663" s="2" t="inlineStr">
        <is>
          <t>879308738</t>
        </is>
      </c>
      <c r="C663" s="3" t="inlineStr">
        <is>
          <t>Одежда и аксессуары</t>
        </is>
      </c>
      <c r="D663" s="2" t="inlineStr">
        <is>
          <t>Майки и платья женские</t>
        </is>
      </c>
      <c r="E663" s="3" t="inlineStr">
        <is>
          <t>184 Женская футболка</t>
        </is>
      </c>
      <c r="F663" s="2" t="inlineStr">
        <is>
          <t>всесезонный</t>
        </is>
      </c>
      <c r="G663" s="3" t="inlineStr">
        <is>
          <t>kari</t>
        </is>
      </c>
      <c r="H663" s="2" t="inlineStr">
        <is>
          <t>Зиннуров Ильнур</t>
        </is>
      </c>
      <c r="J663" s="3" t="inlineStr">
        <is>
          <t>2026SS</t>
        </is>
      </c>
      <c r="K663" s="3" t="n">
        <v>3228</v>
      </c>
      <c r="L663" s="3" t="n">
        <v>183</v>
      </c>
      <c r="M663" s="3" t="n">
        <v>7</v>
      </c>
      <c r="N663" s="4">
        <f>IFERROR(L663/K663,0)</f>
        <v/>
      </c>
      <c r="O663" s="4">
        <f>IFERROR(M663/L663,0)</f>
        <v/>
      </c>
      <c r="P663" t="n">
        <v>212</v>
      </c>
      <c r="Q663" s="5" t="n">
        <v>1</v>
      </c>
      <c r="R663" s="7" t="n">
        <v>1</v>
      </c>
      <c r="S663">
        <f>IF(OR(N663&lt;$T$1*0.5,O663&lt;$U$1*0.5),"код для проверки","нормальный код")</f>
        <v/>
      </c>
      <c r="T663">
        <f>IF(N663&lt;$T$1*0.5,"Низшая четверть",IF(N663&lt;$T$1,"Вторая четверть","Больше половины"))</f>
        <v/>
      </c>
      <c r="U663">
        <f>IF(O663&lt;$U$1*0.5,"Низшая четверть",IF(O663&lt;$U$1,"Вторая четверть","Больше половины"))</f>
        <v/>
      </c>
      <c r="V663">
        <f>IF(OR(N663&lt;SUMIFS(L:L,R:R,1,E:E,E663)/SUMIFS(K:K,R:R,1,E:E,E663)*0.5,O663&lt;SUMIFS(M:M,R:R,1,E:E,E663)/SUMIFS(L:L,R:R,1,E:E,E663)*0.5),"код для проверки","нормальный код")</f>
        <v/>
      </c>
      <c r="W663">
        <f>IF(N663&lt;SUMIFS(L:L,R:R,1,E:E,E663)/SUMIFS(K:K,R:R,1,E:E,E663)*0.5,"Низшая четверть",IF(N663&lt;SUMIFS(L:L,R:R,1,E:E,E663)/SUMIFS(K:K,R:R,1,E:E,E663),"Вторая четверть","Больше половины"))</f>
        <v/>
      </c>
      <c r="X663">
        <f>IF(O663&lt;SUMIFS(M:M,R:R,1,E:E,E663)/SUMIFS(L:L,R:R,1,E:E,E663)*0.5,"Низшая четверть",IF(O663&lt;SUMIFS(M:M,R:R,1,E:E,E663)/SUMIFS(L:L,R:R,1,E:E,E663),"Вторая четверть","Больше половины"))</f>
        <v/>
      </c>
      <c r="Y663" t="n">
        <v>11</v>
      </c>
    </row>
    <row r="664">
      <c r="A664" s="1" t="inlineStr">
        <is>
          <t>29100110</t>
        </is>
      </c>
      <c r="B664" s="2" t="inlineStr">
        <is>
          <t>698694613</t>
        </is>
      </c>
      <c r="C664" s="3" t="inlineStr">
        <is>
          <t>Одежда для детей</t>
        </is>
      </c>
      <c r="D664" s="2" t="inlineStr">
        <is>
          <t>Брюки детские для мальчиков</t>
        </is>
      </c>
      <c r="E664" s="3" t="inlineStr">
        <is>
          <t>291 Штаны детские для мальчиков</t>
        </is>
      </c>
      <c r="F664" s="2" t="inlineStr">
        <is>
          <t>всесезонный</t>
        </is>
      </c>
      <c r="G664" s="3" t="inlineStr">
        <is>
          <t>Kari KIDS</t>
        </is>
      </c>
      <c r="H664" s="2" t="inlineStr">
        <is>
          <t>Зиннуров Ильнур</t>
        </is>
      </c>
      <c r="J664" s="3" t="inlineStr">
        <is>
          <t>2026SS</t>
        </is>
      </c>
      <c r="K664" s="3" t="n">
        <v>3216</v>
      </c>
      <c r="L664" s="3" t="n">
        <v>215</v>
      </c>
      <c r="M664" s="3" t="n">
        <v>3</v>
      </c>
      <c r="N664" s="4">
        <f>IFERROR(L664/K664,0)</f>
        <v/>
      </c>
      <c r="O664" s="4">
        <f>IFERROR(M664/L664,0)</f>
        <v/>
      </c>
      <c r="P664" t="n">
        <v>601</v>
      </c>
      <c r="Q664" s="5" t="n">
        <v>1</v>
      </c>
      <c r="R664" s="7" t="n">
        <v>1</v>
      </c>
      <c r="S664">
        <f>IF(OR(N664&lt;$T$1*0.5,O664&lt;$U$1*0.5),"код для проверки","нормальный код")</f>
        <v/>
      </c>
      <c r="T664">
        <f>IF(N664&lt;$T$1*0.5,"Низшая четверть",IF(N664&lt;$T$1,"Вторая четверть","Больше половины"))</f>
        <v/>
      </c>
      <c r="U664">
        <f>IF(O664&lt;$U$1*0.5,"Низшая четверть",IF(O664&lt;$U$1,"Вторая четверть","Больше половины"))</f>
        <v/>
      </c>
      <c r="V664">
        <f>IF(OR(N664&lt;SUMIFS(L:L,R:R,1,E:E,E664)/SUMIFS(K:K,R:R,1,E:E,E664)*0.5,O664&lt;SUMIFS(M:M,R:R,1,E:E,E664)/SUMIFS(L:L,R:R,1,E:E,E664)*0.5),"код для проверки","нормальный код")</f>
        <v/>
      </c>
      <c r="W664">
        <f>IF(N664&lt;SUMIFS(L:L,R:R,1,E:E,E664)/SUMIFS(K:K,R:R,1,E:E,E664)*0.5,"Низшая четверть",IF(N664&lt;SUMIFS(L:L,R:R,1,E:E,E664)/SUMIFS(K:K,R:R,1,E:E,E664),"Вторая четверть","Больше половины"))</f>
        <v/>
      </c>
      <c r="X664">
        <f>IF(O664&lt;SUMIFS(M:M,R:R,1,E:E,E664)/SUMIFS(L:L,R:R,1,E:E,E664)*0.5,"Низшая четверть",IF(O664&lt;SUMIFS(M:M,R:R,1,E:E,E664)/SUMIFS(L:L,R:R,1,E:E,E664),"Вторая четверть","Больше половины"))</f>
        <v/>
      </c>
      <c r="Y664" t="n">
        <v>14</v>
      </c>
    </row>
    <row r="665">
      <c r="A665" s="1" t="inlineStr">
        <is>
          <t>29100160</t>
        </is>
      </c>
      <c r="B665" s="2" t="inlineStr">
        <is>
          <t>710462777</t>
        </is>
      </c>
      <c r="C665" s="3" t="inlineStr">
        <is>
          <t>Одежда для детей</t>
        </is>
      </c>
      <c r="D665" s="2" t="inlineStr">
        <is>
          <t>Брюки детские для мальчиков</t>
        </is>
      </c>
      <c r="E665" s="3" t="inlineStr">
        <is>
          <t>291 Штаны детские для мальчиков</t>
        </is>
      </c>
      <c r="F665" s="2" t="inlineStr">
        <is>
          <t>всесезонный</t>
        </is>
      </c>
      <c r="G665" s="3" t="inlineStr">
        <is>
          <t>kari</t>
        </is>
      </c>
      <c r="H665" s="2" t="inlineStr">
        <is>
          <t>Зиннуров Ильнур</t>
        </is>
      </c>
      <c r="J665" s="3" t="inlineStr">
        <is>
          <t>2026SS</t>
        </is>
      </c>
      <c r="K665" s="3" t="n">
        <v>3176</v>
      </c>
      <c r="L665" s="3" t="n">
        <v>321</v>
      </c>
      <c r="M665" s="3" t="n">
        <v>4</v>
      </c>
      <c r="N665" s="4">
        <f>IFERROR(L665/K665,0)</f>
        <v/>
      </c>
      <c r="O665" s="4">
        <f>IFERROR(M665/L665,0)</f>
        <v/>
      </c>
      <c r="P665" t="n">
        <v>280</v>
      </c>
      <c r="Q665" s="5" t="n">
        <v>1</v>
      </c>
      <c r="R665" s="7" t="n">
        <v>1</v>
      </c>
      <c r="S665">
        <f>IF(OR(N665&lt;$T$1*0.5,O665&lt;$U$1*0.5),"код для проверки","нормальный код")</f>
        <v/>
      </c>
      <c r="T665">
        <f>IF(N665&lt;$T$1*0.5,"Низшая четверть",IF(N665&lt;$T$1,"Вторая четверть","Больше половины"))</f>
        <v/>
      </c>
      <c r="U665">
        <f>IF(O665&lt;$U$1*0.5,"Низшая четверть",IF(O665&lt;$U$1,"Вторая четверть","Больше половины"))</f>
        <v/>
      </c>
      <c r="V665">
        <f>IF(OR(N665&lt;SUMIFS(L:L,R:R,1,E:E,E665)/SUMIFS(K:K,R:R,1,E:E,E665)*0.5,O665&lt;SUMIFS(M:M,R:R,1,E:E,E665)/SUMIFS(L:L,R:R,1,E:E,E665)*0.5),"код для проверки","нормальный код")</f>
        <v/>
      </c>
      <c r="W665">
        <f>IF(N665&lt;SUMIFS(L:L,R:R,1,E:E,E665)/SUMIFS(K:K,R:R,1,E:E,E665)*0.5,"Низшая четверть",IF(N665&lt;SUMIFS(L:L,R:R,1,E:E,E665)/SUMIFS(K:K,R:R,1,E:E,E665),"Вторая четверть","Больше половины"))</f>
        <v/>
      </c>
      <c r="X665">
        <f>IF(O665&lt;SUMIFS(M:M,R:R,1,E:E,E665)/SUMIFS(L:L,R:R,1,E:E,E665)*0.5,"Низшая четверть",IF(O665&lt;SUMIFS(M:M,R:R,1,E:E,E665)/SUMIFS(L:L,R:R,1,E:E,E665),"Вторая четверть","Больше половины"))</f>
        <v/>
      </c>
      <c r="Y665" t="n">
        <v>15</v>
      </c>
    </row>
    <row r="666">
      <c r="A666" s="1" t="inlineStr">
        <is>
          <t>53600280</t>
        </is>
      </c>
      <c r="B666" s="2" t="inlineStr">
        <is>
          <t>699198437</t>
        </is>
      </c>
      <c r="C666" s="3" t="inlineStr">
        <is>
          <t>Одежда для детей</t>
        </is>
      </c>
      <c r="D666" s="2" t="inlineStr">
        <is>
          <t>Платья, майки, футболки детские для девочек</t>
        </is>
      </c>
      <c r="E666" s="3" t="inlineStr">
        <is>
          <t>536 Платье летнее детское</t>
        </is>
      </c>
      <c r="F666" s="2" t="inlineStr">
        <is>
          <t>лето</t>
        </is>
      </c>
      <c r="G666" s="3" t="inlineStr">
        <is>
          <t>kari</t>
        </is>
      </c>
      <c r="H666" s="2" t="inlineStr">
        <is>
          <t>Зиннуров Ильнур</t>
        </is>
      </c>
      <c r="J666" s="3" t="inlineStr">
        <is>
          <t>2026SS</t>
        </is>
      </c>
      <c r="K666" s="3" t="n">
        <v>3174</v>
      </c>
      <c r="L666" s="3" t="n">
        <v>1384</v>
      </c>
      <c r="M666" s="3" t="n">
        <v>3</v>
      </c>
      <c r="N666" s="4">
        <f>IFERROR(L666/K666,0)</f>
        <v/>
      </c>
      <c r="O666" s="4">
        <f>IFERROR(M666/L666,0)</f>
        <v/>
      </c>
      <c r="P666" t="n">
        <v>316</v>
      </c>
      <c r="Q666" s="5" t="n">
        <v>1</v>
      </c>
      <c r="R666" s="7" t="n">
        <v>1</v>
      </c>
      <c r="S666">
        <f>IF(OR(N666&lt;$T$1*0.5,O666&lt;$U$1*0.5),"код для проверки","нормальный код")</f>
        <v/>
      </c>
      <c r="T666">
        <f>IF(N666&lt;$T$1*0.5,"Низшая четверть",IF(N666&lt;$T$1,"Вторая четверть","Больше половины"))</f>
        <v/>
      </c>
      <c r="U666">
        <f>IF(O666&lt;$U$1*0.5,"Низшая четверть",IF(O666&lt;$U$1,"Вторая четверть","Больше половины"))</f>
        <v/>
      </c>
      <c r="V666">
        <f>IF(OR(N666&lt;SUMIFS(L:L,R:R,1,E:E,E666)/SUMIFS(K:K,R:R,1,E:E,E666)*0.5,O666&lt;SUMIFS(M:M,R:R,1,E:E,E666)/SUMIFS(L:L,R:R,1,E:E,E666)*0.5),"код для проверки","нормальный код")</f>
        <v/>
      </c>
      <c r="W666">
        <f>IF(N666&lt;SUMIFS(L:L,R:R,1,E:E,E666)/SUMIFS(K:K,R:R,1,E:E,E666)*0.5,"Низшая четверть",IF(N666&lt;SUMIFS(L:L,R:R,1,E:E,E666)/SUMIFS(K:K,R:R,1,E:E,E666),"Вторая четверть","Больше половины"))</f>
        <v/>
      </c>
      <c r="X666">
        <f>IF(O666&lt;SUMIFS(M:M,R:R,1,E:E,E666)/SUMIFS(L:L,R:R,1,E:E,E666)*0.5,"Низшая четверть",IF(O666&lt;SUMIFS(M:M,R:R,1,E:E,E666)/SUMIFS(L:L,R:R,1,E:E,E666),"Вторая четверть","Больше половины"))</f>
        <v/>
      </c>
      <c r="Y666" t="n">
        <v>14</v>
      </c>
    </row>
    <row r="667">
      <c r="A667" s="1" t="inlineStr">
        <is>
          <t>29600030</t>
        </is>
      </c>
      <c r="B667" s="2" t="inlineStr">
        <is>
          <t>732841055</t>
        </is>
      </c>
      <c r="C667" s="3" t="inlineStr">
        <is>
          <t>Одежда и аксессуары</t>
        </is>
      </c>
      <c r="D667" s="2" t="inlineStr">
        <is>
          <t>Майки и платья женские</t>
        </is>
      </c>
      <c r="E667" s="3" t="inlineStr">
        <is>
          <t>296 Блузка длинный рукав женская</t>
        </is>
      </c>
      <c r="F667" s="2" t="inlineStr">
        <is>
          <t>всесезонный</t>
        </is>
      </c>
      <c r="G667" s="3" t="inlineStr">
        <is>
          <t>kari</t>
        </is>
      </c>
      <c r="H667" s="2" t="inlineStr">
        <is>
          <t>Зиннуров Ильнур</t>
        </is>
      </c>
      <c r="J667" s="3" t="inlineStr">
        <is>
          <t>2026SS</t>
        </is>
      </c>
      <c r="K667" s="3" t="n">
        <v>3174</v>
      </c>
      <c r="L667" s="3" t="n">
        <v>384</v>
      </c>
      <c r="M667" s="3" t="n">
        <v>5</v>
      </c>
      <c r="N667" s="4">
        <f>IFERROR(L667/K667,0)</f>
        <v/>
      </c>
      <c r="O667" s="4">
        <f>IFERROR(M667/L667,0)</f>
        <v/>
      </c>
      <c r="P667" t="n">
        <v>408</v>
      </c>
      <c r="Q667" s="5" t="n">
        <v>1</v>
      </c>
      <c r="R667" s="7" t="n">
        <v>1</v>
      </c>
      <c r="S667">
        <f>IF(OR(N667&lt;$T$1*0.5,O667&lt;$U$1*0.5),"код для проверки","нормальный код")</f>
        <v/>
      </c>
      <c r="T667">
        <f>IF(N667&lt;$T$1*0.5,"Низшая четверть",IF(N667&lt;$T$1,"Вторая четверть","Больше половины"))</f>
        <v/>
      </c>
      <c r="U667">
        <f>IF(O667&lt;$U$1*0.5,"Низшая четверть",IF(O667&lt;$U$1,"Вторая четверть","Больше половины"))</f>
        <v/>
      </c>
      <c r="V667">
        <f>IF(OR(N667&lt;SUMIFS(L:L,R:R,1,E:E,E667)/SUMIFS(K:K,R:R,1,E:E,E667)*0.5,O667&lt;SUMIFS(M:M,R:R,1,E:E,E667)/SUMIFS(L:L,R:R,1,E:E,E667)*0.5),"код для проверки","нормальный код")</f>
        <v/>
      </c>
      <c r="W667">
        <f>IF(N667&lt;SUMIFS(L:L,R:R,1,E:E,E667)/SUMIFS(K:K,R:R,1,E:E,E667)*0.5,"Низшая четверть",IF(N667&lt;SUMIFS(L:L,R:R,1,E:E,E667)/SUMIFS(K:K,R:R,1,E:E,E667),"Вторая четверть","Больше половины"))</f>
        <v/>
      </c>
      <c r="X667">
        <f>IF(O667&lt;SUMIFS(M:M,R:R,1,E:E,E667)/SUMIFS(L:L,R:R,1,E:E,E667)*0.5,"Низшая четверть",IF(O667&lt;SUMIFS(M:M,R:R,1,E:E,E667)/SUMIFS(L:L,R:R,1,E:E,E667),"Вторая четверть","Больше половины"))</f>
        <v/>
      </c>
      <c r="Y667" t="n">
        <v>17</v>
      </c>
    </row>
    <row r="668">
      <c r="A668" s="1" t="inlineStr">
        <is>
          <t>18100150</t>
        </is>
      </c>
      <c r="B668" s="2" t="inlineStr">
        <is>
          <t>907696398</t>
        </is>
      </c>
      <c r="C668" s="3" t="inlineStr">
        <is>
          <t>Одежда для детей</t>
        </is>
      </c>
      <c r="D668" s="2" t="inlineStr">
        <is>
          <t>Джинсы детские для девочек</t>
        </is>
      </c>
      <c r="E668" s="3" t="inlineStr">
        <is>
          <t>181 Джинсы детские для девочек</t>
        </is>
      </c>
      <c r="F668" s="2" t="inlineStr">
        <is>
          <t>всесезонный</t>
        </is>
      </c>
      <c r="G668" s="3" t="inlineStr">
        <is>
          <t>Kari KIDS</t>
        </is>
      </c>
      <c r="H668" s="2" t="inlineStr">
        <is>
          <t>Зиннуров Ильнур</t>
        </is>
      </c>
      <c r="J668" s="3" t="inlineStr">
        <is>
          <t>2026SS</t>
        </is>
      </c>
      <c r="K668" s="3" t="n">
        <v>3168</v>
      </c>
      <c r="L668" s="3" t="n">
        <v>156</v>
      </c>
      <c r="M668" s="3" t="n">
        <v>4</v>
      </c>
      <c r="N668" s="4">
        <f>IFERROR(L668/K668,0)</f>
        <v/>
      </c>
      <c r="O668" s="4">
        <f>IFERROR(M668/L668,0)</f>
        <v/>
      </c>
      <c r="P668" t="n">
        <v>276</v>
      </c>
      <c r="Q668" s="5" t="n">
        <v>1</v>
      </c>
      <c r="R668" s="7" t="n">
        <v>1</v>
      </c>
      <c r="S668">
        <f>IF(OR(N668&lt;$T$1*0.5,O668&lt;$U$1*0.5),"код для проверки","нормальный код")</f>
        <v/>
      </c>
      <c r="T668">
        <f>IF(N668&lt;$T$1*0.5,"Низшая четверть",IF(N668&lt;$T$1,"Вторая четверть","Больше половины"))</f>
        <v/>
      </c>
      <c r="U668">
        <f>IF(O668&lt;$U$1*0.5,"Низшая четверть",IF(O668&lt;$U$1,"Вторая четверть","Больше половины"))</f>
        <v/>
      </c>
      <c r="V668">
        <f>IF(OR(N668&lt;SUMIFS(L:L,R:R,1,E:E,E668)/SUMIFS(K:K,R:R,1,E:E,E668)*0.5,O668&lt;SUMIFS(M:M,R:R,1,E:E,E668)/SUMIFS(L:L,R:R,1,E:E,E668)*0.5),"код для проверки","нормальный код")</f>
        <v/>
      </c>
      <c r="W668">
        <f>IF(N668&lt;SUMIFS(L:L,R:R,1,E:E,E668)/SUMIFS(K:K,R:R,1,E:E,E668)*0.5,"Низшая четверть",IF(N668&lt;SUMIFS(L:L,R:R,1,E:E,E668)/SUMIFS(K:K,R:R,1,E:E,E668),"Вторая четверть","Больше половины"))</f>
        <v/>
      </c>
      <c r="X668">
        <f>IF(O668&lt;SUMIFS(M:M,R:R,1,E:E,E668)/SUMIFS(L:L,R:R,1,E:E,E668)*0.5,"Низшая четверть",IF(O668&lt;SUMIFS(M:M,R:R,1,E:E,E668)/SUMIFS(L:L,R:R,1,E:E,E668),"Вторая четверть","Больше половины"))</f>
        <v/>
      </c>
      <c r="Y668" t="n">
        <v>11</v>
      </c>
    </row>
    <row r="669">
      <c r="A669" s="1" t="inlineStr">
        <is>
          <t>29000090</t>
        </is>
      </c>
      <c r="B669" s="2" t="inlineStr">
        <is>
          <t>769002330</t>
        </is>
      </c>
      <c r="C669" s="3" t="inlineStr">
        <is>
          <t>Одежда для детей</t>
        </is>
      </c>
      <c r="D669" s="2" t="inlineStr">
        <is>
          <t>Брюки детские для девочек</t>
        </is>
      </c>
      <c r="E669" s="3" t="inlineStr">
        <is>
          <t>290 Штаны детские для девочек</t>
        </is>
      </c>
      <c r="F669" s="2" t="inlineStr">
        <is>
          <t>всесезонный</t>
        </is>
      </c>
      <c r="G669" s="3" t="inlineStr">
        <is>
          <t>kari</t>
        </is>
      </c>
      <c r="H669" s="2" t="inlineStr">
        <is>
          <t>Зиннуров Ильнур</t>
        </is>
      </c>
      <c r="J669" s="3" t="inlineStr">
        <is>
          <t>2026SS</t>
        </is>
      </c>
      <c r="K669" s="3" t="n">
        <v>3165</v>
      </c>
      <c r="L669" s="3" t="n">
        <v>315</v>
      </c>
      <c r="M669" s="3" t="n">
        <v>12</v>
      </c>
      <c r="N669" s="4">
        <f>IFERROR(L669/K669,0)</f>
        <v/>
      </c>
      <c r="O669" s="4">
        <f>IFERROR(M669/L669,0)</f>
        <v/>
      </c>
      <c r="P669" t="n">
        <v>839</v>
      </c>
      <c r="Q669" s="5" t="n">
        <v>1</v>
      </c>
      <c r="R669" s="7" t="n">
        <v>1</v>
      </c>
      <c r="S669">
        <f>IF(OR(N669&lt;$T$1*0.5,O669&lt;$U$1*0.5),"код для проверки","нормальный код")</f>
        <v/>
      </c>
      <c r="T669">
        <f>IF(N669&lt;$T$1*0.5,"Низшая четверть",IF(N669&lt;$T$1,"Вторая четверть","Больше половины"))</f>
        <v/>
      </c>
      <c r="U669">
        <f>IF(O669&lt;$U$1*0.5,"Низшая четверть",IF(O669&lt;$U$1,"Вторая четверть","Больше половины"))</f>
        <v/>
      </c>
      <c r="V669">
        <f>IF(OR(N669&lt;SUMIFS(L:L,R:R,1,E:E,E669)/SUMIFS(K:K,R:R,1,E:E,E669)*0.5,O669&lt;SUMIFS(M:M,R:R,1,E:E,E669)/SUMIFS(L:L,R:R,1,E:E,E669)*0.5),"код для проверки","нормальный код")</f>
        <v/>
      </c>
      <c r="W669">
        <f>IF(N669&lt;SUMIFS(L:L,R:R,1,E:E,E669)/SUMIFS(K:K,R:R,1,E:E,E669)*0.5,"Низшая четверть",IF(N669&lt;SUMIFS(L:L,R:R,1,E:E,E669)/SUMIFS(K:K,R:R,1,E:E,E669),"Вторая четверть","Больше половины"))</f>
        <v/>
      </c>
      <c r="X669">
        <f>IF(O669&lt;SUMIFS(M:M,R:R,1,E:E,E669)/SUMIFS(L:L,R:R,1,E:E,E669)*0.5,"Низшая четверть",IF(O669&lt;SUMIFS(M:M,R:R,1,E:E,E669)/SUMIFS(L:L,R:R,1,E:E,E669),"Вторая четверть","Больше половины"))</f>
        <v/>
      </c>
      <c r="Y669" t="n">
        <v>19</v>
      </c>
    </row>
    <row r="670">
      <c r="A670" s="1" t="inlineStr">
        <is>
          <t>094000W0</t>
        </is>
      </c>
      <c r="B670" s="2" t="inlineStr">
        <is>
          <t>710344758</t>
        </is>
      </c>
      <c r="C670" s="3" t="inlineStr">
        <is>
          <t>Одежда и аксессуары</t>
        </is>
      </c>
      <c r="D670" s="2" t="inlineStr">
        <is>
          <t>Купальники женские</t>
        </is>
      </c>
      <c r="E670" s="3" t="inlineStr">
        <is>
          <t>094 Купальник</t>
        </is>
      </c>
      <c r="F670" s="2" t="inlineStr">
        <is>
          <t>лето</t>
        </is>
      </c>
      <c r="G670" s="3" t="inlineStr">
        <is>
          <t>kari</t>
        </is>
      </c>
      <c r="H670" s="2" t="inlineStr">
        <is>
          <t>Никонорова Алина</t>
        </is>
      </c>
      <c r="J670" s="3" t="inlineStr">
        <is>
          <t>2026SS</t>
        </is>
      </c>
      <c r="K670" s="3" t="n">
        <v>3163</v>
      </c>
      <c r="L670" s="3" t="n">
        <v>1565</v>
      </c>
      <c r="M670" s="3" t="n">
        <v>4</v>
      </c>
      <c r="N670" s="4">
        <f>IFERROR(L670/K670,0)</f>
        <v/>
      </c>
      <c r="O670" s="4">
        <f>IFERROR(M670/L670,0)</f>
        <v/>
      </c>
      <c r="P670" t="n">
        <v>3553</v>
      </c>
      <c r="Q670" s="5" t="n">
        <v>0.6666666666666666</v>
      </c>
      <c r="R670" s="7" t="n">
        <v>1</v>
      </c>
      <c r="S670">
        <f>IF(OR(N670&lt;$T$1*0.5,O670&lt;$U$1*0.5),"код для проверки","нормальный код")</f>
        <v/>
      </c>
      <c r="T670">
        <f>IF(N670&lt;$T$1*0.5,"Низшая четверть",IF(N670&lt;$T$1,"Вторая четверть","Больше половины"))</f>
        <v/>
      </c>
      <c r="U670">
        <f>IF(O670&lt;$U$1*0.5,"Низшая четверть",IF(O670&lt;$U$1,"Вторая четверть","Больше половины"))</f>
        <v/>
      </c>
      <c r="V670">
        <f>IF(OR(N670&lt;SUMIFS(L:L,R:R,1,E:E,E670)/SUMIFS(K:K,R:R,1,E:E,E670)*0.5,O670&lt;SUMIFS(M:M,R:R,1,E:E,E670)/SUMIFS(L:L,R:R,1,E:E,E670)*0.5),"код для проверки","нормальный код")</f>
        <v/>
      </c>
      <c r="W670">
        <f>IF(N670&lt;SUMIFS(L:L,R:R,1,E:E,E670)/SUMIFS(K:K,R:R,1,E:E,E670)*0.5,"Низшая четверть",IF(N670&lt;SUMIFS(L:L,R:R,1,E:E,E670)/SUMIFS(K:K,R:R,1,E:E,E670),"Вторая четверть","Больше половины"))</f>
        <v/>
      </c>
      <c r="X670">
        <f>IF(O670&lt;SUMIFS(M:M,R:R,1,E:E,E670)/SUMIFS(L:L,R:R,1,E:E,E670)*0.5,"Низшая четверть",IF(O670&lt;SUMIFS(M:M,R:R,1,E:E,E670)/SUMIFS(L:L,R:R,1,E:E,E670),"Вторая четверть","Больше половины"))</f>
        <v/>
      </c>
      <c r="Y670" t="n">
        <v>21</v>
      </c>
    </row>
    <row r="671">
      <c r="A671" s="1" t="inlineStr">
        <is>
          <t>a6000190</t>
        </is>
      </c>
      <c r="B671" s="2" t="inlineStr">
        <is>
          <t>706058165</t>
        </is>
      </c>
      <c r="C671" s="3" t="inlineStr">
        <is>
          <t>Одежда для детей</t>
        </is>
      </c>
      <c r="D671" s="2" t="inlineStr">
        <is>
          <t>Платья, майки, футболки детские для девочек</t>
        </is>
      </c>
      <c r="E671" s="3" t="inlineStr">
        <is>
          <t>a60 Футболка детская для девочек</t>
        </is>
      </c>
      <c r="F671" s="2" t="inlineStr">
        <is>
          <t>всесезонный</t>
        </is>
      </c>
      <c r="G671" s="3" t="inlineStr">
        <is>
          <t>Kari KIDS</t>
        </is>
      </c>
      <c r="H671" s="2" t="inlineStr">
        <is>
          <t>Зиннуров Ильнур</t>
        </is>
      </c>
      <c r="J671" s="3" t="inlineStr">
        <is>
          <t>2026SS</t>
        </is>
      </c>
      <c r="K671" s="3" t="n">
        <v>3109</v>
      </c>
      <c r="L671" s="3" t="n">
        <v>339</v>
      </c>
      <c r="M671" s="3" t="n">
        <v>11</v>
      </c>
      <c r="N671" s="4">
        <f>IFERROR(L671/K671,0)</f>
        <v/>
      </c>
      <c r="O671" s="4">
        <f>IFERROR(M671/L671,0)</f>
        <v/>
      </c>
      <c r="P671" t="n">
        <v>162</v>
      </c>
      <c r="Q671" s="5" t="n">
        <v>1</v>
      </c>
      <c r="R671" s="7" t="n">
        <v>1</v>
      </c>
      <c r="S671">
        <f>IF(OR(N671&lt;$T$1*0.5,O671&lt;$U$1*0.5),"код для проверки","нормальный код")</f>
        <v/>
      </c>
      <c r="T671">
        <f>IF(N671&lt;$T$1*0.5,"Низшая четверть",IF(N671&lt;$T$1,"Вторая четверть","Больше половины"))</f>
        <v/>
      </c>
      <c r="U671">
        <f>IF(O671&lt;$U$1*0.5,"Низшая четверть",IF(O671&lt;$U$1,"Вторая четверть","Больше половины"))</f>
        <v/>
      </c>
      <c r="V671">
        <f>IF(OR(N671&lt;SUMIFS(L:L,R:R,1,E:E,E671)/SUMIFS(K:K,R:R,1,E:E,E671)*0.5,O671&lt;SUMIFS(M:M,R:R,1,E:E,E671)/SUMIFS(L:L,R:R,1,E:E,E671)*0.5),"код для проверки","нормальный код")</f>
        <v/>
      </c>
      <c r="W671">
        <f>IF(N671&lt;SUMIFS(L:L,R:R,1,E:E,E671)/SUMIFS(K:K,R:R,1,E:E,E671)*0.5,"Низшая четверть",IF(N671&lt;SUMIFS(L:L,R:R,1,E:E,E671)/SUMIFS(K:K,R:R,1,E:E,E671),"Вторая четверть","Больше половины"))</f>
        <v/>
      </c>
      <c r="X671">
        <f>IF(O671&lt;SUMIFS(M:M,R:R,1,E:E,E671)/SUMIFS(L:L,R:R,1,E:E,E671)*0.5,"Низшая четверть",IF(O671&lt;SUMIFS(M:M,R:R,1,E:E,E671)/SUMIFS(L:L,R:R,1,E:E,E671),"Вторая четверть","Больше половины"))</f>
        <v/>
      </c>
      <c r="Y671" t="n">
        <v>12</v>
      </c>
    </row>
    <row r="672">
      <c r="A672" s="1" t="inlineStr">
        <is>
          <t>y9706100</t>
        </is>
      </c>
      <c r="B672" s="2" t="inlineStr">
        <is>
          <t>210009162</t>
        </is>
      </c>
      <c r="C672" s="3" t="inlineStr">
        <is>
          <t>Одежда и аксессуары</t>
        </is>
      </c>
      <c r="D672" s="2" t="inlineStr">
        <is>
          <t>Спортивная одежда для мужчин</t>
        </is>
      </c>
      <c r="E672" s="3" t="inlineStr">
        <is>
          <t>y97 Футболка мужская</t>
        </is>
      </c>
      <c r="F672" s="2" t="inlineStr">
        <is>
          <t>всесезонный</t>
        </is>
      </c>
      <c r="G672" s="3" t="inlineStr">
        <is>
          <t>kari</t>
        </is>
      </c>
      <c r="H672" s="2" t="inlineStr">
        <is>
          <t>Зиннуров Ильнур</t>
        </is>
      </c>
      <c r="J672" s="3" t="inlineStr">
        <is>
          <t>2026SS</t>
        </is>
      </c>
      <c r="K672" s="3" t="n">
        <v>3102</v>
      </c>
      <c r="L672" s="3" t="n">
        <v>186</v>
      </c>
      <c r="M672" s="3" t="n">
        <v>6</v>
      </c>
      <c r="N672" s="4">
        <f>IFERROR(L672/K672,0)</f>
        <v/>
      </c>
      <c r="O672" s="4">
        <f>IFERROR(M672/L672,0)</f>
        <v/>
      </c>
      <c r="P672" t="n">
        <v>557</v>
      </c>
      <c r="Q672" s="5" t="n">
        <v>1</v>
      </c>
      <c r="R672" s="7" t="n">
        <v>1</v>
      </c>
      <c r="S672">
        <f>IF(OR(N672&lt;$T$1*0.5,O672&lt;$U$1*0.5),"код для проверки","нормальный код")</f>
        <v/>
      </c>
      <c r="T672">
        <f>IF(N672&lt;$T$1*0.5,"Низшая четверть",IF(N672&lt;$T$1,"Вторая четверть","Больше половины"))</f>
        <v/>
      </c>
      <c r="U672">
        <f>IF(O672&lt;$U$1*0.5,"Низшая четверть",IF(O672&lt;$U$1,"Вторая четверть","Больше половины"))</f>
        <v/>
      </c>
      <c r="V672">
        <f>IF(OR(N672&lt;SUMIFS(L:L,R:R,1,E:E,E672)/SUMIFS(K:K,R:R,1,E:E,E672)*0.5,O672&lt;SUMIFS(M:M,R:R,1,E:E,E672)/SUMIFS(L:L,R:R,1,E:E,E672)*0.5),"код для проверки","нормальный код")</f>
        <v/>
      </c>
      <c r="W672">
        <f>IF(N672&lt;SUMIFS(L:L,R:R,1,E:E,E672)/SUMIFS(K:K,R:R,1,E:E,E672)*0.5,"Низшая четверть",IF(N672&lt;SUMIFS(L:L,R:R,1,E:E,E672)/SUMIFS(K:K,R:R,1,E:E,E672),"Вторая четверть","Больше половины"))</f>
        <v/>
      </c>
      <c r="X672">
        <f>IF(O672&lt;SUMIFS(M:M,R:R,1,E:E,E672)/SUMIFS(L:L,R:R,1,E:E,E672)*0.5,"Низшая четверть",IF(O672&lt;SUMIFS(M:M,R:R,1,E:E,E672)/SUMIFS(L:L,R:R,1,E:E,E672),"Вторая четверть","Больше половины"))</f>
        <v/>
      </c>
      <c r="Y672" t="n">
        <v>9</v>
      </c>
    </row>
    <row r="673">
      <c r="A673" s="1" t="inlineStr">
        <is>
          <t>29900120</t>
        </is>
      </c>
      <c r="B673" s="2" t="inlineStr">
        <is>
          <t>699198396</t>
        </is>
      </c>
      <c r="C673" s="3" t="inlineStr">
        <is>
          <t>Одежда для детей</t>
        </is>
      </c>
      <c r="D673" s="2" t="inlineStr">
        <is>
          <t>Платья, майки, футболки детские для девочек</t>
        </is>
      </c>
      <c r="E673" s="3" t="inlineStr">
        <is>
          <t>299 Платье длинный рукав детское для девочек</t>
        </is>
      </c>
      <c r="F673" s="2" t="inlineStr">
        <is>
          <t>весна, осень, зима</t>
        </is>
      </c>
      <c r="G673" s="3" t="inlineStr">
        <is>
          <t>Kari KIDS</t>
        </is>
      </c>
      <c r="H673" s="2" t="inlineStr">
        <is>
          <t>Зиннуров Ильнур</t>
        </is>
      </c>
      <c r="J673" s="3" t="inlineStr">
        <is>
          <t>2026SS</t>
        </is>
      </c>
      <c r="K673" s="3" t="n">
        <v>3094</v>
      </c>
      <c r="L673" s="3" t="n">
        <v>353</v>
      </c>
      <c r="M673" s="3" t="n">
        <v>2</v>
      </c>
      <c r="N673" s="4">
        <f>IFERROR(L673/K673,0)</f>
        <v/>
      </c>
      <c r="O673" s="4">
        <f>IFERROR(M673/L673,0)</f>
        <v/>
      </c>
      <c r="P673" t="n">
        <v>102</v>
      </c>
      <c r="Q673" s="5" t="n">
        <v>1</v>
      </c>
      <c r="R673" s="7" t="n">
        <v>1</v>
      </c>
      <c r="S673">
        <f>IF(OR(N673&lt;$T$1*0.5,O673&lt;$U$1*0.5),"код для проверки","нормальный код")</f>
        <v/>
      </c>
      <c r="T673">
        <f>IF(N673&lt;$T$1*0.5,"Низшая четверть",IF(N673&lt;$T$1,"Вторая четверть","Больше половины"))</f>
        <v/>
      </c>
      <c r="U673">
        <f>IF(O673&lt;$U$1*0.5,"Низшая четверть",IF(O673&lt;$U$1,"Вторая четверть","Больше половины"))</f>
        <v/>
      </c>
      <c r="V673">
        <f>IF(OR(N673&lt;SUMIFS(L:L,R:R,1,E:E,E673)/SUMIFS(K:K,R:R,1,E:E,E673)*0.5,O673&lt;SUMIFS(M:M,R:R,1,E:E,E673)/SUMIFS(L:L,R:R,1,E:E,E673)*0.5),"код для проверки","нормальный код")</f>
        <v/>
      </c>
      <c r="W673">
        <f>IF(N673&lt;SUMIFS(L:L,R:R,1,E:E,E673)/SUMIFS(K:K,R:R,1,E:E,E673)*0.5,"Низшая четверть",IF(N673&lt;SUMIFS(L:L,R:R,1,E:E,E673)/SUMIFS(K:K,R:R,1,E:E,E673),"Вторая четверть","Больше половины"))</f>
        <v/>
      </c>
      <c r="X673">
        <f>IF(O673&lt;SUMIFS(M:M,R:R,1,E:E,E673)/SUMIFS(L:L,R:R,1,E:E,E673)*0.5,"Низшая четверть",IF(O673&lt;SUMIFS(M:M,R:R,1,E:E,E673)/SUMIFS(L:L,R:R,1,E:E,E673),"Вторая четверть","Больше половины"))</f>
        <v/>
      </c>
      <c r="Y673" t="n">
        <v>19</v>
      </c>
    </row>
    <row r="674">
      <c r="A674" s="1" t="inlineStr">
        <is>
          <t>h7700100</t>
        </is>
      </c>
      <c r="B674" s="2" t="inlineStr">
        <is>
          <t>776192660</t>
        </is>
      </c>
      <c r="C674" s="3" t="inlineStr">
        <is>
          <t>Одежда и аксессуары</t>
        </is>
      </c>
      <c r="D674" s="2" t="inlineStr">
        <is>
          <t>Купальники женские</t>
        </is>
      </c>
      <c r="E674" s="3" t="inlineStr">
        <is>
          <t>h77 Одежда пляжная женская</t>
        </is>
      </c>
      <c r="F674" s="2" t="inlineStr">
        <is>
          <t>лето</t>
        </is>
      </c>
      <c r="G674" s="3" t="inlineStr">
        <is>
          <t>kari</t>
        </is>
      </c>
      <c r="H674" s="2" t="inlineStr">
        <is>
          <t>Зиннуров Ильнур</t>
        </is>
      </c>
      <c r="J674" s="3" t="inlineStr">
        <is>
          <t>2026SS</t>
        </is>
      </c>
      <c r="K674" s="3" t="n">
        <v>3091</v>
      </c>
      <c r="L674" s="3" t="n">
        <v>528</v>
      </c>
      <c r="M674" s="3" t="n">
        <v>21</v>
      </c>
      <c r="N674" s="4">
        <f>IFERROR(L674/K674,0)</f>
        <v/>
      </c>
      <c r="O674" s="4">
        <f>IFERROR(M674/L674,0)</f>
        <v/>
      </c>
      <c r="P674" t="n">
        <v>878</v>
      </c>
      <c r="Q674" s="5" t="n">
        <v>1</v>
      </c>
      <c r="R674" s="7" t="n">
        <v>1</v>
      </c>
      <c r="S674">
        <f>IF(OR(N674&lt;$T$1*0.5,O674&lt;$U$1*0.5),"код для проверки","нормальный код")</f>
        <v/>
      </c>
      <c r="T674">
        <f>IF(N674&lt;$T$1*0.5,"Низшая четверть",IF(N674&lt;$T$1,"Вторая четверть","Больше половины"))</f>
        <v/>
      </c>
      <c r="U674">
        <f>IF(O674&lt;$U$1*0.5,"Низшая четверть",IF(O674&lt;$U$1,"Вторая четверть","Больше половины"))</f>
        <v/>
      </c>
      <c r="V674">
        <f>IF(OR(N674&lt;SUMIFS(L:L,R:R,1,E:E,E674)/SUMIFS(K:K,R:R,1,E:E,E674)*0.5,O674&lt;SUMIFS(M:M,R:R,1,E:E,E674)/SUMIFS(L:L,R:R,1,E:E,E674)*0.5),"код для проверки","нормальный код")</f>
        <v/>
      </c>
      <c r="W674">
        <f>IF(N674&lt;SUMIFS(L:L,R:R,1,E:E,E674)/SUMIFS(K:K,R:R,1,E:E,E674)*0.5,"Низшая четверть",IF(N674&lt;SUMIFS(L:L,R:R,1,E:E,E674)/SUMIFS(K:K,R:R,1,E:E,E674),"Вторая четверть","Больше половины"))</f>
        <v/>
      </c>
      <c r="X674">
        <f>IF(O674&lt;SUMIFS(M:M,R:R,1,E:E,E674)/SUMIFS(L:L,R:R,1,E:E,E674)*0.5,"Низшая четверть",IF(O674&lt;SUMIFS(M:M,R:R,1,E:E,E674)/SUMIFS(L:L,R:R,1,E:E,E674),"Вторая четверть","Больше половины"))</f>
        <v/>
      </c>
      <c r="Y674" t="n">
        <v>7</v>
      </c>
    </row>
    <row r="675">
      <c r="A675" s="1" t="inlineStr">
        <is>
          <t>31000960</t>
        </is>
      </c>
      <c r="B675" s="2" t="inlineStr">
        <is>
          <t>819952114</t>
        </is>
      </c>
      <c r="C675" s="3" t="inlineStr">
        <is>
          <t>Одежда для детей</t>
        </is>
      </c>
      <c r="D675" s="2" t="inlineStr">
        <is>
          <t>Футболки, майки, рубашки детские для мальчиков</t>
        </is>
      </c>
      <c r="E675" s="3" t="inlineStr">
        <is>
          <t>310 Футболка детская для мальчиков</t>
        </is>
      </c>
      <c r="F675" s="2" t="inlineStr">
        <is>
          <t>всесезонный</t>
        </is>
      </c>
      <c r="G675" s="3" t="inlineStr">
        <is>
          <t>kari</t>
        </is>
      </c>
      <c r="H675" s="2" t="inlineStr">
        <is>
          <t>Зиннуров Ильнур</t>
        </is>
      </c>
      <c r="J675" s="3" t="inlineStr">
        <is>
          <t>2026SS</t>
        </is>
      </c>
      <c r="K675" s="3" t="n">
        <v>3086</v>
      </c>
      <c r="L675" s="3" t="n">
        <v>585</v>
      </c>
      <c r="M675" s="3" t="n">
        <v>4</v>
      </c>
      <c r="N675" s="4">
        <f>IFERROR(L675/K675,0)</f>
        <v/>
      </c>
      <c r="O675" s="4">
        <f>IFERROR(M675/L675,0)</f>
        <v/>
      </c>
      <c r="P675" t="n">
        <v>85</v>
      </c>
      <c r="Q675" s="5" t="n">
        <v>1</v>
      </c>
      <c r="R675" s="7" t="n">
        <v>1</v>
      </c>
      <c r="S675">
        <f>IF(OR(N675&lt;$T$1*0.5,O675&lt;$U$1*0.5),"код для проверки","нормальный код")</f>
        <v/>
      </c>
      <c r="T675">
        <f>IF(N675&lt;$T$1*0.5,"Низшая четверть",IF(N675&lt;$T$1,"Вторая четверть","Больше половины"))</f>
        <v/>
      </c>
      <c r="U675">
        <f>IF(O675&lt;$U$1*0.5,"Низшая четверть",IF(O675&lt;$U$1,"Вторая четверть","Больше половины"))</f>
        <v/>
      </c>
      <c r="V675">
        <f>IF(OR(N675&lt;SUMIFS(L:L,R:R,1,E:E,E675)/SUMIFS(K:K,R:R,1,E:E,E675)*0.5,O675&lt;SUMIFS(M:M,R:R,1,E:E,E675)/SUMIFS(L:L,R:R,1,E:E,E675)*0.5),"код для проверки","нормальный код")</f>
        <v/>
      </c>
      <c r="W675">
        <f>IF(N675&lt;SUMIFS(L:L,R:R,1,E:E,E675)/SUMIFS(K:K,R:R,1,E:E,E675)*0.5,"Низшая четверть",IF(N675&lt;SUMIFS(L:L,R:R,1,E:E,E675)/SUMIFS(K:K,R:R,1,E:E,E675),"Вторая четверть","Больше половины"))</f>
        <v/>
      </c>
      <c r="X675">
        <f>IF(O675&lt;SUMIFS(M:M,R:R,1,E:E,E675)/SUMIFS(L:L,R:R,1,E:E,E675)*0.5,"Низшая четверть",IF(O675&lt;SUMIFS(M:M,R:R,1,E:E,E675)/SUMIFS(L:L,R:R,1,E:E,E675),"Вторая четверть","Больше половины"))</f>
        <v/>
      </c>
      <c r="Y675" t="n">
        <v>10</v>
      </c>
    </row>
    <row r="676">
      <c r="A676" s="1" t="inlineStr">
        <is>
          <t>94300000</t>
        </is>
      </c>
      <c r="B676" s="2" t="inlineStr">
        <is>
          <t>776242304</t>
        </is>
      </c>
      <c r="C676" s="3" t="inlineStr">
        <is>
          <t>Одежда для детей</t>
        </is>
      </c>
      <c r="D676" s="2" t="inlineStr">
        <is>
          <t>Одежда для новорожденных</t>
        </is>
      </c>
      <c r="E676" s="3" t="inlineStr">
        <is>
          <t>943 Джинсы для маленькой девочки</t>
        </is>
      </c>
      <c r="F676" s="2" t="inlineStr">
        <is>
          <t>всесезонный</t>
        </is>
      </c>
      <c r="G676" s="3" t="inlineStr">
        <is>
          <t>Kari baby</t>
        </is>
      </c>
      <c r="H676" s="2" t="inlineStr">
        <is>
          <t>Зиннуров Ильнур</t>
        </is>
      </c>
      <c r="J676" s="3" t="inlineStr">
        <is>
          <t>2026SS</t>
        </is>
      </c>
      <c r="K676" s="3" t="n">
        <v>3079</v>
      </c>
      <c r="L676" s="3" t="n">
        <v>274</v>
      </c>
      <c r="M676" s="3" t="n">
        <v>15</v>
      </c>
      <c r="N676" s="4">
        <f>IFERROR(L676/K676,0)</f>
        <v/>
      </c>
      <c r="O676" s="4">
        <f>IFERROR(M676/L676,0)</f>
        <v/>
      </c>
      <c r="P676" t="n">
        <v>109</v>
      </c>
      <c r="Q676" s="5" t="n">
        <v>1</v>
      </c>
      <c r="R676" s="7" t="n">
        <v>1</v>
      </c>
      <c r="S676">
        <f>IF(OR(N676&lt;$T$1*0.5,O676&lt;$U$1*0.5),"код для проверки","нормальный код")</f>
        <v/>
      </c>
      <c r="T676">
        <f>IF(N676&lt;$T$1*0.5,"Низшая четверть",IF(N676&lt;$T$1,"Вторая четверть","Больше половины"))</f>
        <v/>
      </c>
      <c r="U676">
        <f>IF(O676&lt;$U$1*0.5,"Низшая четверть",IF(O676&lt;$U$1,"Вторая четверть","Больше половины"))</f>
        <v/>
      </c>
      <c r="V676">
        <f>IF(OR(N676&lt;SUMIFS(L:L,R:R,1,E:E,E676)/SUMIFS(K:K,R:R,1,E:E,E676)*0.5,O676&lt;SUMIFS(M:M,R:R,1,E:E,E676)/SUMIFS(L:L,R:R,1,E:E,E676)*0.5),"код для проверки","нормальный код")</f>
        <v/>
      </c>
      <c r="W676">
        <f>IF(N676&lt;SUMIFS(L:L,R:R,1,E:E,E676)/SUMIFS(K:K,R:R,1,E:E,E676)*0.5,"Низшая четверть",IF(N676&lt;SUMIFS(L:L,R:R,1,E:E,E676)/SUMIFS(K:K,R:R,1,E:E,E676),"Вторая четверть","Больше половины"))</f>
        <v/>
      </c>
      <c r="X676">
        <f>IF(O676&lt;SUMIFS(M:M,R:R,1,E:E,E676)/SUMIFS(L:L,R:R,1,E:E,E676)*0.5,"Низшая четверть",IF(O676&lt;SUMIFS(M:M,R:R,1,E:E,E676)/SUMIFS(L:L,R:R,1,E:E,E676),"Вторая четверть","Больше половины"))</f>
        <v/>
      </c>
      <c r="Y676" t="n">
        <v>9</v>
      </c>
    </row>
    <row r="677">
      <c r="A677" s="1" t="inlineStr">
        <is>
          <t>29100210</t>
        </is>
      </c>
      <c r="B677" s="2" t="inlineStr">
        <is>
          <t>783834079</t>
        </is>
      </c>
      <c r="C677" s="3" t="inlineStr">
        <is>
          <t>Одежда для детей</t>
        </is>
      </c>
      <c r="D677" s="2" t="inlineStr">
        <is>
          <t>Брюки детские для мальчиков</t>
        </is>
      </c>
      <c r="E677" s="3" t="inlineStr">
        <is>
          <t>291 Штаны детские для мальчиков</t>
        </is>
      </c>
      <c r="F677" s="2" t="inlineStr">
        <is>
          <t>всесезонный</t>
        </is>
      </c>
      <c r="G677" s="3" t="inlineStr">
        <is>
          <t>kari</t>
        </is>
      </c>
      <c r="H677" s="2" t="inlineStr">
        <is>
          <t>Зиннуров Ильнур</t>
        </is>
      </c>
      <c r="J677" s="3" t="inlineStr">
        <is>
          <t>2026SS</t>
        </is>
      </c>
      <c r="K677" s="3" t="n">
        <v>3078</v>
      </c>
      <c r="L677" s="3" t="n">
        <v>299</v>
      </c>
      <c r="M677" s="3" t="n">
        <v>4</v>
      </c>
      <c r="N677" s="4">
        <f>IFERROR(L677/K677,0)</f>
        <v/>
      </c>
      <c r="O677" s="4">
        <f>IFERROR(M677/L677,0)</f>
        <v/>
      </c>
      <c r="P677" t="n">
        <v>648</v>
      </c>
      <c r="Q677" s="5" t="n">
        <v>1</v>
      </c>
      <c r="R677" s="7" t="n">
        <v>1</v>
      </c>
      <c r="S677">
        <f>IF(OR(N677&lt;$T$1*0.5,O677&lt;$U$1*0.5),"код для проверки","нормальный код")</f>
        <v/>
      </c>
      <c r="T677">
        <f>IF(N677&lt;$T$1*0.5,"Низшая четверть",IF(N677&lt;$T$1,"Вторая четверть","Больше половины"))</f>
        <v/>
      </c>
      <c r="U677">
        <f>IF(O677&lt;$U$1*0.5,"Низшая четверть",IF(O677&lt;$U$1,"Вторая четверть","Больше половины"))</f>
        <v/>
      </c>
      <c r="V677">
        <f>IF(OR(N677&lt;SUMIFS(L:L,R:R,1,E:E,E677)/SUMIFS(K:K,R:R,1,E:E,E677)*0.5,O677&lt;SUMIFS(M:M,R:R,1,E:E,E677)/SUMIFS(L:L,R:R,1,E:E,E677)*0.5),"код для проверки","нормальный код")</f>
        <v/>
      </c>
      <c r="W677">
        <f>IF(N677&lt;SUMIFS(L:L,R:R,1,E:E,E677)/SUMIFS(K:K,R:R,1,E:E,E677)*0.5,"Низшая четверть",IF(N677&lt;SUMIFS(L:L,R:R,1,E:E,E677)/SUMIFS(K:K,R:R,1,E:E,E677),"Вторая четверть","Больше половины"))</f>
        <v/>
      </c>
      <c r="X677">
        <f>IF(O677&lt;SUMIFS(M:M,R:R,1,E:E,E677)/SUMIFS(L:L,R:R,1,E:E,E677)*0.5,"Низшая четверть",IF(O677&lt;SUMIFS(M:M,R:R,1,E:E,E677)/SUMIFS(L:L,R:R,1,E:E,E677),"Вторая четверть","Больше половины"))</f>
        <v/>
      </c>
      <c r="Y677" t="n">
        <v>19</v>
      </c>
    </row>
    <row r="678">
      <c r="A678" s="1" t="inlineStr">
        <is>
          <t>09400930</t>
        </is>
      </c>
      <c r="B678" s="2" t="inlineStr">
        <is>
          <t>756548696</t>
        </is>
      </c>
      <c r="C678" s="3" t="inlineStr">
        <is>
          <t>Одежда и аксессуары</t>
        </is>
      </c>
      <c r="D678" s="2" t="inlineStr">
        <is>
          <t>Купальники женские</t>
        </is>
      </c>
      <c r="E678" s="3" t="inlineStr">
        <is>
          <t>094 Купальник</t>
        </is>
      </c>
      <c r="F678" s="2" t="inlineStr">
        <is>
          <t>лето</t>
        </is>
      </c>
      <c r="G678" s="3" t="inlineStr">
        <is>
          <t>kari</t>
        </is>
      </c>
      <c r="H678" s="2" t="inlineStr">
        <is>
          <t>Никонорова Алина</t>
        </is>
      </c>
      <c r="J678" s="3" t="inlineStr">
        <is>
          <t>2026SS</t>
        </is>
      </c>
      <c r="K678" s="3" t="n">
        <v>3061</v>
      </c>
      <c r="L678" s="3" t="n">
        <v>4449</v>
      </c>
      <c r="M678" s="3" t="n">
        <v>10</v>
      </c>
      <c r="N678" s="4">
        <f>IFERROR(L678/K678,0)</f>
        <v/>
      </c>
      <c r="O678" s="4">
        <f>IFERROR(M678/L678,0)</f>
        <v/>
      </c>
      <c r="P678" t="n">
        <v>1027</v>
      </c>
      <c r="Q678" s="5" t="n">
        <v>0.5555555555555556</v>
      </c>
      <c r="R678" s="7" t="n">
        <v>1</v>
      </c>
      <c r="S678">
        <f>IF(OR(N678&lt;$T$1*0.5,O678&lt;$U$1*0.5),"код для проверки","нормальный код")</f>
        <v/>
      </c>
      <c r="T678">
        <f>IF(N678&lt;$T$1*0.5,"Низшая четверть",IF(N678&lt;$T$1,"Вторая четверть","Больше половины"))</f>
        <v/>
      </c>
      <c r="U678">
        <f>IF(O678&lt;$U$1*0.5,"Низшая четверть",IF(O678&lt;$U$1,"Вторая четверть","Больше половины"))</f>
        <v/>
      </c>
      <c r="V678">
        <f>IF(OR(N678&lt;SUMIFS(L:L,R:R,1,E:E,E678)/SUMIFS(K:K,R:R,1,E:E,E678)*0.5,O678&lt;SUMIFS(M:M,R:R,1,E:E,E678)/SUMIFS(L:L,R:R,1,E:E,E678)*0.5),"код для проверки","нормальный код")</f>
        <v/>
      </c>
      <c r="W678">
        <f>IF(N678&lt;SUMIFS(L:L,R:R,1,E:E,E678)/SUMIFS(K:K,R:R,1,E:E,E678)*0.5,"Низшая четверть",IF(N678&lt;SUMIFS(L:L,R:R,1,E:E,E678)/SUMIFS(K:K,R:R,1,E:E,E678),"Вторая четверть","Больше половины"))</f>
        <v/>
      </c>
      <c r="X678">
        <f>IF(O678&lt;SUMIFS(M:M,R:R,1,E:E,E678)/SUMIFS(L:L,R:R,1,E:E,E678)*0.5,"Низшая четверть",IF(O678&lt;SUMIFS(M:M,R:R,1,E:E,E678)/SUMIFS(L:L,R:R,1,E:E,E678),"Вторая четверть","Больше половины"))</f>
        <v/>
      </c>
      <c r="Y678" t="n">
        <v>24</v>
      </c>
    </row>
    <row r="679">
      <c r="A679" s="1" t="inlineStr">
        <is>
          <t>88100200</t>
        </is>
      </c>
      <c r="B679" s="2" t="inlineStr">
        <is>
          <t>817515747</t>
        </is>
      </c>
      <c r="C679" s="3" t="inlineStr">
        <is>
          <t>Одежда для детей</t>
        </is>
      </c>
      <c r="D679" s="2" t="inlineStr">
        <is>
          <t>Футболки, майки, рубашки детские для мальчиков</t>
        </is>
      </c>
      <c r="E679" s="3" t="inlineStr">
        <is>
          <t>881 Футболка длинный рукав детская для мальчиков</t>
        </is>
      </c>
      <c r="F679" s="2" t="inlineStr">
        <is>
          <t>всесезонный</t>
        </is>
      </c>
      <c r="G679" s="3" t="inlineStr">
        <is>
          <t>kari</t>
        </is>
      </c>
      <c r="H679" s="2" t="inlineStr">
        <is>
          <t>Зиннуров Ильнур</t>
        </is>
      </c>
      <c r="J679" s="3" t="inlineStr">
        <is>
          <t>2026SS</t>
        </is>
      </c>
      <c r="K679" s="3" t="n">
        <v>3060</v>
      </c>
      <c r="L679" s="3" t="n">
        <v>480</v>
      </c>
      <c r="M679" s="3" t="n">
        <v>3</v>
      </c>
      <c r="N679" s="4">
        <f>IFERROR(L679/K679,0)</f>
        <v/>
      </c>
      <c r="O679" s="4">
        <f>IFERROR(M679/L679,0)</f>
        <v/>
      </c>
      <c r="P679" t="n">
        <v>503</v>
      </c>
      <c r="Q679" s="5" t="n">
        <v>1</v>
      </c>
      <c r="R679" s="7" t="n">
        <v>1</v>
      </c>
      <c r="S679">
        <f>IF(OR(N679&lt;$T$1*0.5,O679&lt;$U$1*0.5),"код для проверки","нормальный код")</f>
        <v/>
      </c>
      <c r="T679">
        <f>IF(N679&lt;$T$1*0.5,"Низшая четверть",IF(N679&lt;$T$1,"Вторая четверть","Больше половины"))</f>
        <v/>
      </c>
      <c r="U679">
        <f>IF(O679&lt;$U$1*0.5,"Низшая четверть",IF(O679&lt;$U$1,"Вторая четверть","Больше половины"))</f>
        <v/>
      </c>
      <c r="V679">
        <f>IF(OR(N679&lt;SUMIFS(L:L,R:R,1,E:E,E679)/SUMIFS(K:K,R:R,1,E:E,E679)*0.5,O679&lt;SUMIFS(M:M,R:R,1,E:E,E679)/SUMIFS(L:L,R:R,1,E:E,E679)*0.5),"код для проверки","нормальный код")</f>
        <v/>
      </c>
      <c r="W679">
        <f>IF(N679&lt;SUMIFS(L:L,R:R,1,E:E,E679)/SUMIFS(K:K,R:R,1,E:E,E679)*0.5,"Низшая четверть",IF(N679&lt;SUMIFS(L:L,R:R,1,E:E,E679)/SUMIFS(K:K,R:R,1,E:E,E679),"Вторая четверть","Больше половины"))</f>
        <v/>
      </c>
      <c r="X679">
        <f>IF(O679&lt;SUMIFS(M:M,R:R,1,E:E,E679)/SUMIFS(L:L,R:R,1,E:E,E679)*0.5,"Низшая четверть",IF(O679&lt;SUMIFS(M:M,R:R,1,E:E,E679)/SUMIFS(L:L,R:R,1,E:E,E679),"Вторая четверть","Больше половины"))</f>
        <v/>
      </c>
      <c r="Y679" t="n">
        <v>13</v>
      </c>
    </row>
    <row r="680">
      <c r="A680" s="1" t="inlineStr">
        <is>
          <t>09400920</t>
        </is>
      </c>
      <c r="B680" s="2" t="inlineStr">
        <is>
          <t>712237391</t>
        </is>
      </c>
      <c r="C680" s="3" t="inlineStr">
        <is>
          <t>Одежда и аксессуары</t>
        </is>
      </c>
      <c r="D680" s="2" t="inlineStr">
        <is>
          <t>Купальники женские</t>
        </is>
      </c>
      <c r="E680" s="3" t="inlineStr">
        <is>
          <t>094 Купальник</t>
        </is>
      </c>
      <c r="F680" s="2" t="inlineStr">
        <is>
          <t>лето</t>
        </is>
      </c>
      <c r="G680" s="3" t="inlineStr">
        <is>
          <t>kari</t>
        </is>
      </c>
      <c r="H680" s="2" t="inlineStr">
        <is>
          <t>Никонорова Алина</t>
        </is>
      </c>
      <c r="J680" s="3" t="inlineStr">
        <is>
          <t>2026SS</t>
        </is>
      </c>
      <c r="K680" s="3" t="n">
        <v>3052</v>
      </c>
      <c r="L680" s="3" t="n">
        <v>2075</v>
      </c>
      <c r="M680" s="3" t="n">
        <v>6</v>
      </c>
      <c r="N680" s="4">
        <f>IFERROR(L680/K680,0)</f>
        <v/>
      </c>
      <c r="O680" s="4">
        <f>IFERROR(M680/L680,0)</f>
        <v/>
      </c>
      <c r="P680" t="n">
        <v>2989</v>
      </c>
      <c r="Q680" s="5" t="n">
        <v>0.7777777777777778</v>
      </c>
      <c r="R680" s="7" t="n">
        <v>1</v>
      </c>
      <c r="S680">
        <f>IF(OR(N680&lt;$T$1*0.5,O680&lt;$U$1*0.5),"код для проверки","нормальный код")</f>
        <v/>
      </c>
      <c r="T680">
        <f>IF(N680&lt;$T$1*0.5,"Низшая четверть",IF(N680&lt;$T$1,"Вторая четверть","Больше половины"))</f>
        <v/>
      </c>
      <c r="U680">
        <f>IF(O680&lt;$U$1*0.5,"Низшая четверть",IF(O680&lt;$U$1,"Вторая четверть","Больше половины"))</f>
        <v/>
      </c>
      <c r="V680">
        <f>IF(OR(N680&lt;SUMIFS(L:L,R:R,1,E:E,E680)/SUMIFS(K:K,R:R,1,E:E,E680)*0.5,O680&lt;SUMIFS(M:M,R:R,1,E:E,E680)/SUMIFS(L:L,R:R,1,E:E,E680)*0.5),"код для проверки","нормальный код")</f>
        <v/>
      </c>
      <c r="W680">
        <f>IF(N680&lt;SUMIFS(L:L,R:R,1,E:E,E680)/SUMIFS(K:K,R:R,1,E:E,E680)*0.5,"Низшая четверть",IF(N680&lt;SUMIFS(L:L,R:R,1,E:E,E680)/SUMIFS(K:K,R:R,1,E:E,E680),"Вторая четверть","Больше половины"))</f>
        <v/>
      </c>
      <c r="X680">
        <f>IF(O680&lt;SUMIFS(M:M,R:R,1,E:E,E680)/SUMIFS(L:L,R:R,1,E:E,E680)*0.5,"Низшая четверть",IF(O680&lt;SUMIFS(M:M,R:R,1,E:E,E680)/SUMIFS(L:L,R:R,1,E:E,E680),"Вторая четверть","Больше половины"))</f>
        <v/>
      </c>
      <c r="Y680" t="n">
        <v>24</v>
      </c>
    </row>
    <row r="681">
      <c r="A681" s="1" t="inlineStr">
        <is>
          <t>56801030</t>
        </is>
      </c>
      <c r="B681" s="2" t="inlineStr">
        <is>
          <t>40020179</t>
        </is>
      </c>
      <c r="C681" s="3" t="inlineStr">
        <is>
          <t>Одежда для детей</t>
        </is>
      </c>
      <c r="D681" s="2" t="inlineStr">
        <is>
          <t>Одежда для новорожденных</t>
        </is>
      </c>
      <c r="E681" s="3" t="inlineStr">
        <is>
          <t>568 Боди с коротким рукавом для девочек</t>
        </is>
      </c>
      <c r="F681" s="2" t="inlineStr">
        <is>
          <t>всесезонный</t>
        </is>
      </c>
      <c r="G681" s="3" t="inlineStr">
        <is>
          <t>Kari baby</t>
        </is>
      </c>
      <c r="H681" s="2" t="inlineStr">
        <is>
          <t>Зиннуров Ильнур</t>
        </is>
      </c>
      <c r="J681" s="3" t="inlineStr">
        <is>
          <t>2026SS</t>
        </is>
      </c>
      <c r="K681" s="3" t="n">
        <v>3051</v>
      </c>
      <c r="L681" s="3" t="n">
        <v>720</v>
      </c>
      <c r="M681" s="3" t="n">
        <v>9</v>
      </c>
      <c r="N681" s="4">
        <f>IFERROR(L681/K681,0)</f>
        <v/>
      </c>
      <c r="O681" s="4">
        <f>IFERROR(M681/L681,0)</f>
        <v/>
      </c>
      <c r="P681" t="n">
        <v>5</v>
      </c>
      <c r="Q681" s="5" t="n">
        <v>0.8</v>
      </c>
      <c r="R681" s="7" t="n">
        <v>0</v>
      </c>
      <c r="S681" t="inlineStr">
        <is>
          <t>Мало остатка</t>
        </is>
      </c>
      <c r="T681">
        <f>IF(N681&lt;$T$1*0.5,"Низшая четверть",IF(N681&lt;$T$1,"Вторая четверть","Больше половины"))</f>
        <v/>
      </c>
      <c r="U681">
        <f>IF(O681&lt;$U$1*0.5,"Низшая четверть",IF(O681&lt;$U$1,"Вторая четверть","Больше половины"))</f>
        <v/>
      </c>
      <c r="V681">
        <f>IF(OR(N681&lt;SUMIFS(L:L,R:R,1,E:E,E681)/SUMIFS(K:K,R:R,1,E:E,E681)*0.5,O681&lt;SUMIFS(M:M,R:R,1,E:E,E681)/SUMIFS(L:L,R:R,1,E:E,E681)*0.5),"код для проверки","нормальный код")</f>
        <v/>
      </c>
      <c r="W681">
        <f>IF(N681&lt;SUMIFS(L:L,R:R,1,E:E,E681)/SUMIFS(K:K,R:R,1,E:E,E681)*0.5,"Низшая четверть",IF(N681&lt;SUMIFS(L:L,R:R,1,E:E,E681)/SUMIFS(K:K,R:R,1,E:E,E681),"Вторая четверть","Больше половины"))</f>
        <v/>
      </c>
      <c r="X681">
        <f>IF(O681&lt;SUMIFS(M:M,R:R,1,E:E,E681)/SUMIFS(L:L,R:R,1,E:E,E681)*0.5,"Низшая четверть",IF(O681&lt;SUMIFS(M:M,R:R,1,E:E,E681)/SUMIFS(L:L,R:R,1,E:E,E681),"Вторая четверть","Больше половины"))</f>
        <v/>
      </c>
      <c r="Y681" t="n">
        <v>18</v>
      </c>
    </row>
    <row r="682">
      <c r="A682" s="1" t="inlineStr">
        <is>
          <t>a8300070</t>
        </is>
      </c>
      <c r="B682" s="2" t="inlineStr">
        <is>
          <t>784002030</t>
        </is>
      </c>
      <c r="C682" s="3" t="inlineStr">
        <is>
          <t>Одежда для детей</t>
        </is>
      </c>
      <c r="D682" s="2" t="inlineStr">
        <is>
          <t>Свитера детские для девочек</t>
        </is>
      </c>
      <c r="E682" s="3" t="inlineStr">
        <is>
          <t>a83 Толстовка-худи утепленная для девочек</t>
        </is>
      </c>
      <c r="F682" s="2" t="inlineStr">
        <is>
          <t>весна, осень, зима</t>
        </is>
      </c>
      <c r="G682" s="3" t="inlineStr">
        <is>
          <t>kari</t>
        </is>
      </c>
      <c r="H682" s="2" t="inlineStr">
        <is>
          <t>Зиннуров Ильнур</t>
        </is>
      </c>
      <c r="J682" s="3" t="inlineStr">
        <is>
          <t>2026SS</t>
        </is>
      </c>
      <c r="K682" s="3" t="n">
        <v>3026</v>
      </c>
      <c r="L682" s="3" t="n">
        <v>330</v>
      </c>
      <c r="M682" s="3" t="n">
        <v>7</v>
      </c>
      <c r="N682" s="4">
        <f>IFERROR(L682/K682,0)</f>
        <v/>
      </c>
      <c r="O682" s="4">
        <f>IFERROR(M682/L682,0)</f>
        <v/>
      </c>
      <c r="P682" t="n">
        <v>377</v>
      </c>
      <c r="Q682" s="5" t="n">
        <v>1</v>
      </c>
      <c r="R682" s="7" t="n">
        <v>1</v>
      </c>
      <c r="S682">
        <f>IF(OR(N682&lt;$T$1*0.5,O682&lt;$U$1*0.5),"код для проверки","нормальный код")</f>
        <v/>
      </c>
      <c r="T682">
        <f>IF(N682&lt;$T$1*0.5,"Низшая четверть",IF(N682&lt;$T$1,"Вторая четверть","Больше половины"))</f>
        <v/>
      </c>
      <c r="U682">
        <f>IF(O682&lt;$U$1*0.5,"Низшая четверть",IF(O682&lt;$U$1,"Вторая четверть","Больше половины"))</f>
        <v/>
      </c>
      <c r="V682">
        <f>IF(OR(N682&lt;SUMIFS(L:L,R:R,1,E:E,E682)/SUMIFS(K:K,R:R,1,E:E,E682)*0.5,O682&lt;SUMIFS(M:M,R:R,1,E:E,E682)/SUMIFS(L:L,R:R,1,E:E,E682)*0.5),"код для проверки","нормальный код")</f>
        <v/>
      </c>
      <c r="W682">
        <f>IF(N682&lt;SUMIFS(L:L,R:R,1,E:E,E682)/SUMIFS(K:K,R:R,1,E:E,E682)*0.5,"Низшая четверть",IF(N682&lt;SUMIFS(L:L,R:R,1,E:E,E682)/SUMIFS(K:K,R:R,1,E:E,E682),"Вторая четверть","Больше половины"))</f>
        <v/>
      </c>
      <c r="X682">
        <f>IF(O682&lt;SUMIFS(M:M,R:R,1,E:E,E682)/SUMIFS(L:L,R:R,1,E:E,E682)*0.5,"Низшая четверть",IF(O682&lt;SUMIFS(M:M,R:R,1,E:E,E682)/SUMIFS(L:L,R:R,1,E:E,E682),"Вторая четверть","Больше половины"))</f>
        <v/>
      </c>
      <c r="Y682" t="n">
        <v>10</v>
      </c>
    </row>
    <row r="683">
      <c r="A683" s="1" t="inlineStr">
        <is>
          <t>23800130</t>
        </is>
      </c>
      <c r="B683" s="2" t="inlineStr">
        <is>
          <t>765996661</t>
        </is>
      </c>
      <c r="C683" s="3" t="inlineStr">
        <is>
          <t>Одежда для детей</t>
        </is>
      </c>
      <c r="D683" s="2" t="inlineStr">
        <is>
          <t>Платья, майки, футболки детские для девочек</t>
        </is>
      </c>
      <c r="E683" s="3" t="inlineStr">
        <is>
          <t>238 Платье детское для девочек</t>
        </is>
      </c>
      <c r="F683" s="2" t="inlineStr">
        <is>
          <t>всесезонный</t>
        </is>
      </c>
      <c r="G683" s="3" t="inlineStr">
        <is>
          <t>kari</t>
        </is>
      </c>
      <c r="H683" s="2" t="inlineStr">
        <is>
          <t>Зиннуров Ильнур</t>
        </is>
      </c>
      <c r="J683" s="3" t="inlineStr">
        <is>
          <t>2026SS</t>
        </is>
      </c>
      <c r="K683" s="3" t="n">
        <v>3023</v>
      </c>
      <c r="L683" s="3" t="n">
        <v>721</v>
      </c>
      <c r="M683" s="3" t="n">
        <v>3</v>
      </c>
      <c r="N683" s="4">
        <f>IFERROR(L683/K683,0)</f>
        <v/>
      </c>
      <c r="O683" s="4">
        <f>IFERROR(M683/L683,0)</f>
        <v/>
      </c>
      <c r="P683" t="n">
        <v>490</v>
      </c>
      <c r="Q683" s="5" t="n">
        <v>1</v>
      </c>
      <c r="R683" s="7" t="n">
        <v>1</v>
      </c>
      <c r="S683">
        <f>IF(OR(N683&lt;$T$1*0.5,O683&lt;$U$1*0.5),"код для проверки","нормальный код")</f>
        <v/>
      </c>
      <c r="T683">
        <f>IF(N683&lt;$T$1*0.5,"Низшая четверть",IF(N683&lt;$T$1,"Вторая четверть","Больше половины"))</f>
        <v/>
      </c>
      <c r="U683">
        <f>IF(O683&lt;$U$1*0.5,"Низшая четверть",IF(O683&lt;$U$1,"Вторая четверть","Больше половины"))</f>
        <v/>
      </c>
      <c r="V683">
        <f>IF(OR(N683&lt;SUMIFS(L:L,R:R,1,E:E,E683)/SUMIFS(K:K,R:R,1,E:E,E683)*0.5,O683&lt;SUMIFS(M:M,R:R,1,E:E,E683)/SUMIFS(L:L,R:R,1,E:E,E683)*0.5),"код для проверки","нормальный код")</f>
        <v/>
      </c>
      <c r="W683">
        <f>IF(N683&lt;SUMIFS(L:L,R:R,1,E:E,E683)/SUMIFS(K:K,R:R,1,E:E,E683)*0.5,"Низшая четверть",IF(N683&lt;SUMIFS(L:L,R:R,1,E:E,E683)/SUMIFS(K:K,R:R,1,E:E,E683),"Вторая четверть","Больше половины"))</f>
        <v/>
      </c>
      <c r="X683">
        <f>IF(O683&lt;SUMIFS(M:M,R:R,1,E:E,E683)/SUMIFS(L:L,R:R,1,E:E,E683)*0.5,"Низшая четверть",IF(O683&lt;SUMIFS(M:M,R:R,1,E:E,E683)/SUMIFS(L:L,R:R,1,E:E,E683),"Вторая четверть","Больше половины"))</f>
        <v/>
      </c>
      <c r="Y683" t="n">
        <v>16</v>
      </c>
    </row>
    <row r="684">
      <c r="A684" s="1" t="inlineStr">
        <is>
          <t>a8900050</t>
        </is>
      </c>
      <c r="B684" s="2" t="inlineStr">
        <is>
          <t>696912261</t>
        </is>
      </c>
      <c r="C684" s="3" t="inlineStr">
        <is>
          <t>Одежда для детей</t>
        </is>
      </c>
      <c r="D684" s="2" t="inlineStr">
        <is>
          <t>Свитера детские для девочек</t>
        </is>
      </c>
      <c r="E684" s="3" t="inlineStr">
        <is>
          <t>a89 Свитшот для девочки</t>
        </is>
      </c>
      <c r="F684" s="2" t="inlineStr">
        <is>
          <t>весна, лето, осень</t>
        </is>
      </c>
      <c r="G684" s="3" t="inlineStr">
        <is>
          <t>kari</t>
        </is>
      </c>
      <c r="H684" s="2" t="inlineStr">
        <is>
          <t>Зиннуров Ильнур</t>
        </is>
      </c>
      <c r="J684" s="3" t="inlineStr">
        <is>
          <t>2026SS</t>
        </is>
      </c>
      <c r="K684" s="3" t="n">
        <v>3009</v>
      </c>
      <c r="L684" s="3" t="n">
        <v>200</v>
      </c>
      <c r="M684" s="3" t="n">
        <v>7</v>
      </c>
      <c r="N684" s="4">
        <f>IFERROR(L684/K684,0)</f>
        <v/>
      </c>
      <c r="O684" s="4">
        <f>IFERROR(M684/L684,0)</f>
        <v/>
      </c>
      <c r="P684" t="n">
        <v>133</v>
      </c>
      <c r="Q684" s="5" t="n">
        <v>0.8</v>
      </c>
      <c r="R684" s="7" t="n">
        <v>1</v>
      </c>
      <c r="S684">
        <f>IF(OR(N684&lt;$T$1*0.5,O684&lt;$U$1*0.5),"код для проверки","нормальный код")</f>
        <v/>
      </c>
      <c r="T684">
        <f>IF(N684&lt;$T$1*0.5,"Низшая четверть",IF(N684&lt;$T$1,"Вторая четверть","Больше половины"))</f>
        <v/>
      </c>
      <c r="U684">
        <f>IF(O684&lt;$U$1*0.5,"Низшая четверть",IF(O684&lt;$U$1,"Вторая четверть","Больше половины"))</f>
        <v/>
      </c>
      <c r="V684">
        <f>IF(OR(N684&lt;SUMIFS(L:L,R:R,1,E:E,E684)/SUMIFS(K:K,R:R,1,E:E,E684)*0.5,O684&lt;SUMIFS(M:M,R:R,1,E:E,E684)/SUMIFS(L:L,R:R,1,E:E,E684)*0.5),"код для проверки","нормальный код")</f>
        <v/>
      </c>
      <c r="W684">
        <f>IF(N684&lt;SUMIFS(L:L,R:R,1,E:E,E684)/SUMIFS(K:K,R:R,1,E:E,E684)*0.5,"Низшая четверть",IF(N684&lt;SUMIFS(L:L,R:R,1,E:E,E684)/SUMIFS(K:K,R:R,1,E:E,E684),"Вторая четверть","Больше половины"))</f>
        <v/>
      </c>
      <c r="X684">
        <f>IF(O684&lt;SUMIFS(M:M,R:R,1,E:E,E684)/SUMIFS(L:L,R:R,1,E:E,E684)*0.5,"Низшая четверть",IF(O684&lt;SUMIFS(M:M,R:R,1,E:E,E684)/SUMIFS(L:L,R:R,1,E:E,E684),"Вторая четверть","Больше половины"))</f>
        <v/>
      </c>
      <c r="Y684" t="n">
        <v>16</v>
      </c>
    </row>
    <row r="685">
      <c r="A685" s="1" t="inlineStr">
        <is>
          <t>310003S0</t>
        </is>
      </c>
      <c r="B685" s="2" t="inlineStr">
        <is>
          <t>788315548</t>
        </is>
      </c>
      <c r="C685" s="3" t="inlineStr">
        <is>
          <t>Одежда для детей</t>
        </is>
      </c>
      <c r="D685" s="2" t="inlineStr">
        <is>
          <t>Футболки, майки, рубашки детские для мальчиков</t>
        </is>
      </c>
      <c r="E685" s="3" t="inlineStr">
        <is>
          <t>310 Футболка детская для мальчиков</t>
        </is>
      </c>
      <c r="F685" s="2" t="inlineStr">
        <is>
          <t>всесезонный</t>
        </is>
      </c>
      <c r="G685" s="3" t="inlineStr">
        <is>
          <t>Kari KIDS</t>
        </is>
      </c>
      <c r="H685" s="2" t="inlineStr">
        <is>
          <t>Зиннуров Ильнур</t>
        </is>
      </c>
      <c r="J685" s="3" t="inlineStr">
        <is>
          <t>2026SS</t>
        </is>
      </c>
      <c r="K685" s="3" t="n">
        <v>3007</v>
      </c>
      <c r="L685" s="3" t="n">
        <v>427</v>
      </c>
      <c r="M685" s="3" t="n">
        <v>4</v>
      </c>
      <c r="N685" s="4">
        <f>IFERROR(L685/K685,0)</f>
        <v/>
      </c>
      <c r="O685" s="4">
        <f>IFERROR(M685/L685,0)</f>
        <v/>
      </c>
      <c r="P685" t="n">
        <v>690</v>
      </c>
      <c r="Q685" s="5" t="n">
        <v>1</v>
      </c>
      <c r="R685" s="7" t="n">
        <v>1</v>
      </c>
      <c r="S685">
        <f>IF(OR(N685&lt;$T$1*0.5,O685&lt;$U$1*0.5),"код для проверки","нормальный код")</f>
        <v/>
      </c>
      <c r="T685">
        <f>IF(N685&lt;$T$1*0.5,"Низшая четверть",IF(N685&lt;$T$1,"Вторая четверть","Больше половины"))</f>
        <v/>
      </c>
      <c r="U685">
        <f>IF(O685&lt;$U$1*0.5,"Низшая четверть",IF(O685&lt;$U$1,"Вторая четверть","Больше половины"))</f>
        <v/>
      </c>
      <c r="V685">
        <f>IF(OR(N685&lt;SUMIFS(L:L,R:R,1,E:E,E685)/SUMIFS(K:K,R:R,1,E:E,E685)*0.5,O685&lt;SUMIFS(M:M,R:R,1,E:E,E685)/SUMIFS(L:L,R:R,1,E:E,E685)*0.5),"код для проверки","нормальный код")</f>
        <v/>
      </c>
      <c r="W685">
        <f>IF(N685&lt;SUMIFS(L:L,R:R,1,E:E,E685)/SUMIFS(K:K,R:R,1,E:E,E685)*0.5,"Низшая четверть",IF(N685&lt;SUMIFS(L:L,R:R,1,E:E,E685)/SUMIFS(K:K,R:R,1,E:E,E685),"Вторая четверть","Больше половины"))</f>
        <v/>
      </c>
      <c r="X685">
        <f>IF(O685&lt;SUMIFS(M:M,R:R,1,E:E,E685)/SUMIFS(L:L,R:R,1,E:E,E685)*0.5,"Низшая четверть",IF(O685&lt;SUMIFS(M:M,R:R,1,E:E,E685)/SUMIFS(L:L,R:R,1,E:E,E685),"Вторая четверть","Больше половины"))</f>
        <v/>
      </c>
      <c r="Y685" t="n">
        <v>15</v>
      </c>
    </row>
    <row r="686">
      <c r="A686" s="1" t="inlineStr">
        <is>
          <t>20200410</t>
        </is>
      </c>
      <c r="B686" s="2" t="inlineStr">
        <is>
          <t>881337270</t>
        </is>
      </c>
      <c r="C686" s="3" t="inlineStr">
        <is>
          <t>Одежда для детей</t>
        </is>
      </c>
      <c r="D686" s="2" t="inlineStr">
        <is>
          <t>Головные уборы детские для мальчиков</t>
        </is>
      </c>
      <c r="E686" s="3" t="inlineStr">
        <is>
          <t>202 Бейсболка детская для мальчиков</t>
        </is>
      </c>
      <c r="F686" s="2" t="inlineStr">
        <is>
          <t>весна, лето</t>
        </is>
      </c>
      <c r="G686" s="3" t="inlineStr">
        <is>
          <t>kari</t>
        </is>
      </c>
      <c r="H686" s="2" t="inlineStr">
        <is>
          <t>Никонорова Алина</t>
        </is>
      </c>
      <c r="J686" s="3" t="inlineStr">
        <is>
          <t>2026SS</t>
        </is>
      </c>
      <c r="K686" s="3" t="n">
        <v>3002</v>
      </c>
      <c r="L686" s="3" t="n">
        <v>376</v>
      </c>
      <c r="M686" s="3" t="n">
        <v>1</v>
      </c>
      <c r="N686" s="4">
        <f>IFERROR(L686/K686,0)</f>
        <v/>
      </c>
      <c r="O686" s="4">
        <f>IFERROR(M686/L686,0)</f>
        <v/>
      </c>
      <c r="P686" t="n">
        <v>592</v>
      </c>
      <c r="Q686" s="5" t="n">
        <v>1</v>
      </c>
      <c r="R686" s="7" t="n">
        <v>1</v>
      </c>
      <c r="S686">
        <f>IF(OR(N686&lt;$T$1*0.5,O686&lt;$U$1*0.5),"код для проверки","нормальный код")</f>
        <v/>
      </c>
      <c r="T686">
        <f>IF(N686&lt;$T$1*0.5,"Низшая четверть",IF(N686&lt;$T$1,"Вторая четверть","Больше половины"))</f>
        <v/>
      </c>
      <c r="U686">
        <f>IF(O686&lt;$U$1*0.5,"Низшая четверть",IF(O686&lt;$U$1,"Вторая четверть","Больше половины"))</f>
        <v/>
      </c>
      <c r="V686">
        <f>IF(OR(N686&lt;SUMIFS(L:L,R:R,1,E:E,E686)/SUMIFS(K:K,R:R,1,E:E,E686)*0.5,O686&lt;SUMIFS(M:M,R:R,1,E:E,E686)/SUMIFS(L:L,R:R,1,E:E,E686)*0.5),"код для проверки","нормальный код")</f>
        <v/>
      </c>
      <c r="W686">
        <f>IF(N686&lt;SUMIFS(L:L,R:R,1,E:E,E686)/SUMIFS(K:K,R:R,1,E:E,E686)*0.5,"Низшая четверть",IF(N686&lt;SUMIFS(L:L,R:R,1,E:E,E686)/SUMIFS(K:K,R:R,1,E:E,E686),"Вторая четверть","Больше половины"))</f>
        <v/>
      </c>
      <c r="X686">
        <f>IF(O686&lt;SUMIFS(M:M,R:R,1,E:E,E686)/SUMIFS(L:L,R:R,1,E:E,E686)*0.5,"Низшая четверть",IF(O686&lt;SUMIFS(M:M,R:R,1,E:E,E686)/SUMIFS(L:L,R:R,1,E:E,E686),"Вторая четверть","Больше половины"))</f>
        <v/>
      </c>
      <c r="Y686" t="n">
        <v>8</v>
      </c>
    </row>
    <row r="687">
      <c r="A687" s="1" t="inlineStr">
        <is>
          <t>16800080</t>
        </is>
      </c>
      <c r="B687" s="2" t="inlineStr">
        <is>
          <t>766703756</t>
        </is>
      </c>
      <c r="C687" s="3" t="inlineStr">
        <is>
          <t>Одежда и аксессуары</t>
        </is>
      </c>
      <c r="D687" s="2" t="inlineStr">
        <is>
          <t>Головные уборы женские</t>
        </is>
      </c>
      <c r="E687" s="3" t="inlineStr">
        <is>
          <t>168 Шляпа женская летняя</t>
        </is>
      </c>
      <c r="F687" s="2" t="inlineStr">
        <is>
          <t>лето</t>
        </is>
      </c>
      <c r="G687" s="3" t="inlineStr">
        <is>
          <t>kari</t>
        </is>
      </c>
      <c r="H687" s="2" t="inlineStr">
        <is>
          <t>Никонорова Алина</t>
        </is>
      </c>
      <c r="J687" s="3" t="inlineStr">
        <is>
          <t>2026SS</t>
        </is>
      </c>
      <c r="K687" s="3" t="n">
        <v>3000</v>
      </c>
      <c r="L687" s="3" t="n">
        <v>234</v>
      </c>
      <c r="M687" s="3" t="n">
        <v>2</v>
      </c>
      <c r="N687" s="4">
        <f>IFERROR(L687/K687,0)</f>
        <v/>
      </c>
      <c r="O687" s="4">
        <f>IFERROR(M687/L687,0)</f>
        <v/>
      </c>
      <c r="P687" t="n">
        <v>640</v>
      </c>
      <c r="Q687" s="5" t="n">
        <v>1</v>
      </c>
      <c r="R687" s="7" t="n">
        <v>1</v>
      </c>
      <c r="S687">
        <f>IF(OR(N687&lt;$T$1*0.5,O687&lt;$U$1*0.5),"код для проверки","нормальный код")</f>
        <v/>
      </c>
      <c r="T687">
        <f>IF(N687&lt;$T$1*0.5,"Низшая четверть",IF(N687&lt;$T$1,"Вторая четверть","Больше половины"))</f>
        <v/>
      </c>
      <c r="U687">
        <f>IF(O687&lt;$U$1*0.5,"Низшая четверть",IF(O687&lt;$U$1,"Вторая четверть","Больше половины"))</f>
        <v/>
      </c>
      <c r="V687">
        <f>IF(OR(N687&lt;SUMIFS(L:L,R:R,1,E:E,E687)/SUMIFS(K:K,R:R,1,E:E,E687)*0.5,O687&lt;SUMIFS(M:M,R:R,1,E:E,E687)/SUMIFS(L:L,R:R,1,E:E,E687)*0.5),"код для проверки","нормальный код")</f>
        <v/>
      </c>
      <c r="W687">
        <f>IF(N687&lt;SUMIFS(L:L,R:R,1,E:E,E687)/SUMIFS(K:K,R:R,1,E:E,E687)*0.5,"Низшая четверть",IF(N687&lt;SUMIFS(L:L,R:R,1,E:E,E687)/SUMIFS(K:K,R:R,1,E:E,E687),"Вторая четверть","Больше половины"))</f>
        <v/>
      </c>
      <c r="X687">
        <f>IF(O687&lt;SUMIFS(M:M,R:R,1,E:E,E687)/SUMIFS(L:L,R:R,1,E:E,E687)*0.5,"Низшая четверть",IF(O687&lt;SUMIFS(M:M,R:R,1,E:E,E687)/SUMIFS(L:L,R:R,1,E:E,E687),"Вторая четверть","Больше половины"))</f>
        <v/>
      </c>
      <c r="Y687" t="n">
        <v>14</v>
      </c>
    </row>
    <row r="688">
      <c r="A688" s="1" t="inlineStr">
        <is>
          <t>094001I0</t>
        </is>
      </c>
      <c r="B688" s="2" t="inlineStr">
        <is>
          <t>756546277</t>
        </is>
      </c>
      <c r="C688" s="3" t="inlineStr">
        <is>
          <t>Одежда и аксессуары</t>
        </is>
      </c>
      <c r="D688" s="2" t="inlineStr">
        <is>
          <t>Купальники женские</t>
        </is>
      </c>
      <c r="E688" s="3" t="inlineStr">
        <is>
          <t>094 Купальник</t>
        </is>
      </c>
      <c r="F688" s="2" t="inlineStr">
        <is>
          <t>лето</t>
        </is>
      </c>
      <c r="G688" s="3" t="inlineStr">
        <is>
          <t>kari</t>
        </is>
      </c>
      <c r="H688" s="2" t="inlineStr">
        <is>
          <t>Никонорова Алина</t>
        </is>
      </c>
      <c r="J688" s="3" t="inlineStr">
        <is>
          <t>2026SS</t>
        </is>
      </c>
      <c r="K688" s="3" t="n">
        <v>2994</v>
      </c>
      <c r="L688" s="3" t="n">
        <v>3514</v>
      </c>
      <c r="M688" s="3" t="n">
        <v>3</v>
      </c>
      <c r="N688" s="4">
        <f>IFERROR(L688/K688,0)</f>
        <v/>
      </c>
      <c r="O688" s="4">
        <f>IFERROR(M688/L688,0)</f>
        <v/>
      </c>
      <c r="P688" t="n">
        <v>1196</v>
      </c>
      <c r="Q688" s="5" t="n">
        <v>0.7777777777777778</v>
      </c>
      <c r="R688" s="7" t="n">
        <v>1</v>
      </c>
      <c r="S688">
        <f>IF(OR(N688&lt;$T$1*0.5,O688&lt;$U$1*0.5),"код для проверки","нормальный код")</f>
        <v/>
      </c>
      <c r="T688">
        <f>IF(N688&lt;$T$1*0.5,"Низшая четверть",IF(N688&lt;$T$1,"Вторая четверть","Больше половины"))</f>
        <v/>
      </c>
      <c r="U688">
        <f>IF(O688&lt;$U$1*0.5,"Низшая четверть",IF(O688&lt;$U$1,"Вторая четверть","Больше половины"))</f>
        <v/>
      </c>
      <c r="V688">
        <f>IF(OR(N688&lt;SUMIFS(L:L,R:R,1,E:E,E688)/SUMIFS(K:K,R:R,1,E:E,E688)*0.5,O688&lt;SUMIFS(M:M,R:R,1,E:E,E688)/SUMIFS(L:L,R:R,1,E:E,E688)*0.5),"код для проверки","нормальный код")</f>
        <v/>
      </c>
      <c r="W688">
        <f>IF(N688&lt;SUMIFS(L:L,R:R,1,E:E,E688)/SUMIFS(K:K,R:R,1,E:E,E688)*0.5,"Низшая четверть",IF(N688&lt;SUMIFS(L:L,R:R,1,E:E,E688)/SUMIFS(K:K,R:R,1,E:E,E688),"Вторая четверть","Больше половины"))</f>
        <v/>
      </c>
      <c r="X688">
        <f>IF(O688&lt;SUMIFS(M:M,R:R,1,E:E,E688)/SUMIFS(L:L,R:R,1,E:E,E688)*0.5,"Низшая четверть",IF(O688&lt;SUMIFS(M:M,R:R,1,E:E,E688)/SUMIFS(L:L,R:R,1,E:E,E688),"Вторая четверть","Больше половины"))</f>
        <v/>
      </c>
      <c r="Y688" t="n">
        <v>18</v>
      </c>
    </row>
    <row r="689">
      <c r="A689" s="1" t="inlineStr">
        <is>
          <t>16800060</t>
        </is>
      </c>
      <c r="B689" s="2" t="inlineStr">
        <is>
          <t>766703937</t>
        </is>
      </c>
      <c r="C689" s="3" t="inlineStr">
        <is>
          <t>Одежда и аксессуары</t>
        </is>
      </c>
      <c r="D689" s="2" t="inlineStr">
        <is>
          <t>Головные уборы женские</t>
        </is>
      </c>
      <c r="E689" s="3" t="inlineStr">
        <is>
          <t>168 Шляпа женская летняя</t>
        </is>
      </c>
      <c r="F689" s="2" t="inlineStr">
        <is>
          <t>лето</t>
        </is>
      </c>
      <c r="G689" s="3" t="inlineStr">
        <is>
          <t>kari</t>
        </is>
      </c>
      <c r="H689" s="2" t="inlineStr">
        <is>
          <t>Никонорова Алина</t>
        </is>
      </c>
      <c r="J689" s="3" t="inlineStr">
        <is>
          <t>2026SS</t>
        </is>
      </c>
      <c r="K689" s="3" t="n">
        <v>2971</v>
      </c>
      <c r="L689" s="3" t="n">
        <v>668</v>
      </c>
      <c r="M689" s="3" t="n">
        <v>2</v>
      </c>
      <c r="N689" s="4">
        <f>IFERROR(L689/K689,0)</f>
        <v/>
      </c>
      <c r="O689" s="4">
        <f>IFERROR(M689/L689,0)</f>
        <v/>
      </c>
      <c r="P689" t="n">
        <v>382</v>
      </c>
      <c r="Q689" s="5" t="n">
        <v>1</v>
      </c>
      <c r="R689" s="7" t="n">
        <v>1</v>
      </c>
      <c r="S689">
        <f>IF(OR(N689&lt;$T$1*0.5,O689&lt;$U$1*0.5),"код для проверки","нормальный код")</f>
        <v/>
      </c>
      <c r="T689">
        <f>IF(N689&lt;$T$1*0.5,"Низшая четверть",IF(N689&lt;$T$1,"Вторая четверть","Больше половины"))</f>
        <v/>
      </c>
      <c r="U689">
        <f>IF(O689&lt;$U$1*0.5,"Низшая четверть",IF(O689&lt;$U$1,"Вторая четверть","Больше половины"))</f>
        <v/>
      </c>
      <c r="V689">
        <f>IF(OR(N689&lt;SUMIFS(L:L,R:R,1,E:E,E689)/SUMIFS(K:K,R:R,1,E:E,E689)*0.5,O689&lt;SUMIFS(M:M,R:R,1,E:E,E689)/SUMIFS(L:L,R:R,1,E:E,E689)*0.5),"код для проверки","нормальный код")</f>
        <v/>
      </c>
      <c r="W689">
        <f>IF(N689&lt;SUMIFS(L:L,R:R,1,E:E,E689)/SUMIFS(K:K,R:R,1,E:E,E689)*0.5,"Низшая четверть",IF(N689&lt;SUMIFS(L:L,R:R,1,E:E,E689)/SUMIFS(K:K,R:R,1,E:E,E689),"Вторая четверть","Больше половины"))</f>
        <v/>
      </c>
      <c r="X689">
        <f>IF(O689&lt;SUMIFS(M:M,R:R,1,E:E,E689)/SUMIFS(L:L,R:R,1,E:E,E689)*0.5,"Низшая четверть",IF(O689&lt;SUMIFS(M:M,R:R,1,E:E,E689)/SUMIFS(L:L,R:R,1,E:E,E689),"Вторая четверть","Больше половины"))</f>
        <v/>
      </c>
      <c r="Y689" t="n">
        <v>14</v>
      </c>
    </row>
    <row r="690">
      <c r="A690" s="1" t="inlineStr">
        <is>
          <t>y9706090</t>
        </is>
      </c>
      <c r="B690" s="2" t="inlineStr">
        <is>
          <t>210009117</t>
        </is>
      </c>
      <c r="C690" s="3" t="inlineStr">
        <is>
          <t>Одежда и аксессуары</t>
        </is>
      </c>
      <c r="D690" s="2" t="inlineStr">
        <is>
          <t>Спортивная одежда для мужчин</t>
        </is>
      </c>
      <c r="E690" s="3" t="inlineStr">
        <is>
          <t>y97 Футболка мужская</t>
        </is>
      </c>
      <c r="F690" s="2" t="inlineStr">
        <is>
          <t>всесезонный</t>
        </is>
      </c>
      <c r="G690" s="3" t="inlineStr">
        <is>
          <t>kari</t>
        </is>
      </c>
      <c r="H690" s="2" t="inlineStr">
        <is>
          <t>Зиннуров Ильнур</t>
        </is>
      </c>
      <c r="J690" s="3" t="inlineStr">
        <is>
          <t>2026SS</t>
        </is>
      </c>
      <c r="K690" s="3" t="n">
        <v>2962</v>
      </c>
      <c r="L690" s="3" t="n">
        <v>268</v>
      </c>
      <c r="M690" s="3" t="n">
        <v>11</v>
      </c>
      <c r="N690" s="4">
        <f>IFERROR(L690/K690,0)</f>
        <v/>
      </c>
      <c r="O690" s="4">
        <f>IFERROR(M690/L690,0)</f>
        <v/>
      </c>
      <c r="P690" t="n">
        <v>158</v>
      </c>
      <c r="Q690" s="5" t="n">
        <v>1</v>
      </c>
      <c r="R690" s="7" t="n">
        <v>1</v>
      </c>
      <c r="S690">
        <f>IF(OR(N690&lt;$T$1*0.5,O690&lt;$U$1*0.5),"код для проверки","нормальный код")</f>
        <v/>
      </c>
      <c r="T690">
        <f>IF(N690&lt;$T$1*0.5,"Низшая четверть",IF(N690&lt;$T$1,"Вторая четверть","Больше половины"))</f>
        <v/>
      </c>
      <c r="U690">
        <f>IF(O690&lt;$U$1*0.5,"Низшая четверть",IF(O690&lt;$U$1,"Вторая четверть","Больше половины"))</f>
        <v/>
      </c>
      <c r="V690">
        <f>IF(OR(N690&lt;SUMIFS(L:L,R:R,1,E:E,E690)/SUMIFS(K:K,R:R,1,E:E,E690)*0.5,O690&lt;SUMIFS(M:M,R:R,1,E:E,E690)/SUMIFS(L:L,R:R,1,E:E,E690)*0.5),"код для проверки","нормальный код")</f>
        <v/>
      </c>
      <c r="W690">
        <f>IF(N690&lt;SUMIFS(L:L,R:R,1,E:E,E690)/SUMIFS(K:K,R:R,1,E:E,E690)*0.5,"Низшая четверть",IF(N690&lt;SUMIFS(L:L,R:R,1,E:E,E690)/SUMIFS(K:K,R:R,1,E:E,E690),"Вторая четверть","Больше половины"))</f>
        <v/>
      </c>
      <c r="X690">
        <f>IF(O690&lt;SUMIFS(M:M,R:R,1,E:E,E690)/SUMIFS(L:L,R:R,1,E:E,E690)*0.5,"Низшая четверть",IF(O690&lt;SUMIFS(M:M,R:R,1,E:E,E690)/SUMIFS(L:L,R:R,1,E:E,E690),"Вторая четверть","Больше половины"))</f>
        <v/>
      </c>
      <c r="Y690" t="n">
        <v>10</v>
      </c>
    </row>
    <row r="691">
      <c r="A691" s="1" t="inlineStr">
        <is>
          <t>55400060</t>
        </is>
      </c>
      <c r="B691" s="2" t="inlineStr">
        <is>
          <t>371244621</t>
        </is>
      </c>
      <c r="C691" s="3" t="inlineStr">
        <is>
          <t>Одежда для детей</t>
        </is>
      </c>
      <c r="D691" s="2" t="inlineStr">
        <is>
          <t>Головные уборы детские для мальчиков</t>
        </is>
      </c>
      <c r="E691" s="3" t="inlineStr">
        <is>
          <t>554 Панама детская для мальчиков</t>
        </is>
      </c>
      <c r="F691" s="2" t="inlineStr">
        <is>
          <t>весна, лето</t>
        </is>
      </c>
      <c r="G691" s="3" t="inlineStr">
        <is>
          <t>kari</t>
        </is>
      </c>
      <c r="H691" s="2" t="inlineStr">
        <is>
          <t>Никонорова Алина</t>
        </is>
      </c>
      <c r="J691" s="3" t="inlineStr">
        <is>
          <t>2026SS</t>
        </is>
      </c>
      <c r="K691" s="3" t="n">
        <v>2959</v>
      </c>
      <c r="L691" s="3" t="n">
        <v>354</v>
      </c>
      <c r="M691" s="3" t="n">
        <v>4</v>
      </c>
      <c r="N691" s="4">
        <f>IFERROR(L691/K691,0)</f>
        <v/>
      </c>
      <c r="O691" s="4">
        <f>IFERROR(M691/L691,0)</f>
        <v/>
      </c>
      <c r="P691" t="n">
        <v>0</v>
      </c>
      <c r="Q691" s="5" t="n">
        <v>0</v>
      </c>
      <c r="R691" s="7" t="n">
        <v>0</v>
      </c>
      <c r="S691" t="inlineStr">
        <is>
          <t>Мало остатка</t>
        </is>
      </c>
      <c r="T691">
        <f>IF(N691&lt;$T$1*0.5,"Низшая четверть",IF(N691&lt;$T$1,"Вторая четверть","Больше половины"))</f>
        <v/>
      </c>
      <c r="U691">
        <f>IF(O691&lt;$U$1*0.5,"Низшая четверть",IF(O691&lt;$U$1,"Вторая четверть","Больше половины"))</f>
        <v/>
      </c>
      <c r="V691">
        <f>IF(OR(N691&lt;SUMIFS(L:L,R:R,1,E:E,E691)/SUMIFS(K:K,R:R,1,E:E,E691)*0.5,O691&lt;SUMIFS(M:M,R:R,1,E:E,E691)/SUMIFS(L:L,R:R,1,E:E,E691)*0.5),"код для проверки","нормальный код")</f>
        <v/>
      </c>
      <c r="W691">
        <f>IF(N691&lt;SUMIFS(L:L,R:R,1,E:E,E691)/SUMIFS(K:K,R:R,1,E:E,E691)*0.5,"Низшая четверть",IF(N691&lt;SUMIFS(L:L,R:R,1,E:E,E691)/SUMIFS(K:K,R:R,1,E:E,E691),"Вторая четверть","Больше половины"))</f>
        <v/>
      </c>
      <c r="X691">
        <f>IF(O691&lt;SUMIFS(M:M,R:R,1,E:E,E691)/SUMIFS(L:L,R:R,1,E:E,E691)*0.5,"Низшая четверть",IF(O691&lt;SUMIFS(M:M,R:R,1,E:E,E691)/SUMIFS(L:L,R:R,1,E:E,E691),"Вторая четверть","Больше половины"))</f>
        <v/>
      </c>
      <c r="Y691" t="n">
        <v>10</v>
      </c>
    </row>
    <row r="692">
      <c r="A692" s="1" t="inlineStr">
        <is>
          <t>91100060</t>
        </is>
      </c>
      <c r="B692" s="2" t="inlineStr">
        <is>
          <t>775472395</t>
        </is>
      </c>
      <c r="C692" s="3" t="inlineStr">
        <is>
          <t>Одежда для детей</t>
        </is>
      </c>
      <c r="D692" s="2" t="inlineStr">
        <is>
          <t>Одежда для новорожденных</t>
        </is>
      </c>
      <c r="E692" s="3" t="inlineStr">
        <is>
          <t>911 Джемпер для маленькой девочки</t>
        </is>
      </c>
      <c r="F692" s="2" t="inlineStr">
        <is>
          <t>всесезонный</t>
        </is>
      </c>
      <c r="G692" s="3" t="inlineStr">
        <is>
          <t>Kari baby</t>
        </is>
      </c>
      <c r="H692" s="2" t="inlineStr">
        <is>
          <t>Зиннуров Ильнур</t>
        </is>
      </c>
      <c r="J692" s="3" t="inlineStr">
        <is>
          <t>2026SS</t>
        </is>
      </c>
      <c r="K692" s="3" t="n">
        <v>2953</v>
      </c>
      <c r="L692" s="3" t="n">
        <v>135</v>
      </c>
      <c r="M692" s="3" t="n">
        <v>3</v>
      </c>
      <c r="N692" s="4">
        <f>IFERROR(L692/K692,0)</f>
        <v/>
      </c>
      <c r="O692" s="4">
        <f>IFERROR(M692/L692,0)</f>
        <v/>
      </c>
      <c r="P692" t="n">
        <v>653</v>
      </c>
      <c r="Q692" s="5" t="n">
        <v>1</v>
      </c>
      <c r="R692" s="7" t="n">
        <v>1</v>
      </c>
      <c r="S692">
        <f>IF(OR(N692&lt;$T$1*0.5,O692&lt;$U$1*0.5),"код для проверки","нормальный код")</f>
        <v/>
      </c>
      <c r="T692">
        <f>IF(N692&lt;$T$1*0.5,"Низшая четверть",IF(N692&lt;$T$1,"Вторая четверть","Больше половины"))</f>
        <v/>
      </c>
      <c r="U692">
        <f>IF(O692&lt;$U$1*0.5,"Низшая четверть",IF(O692&lt;$U$1,"Вторая четверть","Больше половины"))</f>
        <v/>
      </c>
      <c r="V692">
        <f>IF(OR(N692&lt;SUMIFS(L:L,R:R,1,E:E,E692)/SUMIFS(K:K,R:R,1,E:E,E692)*0.5,O692&lt;SUMIFS(M:M,R:R,1,E:E,E692)/SUMIFS(L:L,R:R,1,E:E,E692)*0.5),"код для проверки","нормальный код")</f>
        <v/>
      </c>
      <c r="W692">
        <f>IF(N692&lt;SUMIFS(L:L,R:R,1,E:E,E692)/SUMIFS(K:K,R:R,1,E:E,E692)*0.5,"Низшая четверть",IF(N692&lt;SUMIFS(L:L,R:R,1,E:E,E692)/SUMIFS(K:K,R:R,1,E:E,E692),"Вторая четверть","Больше половины"))</f>
        <v/>
      </c>
      <c r="X692">
        <f>IF(O692&lt;SUMIFS(M:M,R:R,1,E:E,E692)/SUMIFS(L:L,R:R,1,E:E,E692)*0.5,"Низшая четверть",IF(O692&lt;SUMIFS(M:M,R:R,1,E:E,E692)/SUMIFS(L:L,R:R,1,E:E,E692),"Вторая четверть","Больше половины"))</f>
        <v/>
      </c>
      <c r="Y692" t="n">
        <v>12</v>
      </c>
    </row>
    <row r="693">
      <c r="A693" s="1" t="inlineStr">
        <is>
          <t>20200220</t>
        </is>
      </c>
      <c r="B693" s="2" t="inlineStr">
        <is>
          <t>371244734</t>
        </is>
      </c>
      <c r="C693" s="3" t="inlineStr">
        <is>
          <t>Одежда для детей</t>
        </is>
      </c>
      <c r="D693" s="2" t="inlineStr">
        <is>
          <t>Головные уборы детские для мальчиков</t>
        </is>
      </c>
      <c r="E693" s="3" t="inlineStr">
        <is>
          <t>202 Бейсболка детская для мальчиков</t>
        </is>
      </c>
      <c r="F693" s="2" t="inlineStr">
        <is>
          <t>весна, лето</t>
        </is>
      </c>
      <c r="G693" s="3" t="inlineStr">
        <is>
          <t>kari</t>
        </is>
      </c>
      <c r="H693" s="2" t="inlineStr">
        <is>
          <t>Никонорова Алина</t>
        </is>
      </c>
      <c r="J693" s="3" t="inlineStr">
        <is>
          <t>2026SS</t>
        </is>
      </c>
      <c r="K693" s="3" t="n">
        <v>2948</v>
      </c>
      <c r="L693" s="3" t="n">
        <v>295</v>
      </c>
      <c r="M693" s="3" t="n">
        <v>3</v>
      </c>
      <c r="N693" s="4">
        <f>IFERROR(L693/K693,0)</f>
        <v/>
      </c>
      <c r="O693" s="4">
        <f>IFERROR(M693/L693,0)</f>
        <v/>
      </c>
      <c r="P693" t="n">
        <v>0</v>
      </c>
      <c r="Q693" s="5" t="n">
        <v>0</v>
      </c>
      <c r="R693" s="7" t="n">
        <v>0</v>
      </c>
      <c r="S693" t="inlineStr">
        <is>
          <t>Мало остатка</t>
        </is>
      </c>
      <c r="T693">
        <f>IF(N693&lt;$T$1*0.5,"Низшая четверть",IF(N693&lt;$T$1,"Вторая четверть","Больше половины"))</f>
        <v/>
      </c>
      <c r="U693">
        <f>IF(O693&lt;$U$1*0.5,"Низшая четверть",IF(O693&lt;$U$1,"Вторая четверть","Больше половины"))</f>
        <v/>
      </c>
      <c r="V693">
        <f>IF(OR(N693&lt;SUMIFS(L:L,R:R,1,E:E,E693)/SUMIFS(K:K,R:R,1,E:E,E693)*0.5,O693&lt;SUMIFS(M:M,R:R,1,E:E,E693)/SUMIFS(L:L,R:R,1,E:E,E693)*0.5),"код для проверки","нормальный код")</f>
        <v/>
      </c>
      <c r="W693">
        <f>IF(N693&lt;SUMIFS(L:L,R:R,1,E:E,E693)/SUMIFS(K:K,R:R,1,E:E,E693)*0.5,"Низшая четверть",IF(N693&lt;SUMIFS(L:L,R:R,1,E:E,E693)/SUMIFS(K:K,R:R,1,E:E,E693),"Вторая четверть","Больше половины"))</f>
        <v/>
      </c>
      <c r="X693">
        <f>IF(O693&lt;SUMIFS(M:M,R:R,1,E:E,E693)/SUMIFS(L:L,R:R,1,E:E,E693)*0.5,"Низшая четверть",IF(O693&lt;SUMIFS(M:M,R:R,1,E:E,E693)/SUMIFS(L:L,R:R,1,E:E,E693),"Вторая четверть","Больше половины"))</f>
        <v/>
      </c>
      <c r="Y693" t="n">
        <v>9</v>
      </c>
    </row>
    <row r="694">
      <c r="A694" s="1" t="inlineStr">
        <is>
          <t>88300290</t>
        </is>
      </c>
      <c r="B694" s="2" t="inlineStr">
        <is>
          <t>697438146</t>
        </is>
      </c>
      <c r="C694" s="3" t="inlineStr">
        <is>
          <t>Одежда для детей</t>
        </is>
      </c>
      <c r="D694" s="2" t="inlineStr">
        <is>
          <t>Платья, майки, футболки детские для девочек</t>
        </is>
      </c>
      <c r="E694" s="3" t="inlineStr">
        <is>
          <t>883 Футболка длинный рукав детская для девочек</t>
        </is>
      </c>
      <c r="F694" s="2" t="inlineStr">
        <is>
          <t>всесезонный</t>
        </is>
      </c>
      <c r="G694" s="3" t="inlineStr">
        <is>
          <t>kari</t>
        </is>
      </c>
      <c r="H694" s="2" t="inlineStr">
        <is>
          <t>Зиннуров Ильнур</t>
        </is>
      </c>
      <c r="J694" s="3" t="inlineStr">
        <is>
          <t>2026SS</t>
        </is>
      </c>
      <c r="K694" s="3" t="n">
        <v>2945</v>
      </c>
      <c r="L694" s="3" t="n">
        <v>474</v>
      </c>
      <c r="M694" s="3" t="n">
        <v>4</v>
      </c>
      <c r="N694" s="4">
        <f>IFERROR(L694/K694,0)</f>
        <v/>
      </c>
      <c r="O694" s="4">
        <f>IFERROR(M694/L694,0)</f>
        <v/>
      </c>
      <c r="P694" t="n">
        <v>227</v>
      </c>
      <c r="Q694" s="5" t="n">
        <v>1</v>
      </c>
      <c r="R694" s="7" t="n">
        <v>1</v>
      </c>
      <c r="S694">
        <f>IF(OR(N694&lt;$T$1*0.5,O694&lt;$U$1*0.5),"код для проверки","нормальный код")</f>
        <v/>
      </c>
      <c r="T694">
        <f>IF(N694&lt;$T$1*0.5,"Низшая четверть",IF(N694&lt;$T$1,"Вторая четверть","Больше половины"))</f>
        <v/>
      </c>
      <c r="U694">
        <f>IF(O694&lt;$U$1*0.5,"Низшая четверть",IF(O694&lt;$U$1,"Вторая четверть","Больше половины"))</f>
        <v/>
      </c>
      <c r="V694">
        <f>IF(OR(N694&lt;SUMIFS(L:L,R:R,1,E:E,E694)/SUMIFS(K:K,R:R,1,E:E,E694)*0.5,O694&lt;SUMIFS(M:M,R:R,1,E:E,E694)/SUMIFS(L:L,R:R,1,E:E,E694)*0.5),"код для проверки","нормальный код")</f>
        <v/>
      </c>
      <c r="W694">
        <f>IF(N694&lt;SUMIFS(L:L,R:R,1,E:E,E694)/SUMIFS(K:K,R:R,1,E:E,E694)*0.5,"Низшая четверть",IF(N694&lt;SUMIFS(L:L,R:R,1,E:E,E694)/SUMIFS(K:K,R:R,1,E:E,E694),"Вторая четверть","Больше половины"))</f>
        <v/>
      </c>
      <c r="X694">
        <f>IF(O694&lt;SUMIFS(M:M,R:R,1,E:E,E694)/SUMIFS(L:L,R:R,1,E:E,E694)*0.5,"Низшая четверть",IF(O694&lt;SUMIFS(M:M,R:R,1,E:E,E694)/SUMIFS(L:L,R:R,1,E:E,E694),"Вторая четверть","Больше половины"))</f>
        <v/>
      </c>
      <c r="Y694" t="n">
        <v>15</v>
      </c>
    </row>
    <row r="695">
      <c r="A695" s="1" t="inlineStr">
        <is>
          <t>93900230</t>
        </is>
      </c>
      <c r="B695" s="2" t="inlineStr">
        <is>
          <t>766736576</t>
        </is>
      </c>
      <c r="C695" s="3" t="inlineStr">
        <is>
          <t>Одежда для детей</t>
        </is>
      </c>
      <c r="D695" s="2" t="inlineStr">
        <is>
          <t>Одежда для новорожденных</t>
        </is>
      </c>
      <c r="E695" s="3" t="inlineStr">
        <is>
          <t>939 Футболка для маленькой девочки</t>
        </is>
      </c>
      <c r="F695" s="2" t="inlineStr">
        <is>
          <t>всесезонный</t>
        </is>
      </c>
      <c r="G695" s="3" t="inlineStr">
        <is>
          <t>Kari baby</t>
        </is>
      </c>
      <c r="H695" s="2" t="inlineStr">
        <is>
          <t>Зиннуров Ильнур</t>
        </is>
      </c>
      <c r="J695" s="3" t="inlineStr">
        <is>
          <t>2026SS</t>
        </is>
      </c>
      <c r="K695" s="3" t="n">
        <v>2938</v>
      </c>
      <c r="L695" s="3" t="n">
        <v>754</v>
      </c>
      <c r="M695" s="3" t="n">
        <v>8</v>
      </c>
      <c r="N695" s="4">
        <f>IFERROR(L695/K695,0)</f>
        <v/>
      </c>
      <c r="O695" s="4">
        <f>IFERROR(M695/L695,0)</f>
        <v/>
      </c>
      <c r="P695" t="n">
        <v>833</v>
      </c>
      <c r="Q695" s="5" t="n">
        <v>1</v>
      </c>
      <c r="R695" s="7" t="n">
        <v>1</v>
      </c>
      <c r="S695">
        <f>IF(OR(N695&lt;$T$1*0.5,O695&lt;$U$1*0.5),"код для проверки","нормальный код")</f>
        <v/>
      </c>
      <c r="T695">
        <f>IF(N695&lt;$T$1*0.5,"Низшая четверть",IF(N695&lt;$T$1,"Вторая четверть","Больше половины"))</f>
        <v/>
      </c>
      <c r="U695">
        <f>IF(O695&lt;$U$1*0.5,"Низшая четверть",IF(O695&lt;$U$1,"Вторая четверть","Больше половины"))</f>
        <v/>
      </c>
      <c r="V695">
        <f>IF(OR(N695&lt;SUMIFS(L:L,R:R,1,E:E,E695)/SUMIFS(K:K,R:R,1,E:E,E695)*0.5,O695&lt;SUMIFS(M:M,R:R,1,E:E,E695)/SUMIFS(L:L,R:R,1,E:E,E695)*0.5),"код для проверки","нормальный код")</f>
        <v/>
      </c>
      <c r="W695">
        <f>IF(N695&lt;SUMIFS(L:L,R:R,1,E:E,E695)/SUMIFS(K:K,R:R,1,E:E,E695)*0.5,"Низшая четверть",IF(N695&lt;SUMIFS(L:L,R:R,1,E:E,E695)/SUMIFS(K:K,R:R,1,E:E,E695),"Вторая четверть","Больше половины"))</f>
        <v/>
      </c>
      <c r="X695">
        <f>IF(O695&lt;SUMIFS(M:M,R:R,1,E:E,E695)/SUMIFS(L:L,R:R,1,E:E,E695)*0.5,"Низшая четверть",IF(O695&lt;SUMIFS(M:M,R:R,1,E:E,E695)/SUMIFS(L:L,R:R,1,E:E,E695),"Вторая четверть","Больше половины"))</f>
        <v/>
      </c>
      <c r="Y695" t="n">
        <v>5</v>
      </c>
    </row>
    <row r="696">
      <c r="A696" s="1" t="inlineStr">
        <is>
          <t>30900090</t>
        </is>
      </c>
      <c r="B696" s="2" t="inlineStr">
        <is>
          <t>732910126</t>
        </is>
      </c>
      <c r="C696" s="3" t="inlineStr">
        <is>
          <t>Одежда и аксессуары</t>
        </is>
      </c>
      <c r="D696" s="2" t="inlineStr">
        <is>
          <t>Брюки, шорты женские</t>
        </is>
      </c>
      <c r="E696" s="3" t="inlineStr">
        <is>
          <t>h81 Брюки летние женские</t>
        </is>
      </c>
      <c r="F696" s="2" t="inlineStr">
        <is>
          <t>лето</t>
        </is>
      </c>
      <c r="G696" s="3" t="inlineStr">
        <is>
          <t>kari</t>
        </is>
      </c>
      <c r="H696" s="2" t="n"/>
      <c r="J696" s="3" t="inlineStr">
        <is>
          <t>2026SS</t>
        </is>
      </c>
      <c r="K696" s="3" t="n">
        <v>2925</v>
      </c>
      <c r="L696" s="3" t="n">
        <v>223</v>
      </c>
      <c r="M696" s="3" t="n">
        <v>3</v>
      </c>
      <c r="N696" s="4">
        <f>IFERROR(L696/K696,0)</f>
        <v/>
      </c>
      <c r="O696" s="4">
        <f>IFERROR(M696/L696,0)</f>
        <v/>
      </c>
      <c r="P696" t="n">
        <v>157</v>
      </c>
      <c r="Q696" s="5" t="n">
        <v>1</v>
      </c>
      <c r="R696" s="7" t="n">
        <v>1</v>
      </c>
      <c r="S696">
        <f>IF(OR(N696&lt;$T$1*0.5,O696&lt;$U$1*0.5),"код для проверки","нормальный код")</f>
        <v/>
      </c>
      <c r="T696">
        <f>IF(N696&lt;$T$1*0.5,"Низшая четверть",IF(N696&lt;$T$1,"Вторая четверть","Больше половины"))</f>
        <v/>
      </c>
      <c r="U696">
        <f>IF(O696&lt;$U$1*0.5,"Низшая четверть",IF(O696&lt;$U$1,"Вторая четверть","Больше половины"))</f>
        <v/>
      </c>
      <c r="V696">
        <f>IF(OR(N696&lt;SUMIFS(L:L,R:R,1,E:E,E696)/SUMIFS(K:K,R:R,1,E:E,E696)*0.5,O696&lt;SUMIFS(M:M,R:R,1,E:E,E696)/SUMIFS(L:L,R:R,1,E:E,E696)*0.5),"код для проверки","нормальный код")</f>
        <v/>
      </c>
      <c r="W696">
        <f>IF(N696&lt;SUMIFS(L:L,R:R,1,E:E,E696)/SUMIFS(K:K,R:R,1,E:E,E696)*0.5,"Низшая четверть",IF(N696&lt;SUMIFS(L:L,R:R,1,E:E,E696)/SUMIFS(K:K,R:R,1,E:E,E696),"Вторая четверть","Больше половины"))</f>
        <v/>
      </c>
      <c r="X696">
        <f>IF(O696&lt;SUMIFS(M:M,R:R,1,E:E,E696)/SUMIFS(L:L,R:R,1,E:E,E696)*0.5,"Низшая четверть",IF(O696&lt;SUMIFS(M:M,R:R,1,E:E,E696)/SUMIFS(L:L,R:R,1,E:E,E696),"Вторая четверть","Больше половины"))</f>
        <v/>
      </c>
      <c r="Y696" t="n">
        <v>20</v>
      </c>
    </row>
    <row r="697">
      <c r="A697" s="1" t="inlineStr">
        <is>
          <t>12200000</t>
        </is>
      </c>
      <c r="B697" s="2" t="inlineStr">
        <is>
          <t>879023475</t>
        </is>
      </c>
      <c r="C697" s="3" t="inlineStr">
        <is>
          <t>Одежда и аксессуары</t>
        </is>
      </c>
      <c r="D697" s="2" t="inlineStr">
        <is>
          <t>Чулочные и носочные изделия для женщин</t>
        </is>
      </c>
      <c r="E697" s="3" t="inlineStr">
        <is>
          <t>122 Носки эластичные женские</t>
        </is>
      </c>
      <c r="F697" s="2" t="inlineStr">
        <is>
          <t>всесезонный</t>
        </is>
      </c>
      <c r="G697" s="3" t="inlineStr">
        <is>
          <t>kari</t>
        </is>
      </c>
      <c r="H697" s="2" t="inlineStr">
        <is>
          <t>Зиннуров Ильнур</t>
        </is>
      </c>
      <c r="J697" s="3" t="inlineStr">
        <is>
          <t>2026SS</t>
        </is>
      </c>
      <c r="K697" s="3" t="n">
        <v>2912</v>
      </c>
      <c r="L697" s="3" t="n">
        <v>114</v>
      </c>
      <c r="M697" s="3" t="n">
        <v>6</v>
      </c>
      <c r="N697" s="4">
        <f>IFERROR(L697/K697,0)</f>
        <v/>
      </c>
      <c r="O697" s="4">
        <f>IFERROR(M697/L697,0)</f>
        <v/>
      </c>
      <c r="P697" t="n">
        <v>5983</v>
      </c>
      <c r="Q697" s="5" t="n">
        <v>1</v>
      </c>
      <c r="R697" s="7" t="n">
        <v>1</v>
      </c>
      <c r="S697">
        <f>IF(OR(N697&lt;$T$1*0.5,O697&lt;$U$1*0.5),"код для проверки","нормальный код")</f>
        <v/>
      </c>
      <c r="T697">
        <f>IF(N697&lt;$T$1*0.5,"Низшая четверть",IF(N697&lt;$T$1,"Вторая четверть","Больше половины"))</f>
        <v/>
      </c>
      <c r="U697">
        <f>IF(O697&lt;$U$1*0.5,"Низшая четверть",IF(O697&lt;$U$1,"Вторая четверть","Больше половины"))</f>
        <v/>
      </c>
      <c r="V697">
        <f>IF(OR(N697&lt;SUMIFS(L:L,R:R,1,E:E,E697)/SUMIFS(K:K,R:R,1,E:E,E697)*0.5,O697&lt;SUMIFS(M:M,R:R,1,E:E,E697)/SUMIFS(L:L,R:R,1,E:E,E697)*0.5),"код для проверки","нормальный код")</f>
        <v/>
      </c>
      <c r="W697">
        <f>IF(N697&lt;SUMIFS(L:L,R:R,1,E:E,E697)/SUMIFS(K:K,R:R,1,E:E,E697)*0.5,"Низшая четверть",IF(N697&lt;SUMIFS(L:L,R:R,1,E:E,E697)/SUMIFS(K:K,R:R,1,E:E,E697),"Вторая четверть","Больше половины"))</f>
        <v/>
      </c>
      <c r="X697">
        <f>IF(O697&lt;SUMIFS(M:M,R:R,1,E:E,E697)/SUMIFS(L:L,R:R,1,E:E,E697)*0.5,"Низшая четверть",IF(O697&lt;SUMIFS(M:M,R:R,1,E:E,E697)/SUMIFS(L:L,R:R,1,E:E,E697),"Вторая четверть","Больше половины"))</f>
        <v/>
      </c>
      <c r="Y697" t="n">
        <v>5</v>
      </c>
    </row>
    <row r="698">
      <c r="A698" s="1" t="inlineStr">
        <is>
          <t>19408420</t>
        </is>
      </c>
      <c r="B698" s="2" t="inlineStr">
        <is>
          <t>387721184</t>
        </is>
      </c>
      <c r="C698" s="3" t="inlineStr">
        <is>
          <t>Одежда для детей</t>
        </is>
      </c>
      <c r="D698" s="2" t="inlineStr">
        <is>
          <t>Брюки детские для девочек</t>
        </is>
      </c>
      <c r="E698" s="3" t="inlineStr">
        <is>
          <t>194 Шорты детские для девочек</t>
        </is>
      </c>
      <c r="F698" s="2" t="inlineStr">
        <is>
          <t>лето</t>
        </is>
      </c>
      <c r="G698" s="3" t="inlineStr">
        <is>
          <t>kari</t>
        </is>
      </c>
      <c r="H698" s="2" t="inlineStr">
        <is>
          <t>Зиннуров Ильнур</t>
        </is>
      </c>
      <c r="J698" s="3" t="inlineStr">
        <is>
          <t>2026SS</t>
        </is>
      </c>
      <c r="K698" s="3" t="n">
        <v>2905</v>
      </c>
      <c r="L698" s="3" t="n">
        <v>149</v>
      </c>
      <c r="M698" s="3" t="n">
        <v>3</v>
      </c>
      <c r="N698" s="4">
        <f>IFERROR(L698/K698,0)</f>
        <v/>
      </c>
      <c r="O698" s="4">
        <f>IFERROR(M698/L698,0)</f>
        <v/>
      </c>
      <c r="P698" t="n">
        <v>256</v>
      </c>
      <c r="Q698" s="5" t="n">
        <v>0.875</v>
      </c>
      <c r="R698" s="7" t="n">
        <v>1</v>
      </c>
      <c r="S698">
        <f>IF(OR(N698&lt;$T$1*0.5,O698&lt;$U$1*0.5),"код для проверки","нормальный код")</f>
        <v/>
      </c>
      <c r="T698">
        <f>IF(N698&lt;$T$1*0.5,"Низшая четверть",IF(N698&lt;$T$1,"Вторая четверть","Больше половины"))</f>
        <v/>
      </c>
      <c r="U698">
        <f>IF(O698&lt;$U$1*0.5,"Низшая четверть",IF(O698&lt;$U$1,"Вторая четверть","Больше половины"))</f>
        <v/>
      </c>
      <c r="V698">
        <f>IF(OR(N698&lt;SUMIFS(L:L,R:R,1,E:E,E698)/SUMIFS(K:K,R:R,1,E:E,E698)*0.5,O698&lt;SUMIFS(M:M,R:R,1,E:E,E698)/SUMIFS(L:L,R:R,1,E:E,E698)*0.5),"код для проверки","нормальный код")</f>
        <v/>
      </c>
      <c r="W698">
        <f>IF(N698&lt;SUMIFS(L:L,R:R,1,E:E,E698)/SUMIFS(K:K,R:R,1,E:E,E698)*0.5,"Низшая четверть",IF(N698&lt;SUMIFS(L:L,R:R,1,E:E,E698)/SUMIFS(K:K,R:R,1,E:E,E698),"Вторая четверть","Больше половины"))</f>
        <v/>
      </c>
      <c r="X698">
        <f>IF(O698&lt;SUMIFS(M:M,R:R,1,E:E,E698)/SUMIFS(L:L,R:R,1,E:E,E698)*0.5,"Низшая четверть",IF(O698&lt;SUMIFS(M:M,R:R,1,E:E,E698)/SUMIFS(L:L,R:R,1,E:E,E698),"Вторая четверть","Больше половины"))</f>
        <v/>
      </c>
      <c r="Y698" t="n">
        <v>15</v>
      </c>
    </row>
    <row r="699">
      <c r="A699" s="1" t="inlineStr">
        <is>
          <t>094001F0</t>
        </is>
      </c>
      <c r="B699" s="2" t="inlineStr">
        <is>
          <t>710392270</t>
        </is>
      </c>
      <c r="C699" s="3" t="inlineStr">
        <is>
          <t>Одежда и аксессуары</t>
        </is>
      </c>
      <c r="D699" s="2" t="inlineStr">
        <is>
          <t>Купальники женские</t>
        </is>
      </c>
      <c r="E699" s="3" t="inlineStr">
        <is>
          <t>094 Купальник</t>
        </is>
      </c>
      <c r="F699" s="2" t="inlineStr">
        <is>
          <t>лето</t>
        </is>
      </c>
      <c r="G699" s="3" t="inlineStr">
        <is>
          <t>kari</t>
        </is>
      </c>
      <c r="H699" s="2" t="inlineStr">
        <is>
          <t>Никонорова Алина</t>
        </is>
      </c>
      <c r="J699" s="3" t="inlineStr">
        <is>
          <t>2026SS</t>
        </is>
      </c>
      <c r="K699" s="3" t="n">
        <v>2899</v>
      </c>
      <c r="L699" s="3" t="n">
        <v>1946</v>
      </c>
      <c r="M699" s="3" t="n">
        <v>13</v>
      </c>
      <c r="N699" s="4">
        <f>IFERROR(L699/K699,0)</f>
        <v/>
      </c>
      <c r="O699" s="4">
        <f>IFERROR(M699/L699,0)</f>
        <v/>
      </c>
      <c r="P699" t="n">
        <v>1726</v>
      </c>
      <c r="Q699" s="5" t="n">
        <v>0.6666666666666666</v>
      </c>
      <c r="R699" s="7" t="n">
        <v>1</v>
      </c>
      <c r="S699">
        <f>IF(OR(N699&lt;$T$1*0.5,O699&lt;$U$1*0.5),"код для проверки","нормальный код")</f>
        <v/>
      </c>
      <c r="T699">
        <f>IF(N699&lt;$T$1*0.5,"Низшая четверть",IF(N699&lt;$T$1,"Вторая четверть","Больше половины"))</f>
        <v/>
      </c>
      <c r="U699">
        <f>IF(O699&lt;$U$1*0.5,"Низшая четверть",IF(O699&lt;$U$1,"Вторая четверть","Больше половины"))</f>
        <v/>
      </c>
      <c r="V699">
        <f>IF(OR(N699&lt;SUMIFS(L:L,R:R,1,E:E,E699)/SUMIFS(K:K,R:R,1,E:E,E699)*0.5,O699&lt;SUMIFS(M:M,R:R,1,E:E,E699)/SUMIFS(L:L,R:R,1,E:E,E699)*0.5),"код для проверки","нормальный код")</f>
        <v/>
      </c>
      <c r="W699">
        <f>IF(N699&lt;SUMIFS(L:L,R:R,1,E:E,E699)/SUMIFS(K:K,R:R,1,E:E,E699)*0.5,"Низшая четверть",IF(N699&lt;SUMIFS(L:L,R:R,1,E:E,E699)/SUMIFS(K:K,R:R,1,E:E,E699),"Вторая четверть","Больше половины"))</f>
        <v/>
      </c>
      <c r="X699">
        <f>IF(O699&lt;SUMIFS(M:M,R:R,1,E:E,E699)/SUMIFS(L:L,R:R,1,E:E,E699)*0.5,"Низшая четверть",IF(O699&lt;SUMIFS(M:M,R:R,1,E:E,E699)/SUMIFS(L:L,R:R,1,E:E,E699),"Вторая четверть","Больше половины"))</f>
        <v/>
      </c>
      <c r="Y699" t="n">
        <v>22</v>
      </c>
    </row>
    <row r="700">
      <c r="A700" s="1" t="inlineStr">
        <is>
          <t>30900060</t>
        </is>
      </c>
      <c r="B700" s="2" t="inlineStr">
        <is>
          <t>732910141</t>
        </is>
      </c>
      <c r="C700" s="3" t="inlineStr">
        <is>
          <t>Одежда и аксессуары</t>
        </is>
      </c>
      <c r="D700" s="2" t="inlineStr">
        <is>
          <t>Брюки, шорты женские</t>
        </is>
      </c>
      <c r="E700" s="3" t="inlineStr">
        <is>
          <t>h81 Брюки летние женские</t>
        </is>
      </c>
      <c r="F700" s="2" t="inlineStr">
        <is>
          <t>лето</t>
        </is>
      </c>
      <c r="G700" s="3" t="inlineStr">
        <is>
          <t>kari</t>
        </is>
      </c>
      <c r="H700" s="2" t="n"/>
      <c r="J700" s="3" t="inlineStr">
        <is>
          <t>2026SS</t>
        </is>
      </c>
      <c r="K700" s="3" t="n">
        <v>2891</v>
      </c>
      <c r="L700" s="3" t="n">
        <v>277</v>
      </c>
      <c r="M700" s="3" t="n">
        <v>3</v>
      </c>
      <c r="N700" s="4">
        <f>IFERROR(L700/K700,0)</f>
        <v/>
      </c>
      <c r="O700" s="4">
        <f>IFERROR(M700/L700,0)</f>
        <v/>
      </c>
      <c r="P700" t="n">
        <v>357</v>
      </c>
      <c r="Q700" s="5" t="n">
        <v>1</v>
      </c>
      <c r="R700" s="7" t="n">
        <v>1</v>
      </c>
      <c r="S700">
        <f>IF(OR(N700&lt;$T$1*0.5,O700&lt;$U$1*0.5),"код для проверки","нормальный код")</f>
        <v/>
      </c>
      <c r="T700">
        <f>IF(N700&lt;$T$1*0.5,"Низшая четверть",IF(N700&lt;$T$1,"Вторая четверть","Больше половины"))</f>
        <v/>
      </c>
      <c r="U700">
        <f>IF(O700&lt;$U$1*0.5,"Низшая четверть",IF(O700&lt;$U$1,"Вторая четверть","Больше половины"))</f>
        <v/>
      </c>
      <c r="V700">
        <f>IF(OR(N700&lt;SUMIFS(L:L,R:R,1,E:E,E700)/SUMIFS(K:K,R:R,1,E:E,E700)*0.5,O700&lt;SUMIFS(M:M,R:R,1,E:E,E700)/SUMIFS(L:L,R:R,1,E:E,E700)*0.5),"код для проверки","нормальный код")</f>
        <v/>
      </c>
      <c r="W700">
        <f>IF(N700&lt;SUMIFS(L:L,R:R,1,E:E,E700)/SUMIFS(K:K,R:R,1,E:E,E700)*0.5,"Низшая четверть",IF(N700&lt;SUMIFS(L:L,R:R,1,E:E,E700)/SUMIFS(K:K,R:R,1,E:E,E700),"Вторая четверть","Больше половины"))</f>
        <v/>
      </c>
      <c r="X700">
        <f>IF(O700&lt;SUMIFS(M:M,R:R,1,E:E,E700)/SUMIFS(L:L,R:R,1,E:E,E700)*0.5,"Низшая четверть",IF(O700&lt;SUMIFS(M:M,R:R,1,E:E,E700)/SUMIFS(L:L,R:R,1,E:E,E700),"Вторая четверть","Больше половины"))</f>
        <v/>
      </c>
      <c r="Y700" t="n">
        <v>21</v>
      </c>
    </row>
    <row r="701">
      <c r="A701" s="1" t="inlineStr">
        <is>
          <t>19300440</t>
        </is>
      </c>
      <c r="B701" s="2" t="inlineStr">
        <is>
          <t>837332157</t>
        </is>
      </c>
      <c r="C701" s="3" t="inlineStr">
        <is>
          <t>Одежда для детей</t>
        </is>
      </c>
      <c r="D701" s="2" t="inlineStr">
        <is>
          <t>Брюки детские для мальчиков</t>
        </is>
      </c>
      <c r="E701" s="3" t="inlineStr">
        <is>
          <t>193 Шорты детские для мальчиков</t>
        </is>
      </c>
      <c r="F701" s="2" t="inlineStr">
        <is>
          <t>лето</t>
        </is>
      </c>
      <c r="G701" s="3" t="inlineStr">
        <is>
          <t>Kari KIDS</t>
        </is>
      </c>
      <c r="H701" s="2" t="inlineStr">
        <is>
          <t>Зиннуров Ильнур</t>
        </is>
      </c>
      <c r="J701" s="3" t="inlineStr">
        <is>
          <t>2026SS</t>
        </is>
      </c>
      <c r="K701" s="3" t="n">
        <v>2875</v>
      </c>
      <c r="L701" s="3" t="n">
        <v>360</v>
      </c>
      <c r="M701" s="3" t="n">
        <v>7</v>
      </c>
      <c r="N701" s="4">
        <f>IFERROR(L701/K701,0)</f>
        <v/>
      </c>
      <c r="O701" s="4">
        <f>IFERROR(M701/L701,0)</f>
        <v/>
      </c>
      <c r="P701" t="n">
        <v>472</v>
      </c>
      <c r="Q701" s="5" t="n">
        <v>1</v>
      </c>
      <c r="R701" s="7" t="n">
        <v>1</v>
      </c>
      <c r="S701">
        <f>IF(OR(N701&lt;$T$1*0.5,O701&lt;$U$1*0.5),"код для проверки","нормальный код")</f>
        <v/>
      </c>
      <c r="T701">
        <f>IF(N701&lt;$T$1*0.5,"Низшая четверть",IF(N701&lt;$T$1,"Вторая четверть","Больше половины"))</f>
        <v/>
      </c>
      <c r="U701">
        <f>IF(O701&lt;$U$1*0.5,"Низшая четверть",IF(O701&lt;$U$1,"Вторая четверть","Больше половины"))</f>
        <v/>
      </c>
      <c r="V701">
        <f>IF(OR(N701&lt;SUMIFS(L:L,R:R,1,E:E,E701)/SUMIFS(K:K,R:R,1,E:E,E701)*0.5,O701&lt;SUMIFS(M:M,R:R,1,E:E,E701)/SUMIFS(L:L,R:R,1,E:E,E701)*0.5),"код для проверки","нормальный код")</f>
        <v/>
      </c>
      <c r="W701">
        <f>IF(N701&lt;SUMIFS(L:L,R:R,1,E:E,E701)/SUMIFS(K:K,R:R,1,E:E,E701)*0.5,"Низшая четверть",IF(N701&lt;SUMIFS(L:L,R:R,1,E:E,E701)/SUMIFS(K:K,R:R,1,E:E,E701),"Вторая четверть","Больше половины"))</f>
        <v/>
      </c>
      <c r="X701">
        <f>IF(O701&lt;SUMIFS(M:M,R:R,1,E:E,E701)/SUMIFS(L:L,R:R,1,E:E,E701)*0.5,"Низшая четверть",IF(O701&lt;SUMIFS(M:M,R:R,1,E:E,E701)/SUMIFS(L:L,R:R,1,E:E,E701),"Вторая четверть","Больше половины"))</f>
        <v/>
      </c>
      <c r="Y701" t="n">
        <v>17</v>
      </c>
    </row>
    <row r="702">
      <c r="A702" s="1" t="inlineStr">
        <is>
          <t>18700080</t>
        </is>
      </c>
      <c r="B702" s="2" t="inlineStr">
        <is>
          <t>797255051</t>
        </is>
      </c>
      <c r="C702" s="3" t="inlineStr">
        <is>
          <t>Одежда и аксессуары</t>
        </is>
      </c>
      <c r="D702" s="2" t="inlineStr">
        <is>
          <t>Майки и платья женские</t>
        </is>
      </c>
      <c r="E702" s="3" t="inlineStr">
        <is>
          <t>187 Платье женское</t>
        </is>
      </c>
      <c r="F702" s="2" t="inlineStr">
        <is>
          <t>весна, лето</t>
        </is>
      </c>
      <c r="G702" s="3" t="inlineStr">
        <is>
          <t>kari</t>
        </is>
      </c>
      <c r="H702" s="2" t="inlineStr">
        <is>
          <t>Зиннуров Ильнур</t>
        </is>
      </c>
      <c r="J702" s="3" t="inlineStr">
        <is>
          <t>2026SS</t>
        </is>
      </c>
      <c r="K702" s="3" t="n">
        <v>2866</v>
      </c>
      <c r="L702" s="3" t="n">
        <v>152</v>
      </c>
      <c r="M702" s="3" t="n">
        <v>1</v>
      </c>
      <c r="N702" s="4">
        <f>IFERROR(L702/K702,0)</f>
        <v/>
      </c>
      <c r="O702" s="4">
        <f>IFERROR(M702/L702,0)</f>
        <v/>
      </c>
      <c r="P702" t="n">
        <v>379</v>
      </c>
      <c r="Q702" s="5" t="n">
        <v>1</v>
      </c>
      <c r="R702" s="7" t="n">
        <v>1</v>
      </c>
      <c r="S702">
        <f>IF(OR(N702&lt;$T$1*0.5,O702&lt;$U$1*0.5),"код для проверки","нормальный код")</f>
        <v/>
      </c>
      <c r="T702">
        <f>IF(N702&lt;$T$1*0.5,"Низшая четверть",IF(N702&lt;$T$1,"Вторая четверть","Больше половины"))</f>
        <v/>
      </c>
      <c r="U702">
        <f>IF(O702&lt;$U$1*0.5,"Низшая четверть",IF(O702&lt;$U$1,"Вторая четверть","Больше половины"))</f>
        <v/>
      </c>
      <c r="V702">
        <f>IF(OR(N702&lt;SUMIFS(L:L,R:R,1,E:E,E702)/SUMIFS(K:K,R:R,1,E:E,E702)*0.5,O702&lt;SUMIFS(M:M,R:R,1,E:E,E702)/SUMIFS(L:L,R:R,1,E:E,E702)*0.5),"код для проверки","нормальный код")</f>
        <v/>
      </c>
      <c r="W702">
        <f>IF(N702&lt;SUMIFS(L:L,R:R,1,E:E,E702)/SUMIFS(K:K,R:R,1,E:E,E702)*0.5,"Низшая четверть",IF(N702&lt;SUMIFS(L:L,R:R,1,E:E,E702)/SUMIFS(K:K,R:R,1,E:E,E702),"Вторая четверть","Больше половины"))</f>
        <v/>
      </c>
      <c r="X702">
        <f>IF(O702&lt;SUMIFS(M:M,R:R,1,E:E,E702)/SUMIFS(L:L,R:R,1,E:E,E702)*0.5,"Низшая четверть",IF(O702&lt;SUMIFS(M:M,R:R,1,E:E,E702)/SUMIFS(L:L,R:R,1,E:E,E702),"Вторая четверть","Больше половины"))</f>
        <v/>
      </c>
      <c r="Y702" t="n">
        <v>19</v>
      </c>
    </row>
    <row r="703">
      <c r="A703" s="1" t="inlineStr">
        <is>
          <t>96300040</t>
        </is>
      </c>
      <c r="B703" s="2" t="inlineStr">
        <is>
          <t>770505703</t>
        </is>
      </c>
      <c r="C703" s="3" t="inlineStr">
        <is>
          <t>Одежда для детей</t>
        </is>
      </c>
      <c r="D703" s="2" t="inlineStr">
        <is>
          <t>Одежда для новорожденных</t>
        </is>
      </c>
      <c r="E703" s="3" t="inlineStr">
        <is>
          <t>963 Сарафан для маленькой девочки</t>
        </is>
      </c>
      <c r="F703" s="2" t="inlineStr">
        <is>
          <t>лето</t>
        </is>
      </c>
      <c r="G703" s="3" t="inlineStr">
        <is>
          <t>Kari baby</t>
        </is>
      </c>
      <c r="H703" s="2" t="inlineStr">
        <is>
          <t>Зиннуров Ильнур</t>
        </is>
      </c>
      <c r="J703" s="3" t="inlineStr">
        <is>
          <t>2026SS</t>
        </is>
      </c>
      <c r="K703" s="3" t="n">
        <v>2859</v>
      </c>
      <c r="L703" s="3" t="n">
        <v>150</v>
      </c>
      <c r="M703" s="3" t="n">
        <v>2</v>
      </c>
      <c r="N703" s="4">
        <f>IFERROR(L703/K703,0)</f>
        <v/>
      </c>
      <c r="O703" s="4">
        <f>IFERROR(M703/L703,0)</f>
        <v/>
      </c>
      <c r="P703" t="n">
        <v>476</v>
      </c>
      <c r="Q703" s="5" t="n">
        <v>1</v>
      </c>
      <c r="R703" s="7" t="n">
        <v>1</v>
      </c>
      <c r="S703">
        <f>IF(OR(N703&lt;$T$1*0.5,O703&lt;$U$1*0.5),"код для проверки","нормальный код")</f>
        <v/>
      </c>
      <c r="T703">
        <f>IF(N703&lt;$T$1*0.5,"Низшая четверть",IF(N703&lt;$T$1,"Вторая четверть","Больше половины"))</f>
        <v/>
      </c>
      <c r="U703">
        <f>IF(O703&lt;$U$1*0.5,"Низшая четверть",IF(O703&lt;$U$1,"Вторая четверть","Больше половины"))</f>
        <v/>
      </c>
      <c r="V703">
        <f>IF(OR(N703&lt;SUMIFS(L:L,R:R,1,E:E,E703)/SUMIFS(K:K,R:R,1,E:E,E703)*0.5,O703&lt;SUMIFS(M:M,R:R,1,E:E,E703)/SUMIFS(L:L,R:R,1,E:E,E703)*0.5),"код для проверки","нормальный код")</f>
        <v/>
      </c>
      <c r="W703">
        <f>IF(N703&lt;SUMIFS(L:L,R:R,1,E:E,E703)/SUMIFS(K:K,R:R,1,E:E,E703)*0.5,"Низшая четверть",IF(N703&lt;SUMIFS(L:L,R:R,1,E:E,E703)/SUMIFS(K:K,R:R,1,E:E,E703),"Вторая четверть","Больше половины"))</f>
        <v/>
      </c>
      <c r="X703">
        <f>IF(O703&lt;SUMIFS(M:M,R:R,1,E:E,E703)/SUMIFS(L:L,R:R,1,E:E,E703)*0.5,"Низшая четверть",IF(O703&lt;SUMIFS(M:M,R:R,1,E:E,E703)/SUMIFS(L:L,R:R,1,E:E,E703),"Вторая четверть","Больше половины"))</f>
        <v/>
      </c>
      <c r="Y703" t="n">
        <v>8</v>
      </c>
    </row>
    <row r="704">
      <c r="A704" s="1" t="inlineStr">
        <is>
          <t>y9708190</t>
        </is>
      </c>
      <c r="B704" s="2" t="inlineStr">
        <is>
          <t>360618187</t>
        </is>
      </c>
      <c r="C704" s="3" t="inlineStr">
        <is>
          <t>Одежда и аксессуары</t>
        </is>
      </c>
      <c r="D704" s="2" t="inlineStr">
        <is>
          <t>Футболки, рубашки мужские</t>
        </is>
      </c>
      <c r="E704" s="3" t="inlineStr">
        <is>
          <t>h10 Футболка мужская</t>
        </is>
      </c>
      <c r="F704" s="2" t="inlineStr">
        <is>
          <t>всесезонный</t>
        </is>
      </c>
      <c r="G704" s="3" t="inlineStr">
        <is>
          <t>kari</t>
        </is>
      </c>
      <c r="H704" s="2" t="inlineStr">
        <is>
          <t>Зиннуров Ильнур</t>
        </is>
      </c>
      <c r="J704" s="3" t="inlineStr">
        <is>
          <t>2026SS</t>
        </is>
      </c>
      <c r="K704" s="3" t="n">
        <v>2857</v>
      </c>
      <c r="L704" s="3" t="n">
        <v>72</v>
      </c>
      <c r="M704" s="3" t="n">
        <v>3</v>
      </c>
      <c r="N704" s="4">
        <f>IFERROR(L704/K704,0)</f>
        <v/>
      </c>
      <c r="O704" s="4">
        <f>IFERROR(M704/L704,0)</f>
        <v/>
      </c>
      <c r="P704" t="n">
        <v>29</v>
      </c>
      <c r="Q704" s="5" t="n">
        <v>0.4</v>
      </c>
      <c r="R704" s="7" t="n">
        <v>1</v>
      </c>
      <c r="S704">
        <f>IF(OR(N704&lt;$T$1*0.5,O704&lt;$U$1*0.5),"код для проверки","нормальный код")</f>
        <v/>
      </c>
      <c r="T704">
        <f>IF(N704&lt;$T$1*0.5,"Низшая четверть",IF(N704&lt;$T$1,"Вторая четверть","Больше половины"))</f>
        <v/>
      </c>
      <c r="U704">
        <f>IF(O704&lt;$U$1*0.5,"Низшая четверть",IF(O704&lt;$U$1,"Вторая четверть","Больше половины"))</f>
        <v/>
      </c>
      <c r="V704">
        <f>IF(OR(N704&lt;SUMIFS(L:L,R:R,1,E:E,E704)/SUMIFS(K:K,R:R,1,E:E,E704)*0.5,O704&lt;SUMIFS(M:M,R:R,1,E:E,E704)/SUMIFS(L:L,R:R,1,E:E,E704)*0.5),"код для проверки","нормальный код")</f>
        <v/>
      </c>
      <c r="W704">
        <f>IF(N704&lt;SUMIFS(L:L,R:R,1,E:E,E704)/SUMIFS(K:K,R:R,1,E:E,E704)*0.5,"Низшая четверть",IF(N704&lt;SUMIFS(L:L,R:R,1,E:E,E704)/SUMIFS(K:K,R:R,1,E:E,E704),"Вторая четверть","Больше половины"))</f>
        <v/>
      </c>
      <c r="X704">
        <f>IF(O704&lt;SUMIFS(M:M,R:R,1,E:E,E704)/SUMIFS(L:L,R:R,1,E:E,E704)*0.5,"Низшая четверть",IF(O704&lt;SUMIFS(M:M,R:R,1,E:E,E704)/SUMIFS(L:L,R:R,1,E:E,E704),"Вторая четверть","Больше половины"))</f>
        <v/>
      </c>
      <c r="Y704" t="n">
        <v>12</v>
      </c>
    </row>
    <row r="705">
      <c r="A705" s="1" t="inlineStr">
        <is>
          <t>310003O0</t>
        </is>
      </c>
      <c r="B705" s="2" t="inlineStr">
        <is>
          <t>788315523</t>
        </is>
      </c>
      <c r="C705" s="3" t="inlineStr">
        <is>
          <t>Одежда для детей</t>
        </is>
      </c>
      <c r="D705" s="2" t="inlineStr">
        <is>
          <t>Футболки, майки, рубашки детские для мальчиков</t>
        </is>
      </c>
      <c r="E705" s="3" t="inlineStr">
        <is>
          <t>310 Футболка детская для мальчиков</t>
        </is>
      </c>
      <c r="F705" s="2" t="inlineStr">
        <is>
          <t>всесезонный</t>
        </is>
      </c>
      <c r="G705" s="3" t="inlineStr">
        <is>
          <t>kari</t>
        </is>
      </c>
      <c r="H705" s="2" t="inlineStr">
        <is>
          <t>Зиннуров Ильнур</t>
        </is>
      </c>
      <c r="J705" s="3" t="inlineStr">
        <is>
          <t>2026SS</t>
        </is>
      </c>
      <c r="K705" s="3" t="n">
        <v>2857</v>
      </c>
      <c r="L705" s="3" t="n">
        <v>1975</v>
      </c>
      <c r="M705" s="3" t="n">
        <v>15</v>
      </c>
      <c r="N705" s="4">
        <f>IFERROR(L705/K705,0)</f>
        <v/>
      </c>
      <c r="O705" s="4">
        <f>IFERROR(M705/L705,0)</f>
        <v/>
      </c>
      <c r="P705" t="n">
        <v>317</v>
      </c>
      <c r="Q705" s="5" t="n">
        <v>1</v>
      </c>
      <c r="R705" s="7" t="n">
        <v>1</v>
      </c>
      <c r="S705">
        <f>IF(OR(N705&lt;$T$1*0.5,O705&lt;$U$1*0.5),"код для проверки","нормальный код")</f>
        <v/>
      </c>
      <c r="T705">
        <f>IF(N705&lt;$T$1*0.5,"Низшая четверть",IF(N705&lt;$T$1,"Вторая четверть","Больше половины"))</f>
        <v/>
      </c>
      <c r="U705">
        <f>IF(O705&lt;$U$1*0.5,"Низшая четверть",IF(O705&lt;$U$1,"Вторая четверть","Больше половины"))</f>
        <v/>
      </c>
      <c r="V705">
        <f>IF(OR(N705&lt;SUMIFS(L:L,R:R,1,E:E,E705)/SUMIFS(K:K,R:R,1,E:E,E705)*0.5,O705&lt;SUMIFS(M:M,R:R,1,E:E,E705)/SUMIFS(L:L,R:R,1,E:E,E705)*0.5),"код для проверки","нормальный код")</f>
        <v/>
      </c>
      <c r="W705">
        <f>IF(N705&lt;SUMIFS(L:L,R:R,1,E:E,E705)/SUMIFS(K:K,R:R,1,E:E,E705)*0.5,"Низшая четверть",IF(N705&lt;SUMIFS(L:L,R:R,1,E:E,E705)/SUMIFS(K:K,R:R,1,E:E,E705),"Вторая четверть","Больше половины"))</f>
        <v/>
      </c>
      <c r="X705">
        <f>IF(O705&lt;SUMIFS(M:M,R:R,1,E:E,E705)/SUMIFS(L:L,R:R,1,E:E,E705)*0.5,"Низшая четверть",IF(O705&lt;SUMIFS(M:M,R:R,1,E:E,E705)/SUMIFS(L:L,R:R,1,E:E,E705),"Вторая четверть","Больше половины"))</f>
        <v/>
      </c>
      <c r="Y705" t="n">
        <v>16</v>
      </c>
    </row>
    <row r="706">
      <c r="A706" s="1" t="inlineStr">
        <is>
          <t>19600080</t>
        </is>
      </c>
      <c r="B706" s="2" t="inlineStr">
        <is>
          <t>799656557</t>
        </is>
      </c>
      <c r="C706" s="3" t="inlineStr">
        <is>
          <t>Одежда и аксессуары</t>
        </is>
      </c>
      <c r="D706" s="2" t="inlineStr">
        <is>
          <t>Майки и платья женские</t>
        </is>
      </c>
      <c r="E706" s="3" t="inlineStr">
        <is>
          <t>196 Майка женская</t>
        </is>
      </c>
      <c r="F706" s="2" t="inlineStr">
        <is>
          <t>всесезонный</t>
        </is>
      </c>
      <c r="G706" s="3" t="inlineStr">
        <is>
          <t>kari</t>
        </is>
      </c>
      <c r="H706" s="2" t="inlineStr">
        <is>
          <t>Зиннуров Ильнур</t>
        </is>
      </c>
      <c r="J706" s="3" t="inlineStr">
        <is>
          <t>2026SS</t>
        </is>
      </c>
      <c r="K706" s="3" t="n">
        <v>2848</v>
      </c>
      <c r="L706" s="3" t="n">
        <v>218</v>
      </c>
      <c r="M706" s="3" t="n">
        <v>9</v>
      </c>
      <c r="N706" s="4">
        <f>IFERROR(L706/K706,0)</f>
        <v/>
      </c>
      <c r="O706" s="4">
        <f>IFERROR(M706/L706,0)</f>
        <v/>
      </c>
      <c r="P706" t="n">
        <v>567</v>
      </c>
      <c r="Q706" s="5" t="n">
        <v>1</v>
      </c>
      <c r="R706" s="7" t="n">
        <v>1</v>
      </c>
      <c r="S706">
        <f>IF(OR(N706&lt;$T$1*0.5,O706&lt;$U$1*0.5),"код для проверки","нормальный код")</f>
        <v/>
      </c>
      <c r="T706">
        <f>IF(N706&lt;$T$1*0.5,"Низшая четверть",IF(N706&lt;$T$1,"Вторая четверть","Больше половины"))</f>
        <v/>
      </c>
      <c r="U706">
        <f>IF(O706&lt;$U$1*0.5,"Низшая четверть",IF(O706&lt;$U$1,"Вторая четверть","Больше половины"))</f>
        <v/>
      </c>
      <c r="V706">
        <f>IF(OR(N706&lt;SUMIFS(L:L,R:R,1,E:E,E706)/SUMIFS(K:K,R:R,1,E:E,E706)*0.5,O706&lt;SUMIFS(M:M,R:R,1,E:E,E706)/SUMIFS(L:L,R:R,1,E:E,E706)*0.5),"код для проверки","нормальный код")</f>
        <v/>
      </c>
      <c r="W706">
        <f>IF(N706&lt;SUMIFS(L:L,R:R,1,E:E,E706)/SUMIFS(K:K,R:R,1,E:E,E706)*0.5,"Низшая четверть",IF(N706&lt;SUMIFS(L:L,R:R,1,E:E,E706)/SUMIFS(K:K,R:R,1,E:E,E706),"Вторая четверть","Больше половины"))</f>
        <v/>
      </c>
      <c r="X706">
        <f>IF(O706&lt;SUMIFS(M:M,R:R,1,E:E,E706)/SUMIFS(L:L,R:R,1,E:E,E706)*0.5,"Низшая четверть",IF(O706&lt;SUMIFS(M:M,R:R,1,E:E,E706)/SUMIFS(L:L,R:R,1,E:E,E706),"Вторая четверть","Больше половины"))</f>
        <v/>
      </c>
      <c r="Y706" t="n">
        <v>18</v>
      </c>
    </row>
    <row r="707">
      <c r="A707" s="1" t="inlineStr">
        <is>
          <t>a6200010</t>
        </is>
      </c>
      <c r="B707" s="2" t="inlineStr">
        <is>
          <t>708417644</t>
        </is>
      </c>
      <c r="C707" s="3" t="inlineStr">
        <is>
          <t>Одежда для детей</t>
        </is>
      </c>
      <c r="D707" s="2" t="inlineStr">
        <is>
          <t>Брюки детские для девочек</t>
        </is>
      </c>
      <c r="E707" s="3" t="inlineStr">
        <is>
          <t>a62 Треггинсы детские для девочек</t>
        </is>
      </c>
      <c r="F707" s="2" t="inlineStr">
        <is>
          <t>весна, осень, зима</t>
        </is>
      </c>
      <c r="G707" s="3" t="inlineStr">
        <is>
          <t>Kari KIDS</t>
        </is>
      </c>
      <c r="H707" s="2" t="inlineStr">
        <is>
          <t>Зиннуров Ильнур</t>
        </is>
      </c>
      <c r="J707" s="3" t="inlineStr">
        <is>
          <t>2026SS</t>
        </is>
      </c>
      <c r="K707" s="3" t="n">
        <v>2846</v>
      </c>
      <c r="L707" s="3" t="n">
        <v>421</v>
      </c>
      <c r="M707" s="3" t="n">
        <v>9</v>
      </c>
      <c r="N707" s="4">
        <f>IFERROR(L707/K707,0)</f>
        <v/>
      </c>
      <c r="O707" s="4">
        <f>IFERROR(M707/L707,0)</f>
        <v/>
      </c>
      <c r="P707" t="n">
        <v>171</v>
      </c>
      <c r="Q707" s="5" t="n">
        <v>0.6</v>
      </c>
      <c r="R707" s="7" t="n">
        <v>1</v>
      </c>
      <c r="S707">
        <f>IF(OR(N707&lt;$T$1*0.5,O707&lt;$U$1*0.5),"код для проверки","нормальный код")</f>
        <v/>
      </c>
      <c r="T707">
        <f>IF(N707&lt;$T$1*0.5,"Низшая четверть",IF(N707&lt;$T$1,"Вторая четверть","Больше половины"))</f>
        <v/>
      </c>
      <c r="U707">
        <f>IF(O707&lt;$U$1*0.5,"Низшая четверть",IF(O707&lt;$U$1,"Вторая четверть","Больше половины"))</f>
        <v/>
      </c>
      <c r="V707">
        <f>IF(OR(N707&lt;SUMIFS(L:L,R:R,1,E:E,E707)/SUMIFS(K:K,R:R,1,E:E,E707)*0.5,O707&lt;SUMIFS(M:M,R:R,1,E:E,E707)/SUMIFS(L:L,R:R,1,E:E,E707)*0.5),"код для проверки","нормальный код")</f>
        <v/>
      </c>
      <c r="W707">
        <f>IF(N707&lt;SUMIFS(L:L,R:R,1,E:E,E707)/SUMIFS(K:K,R:R,1,E:E,E707)*0.5,"Низшая четверть",IF(N707&lt;SUMIFS(L:L,R:R,1,E:E,E707)/SUMIFS(K:K,R:R,1,E:E,E707),"Вторая четверть","Больше половины"))</f>
        <v/>
      </c>
      <c r="X707">
        <f>IF(O707&lt;SUMIFS(M:M,R:R,1,E:E,E707)/SUMIFS(L:L,R:R,1,E:E,E707)*0.5,"Низшая четверть",IF(O707&lt;SUMIFS(M:M,R:R,1,E:E,E707)/SUMIFS(L:L,R:R,1,E:E,E707),"Вторая четверть","Больше половины"))</f>
        <v/>
      </c>
      <c r="Y707" t="n">
        <v>14</v>
      </c>
    </row>
    <row r="708">
      <c r="A708" s="1" t="inlineStr">
        <is>
          <t>19800010</t>
        </is>
      </c>
      <c r="B708" s="2" t="inlineStr">
        <is>
          <t>701479495</t>
        </is>
      </c>
      <c r="C708" s="3" t="inlineStr">
        <is>
          <t>Одежда и аксессуары</t>
        </is>
      </c>
      <c r="D708" s="2" t="inlineStr">
        <is>
          <t>Майки и платья женские</t>
        </is>
      </c>
      <c r="E708" s="3" t="inlineStr">
        <is>
          <t>198 Топ женский</t>
        </is>
      </c>
      <c r="F708" s="2" t="inlineStr">
        <is>
          <t>лето</t>
        </is>
      </c>
      <c r="G708" s="3" t="inlineStr">
        <is>
          <t>kari</t>
        </is>
      </c>
      <c r="H708" s="2" t="inlineStr">
        <is>
          <t>Зиннуров Ильнур</t>
        </is>
      </c>
      <c r="J708" s="3" t="inlineStr">
        <is>
          <t>2026SS</t>
        </is>
      </c>
      <c r="K708" s="3" t="n">
        <v>2845</v>
      </c>
      <c r="L708" s="3" t="n">
        <v>110</v>
      </c>
      <c r="M708" s="3" t="n">
        <v>3</v>
      </c>
      <c r="N708" s="4">
        <f>IFERROR(L708/K708,0)</f>
        <v/>
      </c>
      <c r="O708" s="4">
        <f>IFERROR(M708/L708,0)</f>
        <v/>
      </c>
      <c r="P708" t="n">
        <v>706</v>
      </c>
      <c r="Q708" s="5" t="n">
        <v>1</v>
      </c>
      <c r="R708" s="7" t="n">
        <v>1</v>
      </c>
      <c r="S708">
        <f>IF(OR(N708&lt;$T$1*0.5,O708&lt;$U$1*0.5),"код для проверки","нормальный код")</f>
        <v/>
      </c>
      <c r="T708">
        <f>IF(N708&lt;$T$1*0.5,"Низшая четверть",IF(N708&lt;$T$1,"Вторая четверть","Больше половины"))</f>
        <v/>
      </c>
      <c r="U708">
        <f>IF(O708&lt;$U$1*0.5,"Низшая четверть",IF(O708&lt;$U$1,"Вторая четверть","Больше половины"))</f>
        <v/>
      </c>
      <c r="V708">
        <f>IF(OR(N708&lt;SUMIFS(L:L,R:R,1,E:E,E708)/SUMIFS(K:K,R:R,1,E:E,E708)*0.5,O708&lt;SUMIFS(M:M,R:R,1,E:E,E708)/SUMIFS(L:L,R:R,1,E:E,E708)*0.5),"код для проверки","нормальный код")</f>
        <v/>
      </c>
      <c r="W708">
        <f>IF(N708&lt;SUMIFS(L:L,R:R,1,E:E,E708)/SUMIFS(K:K,R:R,1,E:E,E708)*0.5,"Низшая четверть",IF(N708&lt;SUMIFS(L:L,R:R,1,E:E,E708)/SUMIFS(K:K,R:R,1,E:E,E708),"Вторая четверть","Больше половины"))</f>
        <v/>
      </c>
      <c r="X708">
        <f>IF(O708&lt;SUMIFS(M:M,R:R,1,E:E,E708)/SUMIFS(L:L,R:R,1,E:E,E708)*0.5,"Низшая четверть",IF(O708&lt;SUMIFS(M:M,R:R,1,E:E,E708)/SUMIFS(L:L,R:R,1,E:E,E708),"Вторая четверть","Больше половины"))</f>
        <v/>
      </c>
      <c r="Y708" t="n">
        <v>26</v>
      </c>
    </row>
    <row r="709">
      <c r="A709" s="1" t="inlineStr">
        <is>
          <t>a7700010</t>
        </is>
      </c>
      <c r="B709" s="2" t="inlineStr">
        <is>
          <t>695216115</t>
        </is>
      </c>
      <c r="C709" s="3" t="inlineStr">
        <is>
          <t>Одежда для детей</t>
        </is>
      </c>
      <c r="D709" s="2" t="inlineStr">
        <is>
          <t>Свитера детские для мальчиков</t>
        </is>
      </c>
      <c r="E709" s="3" t="inlineStr">
        <is>
          <t>a77 Толстовка-худи утепленная для мальчиков</t>
        </is>
      </c>
      <c r="F709" s="2" t="inlineStr">
        <is>
          <t>весна, осень, зима</t>
        </is>
      </c>
      <c r="G709" s="3" t="inlineStr">
        <is>
          <t>Kari KIDS</t>
        </is>
      </c>
      <c r="H709" s="2" t="inlineStr">
        <is>
          <t>Зиннуров Ильнур</t>
        </is>
      </c>
      <c r="J709" s="3" t="inlineStr">
        <is>
          <t>2026SS</t>
        </is>
      </c>
      <c r="K709" s="3" t="n">
        <v>2824</v>
      </c>
      <c r="L709" s="3" t="n">
        <v>428</v>
      </c>
      <c r="M709" s="3" t="n">
        <v>5</v>
      </c>
      <c r="N709" s="4">
        <f>IFERROR(L709/K709,0)</f>
        <v/>
      </c>
      <c r="O709" s="4">
        <f>IFERROR(M709/L709,0)</f>
        <v/>
      </c>
      <c r="P709" t="n">
        <v>96</v>
      </c>
      <c r="Q709" s="5" t="n">
        <v>0.6</v>
      </c>
      <c r="R709" s="7" t="n">
        <v>1</v>
      </c>
      <c r="S709">
        <f>IF(OR(N709&lt;$T$1*0.5,O709&lt;$U$1*0.5),"код для проверки","нормальный код")</f>
        <v/>
      </c>
      <c r="T709">
        <f>IF(N709&lt;$T$1*0.5,"Низшая четверть",IF(N709&lt;$T$1,"Вторая четверть","Больше половины"))</f>
        <v/>
      </c>
      <c r="U709">
        <f>IF(O709&lt;$U$1*0.5,"Низшая четверть",IF(O709&lt;$U$1,"Вторая четверть","Больше половины"))</f>
        <v/>
      </c>
      <c r="V709">
        <f>IF(OR(N709&lt;SUMIFS(L:L,R:R,1,E:E,E709)/SUMIFS(K:K,R:R,1,E:E,E709)*0.5,O709&lt;SUMIFS(M:M,R:R,1,E:E,E709)/SUMIFS(L:L,R:R,1,E:E,E709)*0.5),"код для проверки","нормальный код")</f>
        <v/>
      </c>
      <c r="W709">
        <f>IF(N709&lt;SUMIFS(L:L,R:R,1,E:E,E709)/SUMIFS(K:K,R:R,1,E:E,E709)*0.5,"Низшая четверть",IF(N709&lt;SUMIFS(L:L,R:R,1,E:E,E709)/SUMIFS(K:K,R:R,1,E:E,E709),"Вторая четверть","Больше половины"))</f>
        <v/>
      </c>
      <c r="X709">
        <f>IF(O709&lt;SUMIFS(M:M,R:R,1,E:E,E709)/SUMIFS(L:L,R:R,1,E:E,E709)*0.5,"Низшая четверть",IF(O709&lt;SUMIFS(M:M,R:R,1,E:E,E709)/SUMIFS(L:L,R:R,1,E:E,E709),"Вторая четверть","Больше половины"))</f>
        <v/>
      </c>
      <c r="Y709" t="n">
        <v>23</v>
      </c>
    </row>
    <row r="710">
      <c r="A710" s="1" t="inlineStr">
        <is>
          <t>a6000040</t>
        </is>
      </c>
      <c r="B710" s="2" t="inlineStr">
        <is>
          <t>708049667</t>
        </is>
      </c>
      <c r="C710" s="3" t="inlineStr">
        <is>
          <t>Одежда для детей</t>
        </is>
      </c>
      <c r="D710" s="2" t="inlineStr">
        <is>
          <t>Платья, майки, футболки детские для девочек</t>
        </is>
      </c>
      <c r="E710" s="3" t="inlineStr">
        <is>
          <t>a60 Футболка детская для девочек</t>
        </is>
      </c>
      <c r="F710" s="2" t="inlineStr">
        <is>
          <t>всесезонный</t>
        </is>
      </c>
      <c r="G710" s="3" t="inlineStr">
        <is>
          <t>kari</t>
        </is>
      </c>
      <c r="H710" s="2" t="inlineStr">
        <is>
          <t>Зиннуров Ильнур</t>
        </is>
      </c>
      <c r="J710" s="3" t="inlineStr">
        <is>
          <t>2026SS</t>
        </is>
      </c>
      <c r="K710" s="3" t="n">
        <v>2818</v>
      </c>
      <c r="L710" s="3" t="n">
        <v>872</v>
      </c>
      <c r="M710" s="3" t="n">
        <v>4</v>
      </c>
      <c r="N710" s="4">
        <f>IFERROR(L710/K710,0)</f>
        <v/>
      </c>
      <c r="O710" s="4">
        <f>IFERROR(M710/L710,0)</f>
        <v/>
      </c>
      <c r="P710" t="n">
        <v>356</v>
      </c>
      <c r="Q710" s="5" t="n">
        <v>1</v>
      </c>
      <c r="R710" s="7" t="n">
        <v>1</v>
      </c>
      <c r="S710">
        <f>IF(OR(N710&lt;$T$1*0.5,O710&lt;$U$1*0.5),"код для проверки","нормальный код")</f>
        <v/>
      </c>
      <c r="T710">
        <f>IF(N710&lt;$T$1*0.5,"Низшая четверть",IF(N710&lt;$T$1,"Вторая четверть","Больше половины"))</f>
        <v/>
      </c>
      <c r="U710">
        <f>IF(O710&lt;$U$1*0.5,"Низшая четверть",IF(O710&lt;$U$1,"Вторая четверть","Больше половины"))</f>
        <v/>
      </c>
      <c r="V710">
        <f>IF(OR(N710&lt;SUMIFS(L:L,R:R,1,E:E,E710)/SUMIFS(K:K,R:R,1,E:E,E710)*0.5,O710&lt;SUMIFS(M:M,R:R,1,E:E,E710)/SUMIFS(L:L,R:R,1,E:E,E710)*0.5),"код для проверки","нормальный код")</f>
        <v/>
      </c>
      <c r="W710">
        <f>IF(N710&lt;SUMIFS(L:L,R:R,1,E:E,E710)/SUMIFS(K:K,R:R,1,E:E,E710)*0.5,"Низшая четверть",IF(N710&lt;SUMIFS(L:L,R:R,1,E:E,E710)/SUMIFS(K:K,R:R,1,E:E,E710),"Вторая четверть","Больше половины"))</f>
        <v/>
      </c>
      <c r="X710">
        <f>IF(O710&lt;SUMIFS(M:M,R:R,1,E:E,E710)/SUMIFS(L:L,R:R,1,E:E,E710)*0.5,"Низшая четверть",IF(O710&lt;SUMIFS(M:M,R:R,1,E:E,E710)/SUMIFS(L:L,R:R,1,E:E,E710),"Вторая четверть","Больше половины"))</f>
        <v/>
      </c>
      <c r="Y710" t="n">
        <v>10</v>
      </c>
    </row>
    <row r="711">
      <c r="A711" s="1" t="inlineStr">
        <is>
          <t>a7700040</t>
        </is>
      </c>
      <c r="B711" s="2" t="inlineStr">
        <is>
          <t>772678776</t>
        </is>
      </c>
      <c r="C711" s="3" t="inlineStr">
        <is>
          <t>Одежда для детей</t>
        </is>
      </c>
      <c r="D711" s="2" t="inlineStr">
        <is>
          <t>Свитера детские для мальчиков</t>
        </is>
      </c>
      <c r="E711" s="3" t="inlineStr">
        <is>
          <t>a77 Толстовка-худи утепленная для мальчиков</t>
        </is>
      </c>
      <c r="F711" s="2" t="inlineStr">
        <is>
          <t>весна, осень, зима</t>
        </is>
      </c>
      <c r="G711" s="3" t="inlineStr">
        <is>
          <t>kari</t>
        </is>
      </c>
      <c r="H711" s="2" t="inlineStr">
        <is>
          <t>Зиннуров Ильнур</t>
        </is>
      </c>
      <c r="J711" s="3" t="inlineStr">
        <is>
          <t>2026SS</t>
        </is>
      </c>
      <c r="K711" s="3" t="n">
        <v>2801</v>
      </c>
      <c r="L711" s="3" t="n">
        <v>214</v>
      </c>
      <c r="M711" s="3" t="n">
        <v>3</v>
      </c>
      <c r="N711" s="4">
        <f>IFERROR(L711/K711,0)</f>
        <v/>
      </c>
      <c r="O711" s="4">
        <f>IFERROR(M711/L711,0)</f>
        <v/>
      </c>
      <c r="P711" t="n">
        <v>154</v>
      </c>
      <c r="Q711" s="5" t="n">
        <v>1</v>
      </c>
      <c r="R711" s="7" t="n">
        <v>1</v>
      </c>
      <c r="S711">
        <f>IF(OR(N711&lt;$T$1*0.5,O711&lt;$U$1*0.5),"код для проверки","нормальный код")</f>
        <v/>
      </c>
      <c r="T711">
        <f>IF(N711&lt;$T$1*0.5,"Низшая четверть",IF(N711&lt;$T$1,"Вторая четверть","Больше половины"))</f>
        <v/>
      </c>
      <c r="U711">
        <f>IF(O711&lt;$U$1*0.5,"Низшая четверть",IF(O711&lt;$U$1,"Вторая четверть","Больше половины"))</f>
        <v/>
      </c>
      <c r="V711">
        <f>IF(OR(N711&lt;SUMIFS(L:L,R:R,1,E:E,E711)/SUMIFS(K:K,R:R,1,E:E,E711)*0.5,O711&lt;SUMIFS(M:M,R:R,1,E:E,E711)/SUMIFS(L:L,R:R,1,E:E,E711)*0.5),"код для проверки","нормальный код")</f>
        <v/>
      </c>
      <c r="W711">
        <f>IF(N711&lt;SUMIFS(L:L,R:R,1,E:E,E711)/SUMIFS(K:K,R:R,1,E:E,E711)*0.5,"Низшая четверть",IF(N711&lt;SUMIFS(L:L,R:R,1,E:E,E711)/SUMIFS(K:K,R:R,1,E:E,E711),"Вторая четверть","Больше половины"))</f>
        <v/>
      </c>
      <c r="X711">
        <f>IF(O711&lt;SUMIFS(M:M,R:R,1,E:E,E711)/SUMIFS(L:L,R:R,1,E:E,E711)*0.5,"Низшая четверть",IF(O711&lt;SUMIFS(M:M,R:R,1,E:E,E711)/SUMIFS(L:L,R:R,1,E:E,E711),"Вторая четверть","Больше половины"))</f>
        <v/>
      </c>
      <c r="Y711" t="n">
        <v>14</v>
      </c>
    </row>
    <row r="712">
      <c r="A712" s="1" t="inlineStr">
        <is>
          <t>h7700120</t>
        </is>
      </c>
      <c r="B712" s="2" t="inlineStr">
        <is>
          <t>806627305</t>
        </is>
      </c>
      <c r="C712" s="3" t="inlineStr">
        <is>
          <t>Одежда и аксессуары</t>
        </is>
      </c>
      <c r="D712" s="2" t="inlineStr">
        <is>
          <t>Купальники женские</t>
        </is>
      </c>
      <c r="E712" s="3" t="inlineStr">
        <is>
          <t>h77 Одежда пляжная женская</t>
        </is>
      </c>
      <c r="F712" s="2" t="inlineStr">
        <is>
          <t>лето</t>
        </is>
      </c>
      <c r="G712" s="3" t="inlineStr">
        <is>
          <t>kari</t>
        </is>
      </c>
      <c r="H712" s="2" t="inlineStr">
        <is>
          <t>Зиннуров Ильнур</t>
        </is>
      </c>
      <c r="J712" s="3" t="inlineStr">
        <is>
          <t>2026SS</t>
        </is>
      </c>
      <c r="K712" s="3" t="n">
        <v>2801</v>
      </c>
      <c r="L712" s="3" t="n">
        <v>633</v>
      </c>
      <c r="M712" s="3" t="n">
        <v>3</v>
      </c>
      <c r="N712" s="4">
        <f>IFERROR(L712/K712,0)</f>
        <v/>
      </c>
      <c r="O712" s="4">
        <f>IFERROR(M712/L712,0)</f>
        <v/>
      </c>
      <c r="P712" t="n">
        <v>816</v>
      </c>
      <c r="Q712" s="5" t="n">
        <v>1</v>
      </c>
      <c r="R712" s="7" t="n">
        <v>1</v>
      </c>
      <c r="S712">
        <f>IF(OR(N712&lt;$T$1*0.5,O712&lt;$U$1*0.5),"код для проверки","нормальный код")</f>
        <v/>
      </c>
      <c r="T712">
        <f>IF(N712&lt;$T$1*0.5,"Низшая четверть",IF(N712&lt;$T$1,"Вторая четверть","Больше половины"))</f>
        <v/>
      </c>
      <c r="U712">
        <f>IF(O712&lt;$U$1*0.5,"Низшая четверть",IF(O712&lt;$U$1,"Вторая четверть","Больше половины"))</f>
        <v/>
      </c>
      <c r="V712">
        <f>IF(OR(N712&lt;SUMIFS(L:L,R:R,1,E:E,E712)/SUMIFS(K:K,R:R,1,E:E,E712)*0.5,O712&lt;SUMIFS(M:M,R:R,1,E:E,E712)/SUMIFS(L:L,R:R,1,E:E,E712)*0.5),"код для проверки","нормальный код")</f>
        <v/>
      </c>
      <c r="W712">
        <f>IF(N712&lt;SUMIFS(L:L,R:R,1,E:E,E712)/SUMIFS(K:K,R:R,1,E:E,E712)*0.5,"Низшая четверть",IF(N712&lt;SUMIFS(L:L,R:R,1,E:E,E712)/SUMIFS(K:K,R:R,1,E:E,E712),"Вторая четверть","Больше половины"))</f>
        <v/>
      </c>
      <c r="X712">
        <f>IF(O712&lt;SUMIFS(M:M,R:R,1,E:E,E712)/SUMIFS(L:L,R:R,1,E:E,E712)*0.5,"Низшая четверть",IF(O712&lt;SUMIFS(M:M,R:R,1,E:E,E712)/SUMIFS(L:L,R:R,1,E:E,E712),"Вторая четверть","Больше половины"))</f>
        <v/>
      </c>
      <c r="Y712" t="n">
        <v>8</v>
      </c>
    </row>
    <row r="713">
      <c r="A713" s="1" t="inlineStr">
        <is>
          <t>h7700110</t>
        </is>
      </c>
      <c r="B713" s="2" t="inlineStr">
        <is>
          <t>776192673</t>
        </is>
      </c>
      <c r="C713" s="3" t="inlineStr">
        <is>
          <t>Одежда и аксессуары</t>
        </is>
      </c>
      <c r="D713" s="2" t="inlineStr">
        <is>
          <t>Купальники женские</t>
        </is>
      </c>
      <c r="E713" s="3" t="inlineStr">
        <is>
          <t>h77 Одежда пляжная женская</t>
        </is>
      </c>
      <c r="F713" s="2" t="inlineStr">
        <is>
          <t>лето</t>
        </is>
      </c>
      <c r="G713" s="3" t="inlineStr">
        <is>
          <t>kari</t>
        </is>
      </c>
      <c r="H713" s="2" t="inlineStr">
        <is>
          <t>Зиннуров Ильнур</t>
        </is>
      </c>
      <c r="J713" s="3" t="inlineStr">
        <is>
          <t>2026SS</t>
        </is>
      </c>
      <c r="K713" s="3" t="n">
        <v>2800</v>
      </c>
      <c r="L713" s="3" t="n">
        <v>485</v>
      </c>
      <c r="M713" s="3" t="n">
        <v>25</v>
      </c>
      <c r="N713" s="4">
        <f>IFERROR(L713/K713,0)</f>
        <v/>
      </c>
      <c r="O713" s="4">
        <f>IFERROR(M713/L713,0)</f>
        <v/>
      </c>
      <c r="P713" t="n">
        <v>936</v>
      </c>
      <c r="Q713" s="5" t="n">
        <v>1</v>
      </c>
      <c r="R713" s="7" t="n">
        <v>1</v>
      </c>
      <c r="S713">
        <f>IF(OR(N713&lt;$T$1*0.5,O713&lt;$U$1*0.5),"код для проверки","нормальный код")</f>
        <v/>
      </c>
      <c r="T713">
        <f>IF(N713&lt;$T$1*0.5,"Низшая четверть",IF(N713&lt;$T$1,"Вторая четверть","Больше половины"))</f>
        <v/>
      </c>
      <c r="U713">
        <f>IF(O713&lt;$U$1*0.5,"Низшая четверть",IF(O713&lt;$U$1,"Вторая четверть","Больше половины"))</f>
        <v/>
      </c>
      <c r="V713">
        <f>IF(OR(N713&lt;SUMIFS(L:L,R:R,1,E:E,E713)/SUMIFS(K:K,R:R,1,E:E,E713)*0.5,O713&lt;SUMIFS(M:M,R:R,1,E:E,E713)/SUMIFS(L:L,R:R,1,E:E,E713)*0.5),"код для проверки","нормальный код")</f>
        <v/>
      </c>
      <c r="W713">
        <f>IF(N713&lt;SUMIFS(L:L,R:R,1,E:E,E713)/SUMIFS(K:K,R:R,1,E:E,E713)*0.5,"Низшая четверть",IF(N713&lt;SUMIFS(L:L,R:R,1,E:E,E713)/SUMIFS(K:K,R:R,1,E:E,E713),"Вторая четверть","Больше половины"))</f>
        <v/>
      </c>
      <c r="X713">
        <f>IF(O713&lt;SUMIFS(M:M,R:R,1,E:E,E713)/SUMIFS(L:L,R:R,1,E:E,E713)*0.5,"Низшая четверть",IF(O713&lt;SUMIFS(M:M,R:R,1,E:E,E713)/SUMIFS(L:L,R:R,1,E:E,E713),"Вторая четверть","Больше половины"))</f>
        <v/>
      </c>
      <c r="Y713" t="n">
        <v>5</v>
      </c>
    </row>
    <row r="714">
      <c r="A714" s="1" t="inlineStr">
        <is>
          <t>88300230</t>
        </is>
      </c>
      <c r="B714" s="2" t="inlineStr">
        <is>
          <t>697438054</t>
        </is>
      </c>
      <c r="C714" s="3" t="inlineStr">
        <is>
          <t>Одежда для детей</t>
        </is>
      </c>
      <c r="D714" s="2" t="inlineStr">
        <is>
          <t>Платья, майки, футболки детские для девочек</t>
        </is>
      </c>
      <c r="E714" s="3" t="inlineStr">
        <is>
          <t>883 Футболка длинный рукав детская для девочек</t>
        </is>
      </c>
      <c r="F714" s="2" t="inlineStr">
        <is>
          <t>всесезонный</t>
        </is>
      </c>
      <c r="G714" s="3" t="inlineStr">
        <is>
          <t>Kari KIDS</t>
        </is>
      </c>
      <c r="H714" s="2" t="inlineStr">
        <is>
          <t>Зиннуров Ильнур</t>
        </is>
      </c>
      <c r="J714" s="3" t="inlineStr">
        <is>
          <t>2026SS</t>
        </is>
      </c>
      <c r="K714" s="3" t="n">
        <v>2793</v>
      </c>
      <c r="L714" s="3" t="n">
        <v>282</v>
      </c>
      <c r="M714" s="3" t="n">
        <v>0</v>
      </c>
      <c r="N714" s="4">
        <f>IFERROR(L714/K714,0)</f>
        <v/>
      </c>
      <c r="O714" s="4">
        <f>IFERROR(M714/L714,0)</f>
        <v/>
      </c>
      <c r="P714" t="n">
        <v>347</v>
      </c>
      <c r="Q714" s="5" t="n">
        <v>1</v>
      </c>
      <c r="R714" s="7" t="n">
        <v>1</v>
      </c>
      <c r="S714">
        <f>IF(OR(N714&lt;$T$1*0.5,O714&lt;$U$1*0.5),"код для проверки","нормальный код")</f>
        <v/>
      </c>
      <c r="T714">
        <f>IF(N714&lt;$T$1*0.5,"Низшая четверть",IF(N714&lt;$T$1,"Вторая четверть","Больше половины"))</f>
        <v/>
      </c>
      <c r="U714">
        <f>IF(O714&lt;$U$1*0.5,"Низшая четверть",IF(O714&lt;$U$1,"Вторая четверть","Больше половины"))</f>
        <v/>
      </c>
      <c r="V714">
        <f>IF(OR(N714&lt;SUMIFS(L:L,R:R,1,E:E,E714)/SUMIFS(K:K,R:R,1,E:E,E714)*0.5,O714&lt;SUMIFS(M:M,R:R,1,E:E,E714)/SUMIFS(L:L,R:R,1,E:E,E714)*0.5),"код для проверки","нормальный код")</f>
        <v/>
      </c>
      <c r="W714">
        <f>IF(N714&lt;SUMIFS(L:L,R:R,1,E:E,E714)/SUMIFS(K:K,R:R,1,E:E,E714)*0.5,"Низшая четверть",IF(N714&lt;SUMIFS(L:L,R:R,1,E:E,E714)/SUMIFS(K:K,R:R,1,E:E,E714),"Вторая четверть","Больше половины"))</f>
        <v/>
      </c>
      <c r="X714">
        <f>IF(O714&lt;SUMIFS(M:M,R:R,1,E:E,E714)/SUMIFS(L:L,R:R,1,E:E,E714)*0.5,"Низшая четверть",IF(O714&lt;SUMIFS(M:M,R:R,1,E:E,E714)/SUMIFS(L:L,R:R,1,E:E,E714),"Вторая четверть","Больше половины"))</f>
        <v/>
      </c>
      <c r="Y714" t="n">
        <v>21</v>
      </c>
    </row>
    <row r="715">
      <c r="A715" s="1" t="inlineStr">
        <is>
          <t>94000210</t>
        </is>
      </c>
      <c r="B715" s="2" t="inlineStr">
        <is>
          <t>839629745</t>
        </is>
      </c>
      <c r="C715" s="3" t="inlineStr">
        <is>
          <t>Одежда для детей</t>
        </is>
      </c>
      <c r="D715" s="2" t="inlineStr">
        <is>
          <t>Одежда для новорожденных</t>
        </is>
      </c>
      <c r="E715" s="3" t="inlineStr">
        <is>
          <t>940 Футболка для маленького мальчика</t>
        </is>
      </c>
      <c r="F715" s="2" t="inlineStr">
        <is>
          <t>всесезонный</t>
        </is>
      </c>
      <c r="G715" s="3" t="inlineStr">
        <is>
          <t>Kari baby</t>
        </is>
      </c>
      <c r="H715" s="2" t="inlineStr">
        <is>
          <t>Зиннуров Ильнур</t>
        </is>
      </c>
      <c r="J715" s="3" t="inlineStr">
        <is>
          <t>2026SS</t>
        </is>
      </c>
      <c r="K715" s="3" t="n">
        <v>2792</v>
      </c>
      <c r="L715" s="3" t="n">
        <v>1683</v>
      </c>
      <c r="M715" s="3" t="n">
        <v>112</v>
      </c>
      <c r="N715" s="4">
        <f>IFERROR(L715/K715,0)</f>
        <v/>
      </c>
      <c r="O715" s="4">
        <f>IFERROR(M715/L715,0)</f>
        <v/>
      </c>
      <c r="P715" t="n">
        <v>189</v>
      </c>
      <c r="Q715" s="5" t="n">
        <v>1</v>
      </c>
      <c r="R715" s="7" t="n">
        <v>1</v>
      </c>
      <c r="S715">
        <f>IF(OR(N715&lt;$T$1*0.5,O715&lt;$U$1*0.5),"код для проверки","нормальный код")</f>
        <v/>
      </c>
      <c r="T715">
        <f>IF(N715&lt;$T$1*0.5,"Низшая четверть",IF(N715&lt;$T$1,"Вторая четверть","Больше половины"))</f>
        <v/>
      </c>
      <c r="U715">
        <f>IF(O715&lt;$U$1*0.5,"Низшая четверть",IF(O715&lt;$U$1,"Вторая четверть","Больше половины"))</f>
        <v/>
      </c>
      <c r="V715">
        <f>IF(OR(N715&lt;SUMIFS(L:L,R:R,1,E:E,E715)/SUMIFS(K:K,R:R,1,E:E,E715)*0.5,O715&lt;SUMIFS(M:M,R:R,1,E:E,E715)/SUMIFS(L:L,R:R,1,E:E,E715)*0.5),"код для проверки","нормальный код")</f>
        <v/>
      </c>
      <c r="W715">
        <f>IF(N715&lt;SUMIFS(L:L,R:R,1,E:E,E715)/SUMIFS(K:K,R:R,1,E:E,E715)*0.5,"Низшая четверть",IF(N715&lt;SUMIFS(L:L,R:R,1,E:E,E715)/SUMIFS(K:K,R:R,1,E:E,E715),"Вторая четверть","Больше половины"))</f>
        <v/>
      </c>
      <c r="X715">
        <f>IF(O715&lt;SUMIFS(M:M,R:R,1,E:E,E715)/SUMIFS(L:L,R:R,1,E:E,E715)*0.5,"Низшая четверть",IF(O715&lt;SUMIFS(M:M,R:R,1,E:E,E715)/SUMIFS(L:L,R:R,1,E:E,E715),"Вторая четверть","Больше половины"))</f>
        <v/>
      </c>
      <c r="Y715" t="n">
        <v>14</v>
      </c>
    </row>
    <row r="716">
      <c r="A716" s="1" t="inlineStr">
        <is>
          <t>a6000360</t>
        </is>
      </c>
      <c r="B716" s="2" t="inlineStr">
        <is>
          <t>701976596</t>
        </is>
      </c>
      <c r="C716" s="3" t="inlineStr">
        <is>
          <t>Одежда для детей</t>
        </is>
      </c>
      <c r="D716" s="2" t="inlineStr">
        <is>
          <t>Платья, майки, футболки детские для девочек</t>
        </is>
      </c>
      <c r="E716" s="3" t="inlineStr">
        <is>
          <t>a60 Футболка детская для девочек</t>
        </is>
      </c>
      <c r="F716" s="2" t="inlineStr">
        <is>
          <t>всесезонный</t>
        </is>
      </c>
      <c r="G716" s="3" t="inlineStr">
        <is>
          <t>kari</t>
        </is>
      </c>
      <c r="H716" s="2" t="inlineStr">
        <is>
          <t>Зиннуров Ильнур</t>
        </is>
      </c>
      <c r="J716" s="3" t="inlineStr">
        <is>
          <t>2026SS</t>
        </is>
      </c>
      <c r="K716" s="3" t="n">
        <v>2791</v>
      </c>
      <c r="L716" s="3" t="n">
        <v>542</v>
      </c>
      <c r="M716" s="3" t="n">
        <v>8</v>
      </c>
      <c r="N716" s="4">
        <f>IFERROR(L716/K716,0)</f>
        <v/>
      </c>
      <c r="O716" s="4">
        <f>IFERROR(M716/L716,0)</f>
        <v/>
      </c>
      <c r="P716" t="n">
        <v>270</v>
      </c>
      <c r="Q716" s="5" t="n">
        <v>1</v>
      </c>
      <c r="R716" s="7" t="n">
        <v>1</v>
      </c>
      <c r="S716">
        <f>IF(OR(N716&lt;$T$1*0.5,O716&lt;$U$1*0.5),"код для проверки","нормальный код")</f>
        <v/>
      </c>
      <c r="T716">
        <f>IF(N716&lt;$T$1*0.5,"Низшая четверть",IF(N716&lt;$T$1,"Вторая четверть","Больше половины"))</f>
        <v/>
      </c>
      <c r="U716">
        <f>IF(O716&lt;$U$1*0.5,"Низшая четверть",IF(O716&lt;$U$1,"Вторая четверть","Больше половины"))</f>
        <v/>
      </c>
      <c r="V716">
        <f>IF(OR(N716&lt;SUMIFS(L:L,R:R,1,E:E,E716)/SUMIFS(K:K,R:R,1,E:E,E716)*0.5,O716&lt;SUMIFS(M:M,R:R,1,E:E,E716)/SUMIFS(L:L,R:R,1,E:E,E716)*0.5),"код для проверки","нормальный код")</f>
        <v/>
      </c>
      <c r="W716">
        <f>IF(N716&lt;SUMIFS(L:L,R:R,1,E:E,E716)/SUMIFS(K:K,R:R,1,E:E,E716)*0.5,"Низшая четверть",IF(N716&lt;SUMIFS(L:L,R:R,1,E:E,E716)/SUMIFS(K:K,R:R,1,E:E,E716),"Вторая четверть","Больше половины"))</f>
        <v/>
      </c>
      <c r="X716">
        <f>IF(O716&lt;SUMIFS(M:M,R:R,1,E:E,E716)/SUMIFS(L:L,R:R,1,E:E,E716)*0.5,"Низшая четверть",IF(O716&lt;SUMIFS(M:M,R:R,1,E:E,E716)/SUMIFS(L:L,R:R,1,E:E,E716),"Вторая четверть","Больше половины"))</f>
        <v/>
      </c>
      <c r="Y716" t="n">
        <v>5</v>
      </c>
    </row>
    <row r="717">
      <c r="A717" s="1" t="inlineStr">
        <is>
          <t>310003P0</t>
        </is>
      </c>
      <c r="B717" s="2" t="inlineStr">
        <is>
          <t>851029687</t>
        </is>
      </c>
      <c r="C717" s="3" t="inlineStr">
        <is>
          <t>Одежда для детей</t>
        </is>
      </c>
      <c r="D717" s="2" t="inlineStr">
        <is>
          <t>Футболки, майки, рубашки детские для мальчиков</t>
        </is>
      </c>
      <c r="E717" s="3" t="inlineStr">
        <is>
          <t>310 Футболка детская для мальчиков</t>
        </is>
      </c>
      <c r="F717" s="2" t="inlineStr">
        <is>
          <t>всесезонный</t>
        </is>
      </c>
      <c r="G717" s="3" t="inlineStr">
        <is>
          <t>kari</t>
        </is>
      </c>
      <c r="H717" s="2" t="inlineStr">
        <is>
          <t>Зиннуров Ильнур</t>
        </is>
      </c>
      <c r="J717" s="3" t="inlineStr">
        <is>
          <t>2026SS</t>
        </is>
      </c>
      <c r="K717" s="3" t="n">
        <v>2791</v>
      </c>
      <c r="L717" s="3" t="n">
        <v>49</v>
      </c>
      <c r="M717" s="3" t="n">
        <v>2</v>
      </c>
      <c r="N717" s="4">
        <f>IFERROR(L717/K717,0)</f>
        <v/>
      </c>
      <c r="O717" s="4">
        <f>IFERROR(M717/L717,0)</f>
        <v/>
      </c>
      <c r="P717" t="n">
        <v>1473</v>
      </c>
      <c r="Q717" s="5" t="n">
        <v>1</v>
      </c>
      <c r="R717" s="7" t="n">
        <v>1</v>
      </c>
      <c r="S717">
        <f>IF(OR(N717&lt;$T$1*0.5,O717&lt;$U$1*0.5),"код для проверки","нормальный код")</f>
        <v/>
      </c>
      <c r="T717">
        <f>IF(N717&lt;$T$1*0.5,"Низшая четверть",IF(N717&lt;$T$1,"Вторая четверть","Больше половины"))</f>
        <v/>
      </c>
      <c r="U717">
        <f>IF(O717&lt;$U$1*0.5,"Низшая четверть",IF(O717&lt;$U$1,"Вторая четверть","Больше половины"))</f>
        <v/>
      </c>
      <c r="V717">
        <f>IF(OR(N717&lt;SUMIFS(L:L,R:R,1,E:E,E717)/SUMIFS(K:K,R:R,1,E:E,E717)*0.5,O717&lt;SUMIFS(M:M,R:R,1,E:E,E717)/SUMIFS(L:L,R:R,1,E:E,E717)*0.5),"код для проверки","нормальный код")</f>
        <v/>
      </c>
      <c r="W717">
        <f>IF(N717&lt;SUMIFS(L:L,R:R,1,E:E,E717)/SUMIFS(K:K,R:R,1,E:E,E717)*0.5,"Низшая четверть",IF(N717&lt;SUMIFS(L:L,R:R,1,E:E,E717)/SUMIFS(K:K,R:R,1,E:E,E717),"Вторая четверть","Больше половины"))</f>
        <v/>
      </c>
      <c r="X717">
        <f>IF(O717&lt;SUMIFS(M:M,R:R,1,E:E,E717)/SUMIFS(L:L,R:R,1,E:E,E717)*0.5,"Низшая четверть",IF(O717&lt;SUMIFS(M:M,R:R,1,E:E,E717)/SUMIFS(L:L,R:R,1,E:E,E717),"Вторая четверть","Больше половины"))</f>
        <v/>
      </c>
      <c r="Y717" t="n">
        <v>27</v>
      </c>
    </row>
    <row r="718">
      <c r="A718" s="1" t="inlineStr">
        <is>
          <t>a7800080</t>
        </is>
      </c>
      <c r="B718" s="2" t="inlineStr">
        <is>
          <t>807177085</t>
        </is>
      </c>
      <c r="C718" s="3" t="inlineStr">
        <is>
          <t>Одежда для детей</t>
        </is>
      </c>
      <c r="D718" s="2" t="inlineStr">
        <is>
          <t>Свитера детские для мальчиков</t>
        </is>
      </c>
      <c r="E718" s="3" t="inlineStr">
        <is>
          <t>a78 Толстовка-худи для мальчиков</t>
        </is>
      </c>
      <c r="F718" s="2" t="inlineStr">
        <is>
          <t>весна, лето, осень</t>
        </is>
      </c>
      <c r="G718" s="3" t="inlineStr">
        <is>
          <t>kari</t>
        </is>
      </c>
      <c r="H718" s="2" t="inlineStr">
        <is>
          <t>Зиннуров Ильнур</t>
        </is>
      </c>
      <c r="J718" s="3" t="inlineStr">
        <is>
          <t>2026SS</t>
        </is>
      </c>
      <c r="K718" s="3" t="n">
        <v>2786</v>
      </c>
      <c r="L718" s="3" t="n">
        <v>414</v>
      </c>
      <c r="M718" s="3" t="n">
        <v>2</v>
      </c>
      <c r="N718" s="4">
        <f>IFERROR(L718/K718,0)</f>
        <v/>
      </c>
      <c r="O718" s="4">
        <f>IFERROR(M718/L718,0)</f>
        <v/>
      </c>
      <c r="P718" t="n">
        <v>509</v>
      </c>
      <c r="Q718" s="5" t="n">
        <v>1</v>
      </c>
      <c r="R718" s="7" t="n">
        <v>1</v>
      </c>
      <c r="S718">
        <f>IF(OR(N718&lt;$T$1*0.5,O718&lt;$U$1*0.5),"код для проверки","нормальный код")</f>
        <v/>
      </c>
      <c r="T718">
        <f>IF(N718&lt;$T$1*0.5,"Низшая четверть",IF(N718&lt;$T$1,"Вторая четверть","Больше половины"))</f>
        <v/>
      </c>
      <c r="U718">
        <f>IF(O718&lt;$U$1*0.5,"Низшая четверть",IF(O718&lt;$U$1,"Вторая четверть","Больше половины"))</f>
        <v/>
      </c>
      <c r="V718">
        <f>IF(OR(N718&lt;SUMIFS(L:L,R:R,1,E:E,E718)/SUMIFS(K:K,R:R,1,E:E,E718)*0.5,O718&lt;SUMIFS(M:M,R:R,1,E:E,E718)/SUMIFS(L:L,R:R,1,E:E,E718)*0.5),"код для проверки","нормальный код")</f>
        <v/>
      </c>
      <c r="W718">
        <f>IF(N718&lt;SUMIFS(L:L,R:R,1,E:E,E718)/SUMIFS(K:K,R:R,1,E:E,E718)*0.5,"Низшая четверть",IF(N718&lt;SUMIFS(L:L,R:R,1,E:E,E718)/SUMIFS(K:K,R:R,1,E:E,E718),"Вторая четверть","Больше половины"))</f>
        <v/>
      </c>
      <c r="X718">
        <f>IF(O718&lt;SUMIFS(M:M,R:R,1,E:E,E718)/SUMIFS(L:L,R:R,1,E:E,E718)*0.5,"Низшая четверть",IF(O718&lt;SUMIFS(M:M,R:R,1,E:E,E718)/SUMIFS(L:L,R:R,1,E:E,E718),"Вторая четверть","Больше половины"))</f>
        <v/>
      </c>
      <c r="Y718" t="n">
        <v>9</v>
      </c>
    </row>
    <row r="719">
      <c r="A719" s="1" t="inlineStr">
        <is>
          <t>a7800020</t>
        </is>
      </c>
      <c r="B719" s="2" t="inlineStr">
        <is>
          <t>695216153</t>
        </is>
      </c>
      <c r="C719" s="3" t="inlineStr">
        <is>
          <t>Одежда для детей</t>
        </is>
      </c>
      <c r="D719" s="2" t="inlineStr">
        <is>
          <t>Свитера детские для мальчиков</t>
        </is>
      </c>
      <c r="E719" s="3" t="inlineStr">
        <is>
          <t>a78 Толстовка-худи для мальчиков</t>
        </is>
      </c>
      <c r="F719" s="2" t="inlineStr">
        <is>
          <t>весна, лето, осень</t>
        </is>
      </c>
      <c r="G719" s="3" t="inlineStr">
        <is>
          <t>Kari KIDS</t>
        </is>
      </c>
      <c r="H719" s="2" t="inlineStr">
        <is>
          <t>Зиннуров Ильнур</t>
        </is>
      </c>
      <c r="J719" s="3" t="inlineStr">
        <is>
          <t>2026SS</t>
        </is>
      </c>
      <c r="K719" s="3" t="n">
        <v>2785</v>
      </c>
      <c r="L719" s="3" t="n">
        <v>90</v>
      </c>
      <c r="M719" s="3" t="n">
        <v>3</v>
      </c>
      <c r="N719" s="4">
        <f>IFERROR(L719/K719,0)</f>
        <v/>
      </c>
      <c r="O719" s="4">
        <f>IFERROR(M719/L719,0)</f>
        <v/>
      </c>
      <c r="P719" t="n">
        <v>422</v>
      </c>
      <c r="Q719" s="5" t="n">
        <v>1</v>
      </c>
      <c r="R719" s="7" t="n">
        <v>1</v>
      </c>
      <c r="S719">
        <f>IF(OR(N719&lt;$T$1*0.5,O719&lt;$U$1*0.5),"код для проверки","нормальный код")</f>
        <v/>
      </c>
      <c r="T719">
        <f>IF(N719&lt;$T$1*0.5,"Низшая четверть",IF(N719&lt;$T$1,"Вторая четверть","Больше половины"))</f>
        <v/>
      </c>
      <c r="U719">
        <f>IF(O719&lt;$U$1*0.5,"Низшая четверть",IF(O719&lt;$U$1,"Вторая четверть","Больше половины"))</f>
        <v/>
      </c>
      <c r="V719">
        <f>IF(OR(N719&lt;SUMIFS(L:L,R:R,1,E:E,E719)/SUMIFS(K:K,R:R,1,E:E,E719)*0.5,O719&lt;SUMIFS(M:M,R:R,1,E:E,E719)/SUMIFS(L:L,R:R,1,E:E,E719)*0.5),"код для проверки","нормальный код")</f>
        <v/>
      </c>
      <c r="W719">
        <f>IF(N719&lt;SUMIFS(L:L,R:R,1,E:E,E719)/SUMIFS(K:K,R:R,1,E:E,E719)*0.5,"Низшая четверть",IF(N719&lt;SUMIFS(L:L,R:R,1,E:E,E719)/SUMIFS(K:K,R:R,1,E:E,E719),"Вторая четверть","Больше половины"))</f>
        <v/>
      </c>
      <c r="X719">
        <f>IF(O719&lt;SUMIFS(M:M,R:R,1,E:E,E719)/SUMIFS(L:L,R:R,1,E:E,E719)*0.5,"Низшая четверть",IF(O719&lt;SUMIFS(M:M,R:R,1,E:E,E719)/SUMIFS(L:L,R:R,1,E:E,E719),"Вторая четверть","Больше половины"))</f>
        <v/>
      </c>
      <c r="Y719" t="n">
        <v>8</v>
      </c>
    </row>
    <row r="720">
      <c r="A720" s="1" t="inlineStr">
        <is>
          <t>20200360</t>
        </is>
      </c>
      <c r="B720" s="2" t="inlineStr">
        <is>
          <t>820479817</t>
        </is>
      </c>
      <c r="C720" s="3" t="inlineStr">
        <is>
          <t>Одежда для детей</t>
        </is>
      </c>
      <c r="D720" s="2" t="inlineStr">
        <is>
          <t>Головные уборы детские для мальчиков</t>
        </is>
      </c>
      <c r="E720" s="3" t="inlineStr">
        <is>
          <t>202 Бейсболка детская для мальчиков</t>
        </is>
      </c>
      <c r="F720" s="2" t="inlineStr">
        <is>
          <t>весна, лето</t>
        </is>
      </c>
      <c r="G720" s="3" t="inlineStr">
        <is>
          <t>kari</t>
        </is>
      </c>
      <c r="H720" s="2" t="inlineStr">
        <is>
          <t>Никонорова Алина</t>
        </is>
      </c>
      <c r="J720" s="3" t="inlineStr">
        <is>
          <t>2026SS</t>
        </is>
      </c>
      <c r="K720" s="3" t="n">
        <v>2776</v>
      </c>
      <c r="L720" s="3" t="n">
        <v>347</v>
      </c>
      <c r="M720" s="3" t="n">
        <v>8</v>
      </c>
      <c r="N720" s="4">
        <f>IFERROR(L720/K720,0)</f>
        <v/>
      </c>
      <c r="O720" s="4">
        <f>IFERROR(M720/L720,0)</f>
        <v/>
      </c>
      <c r="P720" t="n">
        <v>636</v>
      </c>
      <c r="Q720" s="5" t="n">
        <v>1</v>
      </c>
      <c r="R720" s="7" t="n">
        <v>1</v>
      </c>
      <c r="S720">
        <f>IF(OR(N720&lt;$T$1*0.5,O720&lt;$U$1*0.5),"код для проверки","нормальный код")</f>
        <v/>
      </c>
      <c r="T720">
        <f>IF(N720&lt;$T$1*0.5,"Низшая четверть",IF(N720&lt;$T$1,"Вторая четверть","Больше половины"))</f>
        <v/>
      </c>
      <c r="U720">
        <f>IF(O720&lt;$U$1*0.5,"Низшая четверть",IF(O720&lt;$U$1,"Вторая четверть","Больше половины"))</f>
        <v/>
      </c>
      <c r="V720">
        <f>IF(OR(N720&lt;SUMIFS(L:L,R:R,1,E:E,E720)/SUMIFS(K:K,R:R,1,E:E,E720)*0.5,O720&lt;SUMIFS(M:M,R:R,1,E:E,E720)/SUMIFS(L:L,R:R,1,E:E,E720)*0.5),"код для проверки","нормальный код")</f>
        <v/>
      </c>
      <c r="W720">
        <f>IF(N720&lt;SUMIFS(L:L,R:R,1,E:E,E720)/SUMIFS(K:K,R:R,1,E:E,E720)*0.5,"Низшая четверть",IF(N720&lt;SUMIFS(L:L,R:R,1,E:E,E720)/SUMIFS(K:K,R:R,1,E:E,E720),"Вторая четверть","Больше половины"))</f>
        <v/>
      </c>
      <c r="X720">
        <f>IF(O720&lt;SUMIFS(M:M,R:R,1,E:E,E720)/SUMIFS(L:L,R:R,1,E:E,E720)*0.5,"Низшая четверть",IF(O720&lt;SUMIFS(M:M,R:R,1,E:E,E720)/SUMIFS(L:L,R:R,1,E:E,E720),"Вторая четверть","Больше половины"))</f>
        <v/>
      </c>
      <c r="Y720" t="n">
        <v>9</v>
      </c>
    </row>
    <row r="721">
      <c r="A721" s="1" t="inlineStr">
        <is>
          <t>53600230</t>
        </is>
      </c>
      <c r="B721" s="2" t="inlineStr">
        <is>
          <t>699198475</t>
        </is>
      </c>
      <c r="C721" s="3" t="inlineStr">
        <is>
          <t>Одежда для детей</t>
        </is>
      </c>
      <c r="D721" s="2" t="inlineStr">
        <is>
          <t>Платья, майки, футболки детские для девочек</t>
        </is>
      </c>
      <c r="E721" s="3" t="inlineStr">
        <is>
          <t>536 Платье летнее детское</t>
        </is>
      </c>
      <c r="F721" s="2" t="inlineStr">
        <is>
          <t>лето</t>
        </is>
      </c>
      <c r="G721" s="3" t="inlineStr">
        <is>
          <t>Kari KIDS</t>
        </is>
      </c>
      <c r="H721" s="2" t="inlineStr">
        <is>
          <t>Зиннуров Ильнур</t>
        </is>
      </c>
      <c r="J721" s="3" t="inlineStr">
        <is>
          <t>2026SS</t>
        </is>
      </c>
      <c r="K721" s="3" t="n">
        <v>2775</v>
      </c>
      <c r="L721" s="3" t="n">
        <v>842</v>
      </c>
      <c r="M721" s="3" t="n">
        <v>5</v>
      </c>
      <c r="N721" s="4">
        <f>IFERROR(L721/K721,0)</f>
        <v/>
      </c>
      <c r="O721" s="4">
        <f>IFERROR(M721/L721,0)</f>
        <v/>
      </c>
      <c r="P721" t="n">
        <v>266</v>
      </c>
      <c r="Q721" s="5" t="n">
        <v>1</v>
      </c>
      <c r="R721" s="7" t="n">
        <v>1</v>
      </c>
      <c r="S721">
        <f>IF(OR(N721&lt;$T$1*0.5,O721&lt;$U$1*0.5),"код для проверки","нормальный код")</f>
        <v/>
      </c>
      <c r="T721">
        <f>IF(N721&lt;$T$1*0.5,"Низшая четверть",IF(N721&lt;$T$1,"Вторая четверть","Больше половины"))</f>
        <v/>
      </c>
      <c r="U721">
        <f>IF(O721&lt;$U$1*0.5,"Низшая четверть",IF(O721&lt;$U$1,"Вторая четверть","Больше половины"))</f>
        <v/>
      </c>
      <c r="V721">
        <f>IF(OR(N721&lt;SUMIFS(L:L,R:R,1,E:E,E721)/SUMIFS(K:K,R:R,1,E:E,E721)*0.5,O721&lt;SUMIFS(M:M,R:R,1,E:E,E721)/SUMIFS(L:L,R:R,1,E:E,E721)*0.5),"код для проверки","нормальный код")</f>
        <v/>
      </c>
      <c r="W721">
        <f>IF(N721&lt;SUMIFS(L:L,R:R,1,E:E,E721)/SUMIFS(K:K,R:R,1,E:E,E721)*0.5,"Низшая четверть",IF(N721&lt;SUMIFS(L:L,R:R,1,E:E,E721)/SUMIFS(K:K,R:R,1,E:E,E721),"Вторая четверть","Больше половины"))</f>
        <v/>
      </c>
      <c r="X721">
        <f>IF(O721&lt;SUMIFS(M:M,R:R,1,E:E,E721)/SUMIFS(L:L,R:R,1,E:E,E721)*0.5,"Низшая четверть",IF(O721&lt;SUMIFS(M:M,R:R,1,E:E,E721)/SUMIFS(L:L,R:R,1,E:E,E721),"Вторая четверть","Больше половины"))</f>
        <v/>
      </c>
      <c r="Y721" t="n">
        <v>19</v>
      </c>
    </row>
    <row r="722">
      <c r="A722" s="1" t="inlineStr">
        <is>
          <t>310002I0</t>
        </is>
      </c>
      <c r="B722" s="2" t="inlineStr">
        <is>
          <t>815191795</t>
        </is>
      </c>
      <c r="C722" s="3" t="inlineStr">
        <is>
          <t>Одежда для детей</t>
        </is>
      </c>
      <c r="D722" s="2" t="inlineStr">
        <is>
          <t>Футболки, майки, рубашки детские для мальчиков</t>
        </is>
      </c>
      <c r="E722" s="3" t="inlineStr">
        <is>
          <t>310 Футболка детская для мальчиков</t>
        </is>
      </c>
      <c r="F722" s="2" t="inlineStr">
        <is>
          <t>всесезонный</t>
        </is>
      </c>
      <c r="G722" s="3" t="inlineStr">
        <is>
          <t>kari</t>
        </is>
      </c>
      <c r="H722" s="2" t="inlineStr">
        <is>
          <t>Зиннуров Ильнур</t>
        </is>
      </c>
      <c r="J722" s="3" t="inlineStr">
        <is>
          <t>2026SS</t>
        </is>
      </c>
      <c r="K722" s="3" t="n">
        <v>2772</v>
      </c>
      <c r="L722" s="3" t="n">
        <v>476</v>
      </c>
      <c r="M722" s="3" t="n">
        <v>5</v>
      </c>
      <c r="N722" s="4">
        <f>IFERROR(L722/K722,0)</f>
        <v/>
      </c>
      <c r="O722" s="4">
        <f>IFERROR(M722/L722,0)</f>
        <v/>
      </c>
      <c r="P722" t="n">
        <v>365</v>
      </c>
      <c r="Q722" s="5" t="n">
        <v>1</v>
      </c>
      <c r="R722" s="7" t="n">
        <v>1</v>
      </c>
      <c r="S722">
        <f>IF(OR(N722&lt;$T$1*0.5,O722&lt;$U$1*0.5),"код для проверки","нормальный код")</f>
        <v/>
      </c>
      <c r="T722">
        <f>IF(N722&lt;$T$1*0.5,"Низшая четверть",IF(N722&lt;$T$1,"Вторая четверть","Больше половины"))</f>
        <v/>
      </c>
      <c r="U722">
        <f>IF(O722&lt;$U$1*0.5,"Низшая четверть",IF(O722&lt;$U$1,"Вторая четверть","Больше половины"))</f>
        <v/>
      </c>
      <c r="V722">
        <f>IF(OR(N722&lt;SUMIFS(L:L,R:R,1,E:E,E722)/SUMIFS(K:K,R:R,1,E:E,E722)*0.5,O722&lt;SUMIFS(M:M,R:R,1,E:E,E722)/SUMIFS(L:L,R:R,1,E:E,E722)*0.5),"код для проверки","нормальный код")</f>
        <v/>
      </c>
      <c r="W722">
        <f>IF(N722&lt;SUMIFS(L:L,R:R,1,E:E,E722)/SUMIFS(K:K,R:R,1,E:E,E722)*0.5,"Низшая четверть",IF(N722&lt;SUMIFS(L:L,R:R,1,E:E,E722)/SUMIFS(K:K,R:R,1,E:E,E722),"Вторая четверть","Больше половины"))</f>
        <v/>
      </c>
      <c r="X722">
        <f>IF(O722&lt;SUMIFS(M:M,R:R,1,E:E,E722)/SUMIFS(L:L,R:R,1,E:E,E722)*0.5,"Низшая четверть",IF(O722&lt;SUMIFS(M:M,R:R,1,E:E,E722)/SUMIFS(L:L,R:R,1,E:E,E722),"Вторая четверть","Больше половины"))</f>
        <v/>
      </c>
      <c r="Y722" t="n">
        <v>9</v>
      </c>
    </row>
    <row r="723">
      <c r="A723" s="1" t="inlineStr">
        <is>
          <t>29100120</t>
        </is>
      </c>
      <c r="B723" s="2" t="inlineStr">
        <is>
          <t>710462761</t>
        </is>
      </c>
      <c r="C723" s="3" t="inlineStr">
        <is>
          <t>Одежда для детей</t>
        </is>
      </c>
      <c r="D723" s="2" t="inlineStr">
        <is>
          <t>Брюки детские для мальчиков</t>
        </is>
      </c>
      <c r="E723" s="3" t="inlineStr">
        <is>
          <t>291 Штаны детские для мальчиков</t>
        </is>
      </c>
      <c r="F723" s="2" t="inlineStr">
        <is>
          <t>всесезонный</t>
        </is>
      </c>
      <c r="G723" s="3" t="inlineStr">
        <is>
          <t>Kari KIDS</t>
        </is>
      </c>
      <c r="H723" s="2" t="inlineStr">
        <is>
          <t>Зиннуров Ильнур</t>
        </is>
      </c>
      <c r="J723" s="3" t="inlineStr">
        <is>
          <t>2026SS</t>
        </is>
      </c>
      <c r="K723" s="3" t="n">
        <v>2772</v>
      </c>
      <c r="L723" s="3" t="n">
        <v>87</v>
      </c>
      <c r="M723" s="3" t="n">
        <v>5</v>
      </c>
      <c r="N723" s="4">
        <f>IFERROR(L723/K723,0)</f>
        <v/>
      </c>
      <c r="O723" s="4">
        <f>IFERROR(M723/L723,0)</f>
        <v/>
      </c>
      <c r="P723" t="n">
        <v>410</v>
      </c>
      <c r="Q723" s="5" t="n">
        <v>0.8</v>
      </c>
      <c r="R723" s="7" t="n">
        <v>1</v>
      </c>
      <c r="S723">
        <f>IF(OR(N723&lt;$T$1*0.5,O723&lt;$U$1*0.5),"код для проверки","нормальный код")</f>
        <v/>
      </c>
      <c r="T723">
        <f>IF(N723&lt;$T$1*0.5,"Низшая четверть",IF(N723&lt;$T$1,"Вторая четверть","Больше половины"))</f>
        <v/>
      </c>
      <c r="U723">
        <f>IF(O723&lt;$U$1*0.5,"Низшая четверть",IF(O723&lt;$U$1,"Вторая четверть","Больше половины"))</f>
        <v/>
      </c>
      <c r="V723">
        <f>IF(OR(N723&lt;SUMIFS(L:L,R:R,1,E:E,E723)/SUMIFS(K:K,R:R,1,E:E,E723)*0.5,O723&lt;SUMIFS(M:M,R:R,1,E:E,E723)/SUMIFS(L:L,R:R,1,E:E,E723)*0.5),"код для проверки","нормальный код")</f>
        <v/>
      </c>
      <c r="W723">
        <f>IF(N723&lt;SUMIFS(L:L,R:R,1,E:E,E723)/SUMIFS(K:K,R:R,1,E:E,E723)*0.5,"Низшая четверть",IF(N723&lt;SUMIFS(L:L,R:R,1,E:E,E723)/SUMIFS(K:K,R:R,1,E:E,E723),"Вторая четверть","Больше половины"))</f>
        <v/>
      </c>
      <c r="X723">
        <f>IF(O723&lt;SUMIFS(M:M,R:R,1,E:E,E723)/SUMIFS(L:L,R:R,1,E:E,E723)*0.5,"Низшая четверть",IF(O723&lt;SUMIFS(M:M,R:R,1,E:E,E723)/SUMIFS(L:L,R:R,1,E:E,E723),"Вторая четверть","Больше половины"))</f>
        <v/>
      </c>
      <c r="Y723" t="n">
        <v>16</v>
      </c>
    </row>
    <row r="724">
      <c r="A724" s="1" t="inlineStr">
        <is>
          <t>310000J0</t>
        </is>
      </c>
      <c r="B724" s="2" t="inlineStr">
        <is>
          <t>721315685</t>
        </is>
      </c>
      <c r="C724" s="3" t="inlineStr">
        <is>
          <t>Одежда для детей</t>
        </is>
      </c>
      <c r="D724" s="2" t="inlineStr">
        <is>
          <t>Футболки, майки, рубашки детские для мальчиков</t>
        </is>
      </c>
      <c r="E724" s="3" t="inlineStr">
        <is>
          <t>310 Футболка детская для мальчиков</t>
        </is>
      </c>
      <c r="F724" s="2" t="inlineStr">
        <is>
          <t>всесезонный</t>
        </is>
      </c>
      <c r="G724" s="3" t="inlineStr">
        <is>
          <t>Kari KIDS</t>
        </is>
      </c>
      <c r="H724" s="2" t="inlineStr">
        <is>
          <t>Зиннуров Ильнур</t>
        </is>
      </c>
      <c r="J724" s="3" t="inlineStr">
        <is>
          <t>2026SS</t>
        </is>
      </c>
      <c r="K724" s="3" t="n">
        <v>2751</v>
      </c>
      <c r="L724" s="3" t="n">
        <v>425</v>
      </c>
      <c r="M724" s="3" t="n">
        <v>6</v>
      </c>
      <c r="N724" s="4">
        <f>IFERROR(L724/K724,0)</f>
        <v/>
      </c>
      <c r="O724" s="4">
        <f>IFERROR(M724/L724,0)</f>
        <v/>
      </c>
      <c r="P724" t="n">
        <v>373</v>
      </c>
      <c r="Q724" s="5" t="n">
        <v>1</v>
      </c>
      <c r="R724" s="7" t="n">
        <v>1</v>
      </c>
      <c r="S724">
        <f>IF(OR(N724&lt;$T$1*0.5,O724&lt;$U$1*0.5),"код для проверки","нормальный код")</f>
        <v/>
      </c>
      <c r="T724">
        <f>IF(N724&lt;$T$1*0.5,"Низшая четверть",IF(N724&lt;$T$1,"Вторая четверть","Больше половины"))</f>
        <v/>
      </c>
      <c r="U724">
        <f>IF(O724&lt;$U$1*0.5,"Низшая четверть",IF(O724&lt;$U$1,"Вторая четверть","Больше половины"))</f>
        <v/>
      </c>
      <c r="V724">
        <f>IF(OR(N724&lt;SUMIFS(L:L,R:R,1,E:E,E724)/SUMIFS(K:K,R:R,1,E:E,E724)*0.5,O724&lt;SUMIFS(M:M,R:R,1,E:E,E724)/SUMIFS(L:L,R:R,1,E:E,E724)*0.5),"код для проверки","нормальный код")</f>
        <v/>
      </c>
      <c r="W724">
        <f>IF(N724&lt;SUMIFS(L:L,R:R,1,E:E,E724)/SUMIFS(K:K,R:R,1,E:E,E724)*0.5,"Низшая четверть",IF(N724&lt;SUMIFS(L:L,R:R,1,E:E,E724)/SUMIFS(K:K,R:R,1,E:E,E724),"Вторая четверть","Больше половины"))</f>
        <v/>
      </c>
      <c r="X724">
        <f>IF(O724&lt;SUMIFS(M:M,R:R,1,E:E,E724)/SUMIFS(L:L,R:R,1,E:E,E724)*0.5,"Низшая четверть",IF(O724&lt;SUMIFS(M:M,R:R,1,E:E,E724)/SUMIFS(L:L,R:R,1,E:E,E724),"Вторая четверть","Больше половины"))</f>
        <v/>
      </c>
      <c r="Y724" t="n">
        <v>24</v>
      </c>
    </row>
    <row r="725">
      <c r="A725" s="1" t="inlineStr">
        <is>
          <t>a6200020</t>
        </is>
      </c>
      <c r="B725" s="2" t="inlineStr">
        <is>
          <t>727397729</t>
        </is>
      </c>
      <c r="C725" s="3" t="inlineStr">
        <is>
          <t>Одежда для детей</t>
        </is>
      </c>
      <c r="D725" s="2" t="inlineStr">
        <is>
          <t>Брюки детские для девочек</t>
        </is>
      </c>
      <c r="E725" s="3" t="inlineStr">
        <is>
          <t>a62 Треггинсы детские для девочек</t>
        </is>
      </c>
      <c r="F725" s="2" t="inlineStr">
        <is>
          <t>весна, осень, зима</t>
        </is>
      </c>
      <c r="G725" s="3" t="inlineStr">
        <is>
          <t>kari</t>
        </is>
      </c>
      <c r="H725" s="2" t="inlineStr">
        <is>
          <t>Зиннуров Ильнур</t>
        </is>
      </c>
      <c r="J725" s="3" t="inlineStr">
        <is>
          <t>2026SS</t>
        </is>
      </c>
      <c r="K725" s="3" t="n">
        <v>2750</v>
      </c>
      <c r="L725" s="3" t="n">
        <v>184</v>
      </c>
      <c r="M725" s="3" t="n">
        <v>7</v>
      </c>
      <c r="N725" s="4">
        <f>IFERROR(L725/K725,0)</f>
        <v/>
      </c>
      <c r="O725" s="4">
        <f>IFERROR(M725/L725,0)</f>
        <v/>
      </c>
      <c r="P725" t="n">
        <v>222</v>
      </c>
      <c r="Q725" s="5" t="n">
        <v>1</v>
      </c>
      <c r="R725" s="7" t="n">
        <v>1</v>
      </c>
      <c r="S725">
        <f>IF(OR(N725&lt;$T$1*0.5,O725&lt;$U$1*0.5),"код для проверки","нормальный код")</f>
        <v/>
      </c>
      <c r="T725">
        <f>IF(N725&lt;$T$1*0.5,"Низшая четверть",IF(N725&lt;$T$1,"Вторая четверть","Больше половины"))</f>
        <v/>
      </c>
      <c r="U725">
        <f>IF(O725&lt;$U$1*0.5,"Низшая четверть",IF(O725&lt;$U$1,"Вторая четверть","Больше половины"))</f>
        <v/>
      </c>
      <c r="V725">
        <f>IF(OR(N725&lt;SUMIFS(L:L,R:R,1,E:E,E725)/SUMIFS(K:K,R:R,1,E:E,E725)*0.5,O725&lt;SUMIFS(M:M,R:R,1,E:E,E725)/SUMIFS(L:L,R:R,1,E:E,E725)*0.5),"код для проверки","нормальный код")</f>
        <v/>
      </c>
      <c r="W725">
        <f>IF(N725&lt;SUMIFS(L:L,R:R,1,E:E,E725)/SUMIFS(K:K,R:R,1,E:E,E725)*0.5,"Низшая четверть",IF(N725&lt;SUMIFS(L:L,R:R,1,E:E,E725)/SUMIFS(K:K,R:R,1,E:E,E725),"Вторая четверть","Больше половины"))</f>
        <v/>
      </c>
      <c r="X725">
        <f>IF(O725&lt;SUMIFS(M:M,R:R,1,E:E,E725)/SUMIFS(L:L,R:R,1,E:E,E725)*0.5,"Низшая четверть",IF(O725&lt;SUMIFS(M:M,R:R,1,E:E,E725)/SUMIFS(L:L,R:R,1,E:E,E725),"Вторая четверть","Больше половины"))</f>
        <v/>
      </c>
      <c r="Y725" t="n">
        <v>16</v>
      </c>
    </row>
    <row r="726">
      <c r="A726" s="1" t="inlineStr">
        <is>
          <t>88300250</t>
        </is>
      </c>
      <c r="B726" s="2" t="inlineStr">
        <is>
          <t>697438223</t>
        </is>
      </c>
      <c r="C726" s="3" t="inlineStr">
        <is>
          <t>Одежда для детей</t>
        </is>
      </c>
      <c r="D726" s="2" t="inlineStr">
        <is>
          <t>Платья, майки, футболки детские для девочек</t>
        </is>
      </c>
      <c r="E726" s="3" t="inlineStr">
        <is>
          <t>883 Футболка длинный рукав детская для девочек</t>
        </is>
      </c>
      <c r="F726" s="2" t="inlineStr">
        <is>
          <t>всесезонный</t>
        </is>
      </c>
      <c r="G726" s="3" t="inlineStr">
        <is>
          <t>kari</t>
        </is>
      </c>
      <c r="H726" s="2" t="inlineStr">
        <is>
          <t>Зиннуров Ильнур</t>
        </is>
      </c>
      <c r="J726" s="3" t="inlineStr">
        <is>
          <t>2026SS</t>
        </is>
      </c>
      <c r="K726" s="3" t="n">
        <v>2735</v>
      </c>
      <c r="L726" s="3" t="n">
        <v>163</v>
      </c>
      <c r="M726" s="3" t="n">
        <v>1</v>
      </c>
      <c r="N726" s="4">
        <f>IFERROR(L726/K726,0)</f>
        <v/>
      </c>
      <c r="O726" s="4">
        <f>IFERROR(M726/L726,0)</f>
        <v/>
      </c>
      <c r="P726" t="n">
        <v>304</v>
      </c>
      <c r="Q726" s="5" t="n">
        <v>1</v>
      </c>
      <c r="R726" s="7" t="n">
        <v>1</v>
      </c>
      <c r="S726">
        <f>IF(OR(N726&lt;$T$1*0.5,O726&lt;$U$1*0.5),"код для проверки","нормальный код")</f>
        <v/>
      </c>
      <c r="T726">
        <f>IF(N726&lt;$T$1*0.5,"Низшая четверть",IF(N726&lt;$T$1,"Вторая четверть","Больше половины"))</f>
        <v/>
      </c>
      <c r="U726">
        <f>IF(O726&lt;$U$1*0.5,"Низшая четверть",IF(O726&lt;$U$1,"Вторая четверть","Больше половины"))</f>
        <v/>
      </c>
      <c r="V726">
        <f>IF(OR(N726&lt;SUMIFS(L:L,R:R,1,E:E,E726)/SUMIFS(K:K,R:R,1,E:E,E726)*0.5,O726&lt;SUMIFS(M:M,R:R,1,E:E,E726)/SUMIFS(L:L,R:R,1,E:E,E726)*0.5),"код для проверки","нормальный код")</f>
        <v/>
      </c>
      <c r="W726">
        <f>IF(N726&lt;SUMIFS(L:L,R:R,1,E:E,E726)/SUMIFS(K:K,R:R,1,E:E,E726)*0.5,"Низшая четверть",IF(N726&lt;SUMIFS(L:L,R:R,1,E:E,E726)/SUMIFS(K:K,R:R,1,E:E,E726),"Вторая четверть","Больше половины"))</f>
        <v/>
      </c>
      <c r="X726">
        <f>IF(O726&lt;SUMIFS(M:M,R:R,1,E:E,E726)/SUMIFS(L:L,R:R,1,E:E,E726)*0.5,"Низшая четверть",IF(O726&lt;SUMIFS(M:M,R:R,1,E:E,E726)/SUMIFS(L:L,R:R,1,E:E,E726),"Вторая четверть","Больше половины"))</f>
        <v/>
      </c>
      <c r="Y726" t="n">
        <v>17</v>
      </c>
    </row>
    <row r="727">
      <c r="A727" s="1" t="inlineStr">
        <is>
          <t>93900280</t>
        </is>
      </c>
      <c r="B727" s="2" t="inlineStr">
        <is>
          <t>907849925</t>
        </is>
      </c>
      <c r="C727" s="3" t="inlineStr">
        <is>
          <t>Одежда для детей</t>
        </is>
      </c>
      <c r="D727" s="2" t="inlineStr">
        <is>
          <t>Одежда для новорожденных</t>
        </is>
      </c>
      <c r="E727" s="3" t="inlineStr">
        <is>
          <t>939 Футболка для маленькой девочки</t>
        </is>
      </c>
      <c r="F727" s="2" t="inlineStr">
        <is>
          <t>всесезонный</t>
        </is>
      </c>
      <c r="G727" s="3" t="inlineStr">
        <is>
          <t>Kari baby</t>
        </is>
      </c>
      <c r="H727" s="2" t="inlineStr">
        <is>
          <t>Зиннуров Ильнур</t>
        </is>
      </c>
      <c r="J727" s="3" t="inlineStr">
        <is>
          <t>2026SS</t>
        </is>
      </c>
      <c r="K727" s="3" t="n">
        <v>2729</v>
      </c>
      <c r="L727" s="3" t="n">
        <v>107</v>
      </c>
      <c r="M727" s="3" t="n">
        <v>4</v>
      </c>
      <c r="N727" s="4">
        <f>IFERROR(L727/K727,0)</f>
        <v/>
      </c>
      <c r="O727" s="4">
        <f>IFERROR(M727/L727,0)</f>
        <v/>
      </c>
      <c r="P727" t="n">
        <v>652</v>
      </c>
      <c r="Q727" s="5" t="n">
        <v>1</v>
      </c>
      <c r="R727" s="7" t="n">
        <v>1</v>
      </c>
      <c r="S727">
        <f>IF(OR(N727&lt;$T$1*0.5,O727&lt;$U$1*0.5),"код для проверки","нормальный код")</f>
        <v/>
      </c>
      <c r="T727">
        <f>IF(N727&lt;$T$1*0.5,"Низшая четверть",IF(N727&lt;$T$1,"Вторая четверть","Больше половины"))</f>
        <v/>
      </c>
      <c r="U727">
        <f>IF(O727&lt;$U$1*0.5,"Низшая четверть",IF(O727&lt;$U$1,"Вторая четверть","Больше половины"))</f>
        <v/>
      </c>
      <c r="V727">
        <f>IF(OR(N727&lt;SUMIFS(L:L,R:R,1,E:E,E727)/SUMIFS(K:K,R:R,1,E:E,E727)*0.5,O727&lt;SUMIFS(M:M,R:R,1,E:E,E727)/SUMIFS(L:L,R:R,1,E:E,E727)*0.5),"код для проверки","нормальный код")</f>
        <v/>
      </c>
      <c r="W727">
        <f>IF(N727&lt;SUMIFS(L:L,R:R,1,E:E,E727)/SUMIFS(K:K,R:R,1,E:E,E727)*0.5,"Низшая четверть",IF(N727&lt;SUMIFS(L:L,R:R,1,E:E,E727)/SUMIFS(K:K,R:R,1,E:E,E727),"Вторая четверть","Больше половины"))</f>
        <v/>
      </c>
      <c r="X727">
        <f>IF(O727&lt;SUMIFS(M:M,R:R,1,E:E,E727)/SUMIFS(L:L,R:R,1,E:E,E727)*0.5,"Низшая четверть",IF(O727&lt;SUMIFS(M:M,R:R,1,E:E,E727)/SUMIFS(L:L,R:R,1,E:E,E727),"Вторая четверть","Больше половины"))</f>
        <v/>
      </c>
      <c r="Y727" t="n">
        <v>15</v>
      </c>
    </row>
    <row r="728">
      <c r="A728" s="1" t="inlineStr">
        <is>
          <t>23900030</t>
        </is>
      </c>
      <c r="B728" s="2" t="inlineStr">
        <is>
          <t>721093427</t>
        </is>
      </c>
      <c r="C728" s="3" t="inlineStr">
        <is>
          <t>Одежда для детей</t>
        </is>
      </c>
      <c r="D728" s="2" t="inlineStr">
        <is>
          <t>Спортивная детская одежда для мальчиков</t>
        </is>
      </c>
      <c r="E728" s="3" t="inlineStr">
        <is>
          <t>239 Спортивный костюм детский для мальчиков</t>
        </is>
      </c>
      <c r="F728" s="2" t="inlineStr">
        <is>
          <t>всесезонный</t>
        </is>
      </c>
      <c r="G728" s="3" t="inlineStr">
        <is>
          <t>Kari KIDS</t>
        </is>
      </c>
      <c r="H728" s="2" t="inlineStr">
        <is>
          <t>Зиннуров Ильнур</t>
        </is>
      </c>
      <c r="J728" s="3" t="inlineStr">
        <is>
          <t>2026SS</t>
        </is>
      </c>
      <c r="K728" s="3" t="n">
        <v>2717</v>
      </c>
      <c r="L728" s="3" t="n">
        <v>380</v>
      </c>
      <c r="M728" s="3" t="n">
        <v>2</v>
      </c>
      <c r="N728" s="4">
        <f>IFERROR(L728/K728,0)</f>
        <v/>
      </c>
      <c r="O728" s="4">
        <f>IFERROR(M728/L728,0)</f>
        <v/>
      </c>
      <c r="P728" t="n">
        <v>367</v>
      </c>
      <c r="Q728" s="5" t="n">
        <v>1</v>
      </c>
      <c r="R728" s="7" t="n">
        <v>1</v>
      </c>
      <c r="S728">
        <f>IF(OR(N728&lt;$T$1*0.5,O728&lt;$U$1*0.5),"код для проверки","нормальный код")</f>
        <v/>
      </c>
      <c r="T728">
        <f>IF(N728&lt;$T$1*0.5,"Низшая четверть",IF(N728&lt;$T$1,"Вторая четверть","Больше половины"))</f>
        <v/>
      </c>
      <c r="U728">
        <f>IF(O728&lt;$U$1*0.5,"Низшая четверть",IF(O728&lt;$U$1,"Вторая четверть","Больше половины"))</f>
        <v/>
      </c>
      <c r="V728">
        <f>IF(OR(N728&lt;SUMIFS(L:L,R:R,1,E:E,E728)/SUMIFS(K:K,R:R,1,E:E,E728)*0.5,O728&lt;SUMIFS(M:M,R:R,1,E:E,E728)/SUMIFS(L:L,R:R,1,E:E,E728)*0.5),"код для проверки","нормальный код")</f>
        <v/>
      </c>
      <c r="W728">
        <f>IF(N728&lt;SUMIFS(L:L,R:R,1,E:E,E728)/SUMIFS(K:K,R:R,1,E:E,E728)*0.5,"Низшая четверть",IF(N728&lt;SUMIFS(L:L,R:R,1,E:E,E728)/SUMIFS(K:K,R:R,1,E:E,E728),"Вторая четверть","Больше половины"))</f>
        <v/>
      </c>
      <c r="X728">
        <f>IF(O728&lt;SUMIFS(M:M,R:R,1,E:E,E728)/SUMIFS(L:L,R:R,1,E:E,E728)*0.5,"Низшая четверть",IF(O728&lt;SUMIFS(M:M,R:R,1,E:E,E728)/SUMIFS(L:L,R:R,1,E:E,E728),"Вторая четверть","Больше половины"))</f>
        <v/>
      </c>
      <c r="Y728" t="n">
        <v>12</v>
      </c>
    </row>
    <row r="729">
      <c r="A729" s="1" t="inlineStr">
        <is>
          <t>094002B0</t>
        </is>
      </c>
      <c r="B729" s="2" t="inlineStr">
        <is>
          <t>756548795</t>
        </is>
      </c>
      <c r="C729" s="3" t="inlineStr">
        <is>
          <t>Одежда и аксессуары</t>
        </is>
      </c>
      <c r="D729" s="2" t="inlineStr">
        <is>
          <t>Купальники женские</t>
        </is>
      </c>
      <c r="E729" s="3" t="inlineStr">
        <is>
          <t>094 Купальник</t>
        </is>
      </c>
      <c r="F729" s="2" t="inlineStr">
        <is>
          <t>лето</t>
        </is>
      </c>
      <c r="G729" s="3" t="inlineStr">
        <is>
          <t>kari</t>
        </is>
      </c>
      <c r="H729" s="2" t="inlineStr">
        <is>
          <t>Никонорова Алина</t>
        </is>
      </c>
      <c r="J729" s="3" t="inlineStr">
        <is>
          <t>2026SS</t>
        </is>
      </c>
      <c r="K729" s="3" t="n">
        <v>2713</v>
      </c>
      <c r="L729" s="3" t="n">
        <v>6347</v>
      </c>
      <c r="M729" s="3" t="n">
        <v>2</v>
      </c>
      <c r="N729" s="4">
        <f>IFERROR(L729/K729,0)</f>
        <v/>
      </c>
      <c r="O729" s="4">
        <f>IFERROR(M729/L729,0)</f>
        <v/>
      </c>
      <c r="P729" t="n">
        <v>1371</v>
      </c>
      <c r="Q729" s="5" t="n">
        <v>0.7777777777777778</v>
      </c>
      <c r="R729" s="7" t="n">
        <v>1</v>
      </c>
      <c r="S729">
        <f>IF(OR(N729&lt;$T$1*0.5,O729&lt;$U$1*0.5),"код для проверки","нормальный код")</f>
        <v/>
      </c>
      <c r="T729">
        <f>IF(N729&lt;$T$1*0.5,"Низшая четверть",IF(N729&lt;$T$1,"Вторая четверть","Больше половины"))</f>
        <v/>
      </c>
      <c r="U729">
        <f>IF(O729&lt;$U$1*0.5,"Низшая четверть",IF(O729&lt;$U$1,"Вторая четверть","Больше половины"))</f>
        <v/>
      </c>
      <c r="V729">
        <f>IF(OR(N729&lt;SUMIFS(L:L,R:R,1,E:E,E729)/SUMIFS(K:K,R:R,1,E:E,E729)*0.5,O729&lt;SUMIFS(M:M,R:R,1,E:E,E729)/SUMIFS(L:L,R:R,1,E:E,E729)*0.5),"код для проверки","нормальный код")</f>
        <v/>
      </c>
      <c r="W729">
        <f>IF(N729&lt;SUMIFS(L:L,R:R,1,E:E,E729)/SUMIFS(K:K,R:R,1,E:E,E729)*0.5,"Низшая четверть",IF(N729&lt;SUMIFS(L:L,R:R,1,E:E,E729)/SUMIFS(K:K,R:R,1,E:E,E729),"Вторая четверть","Больше половины"))</f>
        <v/>
      </c>
      <c r="X729">
        <f>IF(O729&lt;SUMIFS(M:M,R:R,1,E:E,E729)/SUMIFS(L:L,R:R,1,E:E,E729)*0.5,"Низшая четверть",IF(O729&lt;SUMIFS(M:M,R:R,1,E:E,E729)/SUMIFS(L:L,R:R,1,E:E,E729),"Вторая четверть","Больше половины"))</f>
        <v/>
      </c>
      <c r="Y729" t="n">
        <v>15</v>
      </c>
    </row>
    <row r="730">
      <c r="A730" s="1" t="inlineStr">
        <is>
          <t>310082X0</t>
        </is>
      </c>
      <c r="B730" s="2" t="inlineStr">
        <is>
          <t>370543717</t>
        </is>
      </c>
      <c r="C730" s="3" t="inlineStr">
        <is>
          <t>Одежда для детей</t>
        </is>
      </c>
      <c r="D730" s="2" t="inlineStr">
        <is>
          <t>Футболки, майки, рубашки детские для мальчиков</t>
        </is>
      </c>
      <c r="E730" s="3" t="inlineStr">
        <is>
          <t>310 Футболка детская для мальчиков</t>
        </is>
      </c>
      <c r="F730" s="2" t="inlineStr">
        <is>
          <t>всесезонный</t>
        </is>
      </c>
      <c r="G730" s="3" t="inlineStr">
        <is>
          <t>Kari KIDS</t>
        </is>
      </c>
      <c r="H730" s="2" t="inlineStr">
        <is>
          <t>Зиннуров Ильнур</t>
        </is>
      </c>
      <c r="J730" s="3" t="inlineStr">
        <is>
          <t>2026SS</t>
        </is>
      </c>
      <c r="K730" s="3" t="n">
        <v>2702</v>
      </c>
      <c r="L730" s="3" t="n">
        <v>1729</v>
      </c>
      <c r="M730" s="3" t="n">
        <v>58</v>
      </c>
      <c r="N730" s="4">
        <f>IFERROR(L730/K730,0)</f>
        <v/>
      </c>
      <c r="O730" s="4">
        <f>IFERROR(M730/L730,0)</f>
        <v/>
      </c>
      <c r="P730" t="n">
        <v>0</v>
      </c>
      <c r="Q730" s="5" t="n">
        <v>1</v>
      </c>
      <c r="R730" s="7" t="n">
        <v>0</v>
      </c>
      <c r="S730" t="inlineStr">
        <is>
          <t>Мало остатка</t>
        </is>
      </c>
      <c r="T730">
        <f>IF(N730&lt;$T$1*0.5,"Низшая четверть",IF(N730&lt;$T$1,"Вторая четверть","Больше половины"))</f>
        <v/>
      </c>
      <c r="U730">
        <f>IF(O730&lt;$U$1*0.5,"Низшая четверть",IF(O730&lt;$U$1,"Вторая четверть","Больше половины"))</f>
        <v/>
      </c>
      <c r="V730">
        <f>IF(OR(N730&lt;SUMIFS(L:L,R:R,1,E:E,E730)/SUMIFS(K:K,R:R,1,E:E,E730)*0.5,O730&lt;SUMIFS(M:M,R:R,1,E:E,E730)/SUMIFS(L:L,R:R,1,E:E,E730)*0.5),"код для проверки","нормальный код")</f>
        <v/>
      </c>
      <c r="W730">
        <f>IF(N730&lt;SUMIFS(L:L,R:R,1,E:E,E730)/SUMIFS(K:K,R:R,1,E:E,E730)*0.5,"Низшая четверть",IF(N730&lt;SUMIFS(L:L,R:R,1,E:E,E730)/SUMIFS(K:K,R:R,1,E:E,E730),"Вторая четверть","Больше половины"))</f>
        <v/>
      </c>
      <c r="X730">
        <f>IF(O730&lt;SUMIFS(M:M,R:R,1,E:E,E730)/SUMIFS(L:L,R:R,1,E:E,E730)*0.5,"Низшая четверть",IF(O730&lt;SUMIFS(M:M,R:R,1,E:E,E730)/SUMIFS(L:L,R:R,1,E:E,E730),"Вторая четверть","Больше половины"))</f>
        <v/>
      </c>
      <c r="Y730" t="n">
        <v>5</v>
      </c>
    </row>
    <row r="731">
      <c r="A731" s="1" t="inlineStr">
        <is>
          <t>96200110</t>
        </is>
      </c>
      <c r="B731" s="2" t="inlineStr">
        <is>
          <t>899023003</t>
        </is>
      </c>
      <c r="C731" s="3" t="inlineStr">
        <is>
          <t>Одежда для детей</t>
        </is>
      </c>
      <c r="D731" s="2" t="inlineStr">
        <is>
          <t>Одежда для новорожденных</t>
        </is>
      </c>
      <c r="E731" s="3" t="inlineStr">
        <is>
          <t>962 Комплект летней одежды для маленького мальчика</t>
        </is>
      </c>
      <c r="F731" s="2" t="inlineStr">
        <is>
          <t>весна, лето</t>
        </is>
      </c>
      <c r="G731" s="3" t="inlineStr">
        <is>
          <t>Kari baby</t>
        </is>
      </c>
      <c r="H731" s="2" t="inlineStr">
        <is>
          <t>Зиннуров Ильнур</t>
        </is>
      </c>
      <c r="J731" s="3" t="inlineStr">
        <is>
          <t>2026SS</t>
        </is>
      </c>
      <c r="K731" s="3" t="n">
        <v>2696</v>
      </c>
      <c r="L731" s="3" t="n">
        <v>111</v>
      </c>
      <c r="M731" s="3" t="n">
        <v>6</v>
      </c>
      <c r="N731" s="4">
        <f>IFERROR(L731/K731,0)</f>
        <v/>
      </c>
      <c r="O731" s="4">
        <f>IFERROR(M731/L731,0)</f>
        <v/>
      </c>
      <c r="P731" t="n">
        <v>654</v>
      </c>
      <c r="Q731" s="5" t="n">
        <v>1</v>
      </c>
      <c r="R731" s="7" t="n">
        <v>1</v>
      </c>
      <c r="S731">
        <f>IF(OR(N731&lt;$T$1*0.5,O731&lt;$U$1*0.5),"код для проверки","нормальный код")</f>
        <v/>
      </c>
      <c r="T731">
        <f>IF(N731&lt;$T$1*0.5,"Низшая четверть",IF(N731&lt;$T$1,"Вторая четверть","Больше половины"))</f>
        <v/>
      </c>
      <c r="U731">
        <f>IF(O731&lt;$U$1*0.5,"Низшая четверть",IF(O731&lt;$U$1,"Вторая четверть","Больше половины"))</f>
        <v/>
      </c>
      <c r="V731">
        <f>IF(OR(N731&lt;SUMIFS(L:L,R:R,1,E:E,E731)/SUMIFS(K:K,R:R,1,E:E,E731)*0.5,O731&lt;SUMIFS(M:M,R:R,1,E:E,E731)/SUMIFS(L:L,R:R,1,E:E,E731)*0.5),"код для проверки","нормальный код")</f>
        <v/>
      </c>
      <c r="W731">
        <f>IF(N731&lt;SUMIFS(L:L,R:R,1,E:E,E731)/SUMIFS(K:K,R:R,1,E:E,E731)*0.5,"Низшая четверть",IF(N731&lt;SUMIFS(L:L,R:R,1,E:E,E731)/SUMIFS(K:K,R:R,1,E:E,E731),"Вторая четверть","Больше половины"))</f>
        <v/>
      </c>
      <c r="X731">
        <f>IF(O731&lt;SUMIFS(M:M,R:R,1,E:E,E731)/SUMIFS(L:L,R:R,1,E:E,E731)*0.5,"Низшая четверть",IF(O731&lt;SUMIFS(M:M,R:R,1,E:E,E731)/SUMIFS(L:L,R:R,1,E:E,E731),"Вторая четверть","Больше половины"))</f>
        <v/>
      </c>
      <c r="Y731" t="n">
        <v>20</v>
      </c>
    </row>
    <row r="732">
      <c r="A732" s="1" t="inlineStr">
        <is>
          <t>17900060</t>
        </is>
      </c>
      <c r="B732" s="2" t="inlineStr">
        <is>
          <t>768695300</t>
        </is>
      </c>
      <c r="C732" s="3" t="inlineStr">
        <is>
          <t>Одежда и аксессуары</t>
        </is>
      </c>
      <c r="D732" s="2" t="inlineStr">
        <is>
          <t>Джинсы женские</t>
        </is>
      </c>
      <c r="E732" s="3" t="inlineStr">
        <is>
          <t>179 Джинсы женские</t>
        </is>
      </c>
      <c r="F732" s="2" t="inlineStr">
        <is>
          <t>всесезонный</t>
        </is>
      </c>
      <c r="G732" s="3" t="inlineStr">
        <is>
          <t>kari</t>
        </is>
      </c>
      <c r="H732" s="2" t="inlineStr">
        <is>
          <t>Зиннуров Ильнур</t>
        </is>
      </c>
      <c r="J732" s="3" t="inlineStr">
        <is>
          <t>2026SS</t>
        </is>
      </c>
      <c r="K732" s="3" t="n">
        <v>2689</v>
      </c>
      <c r="L732" s="3" t="n">
        <v>537</v>
      </c>
      <c r="M732" s="3" t="n">
        <v>8</v>
      </c>
      <c r="N732" s="4">
        <f>IFERROR(L732/K732,0)</f>
        <v/>
      </c>
      <c r="O732" s="4">
        <f>IFERROR(M732/L732,0)</f>
        <v/>
      </c>
      <c r="P732" t="n">
        <v>248</v>
      </c>
      <c r="Q732" s="5" t="n">
        <v>1</v>
      </c>
      <c r="R732" s="7" t="n">
        <v>1</v>
      </c>
      <c r="S732">
        <f>IF(OR(N732&lt;$T$1*0.5,O732&lt;$U$1*0.5),"код для проверки","нормальный код")</f>
        <v/>
      </c>
      <c r="T732">
        <f>IF(N732&lt;$T$1*0.5,"Низшая четверть",IF(N732&lt;$T$1,"Вторая четверть","Больше половины"))</f>
        <v/>
      </c>
      <c r="U732">
        <f>IF(O732&lt;$U$1*0.5,"Низшая четверть",IF(O732&lt;$U$1,"Вторая четверть","Больше половины"))</f>
        <v/>
      </c>
      <c r="V732">
        <f>IF(OR(N732&lt;SUMIFS(L:L,R:R,1,E:E,E732)/SUMIFS(K:K,R:R,1,E:E,E732)*0.5,O732&lt;SUMIFS(M:M,R:R,1,E:E,E732)/SUMIFS(L:L,R:R,1,E:E,E732)*0.5),"код для проверки","нормальный код")</f>
        <v/>
      </c>
      <c r="W732">
        <f>IF(N732&lt;SUMIFS(L:L,R:R,1,E:E,E732)/SUMIFS(K:K,R:R,1,E:E,E732)*0.5,"Низшая четверть",IF(N732&lt;SUMIFS(L:L,R:R,1,E:E,E732)/SUMIFS(K:K,R:R,1,E:E,E732),"Вторая четверть","Больше половины"))</f>
        <v/>
      </c>
      <c r="X732">
        <f>IF(O732&lt;SUMIFS(M:M,R:R,1,E:E,E732)/SUMIFS(L:L,R:R,1,E:E,E732)*0.5,"Низшая четверть",IF(O732&lt;SUMIFS(M:M,R:R,1,E:E,E732)/SUMIFS(L:L,R:R,1,E:E,E732),"Вторая четверть","Больше половины"))</f>
        <v/>
      </c>
      <c r="Y732" t="n">
        <v>23</v>
      </c>
    </row>
    <row r="733">
      <c r="A733" s="1" t="inlineStr">
        <is>
          <t>094001B0</t>
        </is>
      </c>
      <c r="B733" s="2" t="inlineStr">
        <is>
          <t>915099004</t>
        </is>
      </c>
      <c r="C733" s="3" t="inlineStr">
        <is>
          <t>Одежда и аксессуары</t>
        </is>
      </c>
      <c r="D733" s="2" t="inlineStr">
        <is>
          <t>Купальники женские</t>
        </is>
      </c>
      <c r="E733" s="3" t="inlineStr">
        <is>
          <t>094 Купальник</t>
        </is>
      </c>
      <c r="F733" s="2" t="inlineStr">
        <is>
          <t>лето</t>
        </is>
      </c>
      <c r="G733" s="3" t="inlineStr">
        <is>
          <t>kari</t>
        </is>
      </c>
      <c r="H733" s="2" t="inlineStr">
        <is>
          <t>Никонорова Алина</t>
        </is>
      </c>
      <c r="J733" s="3" t="inlineStr">
        <is>
          <t>2026SS</t>
        </is>
      </c>
      <c r="K733" s="3" t="n">
        <v>2671</v>
      </c>
      <c r="L733" s="3" t="n">
        <v>6179</v>
      </c>
      <c r="M733" s="3" t="n">
        <v>15</v>
      </c>
      <c r="N733" s="4">
        <f>IFERROR(L733/K733,0)</f>
        <v/>
      </c>
      <c r="O733" s="4">
        <f>IFERROR(M733/L733,0)</f>
        <v/>
      </c>
      <c r="P733" t="n">
        <v>1845</v>
      </c>
      <c r="Q733" s="5" t="n">
        <v>0.7777777777777778</v>
      </c>
      <c r="R733" s="7" t="n">
        <v>1</v>
      </c>
      <c r="S733">
        <f>IF(OR(N733&lt;$T$1*0.5,O733&lt;$U$1*0.5),"код для проверки","нормальный код")</f>
        <v/>
      </c>
      <c r="T733">
        <f>IF(N733&lt;$T$1*0.5,"Низшая четверть",IF(N733&lt;$T$1,"Вторая четверть","Больше половины"))</f>
        <v/>
      </c>
      <c r="U733">
        <f>IF(O733&lt;$U$1*0.5,"Низшая четверть",IF(O733&lt;$U$1,"Вторая четверть","Больше половины"))</f>
        <v/>
      </c>
      <c r="V733">
        <f>IF(OR(N733&lt;SUMIFS(L:L,R:R,1,E:E,E733)/SUMIFS(K:K,R:R,1,E:E,E733)*0.5,O733&lt;SUMIFS(M:M,R:R,1,E:E,E733)/SUMIFS(L:L,R:R,1,E:E,E733)*0.5),"код для проверки","нормальный код")</f>
        <v/>
      </c>
      <c r="W733">
        <f>IF(N733&lt;SUMIFS(L:L,R:R,1,E:E,E733)/SUMIFS(K:K,R:R,1,E:E,E733)*0.5,"Низшая четверть",IF(N733&lt;SUMIFS(L:L,R:R,1,E:E,E733)/SUMIFS(K:K,R:R,1,E:E,E733),"Вторая четверть","Больше половины"))</f>
        <v/>
      </c>
      <c r="X733">
        <f>IF(O733&lt;SUMIFS(M:M,R:R,1,E:E,E733)/SUMIFS(L:L,R:R,1,E:E,E733)*0.5,"Низшая четверть",IF(O733&lt;SUMIFS(M:M,R:R,1,E:E,E733)/SUMIFS(L:L,R:R,1,E:E,E733),"Вторая четверть","Больше половины"))</f>
        <v/>
      </c>
      <c r="Y733" t="n">
        <v>21</v>
      </c>
    </row>
    <row r="734">
      <c r="A734" s="1" t="inlineStr">
        <is>
          <t>20200290</t>
        </is>
      </c>
      <c r="B734" s="2" t="inlineStr">
        <is>
          <t>760592141</t>
        </is>
      </c>
      <c r="C734" s="3" t="inlineStr">
        <is>
          <t>Одежда для детей</t>
        </is>
      </c>
      <c r="D734" s="2" t="inlineStr">
        <is>
          <t>Головные уборы детские для мальчиков</t>
        </is>
      </c>
      <c r="E734" s="3" t="inlineStr">
        <is>
          <t>202 Бейсболка детская для мальчиков</t>
        </is>
      </c>
      <c r="F734" s="2" t="inlineStr">
        <is>
          <t>весна, лето</t>
        </is>
      </c>
      <c r="G734" s="3" t="inlineStr">
        <is>
          <t>kari</t>
        </is>
      </c>
      <c r="H734" s="2" t="inlineStr">
        <is>
          <t>Никонорова Алина</t>
        </is>
      </c>
      <c r="J734" s="3" t="inlineStr">
        <is>
          <t>2026SS</t>
        </is>
      </c>
      <c r="K734" s="3" t="n">
        <v>2670</v>
      </c>
      <c r="L734" s="3" t="n">
        <v>251</v>
      </c>
      <c r="M734" s="3" t="n">
        <v>1</v>
      </c>
      <c r="N734" s="4">
        <f>IFERROR(L734/K734,0)</f>
        <v/>
      </c>
      <c r="O734" s="4">
        <f>IFERROR(M734/L734,0)</f>
        <v/>
      </c>
      <c r="P734" t="n">
        <v>681</v>
      </c>
      <c r="Q734" s="5" t="n">
        <v>1</v>
      </c>
      <c r="R734" s="7" t="n">
        <v>1</v>
      </c>
      <c r="S734">
        <f>IF(OR(N734&lt;$T$1*0.5,O734&lt;$U$1*0.5),"код для проверки","нормальный код")</f>
        <v/>
      </c>
      <c r="T734">
        <f>IF(N734&lt;$T$1*0.5,"Низшая четверть",IF(N734&lt;$T$1,"Вторая четверть","Больше половины"))</f>
        <v/>
      </c>
      <c r="U734">
        <f>IF(O734&lt;$U$1*0.5,"Низшая четверть",IF(O734&lt;$U$1,"Вторая четверть","Больше половины"))</f>
        <v/>
      </c>
      <c r="V734">
        <f>IF(OR(N734&lt;SUMIFS(L:L,R:R,1,E:E,E734)/SUMIFS(K:K,R:R,1,E:E,E734)*0.5,O734&lt;SUMIFS(M:M,R:R,1,E:E,E734)/SUMIFS(L:L,R:R,1,E:E,E734)*0.5),"код для проверки","нормальный код")</f>
        <v/>
      </c>
      <c r="W734">
        <f>IF(N734&lt;SUMIFS(L:L,R:R,1,E:E,E734)/SUMIFS(K:K,R:R,1,E:E,E734)*0.5,"Низшая четверть",IF(N734&lt;SUMIFS(L:L,R:R,1,E:E,E734)/SUMIFS(K:K,R:R,1,E:E,E734),"Вторая четверть","Больше половины"))</f>
        <v/>
      </c>
      <c r="X734">
        <f>IF(O734&lt;SUMIFS(M:M,R:R,1,E:E,E734)/SUMIFS(L:L,R:R,1,E:E,E734)*0.5,"Низшая четверть",IF(O734&lt;SUMIFS(M:M,R:R,1,E:E,E734)/SUMIFS(L:L,R:R,1,E:E,E734),"Вторая четверть","Больше половины"))</f>
        <v/>
      </c>
      <c r="Y734" t="n">
        <v>8</v>
      </c>
    </row>
    <row r="735">
      <c r="A735" s="1" t="inlineStr">
        <is>
          <t>a8800030</t>
        </is>
      </c>
      <c r="B735" s="2" t="inlineStr">
        <is>
          <t>696577021</t>
        </is>
      </c>
      <c r="C735" s="3" t="inlineStr">
        <is>
          <t>Одежда для детей</t>
        </is>
      </c>
      <c r="D735" s="2" t="inlineStr">
        <is>
          <t>Свитера детские для девочек</t>
        </is>
      </c>
      <c r="E735" s="3" t="inlineStr">
        <is>
          <t>a88 Толстовка на молнии для девочек</t>
        </is>
      </c>
      <c r="F735" s="2" t="inlineStr">
        <is>
          <t>весна, лето, осень</t>
        </is>
      </c>
      <c r="G735" s="3" t="inlineStr">
        <is>
          <t>Kari KIDS</t>
        </is>
      </c>
      <c r="H735" s="2" t="inlineStr">
        <is>
          <t>Зиннуров Ильнур</t>
        </is>
      </c>
      <c r="J735" s="3" t="inlineStr">
        <is>
          <t>2026SS</t>
        </is>
      </c>
      <c r="K735" s="3" t="n">
        <v>2659</v>
      </c>
      <c r="L735" s="3" t="n">
        <v>258</v>
      </c>
      <c r="M735" s="3" t="n">
        <v>4</v>
      </c>
      <c r="N735" s="4">
        <f>IFERROR(L735/K735,0)</f>
        <v/>
      </c>
      <c r="O735" s="4">
        <f>IFERROR(M735/L735,0)</f>
        <v/>
      </c>
      <c r="P735" t="n">
        <v>154</v>
      </c>
      <c r="Q735" s="5" t="n">
        <v>0.8</v>
      </c>
      <c r="R735" s="7" t="n">
        <v>1</v>
      </c>
      <c r="S735">
        <f>IF(OR(N735&lt;$T$1*0.5,O735&lt;$U$1*0.5),"код для проверки","нормальный код")</f>
        <v/>
      </c>
      <c r="T735">
        <f>IF(N735&lt;$T$1*0.5,"Низшая четверть",IF(N735&lt;$T$1,"Вторая четверть","Больше половины"))</f>
        <v/>
      </c>
      <c r="U735">
        <f>IF(O735&lt;$U$1*0.5,"Низшая четверть",IF(O735&lt;$U$1,"Вторая четверть","Больше половины"))</f>
        <v/>
      </c>
      <c r="V735">
        <f>IF(OR(N735&lt;SUMIFS(L:L,R:R,1,E:E,E735)/SUMIFS(K:K,R:R,1,E:E,E735)*0.5,O735&lt;SUMIFS(M:M,R:R,1,E:E,E735)/SUMIFS(L:L,R:R,1,E:E,E735)*0.5),"код для проверки","нормальный код")</f>
        <v/>
      </c>
      <c r="W735">
        <f>IF(N735&lt;SUMIFS(L:L,R:R,1,E:E,E735)/SUMIFS(K:K,R:R,1,E:E,E735)*0.5,"Низшая четверть",IF(N735&lt;SUMIFS(L:L,R:R,1,E:E,E735)/SUMIFS(K:K,R:R,1,E:E,E735),"Вторая четверть","Больше половины"))</f>
        <v/>
      </c>
      <c r="X735">
        <f>IF(O735&lt;SUMIFS(M:M,R:R,1,E:E,E735)/SUMIFS(L:L,R:R,1,E:E,E735)*0.5,"Низшая четверть",IF(O735&lt;SUMIFS(M:M,R:R,1,E:E,E735)/SUMIFS(L:L,R:R,1,E:E,E735),"Вторая четверть","Больше половины"))</f>
        <v/>
      </c>
      <c r="Y735" t="n">
        <v>22</v>
      </c>
    </row>
    <row r="736">
      <c r="A736" s="1" t="inlineStr">
        <is>
          <t>09400950</t>
        </is>
      </c>
      <c r="B736" s="2" t="inlineStr">
        <is>
          <t>712237448</t>
        </is>
      </c>
      <c r="C736" s="3" t="inlineStr">
        <is>
          <t>Одежда и аксессуары</t>
        </is>
      </c>
      <c r="D736" s="2" t="inlineStr">
        <is>
          <t>Купальники женские</t>
        </is>
      </c>
      <c r="E736" s="3" t="inlineStr">
        <is>
          <t>094 Купальник</t>
        </is>
      </c>
      <c r="F736" s="2" t="inlineStr">
        <is>
          <t>лето</t>
        </is>
      </c>
      <c r="G736" s="3" t="inlineStr">
        <is>
          <t>kari</t>
        </is>
      </c>
      <c r="H736" s="2" t="inlineStr">
        <is>
          <t>Никонорова Алина</t>
        </is>
      </c>
      <c r="J736" s="3" t="inlineStr">
        <is>
          <t>2026SS</t>
        </is>
      </c>
      <c r="K736" s="3" t="n">
        <v>2652</v>
      </c>
      <c r="L736" s="3" t="n">
        <v>4995</v>
      </c>
      <c r="M736" s="3" t="n">
        <v>10</v>
      </c>
      <c r="N736" s="4">
        <f>IFERROR(L736/K736,0)</f>
        <v/>
      </c>
      <c r="O736" s="4">
        <f>IFERROR(M736/L736,0)</f>
        <v/>
      </c>
      <c r="P736" t="n">
        <v>1469</v>
      </c>
      <c r="Q736" s="5" t="n">
        <v>0.6666666666666666</v>
      </c>
      <c r="R736" s="7" t="n">
        <v>1</v>
      </c>
      <c r="S736">
        <f>IF(OR(N736&lt;$T$1*0.5,O736&lt;$U$1*0.5),"код для проверки","нормальный код")</f>
        <v/>
      </c>
      <c r="T736">
        <f>IF(N736&lt;$T$1*0.5,"Низшая четверть",IF(N736&lt;$T$1,"Вторая четверть","Больше половины"))</f>
        <v/>
      </c>
      <c r="U736">
        <f>IF(O736&lt;$U$1*0.5,"Низшая четверть",IF(O736&lt;$U$1,"Вторая четверть","Больше половины"))</f>
        <v/>
      </c>
      <c r="V736">
        <f>IF(OR(N736&lt;SUMIFS(L:L,R:R,1,E:E,E736)/SUMIFS(K:K,R:R,1,E:E,E736)*0.5,O736&lt;SUMIFS(M:M,R:R,1,E:E,E736)/SUMIFS(L:L,R:R,1,E:E,E736)*0.5),"код для проверки","нормальный код")</f>
        <v/>
      </c>
      <c r="W736">
        <f>IF(N736&lt;SUMIFS(L:L,R:R,1,E:E,E736)/SUMIFS(K:K,R:R,1,E:E,E736)*0.5,"Низшая четверть",IF(N736&lt;SUMIFS(L:L,R:R,1,E:E,E736)/SUMIFS(K:K,R:R,1,E:E,E736),"Вторая четверть","Больше половины"))</f>
        <v/>
      </c>
      <c r="X736">
        <f>IF(O736&lt;SUMIFS(M:M,R:R,1,E:E,E736)/SUMIFS(L:L,R:R,1,E:E,E736)*0.5,"Низшая четверть",IF(O736&lt;SUMIFS(M:M,R:R,1,E:E,E736)/SUMIFS(L:L,R:R,1,E:E,E736),"Вторая четверть","Больше половины"))</f>
        <v/>
      </c>
      <c r="Y736" t="n">
        <v>22</v>
      </c>
    </row>
    <row r="737">
      <c r="A737" s="1" t="inlineStr">
        <is>
          <t>16800200</t>
        </is>
      </c>
      <c r="B737" s="2" t="inlineStr">
        <is>
          <t>732955480</t>
        </is>
      </c>
      <c r="C737" s="3" t="inlineStr">
        <is>
          <t>Одежда и аксессуары</t>
        </is>
      </c>
      <c r="D737" s="2" t="inlineStr">
        <is>
          <t>Головные уборы женские</t>
        </is>
      </c>
      <c r="E737" s="3" t="inlineStr">
        <is>
          <t>168 Шляпа женская летняя</t>
        </is>
      </c>
      <c r="F737" s="2" t="inlineStr">
        <is>
          <t>лето</t>
        </is>
      </c>
      <c r="G737" s="3" t="inlineStr">
        <is>
          <t>kari</t>
        </is>
      </c>
      <c r="H737" s="2" t="inlineStr">
        <is>
          <t>Никонорова Алина</t>
        </is>
      </c>
      <c r="J737" s="3" t="inlineStr">
        <is>
          <t>2026SS</t>
        </is>
      </c>
      <c r="K737" s="3" t="n">
        <v>2651</v>
      </c>
      <c r="L737" s="3" t="n">
        <v>195</v>
      </c>
      <c r="M737" s="3" t="n">
        <v>8</v>
      </c>
      <c r="N737" s="4">
        <f>IFERROR(L737/K737,0)</f>
        <v/>
      </c>
      <c r="O737" s="4">
        <f>IFERROR(M737/L737,0)</f>
        <v/>
      </c>
      <c r="P737" t="n">
        <v>1585</v>
      </c>
      <c r="Q737" s="5" t="n">
        <v>1</v>
      </c>
      <c r="R737" s="7" t="n">
        <v>1</v>
      </c>
      <c r="S737">
        <f>IF(OR(N737&lt;$T$1*0.5,O737&lt;$U$1*0.5),"код для проверки","нормальный код")</f>
        <v/>
      </c>
      <c r="T737">
        <f>IF(N737&lt;$T$1*0.5,"Низшая четверть",IF(N737&lt;$T$1,"Вторая четверть","Больше половины"))</f>
        <v/>
      </c>
      <c r="U737">
        <f>IF(O737&lt;$U$1*0.5,"Низшая четверть",IF(O737&lt;$U$1,"Вторая четверть","Больше половины"))</f>
        <v/>
      </c>
      <c r="V737">
        <f>IF(OR(N737&lt;SUMIFS(L:L,R:R,1,E:E,E737)/SUMIFS(K:K,R:R,1,E:E,E737)*0.5,O737&lt;SUMIFS(M:M,R:R,1,E:E,E737)/SUMIFS(L:L,R:R,1,E:E,E737)*0.5),"код для проверки","нормальный код")</f>
        <v/>
      </c>
      <c r="W737">
        <f>IF(N737&lt;SUMIFS(L:L,R:R,1,E:E,E737)/SUMIFS(K:K,R:R,1,E:E,E737)*0.5,"Низшая четверть",IF(N737&lt;SUMIFS(L:L,R:R,1,E:E,E737)/SUMIFS(K:K,R:R,1,E:E,E737),"Вторая четверть","Больше половины"))</f>
        <v/>
      </c>
      <c r="X737">
        <f>IF(O737&lt;SUMIFS(M:M,R:R,1,E:E,E737)/SUMIFS(L:L,R:R,1,E:E,E737)*0.5,"Низшая четверть",IF(O737&lt;SUMIFS(M:M,R:R,1,E:E,E737)/SUMIFS(L:L,R:R,1,E:E,E737),"Вторая четверть","Больше половины"))</f>
        <v/>
      </c>
      <c r="Y737" t="n">
        <v>13</v>
      </c>
    </row>
    <row r="738">
      <c r="A738" s="1" t="inlineStr">
        <is>
          <t>23900020</t>
        </is>
      </c>
      <c r="B738" s="2" t="inlineStr">
        <is>
          <t>721093420</t>
        </is>
      </c>
      <c r="C738" s="3" t="inlineStr">
        <is>
          <t>Одежда для детей</t>
        </is>
      </c>
      <c r="D738" s="2" t="inlineStr">
        <is>
          <t>Спортивная детская одежда для мальчиков</t>
        </is>
      </c>
      <c r="E738" s="3" t="inlineStr">
        <is>
          <t>239 Спортивный костюм детский для мальчиков</t>
        </is>
      </c>
      <c r="F738" s="2" t="inlineStr">
        <is>
          <t>всесезонный</t>
        </is>
      </c>
      <c r="G738" s="3" t="inlineStr">
        <is>
          <t>Kari KIDS</t>
        </is>
      </c>
      <c r="H738" s="2" t="inlineStr">
        <is>
          <t>Зиннуров Ильнур</t>
        </is>
      </c>
      <c r="J738" s="3" t="inlineStr">
        <is>
          <t>2026SS</t>
        </is>
      </c>
      <c r="K738" s="3" t="n">
        <v>2649</v>
      </c>
      <c r="L738" s="3" t="n">
        <v>290</v>
      </c>
      <c r="M738" s="3" t="n">
        <v>8</v>
      </c>
      <c r="N738" s="4">
        <f>IFERROR(L738/K738,0)</f>
        <v/>
      </c>
      <c r="O738" s="4">
        <f>IFERROR(M738/L738,0)</f>
        <v/>
      </c>
      <c r="P738" t="n">
        <v>287</v>
      </c>
      <c r="Q738" s="5" t="n">
        <v>1</v>
      </c>
      <c r="R738" s="7" t="n">
        <v>1</v>
      </c>
      <c r="S738">
        <f>IF(OR(N738&lt;$T$1*0.5,O738&lt;$U$1*0.5),"код для проверки","нормальный код")</f>
        <v/>
      </c>
      <c r="T738">
        <f>IF(N738&lt;$T$1*0.5,"Низшая четверть",IF(N738&lt;$T$1,"Вторая четверть","Больше половины"))</f>
        <v/>
      </c>
      <c r="U738">
        <f>IF(O738&lt;$U$1*0.5,"Низшая четверть",IF(O738&lt;$U$1,"Вторая четверть","Больше половины"))</f>
        <v/>
      </c>
      <c r="V738">
        <f>IF(OR(N738&lt;SUMIFS(L:L,R:R,1,E:E,E738)/SUMIFS(K:K,R:R,1,E:E,E738)*0.5,O738&lt;SUMIFS(M:M,R:R,1,E:E,E738)/SUMIFS(L:L,R:R,1,E:E,E738)*0.5),"код для проверки","нормальный код")</f>
        <v/>
      </c>
      <c r="W738">
        <f>IF(N738&lt;SUMIFS(L:L,R:R,1,E:E,E738)/SUMIFS(K:K,R:R,1,E:E,E738)*0.5,"Низшая четверть",IF(N738&lt;SUMIFS(L:L,R:R,1,E:E,E738)/SUMIFS(K:K,R:R,1,E:E,E738),"Вторая четверть","Больше половины"))</f>
        <v/>
      </c>
      <c r="X738">
        <f>IF(O738&lt;SUMIFS(M:M,R:R,1,E:E,E738)/SUMIFS(L:L,R:R,1,E:E,E738)*0.5,"Низшая четверть",IF(O738&lt;SUMIFS(M:M,R:R,1,E:E,E738)/SUMIFS(L:L,R:R,1,E:E,E738),"Вторая четверть","Больше половины"))</f>
        <v/>
      </c>
      <c r="Y738" t="n">
        <v>25</v>
      </c>
    </row>
    <row r="739">
      <c r="A739" s="1" t="inlineStr">
        <is>
          <t>94708120</t>
        </is>
      </c>
      <c r="B739" s="2" t="inlineStr">
        <is>
          <t>343110206</t>
        </is>
      </c>
      <c r="C739" s="3" t="inlineStr">
        <is>
          <t>Одежда для детей</t>
        </is>
      </c>
      <c r="D739" s="2" t="inlineStr">
        <is>
          <t>Одежда для новорожденных</t>
        </is>
      </c>
      <c r="E739" s="3" t="inlineStr">
        <is>
          <t>947 Ромпер для девочки</t>
        </is>
      </c>
      <c r="F739" s="2" t="inlineStr">
        <is>
          <t>лето</t>
        </is>
      </c>
      <c r="G739" s="3" t="inlineStr">
        <is>
          <t>Kari baby</t>
        </is>
      </c>
      <c r="H739" s="2" t="inlineStr">
        <is>
          <t>Зиннуров Ильнур</t>
        </is>
      </c>
      <c r="J739" s="3" t="inlineStr">
        <is>
          <t>2026SS</t>
        </is>
      </c>
      <c r="K739" s="3" t="n">
        <v>2645</v>
      </c>
      <c r="L739" s="3" t="n">
        <v>404</v>
      </c>
      <c r="M739" s="3" t="n">
        <v>3</v>
      </c>
      <c r="N739" s="4">
        <f>IFERROR(L739/K739,0)</f>
        <v/>
      </c>
      <c r="O739" s="4">
        <f>IFERROR(M739/L739,0)</f>
        <v/>
      </c>
      <c r="P739" t="n">
        <v>989</v>
      </c>
      <c r="Q739" s="5" t="n">
        <v>1</v>
      </c>
      <c r="R739" s="7" t="n">
        <v>1</v>
      </c>
      <c r="S739">
        <f>IF(OR(N739&lt;$T$1*0.5,O739&lt;$U$1*0.5),"код для проверки","нормальный код")</f>
        <v/>
      </c>
      <c r="T739">
        <f>IF(N739&lt;$T$1*0.5,"Низшая четверть",IF(N739&lt;$T$1,"Вторая четверть","Больше половины"))</f>
        <v/>
      </c>
      <c r="U739">
        <f>IF(O739&lt;$U$1*0.5,"Низшая четверть",IF(O739&lt;$U$1,"Вторая четверть","Больше половины"))</f>
        <v/>
      </c>
      <c r="V739">
        <f>IF(OR(N739&lt;SUMIFS(L:L,R:R,1,E:E,E739)/SUMIFS(K:K,R:R,1,E:E,E739)*0.5,O739&lt;SUMIFS(M:M,R:R,1,E:E,E739)/SUMIFS(L:L,R:R,1,E:E,E739)*0.5),"код для проверки","нормальный код")</f>
        <v/>
      </c>
      <c r="W739">
        <f>IF(N739&lt;SUMIFS(L:L,R:R,1,E:E,E739)/SUMIFS(K:K,R:R,1,E:E,E739)*0.5,"Низшая четверть",IF(N739&lt;SUMIFS(L:L,R:R,1,E:E,E739)/SUMIFS(K:K,R:R,1,E:E,E739),"Вторая четверть","Больше половины"))</f>
        <v/>
      </c>
      <c r="X739">
        <f>IF(O739&lt;SUMIFS(M:M,R:R,1,E:E,E739)/SUMIFS(L:L,R:R,1,E:E,E739)*0.5,"Низшая четверть",IF(O739&lt;SUMIFS(M:M,R:R,1,E:E,E739)/SUMIFS(L:L,R:R,1,E:E,E739),"Вторая четверть","Больше половины"))</f>
        <v/>
      </c>
      <c r="Y739" t="n">
        <v>13</v>
      </c>
    </row>
    <row r="740">
      <c r="A740" s="1" t="inlineStr">
        <is>
          <t>53600240</t>
        </is>
      </c>
      <c r="B740" s="2" t="inlineStr">
        <is>
          <t>699198497</t>
        </is>
      </c>
      <c r="C740" s="3" t="inlineStr">
        <is>
          <t>Одежда для детей</t>
        </is>
      </c>
      <c r="D740" s="2" t="inlineStr">
        <is>
          <t>Платья, майки, футболки детские для девочек</t>
        </is>
      </c>
      <c r="E740" s="3" t="inlineStr">
        <is>
          <t>536 Платье летнее детское</t>
        </is>
      </c>
      <c r="F740" s="2" t="inlineStr">
        <is>
          <t>лето</t>
        </is>
      </c>
      <c r="G740" s="3" t="inlineStr">
        <is>
          <t>Kari KIDS</t>
        </is>
      </c>
      <c r="H740" s="2" t="inlineStr">
        <is>
          <t>Зиннуров Ильнур</t>
        </is>
      </c>
      <c r="J740" s="3" t="inlineStr">
        <is>
          <t>2026SS</t>
        </is>
      </c>
      <c r="K740" s="3" t="n">
        <v>2641</v>
      </c>
      <c r="L740" s="3" t="n">
        <v>627</v>
      </c>
      <c r="M740" s="3" t="n">
        <v>1</v>
      </c>
      <c r="N740" s="4">
        <f>IFERROR(L740/K740,0)</f>
        <v/>
      </c>
      <c r="O740" s="4">
        <f>IFERROR(M740/L740,0)</f>
        <v/>
      </c>
      <c r="P740" t="n">
        <v>298</v>
      </c>
      <c r="Q740" s="5" t="n">
        <v>1</v>
      </c>
      <c r="R740" s="7" t="n">
        <v>1</v>
      </c>
      <c r="S740">
        <f>IF(OR(N740&lt;$T$1*0.5,O740&lt;$U$1*0.5),"код для проверки","нормальный код")</f>
        <v/>
      </c>
      <c r="T740">
        <f>IF(N740&lt;$T$1*0.5,"Низшая четверть",IF(N740&lt;$T$1,"Вторая четверть","Больше половины"))</f>
        <v/>
      </c>
      <c r="U740">
        <f>IF(O740&lt;$U$1*0.5,"Низшая четверть",IF(O740&lt;$U$1,"Вторая четверть","Больше половины"))</f>
        <v/>
      </c>
      <c r="V740">
        <f>IF(OR(N740&lt;SUMIFS(L:L,R:R,1,E:E,E740)/SUMIFS(K:K,R:R,1,E:E,E740)*0.5,O740&lt;SUMIFS(M:M,R:R,1,E:E,E740)/SUMIFS(L:L,R:R,1,E:E,E740)*0.5),"код для проверки","нормальный код")</f>
        <v/>
      </c>
      <c r="W740">
        <f>IF(N740&lt;SUMIFS(L:L,R:R,1,E:E,E740)/SUMIFS(K:K,R:R,1,E:E,E740)*0.5,"Низшая четверть",IF(N740&lt;SUMIFS(L:L,R:R,1,E:E,E740)/SUMIFS(K:K,R:R,1,E:E,E740),"Вторая четверть","Больше половины"))</f>
        <v/>
      </c>
      <c r="X740">
        <f>IF(O740&lt;SUMIFS(M:M,R:R,1,E:E,E740)/SUMIFS(L:L,R:R,1,E:E,E740)*0.5,"Низшая четверть",IF(O740&lt;SUMIFS(M:M,R:R,1,E:E,E740)/SUMIFS(L:L,R:R,1,E:E,E740),"Вторая четверть","Больше половины"))</f>
        <v/>
      </c>
      <c r="Y740" t="n">
        <v>20</v>
      </c>
    </row>
    <row r="741">
      <c r="A741" s="1" t="inlineStr">
        <is>
          <t>94708130</t>
        </is>
      </c>
      <c r="B741" s="2" t="inlineStr">
        <is>
          <t>343110174</t>
        </is>
      </c>
      <c r="C741" s="3" t="inlineStr">
        <is>
          <t>Одежда для детей</t>
        </is>
      </c>
      <c r="D741" s="2" t="inlineStr">
        <is>
          <t>Одежда для новорожденных</t>
        </is>
      </c>
      <c r="E741" s="3" t="inlineStr">
        <is>
          <t>947 Ромпер для девочки</t>
        </is>
      </c>
      <c r="F741" s="2" t="inlineStr">
        <is>
          <t>лето</t>
        </is>
      </c>
      <c r="G741" s="3" t="inlineStr">
        <is>
          <t>Kari baby</t>
        </is>
      </c>
      <c r="H741" s="2" t="inlineStr">
        <is>
          <t>Зиннуров Ильнур</t>
        </is>
      </c>
      <c r="J741" s="3" t="inlineStr">
        <is>
          <t>2026SS</t>
        </is>
      </c>
      <c r="K741" s="3" t="n">
        <v>2638</v>
      </c>
      <c r="L741" s="3" t="n">
        <v>589</v>
      </c>
      <c r="M741" s="3" t="n">
        <v>4</v>
      </c>
      <c r="N741" s="4">
        <f>IFERROR(L741/K741,0)</f>
        <v/>
      </c>
      <c r="O741" s="4">
        <f>IFERROR(M741/L741,0)</f>
        <v/>
      </c>
      <c r="P741" t="n">
        <v>1356</v>
      </c>
      <c r="Q741" s="5" t="n">
        <v>1</v>
      </c>
      <c r="R741" s="7" t="n">
        <v>1</v>
      </c>
      <c r="S741">
        <f>IF(OR(N741&lt;$T$1*0.5,O741&lt;$U$1*0.5),"код для проверки","нормальный код")</f>
        <v/>
      </c>
      <c r="T741">
        <f>IF(N741&lt;$T$1*0.5,"Низшая четверть",IF(N741&lt;$T$1,"Вторая четверть","Больше половины"))</f>
        <v/>
      </c>
      <c r="U741">
        <f>IF(O741&lt;$U$1*0.5,"Низшая четверть",IF(O741&lt;$U$1,"Вторая четверть","Больше половины"))</f>
        <v/>
      </c>
      <c r="V741">
        <f>IF(OR(N741&lt;SUMIFS(L:L,R:R,1,E:E,E741)/SUMIFS(K:K,R:R,1,E:E,E741)*0.5,O741&lt;SUMIFS(M:M,R:R,1,E:E,E741)/SUMIFS(L:L,R:R,1,E:E,E741)*0.5),"код для проверки","нормальный код")</f>
        <v/>
      </c>
      <c r="W741">
        <f>IF(N741&lt;SUMIFS(L:L,R:R,1,E:E,E741)/SUMIFS(K:K,R:R,1,E:E,E741)*0.5,"Низшая четверть",IF(N741&lt;SUMIFS(L:L,R:R,1,E:E,E741)/SUMIFS(K:K,R:R,1,E:E,E741),"Вторая четверть","Больше половины"))</f>
        <v/>
      </c>
      <c r="X741">
        <f>IF(O741&lt;SUMIFS(M:M,R:R,1,E:E,E741)/SUMIFS(L:L,R:R,1,E:E,E741)*0.5,"Низшая четверть",IF(O741&lt;SUMIFS(M:M,R:R,1,E:E,E741)/SUMIFS(L:L,R:R,1,E:E,E741),"Вторая четверть","Больше половины"))</f>
        <v/>
      </c>
      <c r="Y741" t="n">
        <v>13</v>
      </c>
    </row>
    <row r="742">
      <c r="A742" s="1" t="inlineStr">
        <is>
          <t>094001Y0</t>
        </is>
      </c>
      <c r="B742" s="2" t="inlineStr">
        <is>
          <t>756548866</t>
        </is>
      </c>
      <c r="C742" s="3" t="inlineStr">
        <is>
          <t>Одежда и аксессуары</t>
        </is>
      </c>
      <c r="D742" s="2" t="inlineStr">
        <is>
          <t>Купальники женские</t>
        </is>
      </c>
      <c r="E742" s="3" t="inlineStr">
        <is>
          <t>094 Купальник</t>
        </is>
      </c>
      <c r="F742" s="2" t="inlineStr">
        <is>
          <t>лето</t>
        </is>
      </c>
      <c r="G742" s="3" t="inlineStr">
        <is>
          <t>kari</t>
        </is>
      </c>
      <c r="H742" s="2" t="inlineStr">
        <is>
          <t>Никонорова Алина</t>
        </is>
      </c>
      <c r="J742" s="3" t="inlineStr">
        <is>
          <t>2026SS</t>
        </is>
      </c>
      <c r="K742" s="3" t="n">
        <v>2627</v>
      </c>
      <c r="L742" s="3" t="n">
        <v>8463</v>
      </c>
      <c r="M742" s="3" t="n">
        <v>11</v>
      </c>
      <c r="N742" s="4">
        <f>IFERROR(L742/K742,0)</f>
        <v/>
      </c>
      <c r="O742" s="4">
        <f>IFERROR(M742/L742,0)</f>
        <v/>
      </c>
      <c r="P742" t="n">
        <v>2168</v>
      </c>
      <c r="Q742" s="5" t="n">
        <v>0.8888888888888888</v>
      </c>
      <c r="R742" s="7" t="n">
        <v>1</v>
      </c>
      <c r="S742">
        <f>IF(OR(N742&lt;$T$1*0.5,O742&lt;$U$1*0.5),"код для проверки","нормальный код")</f>
        <v/>
      </c>
      <c r="T742">
        <f>IF(N742&lt;$T$1*0.5,"Низшая четверть",IF(N742&lt;$T$1,"Вторая четверть","Больше половины"))</f>
        <v/>
      </c>
      <c r="U742">
        <f>IF(O742&lt;$U$1*0.5,"Низшая четверть",IF(O742&lt;$U$1,"Вторая четверть","Больше половины"))</f>
        <v/>
      </c>
      <c r="V742">
        <f>IF(OR(N742&lt;SUMIFS(L:L,R:R,1,E:E,E742)/SUMIFS(K:K,R:R,1,E:E,E742)*0.5,O742&lt;SUMIFS(M:M,R:R,1,E:E,E742)/SUMIFS(L:L,R:R,1,E:E,E742)*0.5),"код для проверки","нормальный код")</f>
        <v/>
      </c>
      <c r="W742">
        <f>IF(N742&lt;SUMIFS(L:L,R:R,1,E:E,E742)/SUMIFS(K:K,R:R,1,E:E,E742)*0.5,"Низшая четверть",IF(N742&lt;SUMIFS(L:L,R:R,1,E:E,E742)/SUMIFS(K:K,R:R,1,E:E,E742),"Вторая четверть","Больше половины"))</f>
        <v/>
      </c>
      <c r="X742">
        <f>IF(O742&lt;SUMIFS(M:M,R:R,1,E:E,E742)/SUMIFS(L:L,R:R,1,E:E,E742)*0.5,"Низшая четверть",IF(O742&lt;SUMIFS(M:M,R:R,1,E:E,E742)/SUMIFS(L:L,R:R,1,E:E,E742),"Вторая четверть","Больше половины"))</f>
        <v/>
      </c>
      <c r="Y742" t="n">
        <v>15</v>
      </c>
    </row>
    <row r="743">
      <c r="A743" s="1" t="inlineStr">
        <is>
          <t>94600080</t>
        </is>
      </c>
      <c r="B743" s="2" t="inlineStr">
        <is>
          <t>860855841</t>
        </is>
      </c>
      <c r="C743" s="3" t="inlineStr">
        <is>
          <t>Одежда для детей</t>
        </is>
      </c>
      <c r="D743" s="2" t="inlineStr">
        <is>
          <t>Одежда для новорожденных</t>
        </is>
      </c>
      <c r="E743" s="3" t="inlineStr">
        <is>
          <t>946 Ромпер для мальчика</t>
        </is>
      </c>
      <c r="F743" s="2" t="inlineStr">
        <is>
          <t>лето</t>
        </is>
      </c>
      <c r="G743" s="3" t="inlineStr">
        <is>
          <t>Kari baby</t>
        </is>
      </c>
      <c r="H743" s="2" t="inlineStr">
        <is>
          <t>Зиннуров Ильнур</t>
        </is>
      </c>
      <c r="J743" s="3" t="inlineStr">
        <is>
          <t>2026SS</t>
        </is>
      </c>
      <c r="K743" s="3" t="n">
        <v>2626</v>
      </c>
      <c r="L743" s="3" t="n">
        <v>331</v>
      </c>
      <c r="M743" s="3" t="n">
        <v>9</v>
      </c>
      <c r="N743" s="4">
        <f>IFERROR(L743/K743,0)</f>
        <v/>
      </c>
      <c r="O743" s="4">
        <f>IFERROR(M743/L743,0)</f>
        <v/>
      </c>
      <c r="P743" t="n">
        <v>335</v>
      </c>
      <c r="Q743" s="5" t="n">
        <v>1</v>
      </c>
      <c r="R743" s="7" t="n">
        <v>1</v>
      </c>
      <c r="S743">
        <f>IF(OR(N743&lt;$T$1*0.5,O743&lt;$U$1*0.5),"код для проверки","нормальный код")</f>
        <v/>
      </c>
      <c r="T743">
        <f>IF(N743&lt;$T$1*0.5,"Низшая четверть",IF(N743&lt;$T$1,"Вторая четверть","Больше половины"))</f>
        <v/>
      </c>
      <c r="U743">
        <f>IF(O743&lt;$U$1*0.5,"Низшая четверть",IF(O743&lt;$U$1,"Вторая четверть","Больше половины"))</f>
        <v/>
      </c>
      <c r="V743">
        <f>IF(OR(N743&lt;SUMIFS(L:L,R:R,1,E:E,E743)/SUMIFS(K:K,R:R,1,E:E,E743)*0.5,O743&lt;SUMIFS(M:M,R:R,1,E:E,E743)/SUMIFS(L:L,R:R,1,E:E,E743)*0.5),"код для проверки","нормальный код")</f>
        <v/>
      </c>
      <c r="W743">
        <f>IF(N743&lt;SUMIFS(L:L,R:R,1,E:E,E743)/SUMIFS(K:K,R:R,1,E:E,E743)*0.5,"Низшая четверть",IF(N743&lt;SUMIFS(L:L,R:R,1,E:E,E743)/SUMIFS(K:K,R:R,1,E:E,E743),"Вторая четверть","Больше половины"))</f>
        <v/>
      </c>
      <c r="X743">
        <f>IF(O743&lt;SUMIFS(M:M,R:R,1,E:E,E743)/SUMIFS(L:L,R:R,1,E:E,E743)*0.5,"Низшая четверть",IF(O743&lt;SUMIFS(M:M,R:R,1,E:E,E743)/SUMIFS(L:L,R:R,1,E:E,E743),"Вторая четверть","Больше половины"))</f>
        <v/>
      </c>
      <c r="Y743" t="n">
        <v>14</v>
      </c>
    </row>
    <row r="744">
      <c r="A744" s="1" t="inlineStr">
        <is>
          <t>19800060</t>
        </is>
      </c>
      <c r="B744" s="2" t="inlineStr">
        <is>
          <t>770830727</t>
        </is>
      </c>
      <c r="C744" s="3" t="inlineStr">
        <is>
          <t>Одежда и аксессуары</t>
        </is>
      </c>
      <c r="D744" s="2" t="inlineStr">
        <is>
          <t>Майки и платья женские</t>
        </is>
      </c>
      <c r="E744" s="3" t="inlineStr">
        <is>
          <t>198 Топ женский</t>
        </is>
      </c>
      <c r="F744" s="2" t="inlineStr">
        <is>
          <t>лето</t>
        </is>
      </c>
      <c r="G744" s="3" t="inlineStr">
        <is>
          <t>kari</t>
        </is>
      </c>
      <c r="H744" s="2" t="inlineStr">
        <is>
          <t>Зиннуров Ильнур</t>
        </is>
      </c>
      <c r="J744" s="3" t="inlineStr">
        <is>
          <t>2026SS</t>
        </is>
      </c>
      <c r="K744" s="3" t="n">
        <v>2613</v>
      </c>
      <c r="L744" s="3" t="n">
        <v>97</v>
      </c>
      <c r="M744" s="3" t="n">
        <v>2</v>
      </c>
      <c r="N744" s="4">
        <f>IFERROR(L744/K744,0)</f>
        <v/>
      </c>
      <c r="O744" s="4">
        <f>IFERROR(M744/L744,0)</f>
        <v/>
      </c>
      <c r="P744" t="n">
        <v>313</v>
      </c>
      <c r="Q744" s="5" t="n">
        <v>1</v>
      </c>
      <c r="R744" s="7" t="n">
        <v>1</v>
      </c>
      <c r="S744">
        <f>IF(OR(N744&lt;$T$1*0.5,O744&lt;$U$1*0.5),"код для проверки","нормальный код")</f>
        <v/>
      </c>
      <c r="T744">
        <f>IF(N744&lt;$T$1*0.5,"Низшая четверть",IF(N744&lt;$T$1,"Вторая четверть","Больше половины"))</f>
        <v/>
      </c>
      <c r="U744">
        <f>IF(O744&lt;$U$1*0.5,"Низшая четверть",IF(O744&lt;$U$1,"Вторая четверть","Больше половины"))</f>
        <v/>
      </c>
      <c r="V744">
        <f>IF(OR(N744&lt;SUMIFS(L:L,R:R,1,E:E,E744)/SUMIFS(K:K,R:R,1,E:E,E744)*0.5,O744&lt;SUMIFS(M:M,R:R,1,E:E,E744)/SUMIFS(L:L,R:R,1,E:E,E744)*0.5),"код для проверки","нормальный код")</f>
        <v/>
      </c>
      <c r="W744">
        <f>IF(N744&lt;SUMIFS(L:L,R:R,1,E:E,E744)/SUMIFS(K:K,R:R,1,E:E,E744)*0.5,"Низшая четверть",IF(N744&lt;SUMIFS(L:L,R:R,1,E:E,E744)/SUMIFS(K:K,R:R,1,E:E,E744),"Вторая четверть","Больше половины"))</f>
        <v/>
      </c>
      <c r="X744">
        <f>IF(O744&lt;SUMIFS(M:M,R:R,1,E:E,E744)/SUMIFS(L:L,R:R,1,E:E,E744)*0.5,"Низшая четверть",IF(O744&lt;SUMIFS(M:M,R:R,1,E:E,E744)/SUMIFS(L:L,R:R,1,E:E,E744),"Вторая четверть","Больше половины"))</f>
        <v/>
      </c>
      <c r="Y744" t="n">
        <v>16</v>
      </c>
    </row>
    <row r="745">
      <c r="A745" s="1" t="inlineStr">
        <is>
          <t>094002C0</t>
        </is>
      </c>
      <c r="B745" s="2" t="inlineStr">
        <is>
          <t>710470543</t>
        </is>
      </c>
      <c r="C745" s="3" t="inlineStr">
        <is>
          <t>Одежда и аксессуары</t>
        </is>
      </c>
      <c r="D745" s="2" t="inlineStr">
        <is>
          <t>Купальники женские</t>
        </is>
      </c>
      <c r="E745" s="3" t="inlineStr">
        <is>
          <t>094 Купальник</t>
        </is>
      </c>
      <c r="F745" s="2" t="inlineStr">
        <is>
          <t>лето</t>
        </is>
      </c>
      <c r="G745" s="3" t="inlineStr">
        <is>
          <t>kari</t>
        </is>
      </c>
      <c r="H745" s="2" t="inlineStr">
        <is>
          <t>Никонорова Алина</t>
        </is>
      </c>
      <c r="J745" s="3" t="inlineStr">
        <is>
          <t>2026SS</t>
        </is>
      </c>
      <c r="K745" s="3" t="n">
        <v>2608</v>
      </c>
      <c r="L745" s="3" t="n">
        <v>1537</v>
      </c>
      <c r="M745" s="3" t="n">
        <v>2</v>
      </c>
      <c r="N745" s="4">
        <f>IFERROR(L745/K745,0)</f>
        <v/>
      </c>
      <c r="O745" s="4">
        <f>IFERROR(M745/L745,0)</f>
        <v/>
      </c>
      <c r="P745" t="n">
        <v>2115</v>
      </c>
      <c r="Q745" s="5" t="n">
        <v>0.7777777777777778</v>
      </c>
      <c r="R745" s="7" t="n">
        <v>1</v>
      </c>
      <c r="S745">
        <f>IF(OR(N745&lt;$T$1*0.5,O745&lt;$U$1*0.5),"код для проверки","нормальный код")</f>
        <v/>
      </c>
      <c r="T745">
        <f>IF(N745&lt;$T$1*0.5,"Низшая четверть",IF(N745&lt;$T$1,"Вторая четверть","Больше половины"))</f>
        <v/>
      </c>
      <c r="U745">
        <f>IF(O745&lt;$U$1*0.5,"Низшая четверть",IF(O745&lt;$U$1,"Вторая четверть","Больше половины"))</f>
        <v/>
      </c>
      <c r="V745">
        <f>IF(OR(N745&lt;SUMIFS(L:L,R:R,1,E:E,E745)/SUMIFS(K:K,R:R,1,E:E,E745)*0.5,O745&lt;SUMIFS(M:M,R:R,1,E:E,E745)/SUMIFS(L:L,R:R,1,E:E,E745)*0.5),"код для проверки","нормальный код")</f>
        <v/>
      </c>
      <c r="W745">
        <f>IF(N745&lt;SUMIFS(L:L,R:R,1,E:E,E745)/SUMIFS(K:K,R:R,1,E:E,E745)*0.5,"Низшая четверть",IF(N745&lt;SUMIFS(L:L,R:R,1,E:E,E745)/SUMIFS(K:K,R:R,1,E:E,E745),"Вторая четверть","Больше половины"))</f>
        <v/>
      </c>
      <c r="X745">
        <f>IF(O745&lt;SUMIFS(M:M,R:R,1,E:E,E745)/SUMIFS(L:L,R:R,1,E:E,E745)*0.5,"Низшая четверть",IF(O745&lt;SUMIFS(M:M,R:R,1,E:E,E745)/SUMIFS(L:L,R:R,1,E:E,E745),"Вторая четверть","Больше половины"))</f>
        <v/>
      </c>
      <c r="Y745" t="n">
        <v>18</v>
      </c>
    </row>
    <row r="746">
      <c r="A746" s="1" t="inlineStr">
        <is>
          <t>a8900010</t>
        </is>
      </c>
      <c r="B746" s="2" t="inlineStr">
        <is>
          <t>696912318</t>
        </is>
      </c>
      <c r="C746" s="3" t="inlineStr">
        <is>
          <t>Одежда для детей</t>
        </is>
      </c>
      <c r="D746" s="2" t="inlineStr">
        <is>
          <t>Свитера детские для девочек</t>
        </is>
      </c>
      <c r="E746" s="3" t="inlineStr">
        <is>
          <t>a89 Свитшот для девочки</t>
        </is>
      </c>
      <c r="F746" s="2" t="inlineStr">
        <is>
          <t>весна, лето, осень</t>
        </is>
      </c>
      <c r="G746" s="3" t="inlineStr">
        <is>
          <t>Kari KIDS</t>
        </is>
      </c>
      <c r="H746" s="2" t="inlineStr">
        <is>
          <t>Зиннуров Ильнур</t>
        </is>
      </c>
      <c r="J746" s="3" t="inlineStr">
        <is>
          <t>2026SS</t>
        </is>
      </c>
      <c r="K746" s="3" t="n">
        <v>2606</v>
      </c>
      <c r="L746" s="3" t="n">
        <v>302</v>
      </c>
      <c r="M746" s="3" t="n">
        <v>3</v>
      </c>
      <c r="N746" s="4">
        <f>IFERROR(L746/K746,0)</f>
        <v/>
      </c>
      <c r="O746" s="4">
        <f>IFERROR(M746/L746,0)</f>
        <v/>
      </c>
      <c r="P746" t="n">
        <v>327</v>
      </c>
      <c r="Q746" s="5" t="n">
        <v>1</v>
      </c>
      <c r="R746" s="7" t="n">
        <v>1</v>
      </c>
      <c r="S746">
        <f>IF(OR(N746&lt;$T$1*0.5,O746&lt;$U$1*0.5),"код для проверки","нормальный код")</f>
        <v/>
      </c>
      <c r="T746">
        <f>IF(N746&lt;$T$1*0.5,"Низшая четверть",IF(N746&lt;$T$1,"Вторая четверть","Больше половины"))</f>
        <v/>
      </c>
      <c r="U746">
        <f>IF(O746&lt;$U$1*0.5,"Низшая четверть",IF(O746&lt;$U$1,"Вторая четверть","Больше половины"))</f>
        <v/>
      </c>
      <c r="V746">
        <f>IF(OR(N746&lt;SUMIFS(L:L,R:R,1,E:E,E746)/SUMIFS(K:K,R:R,1,E:E,E746)*0.5,O746&lt;SUMIFS(M:M,R:R,1,E:E,E746)/SUMIFS(L:L,R:R,1,E:E,E746)*0.5),"код для проверки","нормальный код")</f>
        <v/>
      </c>
      <c r="W746">
        <f>IF(N746&lt;SUMIFS(L:L,R:R,1,E:E,E746)/SUMIFS(K:K,R:R,1,E:E,E746)*0.5,"Низшая четверть",IF(N746&lt;SUMIFS(L:L,R:R,1,E:E,E746)/SUMIFS(K:K,R:R,1,E:E,E746),"Вторая четверть","Больше половины"))</f>
        <v/>
      </c>
      <c r="X746">
        <f>IF(O746&lt;SUMIFS(M:M,R:R,1,E:E,E746)/SUMIFS(L:L,R:R,1,E:E,E746)*0.5,"Низшая четверть",IF(O746&lt;SUMIFS(M:M,R:R,1,E:E,E746)/SUMIFS(L:L,R:R,1,E:E,E746),"Вторая четверть","Больше половины"))</f>
        <v/>
      </c>
      <c r="Y746" t="n">
        <v>17</v>
      </c>
    </row>
    <row r="747">
      <c r="A747" s="1" t="inlineStr">
        <is>
          <t>55400100</t>
        </is>
      </c>
      <c r="B747" s="2" t="inlineStr">
        <is>
          <t>881841619</t>
        </is>
      </c>
      <c r="C747" s="3" t="inlineStr">
        <is>
          <t>Одежда для детей</t>
        </is>
      </c>
      <c r="D747" s="2" t="inlineStr">
        <is>
          <t>Головные уборы детские для мальчиков</t>
        </is>
      </c>
      <c r="E747" s="3" t="inlineStr">
        <is>
          <t>554 Панама детская для мальчиков</t>
        </is>
      </c>
      <c r="F747" s="2" t="inlineStr">
        <is>
          <t>весна, лето</t>
        </is>
      </c>
      <c r="G747" s="3" t="inlineStr">
        <is>
          <t>kari</t>
        </is>
      </c>
      <c r="H747" s="2" t="inlineStr">
        <is>
          <t>Никонорова Алина</t>
        </is>
      </c>
      <c r="J747" s="3" t="inlineStr">
        <is>
          <t>2026SS</t>
        </is>
      </c>
      <c r="K747" s="3" t="n">
        <v>2606</v>
      </c>
      <c r="L747" s="3" t="n">
        <v>218</v>
      </c>
      <c r="M747" s="3" t="n">
        <v>2</v>
      </c>
      <c r="N747" s="4">
        <f>IFERROR(L747/K747,0)</f>
        <v/>
      </c>
      <c r="O747" s="4">
        <f>IFERROR(M747/L747,0)</f>
        <v/>
      </c>
      <c r="P747" t="n">
        <v>447</v>
      </c>
      <c r="Q747" s="5" t="n">
        <v>1</v>
      </c>
      <c r="R747" s="7" t="n">
        <v>1</v>
      </c>
      <c r="S747">
        <f>IF(OR(N747&lt;$T$1*0.5,O747&lt;$U$1*0.5),"код для проверки","нормальный код")</f>
        <v/>
      </c>
      <c r="T747">
        <f>IF(N747&lt;$T$1*0.5,"Низшая четверть",IF(N747&lt;$T$1,"Вторая четверть","Больше половины"))</f>
        <v/>
      </c>
      <c r="U747">
        <f>IF(O747&lt;$U$1*0.5,"Низшая четверть",IF(O747&lt;$U$1,"Вторая четверть","Больше половины"))</f>
        <v/>
      </c>
      <c r="V747">
        <f>IF(OR(N747&lt;SUMIFS(L:L,R:R,1,E:E,E747)/SUMIFS(K:K,R:R,1,E:E,E747)*0.5,O747&lt;SUMIFS(M:M,R:R,1,E:E,E747)/SUMIFS(L:L,R:R,1,E:E,E747)*0.5),"код для проверки","нормальный код")</f>
        <v/>
      </c>
      <c r="W747">
        <f>IF(N747&lt;SUMIFS(L:L,R:R,1,E:E,E747)/SUMIFS(K:K,R:R,1,E:E,E747)*0.5,"Низшая четверть",IF(N747&lt;SUMIFS(L:L,R:R,1,E:E,E747)/SUMIFS(K:K,R:R,1,E:E,E747),"Вторая четверть","Больше половины"))</f>
        <v/>
      </c>
      <c r="X747">
        <f>IF(O747&lt;SUMIFS(M:M,R:R,1,E:E,E747)/SUMIFS(L:L,R:R,1,E:E,E747)*0.5,"Низшая четверть",IF(O747&lt;SUMIFS(M:M,R:R,1,E:E,E747)/SUMIFS(L:L,R:R,1,E:E,E747),"Вторая четверть","Больше половины"))</f>
        <v/>
      </c>
      <c r="Y747" t="n">
        <v>6</v>
      </c>
    </row>
    <row r="748">
      <c r="A748" s="1" t="inlineStr">
        <is>
          <t>18400020</t>
        </is>
      </c>
      <c r="B748" s="2" t="inlineStr">
        <is>
          <t>766389243</t>
        </is>
      </c>
      <c r="C748" s="3" t="inlineStr">
        <is>
          <t>Одежда и аксессуары</t>
        </is>
      </c>
      <c r="D748" s="2" t="inlineStr">
        <is>
          <t>Майки и платья женские</t>
        </is>
      </c>
      <c r="E748" s="3" t="inlineStr">
        <is>
          <t>184 Женская футболка</t>
        </is>
      </c>
      <c r="F748" s="2" t="inlineStr">
        <is>
          <t>всесезонный</t>
        </is>
      </c>
      <c r="G748" s="3" t="inlineStr">
        <is>
          <t>kari</t>
        </is>
      </c>
      <c r="H748" s="2" t="inlineStr">
        <is>
          <t>Зиннуров Ильнур</t>
        </is>
      </c>
      <c r="J748" s="3" t="inlineStr">
        <is>
          <t>2026SS</t>
        </is>
      </c>
      <c r="K748" s="3" t="n">
        <v>2602</v>
      </c>
      <c r="L748" s="3" t="n">
        <v>872</v>
      </c>
      <c r="M748" s="3" t="n">
        <v>4</v>
      </c>
      <c r="N748" s="4">
        <f>IFERROR(L748/K748,0)</f>
        <v/>
      </c>
      <c r="O748" s="4">
        <f>IFERROR(M748/L748,0)</f>
        <v/>
      </c>
      <c r="P748" t="n">
        <v>593</v>
      </c>
      <c r="Q748" s="5" t="n">
        <v>1</v>
      </c>
      <c r="R748" s="7" t="n">
        <v>1</v>
      </c>
      <c r="S748">
        <f>IF(OR(N748&lt;$T$1*0.5,O748&lt;$U$1*0.5),"код для проверки","нормальный код")</f>
        <v/>
      </c>
      <c r="T748">
        <f>IF(N748&lt;$T$1*0.5,"Низшая четверть",IF(N748&lt;$T$1,"Вторая четверть","Больше половины"))</f>
        <v/>
      </c>
      <c r="U748">
        <f>IF(O748&lt;$U$1*0.5,"Низшая четверть",IF(O748&lt;$U$1,"Вторая четверть","Больше половины"))</f>
        <v/>
      </c>
      <c r="V748">
        <f>IF(OR(N748&lt;SUMIFS(L:L,R:R,1,E:E,E748)/SUMIFS(K:K,R:R,1,E:E,E748)*0.5,O748&lt;SUMIFS(M:M,R:R,1,E:E,E748)/SUMIFS(L:L,R:R,1,E:E,E748)*0.5),"код для проверки","нормальный код")</f>
        <v/>
      </c>
      <c r="W748">
        <f>IF(N748&lt;SUMIFS(L:L,R:R,1,E:E,E748)/SUMIFS(K:K,R:R,1,E:E,E748)*0.5,"Низшая четверть",IF(N748&lt;SUMIFS(L:L,R:R,1,E:E,E748)/SUMIFS(K:K,R:R,1,E:E,E748),"Вторая четверть","Больше половины"))</f>
        <v/>
      </c>
      <c r="X748">
        <f>IF(O748&lt;SUMIFS(M:M,R:R,1,E:E,E748)/SUMIFS(L:L,R:R,1,E:E,E748)*0.5,"Низшая четверть",IF(O748&lt;SUMIFS(M:M,R:R,1,E:E,E748)/SUMIFS(L:L,R:R,1,E:E,E748),"Вторая четверть","Больше половины"))</f>
        <v/>
      </c>
      <c r="Y748" t="n">
        <v>12</v>
      </c>
    </row>
    <row r="749">
      <c r="A749" s="1" t="inlineStr">
        <is>
          <t>88300300</t>
        </is>
      </c>
      <c r="B749" s="2" t="inlineStr">
        <is>
          <t>714592693</t>
        </is>
      </c>
      <c r="C749" s="3" t="inlineStr">
        <is>
          <t>Одежда для детей</t>
        </is>
      </c>
      <c r="D749" s="2" t="inlineStr">
        <is>
          <t>Платья, майки, футболки детские для девочек</t>
        </is>
      </c>
      <c r="E749" s="3" t="inlineStr">
        <is>
          <t>883 Футболка длинный рукав детская для девочек</t>
        </is>
      </c>
      <c r="F749" s="2" t="inlineStr">
        <is>
          <t>всесезонный</t>
        </is>
      </c>
      <c r="G749" s="3" t="inlineStr">
        <is>
          <t>kari</t>
        </is>
      </c>
      <c r="H749" s="2" t="inlineStr">
        <is>
          <t>Зиннуров Ильнур</t>
        </is>
      </c>
      <c r="J749" s="3" t="inlineStr">
        <is>
          <t>2026SS</t>
        </is>
      </c>
      <c r="K749" s="3" t="n">
        <v>2596</v>
      </c>
      <c r="L749" s="3" t="n">
        <v>187</v>
      </c>
      <c r="M749" s="3" t="n">
        <v>2</v>
      </c>
      <c r="N749" s="4">
        <f>IFERROR(L749/K749,0)</f>
        <v/>
      </c>
      <c r="O749" s="4">
        <f>IFERROR(M749/L749,0)</f>
        <v/>
      </c>
      <c r="P749" t="n">
        <v>258</v>
      </c>
      <c r="Q749" s="5" t="n">
        <v>1</v>
      </c>
      <c r="R749" s="7" t="n">
        <v>1</v>
      </c>
      <c r="S749">
        <f>IF(OR(N749&lt;$T$1*0.5,O749&lt;$U$1*0.5),"код для проверки","нормальный код")</f>
        <v/>
      </c>
      <c r="T749">
        <f>IF(N749&lt;$T$1*0.5,"Низшая четверть",IF(N749&lt;$T$1,"Вторая четверть","Больше половины"))</f>
        <v/>
      </c>
      <c r="U749">
        <f>IF(O749&lt;$U$1*0.5,"Низшая четверть",IF(O749&lt;$U$1,"Вторая четверть","Больше половины"))</f>
        <v/>
      </c>
      <c r="V749">
        <f>IF(OR(N749&lt;SUMIFS(L:L,R:R,1,E:E,E749)/SUMIFS(K:K,R:R,1,E:E,E749)*0.5,O749&lt;SUMIFS(M:M,R:R,1,E:E,E749)/SUMIFS(L:L,R:R,1,E:E,E749)*0.5),"код для проверки","нормальный код")</f>
        <v/>
      </c>
      <c r="W749">
        <f>IF(N749&lt;SUMIFS(L:L,R:R,1,E:E,E749)/SUMIFS(K:K,R:R,1,E:E,E749)*0.5,"Низшая четверть",IF(N749&lt;SUMIFS(L:L,R:R,1,E:E,E749)/SUMIFS(K:K,R:R,1,E:E,E749),"Вторая четверть","Больше половины"))</f>
        <v/>
      </c>
      <c r="X749">
        <f>IF(O749&lt;SUMIFS(M:M,R:R,1,E:E,E749)/SUMIFS(L:L,R:R,1,E:E,E749)*0.5,"Низшая четверть",IF(O749&lt;SUMIFS(M:M,R:R,1,E:E,E749)/SUMIFS(L:L,R:R,1,E:E,E749),"Вторая четверть","Больше половины"))</f>
        <v/>
      </c>
      <c r="Y749" t="n">
        <v>17</v>
      </c>
    </row>
    <row r="750">
      <c r="A750" s="1" t="inlineStr">
        <is>
          <t>20200210</t>
        </is>
      </c>
      <c r="B750" s="2" t="inlineStr">
        <is>
          <t>371244746</t>
        </is>
      </c>
      <c r="C750" s="3" t="inlineStr">
        <is>
          <t>Одежда для детей</t>
        </is>
      </c>
      <c r="D750" s="2" t="inlineStr">
        <is>
          <t>Головные уборы детские для мальчиков</t>
        </is>
      </c>
      <c r="E750" s="3" t="inlineStr">
        <is>
          <t>202 Бейсболка детская для мальчиков</t>
        </is>
      </c>
      <c r="F750" s="2" t="inlineStr">
        <is>
          <t>весна, лето</t>
        </is>
      </c>
      <c r="G750" s="3" t="inlineStr">
        <is>
          <t>kari</t>
        </is>
      </c>
      <c r="H750" s="2" t="inlineStr">
        <is>
          <t>Никонорова Алина</t>
        </is>
      </c>
      <c r="J750" s="3" t="inlineStr">
        <is>
          <t>2026SS</t>
        </is>
      </c>
      <c r="K750" s="3" t="n">
        <v>2591</v>
      </c>
      <c r="L750" s="3" t="n">
        <v>279</v>
      </c>
      <c r="M750" s="3" t="n">
        <v>6</v>
      </c>
      <c r="N750" s="4">
        <f>IFERROR(L750/K750,0)</f>
        <v/>
      </c>
      <c r="O750" s="4">
        <f>IFERROR(M750/L750,0)</f>
        <v/>
      </c>
      <c r="P750" t="n">
        <v>0</v>
      </c>
      <c r="Q750" s="5" t="n">
        <v>0</v>
      </c>
      <c r="R750" s="7" t="n">
        <v>0</v>
      </c>
      <c r="S750" t="inlineStr">
        <is>
          <t>Мало остатка</t>
        </is>
      </c>
      <c r="T750">
        <f>IF(N750&lt;$T$1*0.5,"Низшая четверть",IF(N750&lt;$T$1,"Вторая четверть","Больше половины"))</f>
        <v/>
      </c>
      <c r="U750">
        <f>IF(O750&lt;$U$1*0.5,"Низшая четверть",IF(O750&lt;$U$1,"Вторая четверть","Больше половины"))</f>
        <v/>
      </c>
      <c r="V750">
        <f>IF(OR(N750&lt;SUMIFS(L:L,R:R,1,E:E,E750)/SUMIFS(K:K,R:R,1,E:E,E750)*0.5,O750&lt;SUMIFS(M:M,R:R,1,E:E,E750)/SUMIFS(L:L,R:R,1,E:E,E750)*0.5),"код для проверки","нормальный код")</f>
        <v/>
      </c>
      <c r="W750">
        <f>IF(N750&lt;SUMIFS(L:L,R:R,1,E:E,E750)/SUMIFS(K:K,R:R,1,E:E,E750)*0.5,"Низшая четверть",IF(N750&lt;SUMIFS(L:L,R:R,1,E:E,E750)/SUMIFS(K:K,R:R,1,E:E,E750),"Вторая четверть","Больше половины"))</f>
        <v/>
      </c>
      <c r="X750">
        <f>IF(O750&lt;SUMIFS(M:M,R:R,1,E:E,E750)/SUMIFS(L:L,R:R,1,E:E,E750)*0.5,"Низшая четверть",IF(O750&lt;SUMIFS(M:M,R:R,1,E:E,E750)/SUMIFS(L:L,R:R,1,E:E,E750),"Вторая четверть","Больше половины"))</f>
        <v/>
      </c>
      <c r="Y750" t="n">
        <v>8</v>
      </c>
    </row>
    <row r="751">
      <c r="A751" s="1" t="inlineStr">
        <is>
          <t>30200250</t>
        </is>
      </c>
      <c r="B751" s="2" t="inlineStr">
        <is>
          <t>701616627</t>
        </is>
      </c>
      <c r="C751" s="3" t="inlineStr">
        <is>
          <t>Одежда для детей</t>
        </is>
      </c>
      <c r="D751" s="2" t="inlineStr">
        <is>
          <t>Платья, майки, футболки детские для девочек</t>
        </is>
      </c>
      <c r="E751" s="3" t="inlineStr">
        <is>
          <t>302 Юбка детская для девочек</t>
        </is>
      </c>
      <c r="F751" s="2" t="inlineStr">
        <is>
          <t>всесезонный</t>
        </is>
      </c>
      <c r="G751" s="3" t="inlineStr">
        <is>
          <t>Kari KIDS</t>
        </is>
      </c>
      <c r="H751" s="2" t="inlineStr">
        <is>
          <t>Зиннуров Ильнур</t>
        </is>
      </c>
      <c r="J751" s="3" t="inlineStr">
        <is>
          <t>2026SS</t>
        </is>
      </c>
      <c r="K751" s="3" t="n">
        <v>2589</v>
      </c>
      <c r="L751" s="3" t="n">
        <v>495</v>
      </c>
      <c r="M751" s="3" t="n">
        <v>10</v>
      </c>
      <c r="N751" s="4">
        <f>IFERROR(L751/K751,0)</f>
        <v/>
      </c>
      <c r="O751" s="4">
        <f>IFERROR(M751/L751,0)</f>
        <v/>
      </c>
      <c r="P751" t="n">
        <v>0</v>
      </c>
      <c r="Q751" s="5" t="n">
        <v>0.8</v>
      </c>
      <c r="R751" s="7" t="n">
        <v>0</v>
      </c>
      <c r="S751" t="inlineStr">
        <is>
          <t>Мало остатка</t>
        </is>
      </c>
      <c r="T751">
        <f>IF(N751&lt;$T$1*0.5,"Низшая четверть",IF(N751&lt;$T$1,"Вторая четверть","Больше половины"))</f>
        <v/>
      </c>
      <c r="U751">
        <f>IF(O751&lt;$U$1*0.5,"Низшая четверть",IF(O751&lt;$U$1,"Вторая четверть","Больше половины"))</f>
        <v/>
      </c>
      <c r="V751">
        <f>IF(OR(N751&lt;SUMIFS(L:L,R:R,1,E:E,E751)/SUMIFS(K:K,R:R,1,E:E,E751)*0.5,O751&lt;SUMIFS(M:M,R:R,1,E:E,E751)/SUMIFS(L:L,R:R,1,E:E,E751)*0.5),"код для проверки","нормальный код")</f>
        <v/>
      </c>
      <c r="W751">
        <f>IF(N751&lt;SUMIFS(L:L,R:R,1,E:E,E751)/SUMIFS(K:K,R:R,1,E:E,E751)*0.5,"Низшая четверть",IF(N751&lt;SUMIFS(L:L,R:R,1,E:E,E751)/SUMIFS(K:K,R:R,1,E:E,E751),"Вторая четверть","Больше половины"))</f>
        <v/>
      </c>
      <c r="X751">
        <f>IF(O751&lt;SUMIFS(M:M,R:R,1,E:E,E751)/SUMIFS(L:L,R:R,1,E:E,E751)*0.5,"Низшая четверть",IF(O751&lt;SUMIFS(M:M,R:R,1,E:E,E751)/SUMIFS(L:L,R:R,1,E:E,E751),"Вторая четверть","Больше половины"))</f>
        <v/>
      </c>
      <c r="Y751" t="n">
        <v>13</v>
      </c>
    </row>
    <row r="752">
      <c r="A752" s="1" t="inlineStr">
        <is>
          <t>94000330</t>
        </is>
      </c>
      <c r="B752" s="2" t="inlineStr">
        <is>
          <t>918239109</t>
        </is>
      </c>
      <c r="C752" s="3" t="inlineStr">
        <is>
          <t>Одежда для детей</t>
        </is>
      </c>
      <c r="D752" s="2" t="inlineStr">
        <is>
          <t>Одежда для новорожденных</t>
        </is>
      </c>
      <c r="E752" s="3" t="inlineStr">
        <is>
          <t>940 Футболка для маленького мальчика</t>
        </is>
      </c>
      <c r="F752" s="2" t="inlineStr">
        <is>
          <t>всесезонный</t>
        </is>
      </c>
      <c r="G752" s="3" t="inlineStr">
        <is>
          <t>Kari baby</t>
        </is>
      </c>
      <c r="H752" s="2" t="inlineStr">
        <is>
          <t>Зиннуров Ильнур</t>
        </is>
      </c>
      <c r="J752" s="3" t="inlineStr">
        <is>
          <t>2026SS</t>
        </is>
      </c>
      <c r="K752" s="3" t="n">
        <v>2584</v>
      </c>
      <c r="L752" s="3" t="n">
        <v>216</v>
      </c>
      <c r="M752" s="3" t="n">
        <v>14</v>
      </c>
      <c r="N752" s="4">
        <f>IFERROR(L752/K752,0)</f>
        <v/>
      </c>
      <c r="O752" s="4">
        <f>IFERROR(M752/L752,0)</f>
        <v/>
      </c>
      <c r="P752" t="n">
        <v>590</v>
      </c>
      <c r="Q752" s="5" t="n">
        <v>1</v>
      </c>
      <c r="R752" s="7" t="n">
        <v>1</v>
      </c>
      <c r="S752">
        <f>IF(OR(N752&lt;$T$1*0.5,O752&lt;$U$1*0.5),"код для проверки","нормальный код")</f>
        <v/>
      </c>
      <c r="T752">
        <f>IF(N752&lt;$T$1*0.5,"Низшая четверть",IF(N752&lt;$T$1,"Вторая четверть","Больше половины"))</f>
        <v/>
      </c>
      <c r="U752">
        <f>IF(O752&lt;$U$1*0.5,"Низшая четверть",IF(O752&lt;$U$1,"Вторая четверть","Больше половины"))</f>
        <v/>
      </c>
      <c r="V752">
        <f>IF(OR(N752&lt;SUMIFS(L:L,R:R,1,E:E,E752)/SUMIFS(K:K,R:R,1,E:E,E752)*0.5,O752&lt;SUMIFS(M:M,R:R,1,E:E,E752)/SUMIFS(L:L,R:R,1,E:E,E752)*0.5),"код для проверки","нормальный код")</f>
        <v/>
      </c>
      <c r="W752">
        <f>IF(N752&lt;SUMIFS(L:L,R:R,1,E:E,E752)/SUMIFS(K:K,R:R,1,E:E,E752)*0.5,"Низшая четверть",IF(N752&lt;SUMIFS(L:L,R:R,1,E:E,E752)/SUMIFS(K:K,R:R,1,E:E,E752),"Вторая четверть","Больше половины"))</f>
        <v/>
      </c>
      <c r="X752">
        <f>IF(O752&lt;SUMIFS(M:M,R:R,1,E:E,E752)/SUMIFS(L:L,R:R,1,E:E,E752)*0.5,"Низшая четверть",IF(O752&lt;SUMIFS(M:M,R:R,1,E:E,E752)/SUMIFS(L:L,R:R,1,E:E,E752),"Вторая четверть","Больше половины"))</f>
        <v/>
      </c>
      <c r="Y752" t="n">
        <v>9</v>
      </c>
    </row>
    <row r="753">
      <c r="A753" s="1" t="inlineStr">
        <is>
          <t>a8300000</t>
        </is>
      </c>
      <c r="B753" s="2" t="inlineStr">
        <is>
          <t>695216019</t>
        </is>
      </c>
      <c r="C753" s="3" t="inlineStr">
        <is>
          <t>Одежда для детей</t>
        </is>
      </c>
      <c r="D753" s="2" t="inlineStr">
        <is>
          <t>Свитера детские для девочек</t>
        </is>
      </c>
      <c r="E753" s="3" t="inlineStr">
        <is>
          <t>a83 Толстовка-худи утепленная для девочек</t>
        </is>
      </c>
      <c r="F753" s="2" t="inlineStr">
        <is>
          <t>весна, осень, зима</t>
        </is>
      </c>
      <c r="G753" s="3" t="inlineStr">
        <is>
          <t>kari</t>
        </is>
      </c>
      <c r="H753" s="2" t="inlineStr">
        <is>
          <t>Зиннуров Ильнур</t>
        </is>
      </c>
      <c r="J753" s="3" t="inlineStr">
        <is>
          <t>2026SS</t>
        </is>
      </c>
      <c r="K753" s="3" t="n">
        <v>2576</v>
      </c>
      <c r="L753" s="3" t="n">
        <v>333</v>
      </c>
      <c r="M753" s="3" t="n">
        <v>3</v>
      </c>
      <c r="N753" s="4">
        <f>IFERROR(L753/K753,0)</f>
        <v/>
      </c>
      <c r="O753" s="4">
        <f>IFERROR(M753/L753,0)</f>
        <v/>
      </c>
      <c r="P753" t="n">
        <v>124</v>
      </c>
      <c r="Q753" s="5" t="n">
        <v>0.6</v>
      </c>
      <c r="R753" s="7" t="n">
        <v>1</v>
      </c>
      <c r="S753">
        <f>IF(OR(N753&lt;$T$1*0.5,O753&lt;$U$1*0.5),"код для проверки","нормальный код")</f>
        <v/>
      </c>
      <c r="T753">
        <f>IF(N753&lt;$T$1*0.5,"Низшая четверть",IF(N753&lt;$T$1,"Вторая четверть","Больше половины"))</f>
        <v/>
      </c>
      <c r="U753">
        <f>IF(O753&lt;$U$1*0.5,"Низшая четверть",IF(O753&lt;$U$1,"Вторая четверть","Больше половины"))</f>
        <v/>
      </c>
      <c r="V753">
        <f>IF(OR(N753&lt;SUMIFS(L:L,R:R,1,E:E,E753)/SUMIFS(K:K,R:R,1,E:E,E753)*0.5,O753&lt;SUMIFS(M:M,R:R,1,E:E,E753)/SUMIFS(L:L,R:R,1,E:E,E753)*0.5),"код для проверки","нормальный код")</f>
        <v/>
      </c>
      <c r="W753">
        <f>IF(N753&lt;SUMIFS(L:L,R:R,1,E:E,E753)/SUMIFS(K:K,R:R,1,E:E,E753)*0.5,"Низшая четверть",IF(N753&lt;SUMIFS(L:L,R:R,1,E:E,E753)/SUMIFS(K:K,R:R,1,E:E,E753),"Вторая четверть","Больше половины"))</f>
        <v/>
      </c>
      <c r="X753">
        <f>IF(O753&lt;SUMIFS(M:M,R:R,1,E:E,E753)/SUMIFS(L:L,R:R,1,E:E,E753)*0.5,"Низшая четверть",IF(O753&lt;SUMIFS(M:M,R:R,1,E:E,E753)/SUMIFS(L:L,R:R,1,E:E,E753),"Вторая четверть","Больше половины"))</f>
        <v/>
      </c>
      <c r="Y753" t="n">
        <v>20</v>
      </c>
    </row>
    <row r="754">
      <c r="A754" s="1" t="inlineStr">
        <is>
          <t>92500100</t>
        </is>
      </c>
      <c r="B754" s="2" t="inlineStr">
        <is>
          <t>924301516</t>
        </is>
      </c>
      <c r="C754" s="3" t="inlineStr">
        <is>
          <t>Одежда для детей</t>
        </is>
      </c>
      <c r="D754" s="2" t="inlineStr">
        <is>
          <t>Одежда для новорожденных</t>
        </is>
      </c>
      <c r="E754" s="3" t="inlineStr">
        <is>
          <t>925 Платье-боди</t>
        </is>
      </c>
      <c r="F754" s="2" t="inlineStr">
        <is>
          <t>лето</t>
        </is>
      </c>
      <c r="G754" s="3" t="inlineStr">
        <is>
          <t>Kari baby</t>
        </is>
      </c>
      <c r="H754" s="2" t="inlineStr">
        <is>
          <t>Зиннуров Ильнур</t>
        </is>
      </c>
      <c r="J754" s="3" t="inlineStr">
        <is>
          <t>2026SS</t>
        </is>
      </c>
      <c r="K754" s="3" t="n">
        <v>2576</v>
      </c>
      <c r="L754" s="3" t="n">
        <v>133</v>
      </c>
      <c r="M754" s="3" t="n">
        <v>2</v>
      </c>
      <c r="N754" s="4">
        <f>IFERROR(L754/K754,0)</f>
        <v/>
      </c>
      <c r="O754" s="4">
        <f>IFERROR(M754/L754,0)</f>
        <v/>
      </c>
      <c r="P754" t="n">
        <v>297</v>
      </c>
      <c r="Q754" s="5" t="n">
        <v>1</v>
      </c>
      <c r="R754" s="7" t="n">
        <v>1</v>
      </c>
      <c r="S754">
        <f>IF(OR(N754&lt;$T$1*0.5,O754&lt;$U$1*0.5),"код для проверки","нормальный код")</f>
        <v/>
      </c>
      <c r="T754">
        <f>IF(N754&lt;$T$1*0.5,"Низшая четверть",IF(N754&lt;$T$1,"Вторая четверть","Больше половины"))</f>
        <v/>
      </c>
      <c r="U754">
        <f>IF(O754&lt;$U$1*0.5,"Низшая четверть",IF(O754&lt;$U$1,"Вторая четверть","Больше половины"))</f>
        <v/>
      </c>
      <c r="V754">
        <f>IF(OR(N754&lt;SUMIFS(L:L,R:R,1,E:E,E754)/SUMIFS(K:K,R:R,1,E:E,E754)*0.5,O754&lt;SUMIFS(M:M,R:R,1,E:E,E754)/SUMIFS(L:L,R:R,1,E:E,E754)*0.5),"код для проверки","нормальный код")</f>
        <v/>
      </c>
      <c r="W754">
        <f>IF(N754&lt;SUMIFS(L:L,R:R,1,E:E,E754)/SUMIFS(K:K,R:R,1,E:E,E754)*0.5,"Низшая четверть",IF(N754&lt;SUMIFS(L:L,R:R,1,E:E,E754)/SUMIFS(K:K,R:R,1,E:E,E754),"Вторая четверть","Больше половины"))</f>
        <v/>
      </c>
      <c r="X754">
        <f>IF(O754&lt;SUMIFS(M:M,R:R,1,E:E,E754)/SUMIFS(L:L,R:R,1,E:E,E754)*0.5,"Низшая четверть",IF(O754&lt;SUMIFS(M:M,R:R,1,E:E,E754)/SUMIFS(L:L,R:R,1,E:E,E754),"Вторая четверть","Больше половины"))</f>
        <v/>
      </c>
      <c r="Y754" t="n">
        <v>15</v>
      </c>
    </row>
    <row r="755">
      <c r="A755" s="1" t="inlineStr">
        <is>
          <t>30900100</t>
        </is>
      </c>
      <c r="B755" s="2" t="inlineStr">
        <is>
          <t>879308788</t>
        </is>
      </c>
      <c r="C755" s="3" t="inlineStr">
        <is>
          <t>Одежда и аксессуары</t>
        </is>
      </c>
      <c r="D755" s="2" t="inlineStr">
        <is>
          <t>Брюки, шорты женские</t>
        </is>
      </c>
      <c r="E755" s="3" t="inlineStr">
        <is>
          <t>309 Брюки женские</t>
        </is>
      </c>
      <c r="F755" s="2" t="inlineStr">
        <is>
          <t>всесезонный</t>
        </is>
      </c>
      <c r="G755" s="3" t="inlineStr">
        <is>
          <t>kari</t>
        </is>
      </c>
      <c r="H755" s="2" t="inlineStr">
        <is>
          <t>Зиннуров Ильнур</t>
        </is>
      </c>
      <c r="J755" s="3" t="inlineStr">
        <is>
          <t>2026SS</t>
        </is>
      </c>
      <c r="K755" s="3" t="n">
        <v>2575</v>
      </c>
      <c r="L755" s="3" t="n">
        <v>100</v>
      </c>
      <c r="M755" s="3" t="n">
        <v>1</v>
      </c>
      <c r="N755" s="4">
        <f>IFERROR(L755/K755,0)</f>
        <v/>
      </c>
      <c r="O755" s="4">
        <f>IFERROR(M755/L755,0)</f>
        <v/>
      </c>
      <c r="P755" t="n">
        <v>370</v>
      </c>
      <c r="Q755" s="5" t="n">
        <v>1</v>
      </c>
      <c r="R755" s="7" t="n">
        <v>1</v>
      </c>
      <c r="S755">
        <f>IF(OR(N755&lt;$T$1*0.5,O755&lt;$U$1*0.5),"код для проверки","нормальный код")</f>
        <v/>
      </c>
      <c r="T755">
        <f>IF(N755&lt;$T$1*0.5,"Низшая четверть",IF(N755&lt;$T$1,"Вторая четверть","Больше половины"))</f>
        <v/>
      </c>
      <c r="U755">
        <f>IF(O755&lt;$U$1*0.5,"Низшая четверть",IF(O755&lt;$U$1,"Вторая четверть","Больше половины"))</f>
        <v/>
      </c>
      <c r="V755">
        <f>IF(OR(N755&lt;SUMIFS(L:L,R:R,1,E:E,E755)/SUMIFS(K:K,R:R,1,E:E,E755)*0.5,O755&lt;SUMIFS(M:M,R:R,1,E:E,E755)/SUMIFS(L:L,R:R,1,E:E,E755)*0.5),"код для проверки","нормальный код")</f>
        <v/>
      </c>
      <c r="W755">
        <f>IF(N755&lt;SUMIFS(L:L,R:R,1,E:E,E755)/SUMIFS(K:K,R:R,1,E:E,E755)*0.5,"Низшая четверть",IF(N755&lt;SUMIFS(L:L,R:R,1,E:E,E755)/SUMIFS(K:K,R:R,1,E:E,E755),"Вторая четверть","Больше половины"))</f>
        <v/>
      </c>
      <c r="X755">
        <f>IF(O755&lt;SUMIFS(M:M,R:R,1,E:E,E755)/SUMIFS(L:L,R:R,1,E:E,E755)*0.5,"Низшая четверть",IF(O755&lt;SUMIFS(M:M,R:R,1,E:E,E755)/SUMIFS(L:L,R:R,1,E:E,E755),"Вторая четверть","Больше половины"))</f>
        <v/>
      </c>
      <c r="Y755" t="n">
        <v>9</v>
      </c>
    </row>
    <row r="756">
      <c r="A756" s="1" t="inlineStr">
        <is>
          <t>a9100000</t>
        </is>
      </c>
      <c r="B756" s="2" t="inlineStr">
        <is>
          <t>711885795</t>
        </is>
      </c>
      <c r="C756" s="3" t="inlineStr">
        <is>
          <t>Одежда для детей</t>
        </is>
      </c>
      <c r="D756" s="2" t="inlineStr">
        <is>
          <t>Свитера детские для мальчиков</t>
        </is>
      </c>
      <c r="E756" s="3" t="inlineStr">
        <is>
          <t>a91 Свитшот для мальчика</t>
        </is>
      </c>
      <c r="F756" s="2" t="inlineStr">
        <is>
          <t>весна, лето, осень</t>
        </is>
      </c>
      <c r="G756" s="3" t="inlineStr">
        <is>
          <t>Kari KIDS</t>
        </is>
      </c>
      <c r="H756" s="2" t="inlineStr">
        <is>
          <t>Зиннуров Ильнур</t>
        </is>
      </c>
      <c r="J756" s="3" t="inlineStr">
        <is>
          <t>2026SS</t>
        </is>
      </c>
      <c r="K756" s="3" t="n">
        <v>2573</v>
      </c>
      <c r="L756" s="3" t="n">
        <v>323</v>
      </c>
      <c r="M756" s="3" t="n">
        <v>1</v>
      </c>
      <c r="N756" s="4">
        <f>IFERROR(L756/K756,0)</f>
        <v/>
      </c>
      <c r="O756" s="4">
        <f>IFERROR(M756/L756,0)</f>
        <v/>
      </c>
      <c r="P756" t="n">
        <v>352</v>
      </c>
      <c r="Q756" s="5" t="n">
        <v>1</v>
      </c>
      <c r="R756" s="7" t="n">
        <v>1</v>
      </c>
      <c r="S756">
        <f>IF(OR(N756&lt;$T$1*0.5,O756&lt;$U$1*0.5),"код для проверки","нормальный код")</f>
        <v/>
      </c>
      <c r="T756">
        <f>IF(N756&lt;$T$1*0.5,"Низшая четверть",IF(N756&lt;$T$1,"Вторая четверть","Больше половины"))</f>
        <v/>
      </c>
      <c r="U756">
        <f>IF(O756&lt;$U$1*0.5,"Низшая четверть",IF(O756&lt;$U$1,"Вторая четверть","Больше половины"))</f>
        <v/>
      </c>
      <c r="V756">
        <f>IF(OR(N756&lt;SUMIFS(L:L,R:R,1,E:E,E756)/SUMIFS(K:K,R:R,1,E:E,E756)*0.5,O756&lt;SUMIFS(M:M,R:R,1,E:E,E756)/SUMIFS(L:L,R:R,1,E:E,E756)*0.5),"код для проверки","нормальный код")</f>
        <v/>
      </c>
      <c r="W756">
        <f>IF(N756&lt;SUMIFS(L:L,R:R,1,E:E,E756)/SUMIFS(K:K,R:R,1,E:E,E756)*0.5,"Низшая четверть",IF(N756&lt;SUMIFS(L:L,R:R,1,E:E,E756)/SUMIFS(K:K,R:R,1,E:E,E756),"Вторая четверть","Больше половины"))</f>
        <v/>
      </c>
      <c r="X756">
        <f>IF(O756&lt;SUMIFS(M:M,R:R,1,E:E,E756)/SUMIFS(L:L,R:R,1,E:E,E756)*0.5,"Низшая четверть",IF(O756&lt;SUMIFS(M:M,R:R,1,E:E,E756)/SUMIFS(L:L,R:R,1,E:E,E756),"Вторая четверть","Больше половины"))</f>
        <v/>
      </c>
      <c r="Y756" t="n">
        <v>19</v>
      </c>
    </row>
    <row r="757">
      <c r="A757" s="1" t="inlineStr">
        <is>
          <t>310003Q0</t>
        </is>
      </c>
      <c r="B757" s="2" t="inlineStr">
        <is>
          <t>790169175</t>
        </is>
      </c>
      <c r="C757" s="3" t="inlineStr">
        <is>
          <t>Одежда для детей</t>
        </is>
      </c>
      <c r="D757" s="2" t="inlineStr">
        <is>
          <t>Футболки, майки, рубашки детские для мальчиков</t>
        </is>
      </c>
      <c r="E757" s="3" t="inlineStr">
        <is>
          <t>310 Футболка детская для мальчиков</t>
        </is>
      </c>
      <c r="F757" s="2" t="inlineStr">
        <is>
          <t>всесезонный</t>
        </is>
      </c>
      <c r="G757" s="3" t="inlineStr">
        <is>
          <t>kari</t>
        </is>
      </c>
      <c r="H757" s="2" t="inlineStr">
        <is>
          <t>Зиннуров Ильнур</t>
        </is>
      </c>
      <c r="J757" s="3" t="inlineStr">
        <is>
          <t>2026SS</t>
        </is>
      </c>
      <c r="K757" s="3" t="n">
        <v>2573</v>
      </c>
      <c r="L757" s="3" t="n">
        <v>437</v>
      </c>
      <c r="M757" s="3" t="n">
        <v>8</v>
      </c>
      <c r="N757" s="4">
        <f>IFERROR(L757/K757,0)</f>
        <v/>
      </c>
      <c r="O757" s="4">
        <f>IFERROR(M757/L757,0)</f>
        <v/>
      </c>
      <c r="P757" t="n">
        <v>947</v>
      </c>
      <c r="Q757" s="5" t="n">
        <v>1</v>
      </c>
      <c r="R757" s="7" t="n">
        <v>1</v>
      </c>
      <c r="S757">
        <f>IF(OR(N757&lt;$T$1*0.5,O757&lt;$U$1*0.5),"код для проверки","нормальный код")</f>
        <v/>
      </c>
      <c r="T757">
        <f>IF(N757&lt;$T$1*0.5,"Низшая четверть",IF(N757&lt;$T$1,"Вторая четверть","Больше половины"))</f>
        <v/>
      </c>
      <c r="U757">
        <f>IF(O757&lt;$U$1*0.5,"Низшая четверть",IF(O757&lt;$U$1,"Вторая четверть","Больше половины"))</f>
        <v/>
      </c>
      <c r="V757">
        <f>IF(OR(N757&lt;SUMIFS(L:L,R:R,1,E:E,E757)/SUMIFS(K:K,R:R,1,E:E,E757)*0.5,O757&lt;SUMIFS(M:M,R:R,1,E:E,E757)/SUMIFS(L:L,R:R,1,E:E,E757)*0.5),"код для проверки","нормальный код")</f>
        <v/>
      </c>
      <c r="W757">
        <f>IF(N757&lt;SUMIFS(L:L,R:R,1,E:E,E757)/SUMIFS(K:K,R:R,1,E:E,E757)*0.5,"Низшая четверть",IF(N757&lt;SUMIFS(L:L,R:R,1,E:E,E757)/SUMIFS(K:K,R:R,1,E:E,E757),"Вторая четверть","Больше половины"))</f>
        <v/>
      </c>
      <c r="X757">
        <f>IF(O757&lt;SUMIFS(M:M,R:R,1,E:E,E757)/SUMIFS(L:L,R:R,1,E:E,E757)*0.5,"Низшая четверть",IF(O757&lt;SUMIFS(M:M,R:R,1,E:E,E757)/SUMIFS(L:L,R:R,1,E:E,E757),"Вторая четверть","Больше половины"))</f>
        <v/>
      </c>
      <c r="Y757" t="n">
        <v>19</v>
      </c>
    </row>
    <row r="758">
      <c r="A758" s="1" t="inlineStr">
        <is>
          <t>h7700210</t>
        </is>
      </c>
      <c r="B758" s="2" t="inlineStr">
        <is>
          <t>788918754</t>
        </is>
      </c>
      <c r="C758" s="3" t="inlineStr">
        <is>
          <t>Одежда и аксессуары</t>
        </is>
      </c>
      <c r="D758" s="2" t="inlineStr">
        <is>
          <t>Купальники женские</t>
        </is>
      </c>
      <c r="E758" s="3" t="inlineStr">
        <is>
          <t>h77 Одежда пляжная женская</t>
        </is>
      </c>
      <c r="F758" s="2" t="inlineStr">
        <is>
          <t>лето</t>
        </is>
      </c>
      <c r="G758" s="3" t="inlineStr">
        <is>
          <t>kari</t>
        </is>
      </c>
      <c r="H758" s="2" t="inlineStr">
        <is>
          <t>Зиннуров Ильнур</t>
        </is>
      </c>
      <c r="J758" s="3" t="inlineStr">
        <is>
          <t>2026SS</t>
        </is>
      </c>
      <c r="K758" s="3" t="n">
        <v>2572</v>
      </c>
      <c r="L758" s="3" t="n">
        <v>217</v>
      </c>
      <c r="M758" s="3" t="n">
        <v>1</v>
      </c>
      <c r="N758" s="4">
        <f>IFERROR(L758/K758,0)</f>
        <v/>
      </c>
      <c r="O758" s="4">
        <f>IFERROR(M758/L758,0)</f>
        <v/>
      </c>
      <c r="P758" t="n">
        <v>2220</v>
      </c>
      <c r="Q758" s="5" t="n">
        <v>1</v>
      </c>
      <c r="R758" s="7" t="n">
        <v>1</v>
      </c>
      <c r="S758">
        <f>IF(OR(N758&lt;$T$1*0.5,O758&lt;$U$1*0.5),"код для проверки","нормальный код")</f>
        <v/>
      </c>
      <c r="T758">
        <f>IF(N758&lt;$T$1*0.5,"Низшая четверть",IF(N758&lt;$T$1,"Вторая четверть","Больше половины"))</f>
        <v/>
      </c>
      <c r="U758">
        <f>IF(O758&lt;$U$1*0.5,"Низшая четверть",IF(O758&lt;$U$1,"Вторая четверть","Больше половины"))</f>
        <v/>
      </c>
      <c r="V758">
        <f>IF(OR(N758&lt;SUMIFS(L:L,R:R,1,E:E,E758)/SUMIFS(K:K,R:R,1,E:E,E758)*0.5,O758&lt;SUMIFS(M:M,R:R,1,E:E,E758)/SUMIFS(L:L,R:R,1,E:E,E758)*0.5),"код для проверки","нормальный код")</f>
        <v/>
      </c>
      <c r="W758">
        <f>IF(N758&lt;SUMIFS(L:L,R:R,1,E:E,E758)/SUMIFS(K:K,R:R,1,E:E,E758)*0.5,"Низшая четверть",IF(N758&lt;SUMIFS(L:L,R:R,1,E:E,E758)/SUMIFS(K:K,R:R,1,E:E,E758),"Вторая четверть","Больше половины"))</f>
        <v/>
      </c>
      <c r="X758">
        <f>IF(O758&lt;SUMIFS(M:M,R:R,1,E:E,E758)/SUMIFS(L:L,R:R,1,E:E,E758)*0.5,"Низшая четверть",IF(O758&lt;SUMIFS(M:M,R:R,1,E:E,E758)/SUMIFS(L:L,R:R,1,E:E,E758),"Вторая четверть","Больше половины"))</f>
        <v/>
      </c>
      <c r="Y758" t="n">
        <v>10</v>
      </c>
    </row>
    <row r="759">
      <c r="A759" s="1" t="inlineStr">
        <is>
          <t>29900170</t>
        </is>
      </c>
      <c r="B759" s="2" t="inlineStr">
        <is>
          <t>699198556</t>
        </is>
      </c>
      <c r="C759" s="3" t="inlineStr">
        <is>
          <t>Одежда для детей</t>
        </is>
      </c>
      <c r="D759" s="2" t="inlineStr">
        <is>
          <t>Платья, майки, футболки детские для девочек</t>
        </is>
      </c>
      <c r="E759" s="3" t="inlineStr">
        <is>
          <t>299 Платье длинный рукав детское для девочек</t>
        </is>
      </c>
      <c r="F759" s="2" t="inlineStr">
        <is>
          <t>весна, осень, зима</t>
        </is>
      </c>
      <c r="G759" s="3" t="inlineStr">
        <is>
          <t>Kari KIDS</t>
        </is>
      </c>
      <c r="H759" s="2" t="inlineStr">
        <is>
          <t>Зиннуров Ильнур</t>
        </is>
      </c>
      <c r="J759" s="3" t="inlineStr">
        <is>
          <t>2026SS</t>
        </is>
      </c>
      <c r="K759" s="3" t="n">
        <v>2570</v>
      </c>
      <c r="L759" s="3" t="n">
        <v>361</v>
      </c>
      <c r="M759" s="3" t="n">
        <v>1</v>
      </c>
      <c r="N759" s="4">
        <f>IFERROR(L759/K759,0)</f>
        <v/>
      </c>
      <c r="O759" s="4">
        <f>IFERROR(M759/L759,0)</f>
        <v/>
      </c>
      <c r="P759" t="n">
        <v>310</v>
      </c>
      <c r="Q759" s="5" t="n">
        <v>1</v>
      </c>
      <c r="R759" s="7" t="n">
        <v>1</v>
      </c>
      <c r="S759">
        <f>IF(OR(N759&lt;$T$1*0.5,O759&lt;$U$1*0.5),"код для проверки","нормальный код")</f>
        <v/>
      </c>
      <c r="T759">
        <f>IF(N759&lt;$T$1*0.5,"Низшая четверть",IF(N759&lt;$T$1,"Вторая четверть","Больше половины"))</f>
        <v/>
      </c>
      <c r="U759">
        <f>IF(O759&lt;$U$1*0.5,"Низшая четверть",IF(O759&lt;$U$1,"Вторая четверть","Больше половины"))</f>
        <v/>
      </c>
      <c r="V759">
        <f>IF(OR(N759&lt;SUMIFS(L:L,R:R,1,E:E,E759)/SUMIFS(K:K,R:R,1,E:E,E759)*0.5,O759&lt;SUMIFS(M:M,R:R,1,E:E,E759)/SUMIFS(L:L,R:R,1,E:E,E759)*0.5),"код для проверки","нормальный код")</f>
        <v/>
      </c>
      <c r="W759">
        <f>IF(N759&lt;SUMIFS(L:L,R:R,1,E:E,E759)/SUMIFS(K:K,R:R,1,E:E,E759)*0.5,"Низшая четверть",IF(N759&lt;SUMIFS(L:L,R:R,1,E:E,E759)/SUMIFS(K:K,R:R,1,E:E,E759),"Вторая четверть","Больше половины"))</f>
        <v/>
      </c>
      <c r="X759">
        <f>IF(O759&lt;SUMIFS(M:M,R:R,1,E:E,E759)/SUMIFS(L:L,R:R,1,E:E,E759)*0.5,"Низшая четверть",IF(O759&lt;SUMIFS(M:M,R:R,1,E:E,E759)/SUMIFS(L:L,R:R,1,E:E,E759),"Вторая четверть","Больше половины"))</f>
        <v/>
      </c>
      <c r="Y759" t="n">
        <v>21</v>
      </c>
    </row>
    <row r="760">
      <c r="A760" s="1" t="inlineStr">
        <is>
          <t>42400040</t>
        </is>
      </c>
      <c r="B760" s="2" t="inlineStr">
        <is>
          <t>706564132</t>
        </is>
      </c>
      <c r="C760" s="3" t="inlineStr">
        <is>
          <t>Одежда для детей</t>
        </is>
      </c>
      <c r="D760" s="2" t="inlineStr">
        <is>
          <t>Одежда для новорожденных</t>
        </is>
      </c>
      <c r="E760" s="3" t="inlineStr">
        <is>
          <t>424 Комбинезон для новорожденных утепленный</t>
        </is>
      </c>
      <c r="F760" s="2" t="inlineStr">
        <is>
          <t>весна, осень, зима</t>
        </is>
      </c>
      <c r="G760" s="3" t="inlineStr">
        <is>
          <t>Kari baby</t>
        </is>
      </c>
      <c r="H760" s="2" t="inlineStr">
        <is>
          <t>Зиннуров Ильнур</t>
        </is>
      </c>
      <c r="J760" s="3" t="inlineStr">
        <is>
          <t>2026SS</t>
        </is>
      </c>
      <c r="K760" s="3" t="n">
        <v>2568</v>
      </c>
      <c r="L760" s="3" t="n">
        <v>1221</v>
      </c>
      <c r="M760" s="3" t="n">
        <v>3</v>
      </c>
      <c r="N760" s="4">
        <f>IFERROR(L760/K760,0)</f>
        <v/>
      </c>
      <c r="O760" s="4">
        <f>IFERROR(M760/L760,0)</f>
        <v/>
      </c>
      <c r="P760" t="n">
        <v>104</v>
      </c>
      <c r="Q760" s="5" t="n">
        <v>0.5</v>
      </c>
      <c r="R760" s="7" t="n">
        <v>1</v>
      </c>
      <c r="S760">
        <f>IF(OR(N760&lt;$T$1*0.5,O760&lt;$U$1*0.5),"код для проверки","нормальный код")</f>
        <v/>
      </c>
      <c r="T760">
        <f>IF(N760&lt;$T$1*0.5,"Низшая четверть",IF(N760&lt;$T$1,"Вторая четверть","Больше половины"))</f>
        <v/>
      </c>
      <c r="U760">
        <f>IF(O760&lt;$U$1*0.5,"Низшая четверть",IF(O760&lt;$U$1,"Вторая четверть","Больше половины"))</f>
        <v/>
      </c>
      <c r="V760">
        <f>IF(OR(N760&lt;SUMIFS(L:L,R:R,1,E:E,E760)/SUMIFS(K:K,R:R,1,E:E,E760)*0.5,O760&lt;SUMIFS(M:M,R:R,1,E:E,E760)/SUMIFS(L:L,R:R,1,E:E,E760)*0.5),"код для проверки","нормальный код")</f>
        <v/>
      </c>
      <c r="W760">
        <f>IF(N760&lt;SUMIFS(L:L,R:R,1,E:E,E760)/SUMIFS(K:K,R:R,1,E:E,E760)*0.5,"Низшая четверть",IF(N760&lt;SUMIFS(L:L,R:R,1,E:E,E760)/SUMIFS(K:K,R:R,1,E:E,E760),"Вторая четверть","Больше половины"))</f>
        <v/>
      </c>
      <c r="X760">
        <f>IF(O760&lt;SUMIFS(M:M,R:R,1,E:E,E760)/SUMIFS(L:L,R:R,1,E:E,E760)*0.5,"Низшая четверть",IF(O760&lt;SUMIFS(M:M,R:R,1,E:E,E760)/SUMIFS(L:L,R:R,1,E:E,E760),"Вторая четверть","Больше половины"))</f>
        <v/>
      </c>
      <c r="Y760" t="n">
        <v>16</v>
      </c>
    </row>
    <row r="761">
      <c r="A761" s="1" t="inlineStr">
        <is>
          <t>310000D0</t>
        </is>
      </c>
      <c r="B761" s="2" t="inlineStr">
        <is>
          <t>701976646</t>
        </is>
      </c>
      <c r="C761" s="3" t="inlineStr">
        <is>
          <t>Одежда для детей</t>
        </is>
      </c>
      <c r="D761" s="2" t="inlineStr">
        <is>
          <t>Футболки, майки, рубашки детские для мальчиков</t>
        </is>
      </c>
      <c r="E761" s="3" t="inlineStr">
        <is>
          <t>310 Футболка детская для мальчиков</t>
        </is>
      </c>
      <c r="F761" s="2" t="inlineStr">
        <is>
          <t>всесезонный</t>
        </is>
      </c>
      <c r="G761" s="3" t="inlineStr">
        <is>
          <t>Kari KIDS</t>
        </is>
      </c>
      <c r="H761" s="2" t="inlineStr">
        <is>
          <t>Зиннуров Ильнур</t>
        </is>
      </c>
      <c r="J761" s="3" t="inlineStr">
        <is>
          <t>2026SS</t>
        </is>
      </c>
      <c r="K761" s="3" t="n">
        <v>2553</v>
      </c>
      <c r="L761" s="3" t="n">
        <v>1119</v>
      </c>
      <c r="M761" s="3" t="n">
        <v>6</v>
      </c>
      <c r="N761" s="4">
        <f>IFERROR(L761/K761,0)</f>
        <v/>
      </c>
      <c r="O761" s="4">
        <f>IFERROR(M761/L761,0)</f>
        <v/>
      </c>
      <c r="P761" t="n">
        <v>165</v>
      </c>
      <c r="Q761" s="5" t="n">
        <v>1</v>
      </c>
      <c r="R761" s="7" t="n">
        <v>1</v>
      </c>
      <c r="S761">
        <f>IF(OR(N761&lt;$T$1*0.5,O761&lt;$U$1*0.5),"код для проверки","нормальный код")</f>
        <v/>
      </c>
      <c r="T761">
        <f>IF(N761&lt;$T$1*0.5,"Низшая четверть",IF(N761&lt;$T$1,"Вторая четверть","Больше половины"))</f>
        <v/>
      </c>
      <c r="U761">
        <f>IF(O761&lt;$U$1*0.5,"Низшая четверть",IF(O761&lt;$U$1,"Вторая четверть","Больше половины"))</f>
        <v/>
      </c>
      <c r="V761">
        <f>IF(OR(N761&lt;SUMIFS(L:L,R:R,1,E:E,E761)/SUMIFS(K:K,R:R,1,E:E,E761)*0.5,O761&lt;SUMIFS(M:M,R:R,1,E:E,E761)/SUMIFS(L:L,R:R,1,E:E,E761)*0.5),"код для проверки","нормальный код")</f>
        <v/>
      </c>
      <c r="W761">
        <f>IF(N761&lt;SUMIFS(L:L,R:R,1,E:E,E761)/SUMIFS(K:K,R:R,1,E:E,E761)*0.5,"Низшая четверть",IF(N761&lt;SUMIFS(L:L,R:R,1,E:E,E761)/SUMIFS(K:K,R:R,1,E:E,E761),"Вторая четверть","Больше половины"))</f>
        <v/>
      </c>
      <c r="X761">
        <f>IF(O761&lt;SUMIFS(M:M,R:R,1,E:E,E761)/SUMIFS(L:L,R:R,1,E:E,E761)*0.5,"Низшая четверть",IF(O761&lt;SUMIFS(M:M,R:R,1,E:E,E761)/SUMIFS(L:L,R:R,1,E:E,E761),"Вторая четверть","Больше половины"))</f>
        <v/>
      </c>
      <c r="Y761" t="n">
        <v>14</v>
      </c>
    </row>
    <row r="762">
      <c r="A762" s="1" t="inlineStr">
        <is>
          <t>88100210</t>
        </is>
      </c>
      <c r="B762" s="2" t="inlineStr">
        <is>
          <t>833908085</t>
        </is>
      </c>
      <c r="C762" s="3" t="inlineStr">
        <is>
          <t>Одежда для детей</t>
        </is>
      </c>
      <c r="D762" s="2" t="inlineStr">
        <is>
          <t>Футболки, майки, рубашки детские для мальчиков</t>
        </is>
      </c>
      <c r="E762" s="3" t="inlineStr">
        <is>
          <t>881 Футболка длинный рукав детская для мальчиков</t>
        </is>
      </c>
      <c r="F762" s="2" t="inlineStr">
        <is>
          <t>всесезонный</t>
        </is>
      </c>
      <c r="G762" s="3" t="inlineStr">
        <is>
          <t>Kari KIDS</t>
        </is>
      </c>
      <c r="H762" s="2" t="inlineStr">
        <is>
          <t>Зиннуров Ильнур</t>
        </is>
      </c>
      <c r="J762" s="3" t="inlineStr">
        <is>
          <t>2026SS</t>
        </is>
      </c>
      <c r="K762" s="3" t="n">
        <v>2546</v>
      </c>
      <c r="L762" s="3" t="n">
        <v>595</v>
      </c>
      <c r="M762" s="3" t="n">
        <v>5</v>
      </c>
      <c r="N762" s="4">
        <f>IFERROR(L762/K762,0)</f>
        <v/>
      </c>
      <c r="O762" s="4">
        <f>IFERROR(M762/L762,0)</f>
        <v/>
      </c>
      <c r="P762" t="n">
        <v>4</v>
      </c>
      <c r="Q762" s="5" t="n">
        <v>0.6</v>
      </c>
      <c r="R762" s="7" t="n">
        <v>0</v>
      </c>
      <c r="S762" t="inlineStr">
        <is>
          <t>Мало остатка</t>
        </is>
      </c>
      <c r="T762">
        <f>IF(N762&lt;$T$1*0.5,"Низшая четверть",IF(N762&lt;$T$1,"Вторая четверть","Больше половины"))</f>
        <v/>
      </c>
      <c r="U762">
        <f>IF(O762&lt;$U$1*0.5,"Низшая четверть",IF(O762&lt;$U$1,"Вторая четверть","Больше половины"))</f>
        <v/>
      </c>
      <c r="V762">
        <f>IF(OR(N762&lt;SUMIFS(L:L,R:R,1,E:E,E762)/SUMIFS(K:K,R:R,1,E:E,E762)*0.5,O762&lt;SUMIFS(M:M,R:R,1,E:E,E762)/SUMIFS(L:L,R:R,1,E:E,E762)*0.5),"код для проверки","нормальный код")</f>
        <v/>
      </c>
      <c r="W762">
        <f>IF(N762&lt;SUMIFS(L:L,R:R,1,E:E,E762)/SUMIFS(K:K,R:R,1,E:E,E762)*0.5,"Низшая четверть",IF(N762&lt;SUMIFS(L:L,R:R,1,E:E,E762)/SUMIFS(K:K,R:R,1,E:E,E762),"Вторая четверть","Больше половины"))</f>
        <v/>
      </c>
      <c r="X762">
        <f>IF(O762&lt;SUMIFS(M:M,R:R,1,E:E,E762)/SUMIFS(L:L,R:R,1,E:E,E762)*0.5,"Низшая четверть",IF(O762&lt;SUMIFS(M:M,R:R,1,E:E,E762)/SUMIFS(L:L,R:R,1,E:E,E762),"Вторая четверть","Больше половины"))</f>
        <v/>
      </c>
      <c r="Y762" t="n">
        <v>10</v>
      </c>
    </row>
    <row r="763">
      <c r="A763" s="1" t="inlineStr">
        <is>
          <t>a6000170</t>
        </is>
      </c>
      <c r="B763" s="2" t="inlineStr">
        <is>
          <t>709879605</t>
        </is>
      </c>
      <c r="C763" s="3" t="inlineStr">
        <is>
          <t>Одежда для детей</t>
        </is>
      </c>
      <c r="D763" s="2" t="inlineStr">
        <is>
          <t>Платья, майки, футболки детские для девочек</t>
        </is>
      </c>
      <c r="E763" s="3" t="inlineStr">
        <is>
          <t>a60 Футболка детская для девочек</t>
        </is>
      </c>
      <c r="F763" s="2" t="inlineStr">
        <is>
          <t>всесезонный</t>
        </is>
      </c>
      <c r="G763" s="3" t="inlineStr">
        <is>
          <t>kari</t>
        </is>
      </c>
      <c r="H763" s="2" t="inlineStr">
        <is>
          <t>Зиннуров Ильнур</t>
        </is>
      </c>
      <c r="J763" s="3" t="inlineStr">
        <is>
          <t>2026SS</t>
        </is>
      </c>
      <c r="K763" s="3" t="n">
        <v>2540</v>
      </c>
      <c r="L763" s="3" t="n">
        <v>166</v>
      </c>
      <c r="M763" s="3" t="n">
        <v>1</v>
      </c>
      <c r="N763" s="4">
        <f>IFERROR(L763/K763,0)</f>
        <v/>
      </c>
      <c r="O763" s="4">
        <f>IFERROR(M763/L763,0)</f>
        <v/>
      </c>
      <c r="P763" t="n">
        <v>238</v>
      </c>
      <c r="Q763" s="5" t="n">
        <v>1</v>
      </c>
      <c r="R763" s="7" t="n">
        <v>1</v>
      </c>
      <c r="S763">
        <f>IF(OR(N763&lt;$T$1*0.5,O763&lt;$U$1*0.5),"код для проверки","нормальный код")</f>
        <v/>
      </c>
      <c r="T763">
        <f>IF(N763&lt;$T$1*0.5,"Низшая четверть",IF(N763&lt;$T$1,"Вторая четверть","Больше половины"))</f>
        <v/>
      </c>
      <c r="U763">
        <f>IF(O763&lt;$U$1*0.5,"Низшая четверть",IF(O763&lt;$U$1,"Вторая четверть","Больше половины"))</f>
        <v/>
      </c>
      <c r="V763">
        <f>IF(OR(N763&lt;SUMIFS(L:L,R:R,1,E:E,E763)/SUMIFS(K:K,R:R,1,E:E,E763)*0.5,O763&lt;SUMIFS(M:M,R:R,1,E:E,E763)/SUMIFS(L:L,R:R,1,E:E,E763)*0.5),"код для проверки","нормальный код")</f>
        <v/>
      </c>
      <c r="W763">
        <f>IF(N763&lt;SUMIFS(L:L,R:R,1,E:E,E763)/SUMIFS(K:K,R:R,1,E:E,E763)*0.5,"Низшая четверть",IF(N763&lt;SUMIFS(L:L,R:R,1,E:E,E763)/SUMIFS(K:K,R:R,1,E:E,E763),"Вторая четверть","Больше половины"))</f>
        <v/>
      </c>
      <c r="X763">
        <f>IF(O763&lt;SUMIFS(M:M,R:R,1,E:E,E763)/SUMIFS(L:L,R:R,1,E:E,E763)*0.5,"Низшая четверть",IF(O763&lt;SUMIFS(M:M,R:R,1,E:E,E763)/SUMIFS(L:L,R:R,1,E:E,E763),"Вторая четверть","Больше половины"))</f>
        <v/>
      </c>
      <c r="Y763" t="n">
        <v>17</v>
      </c>
    </row>
    <row r="764">
      <c r="A764" s="1" t="inlineStr">
        <is>
          <t>a8800050</t>
        </is>
      </c>
      <c r="B764" s="2" t="inlineStr">
        <is>
          <t>772435677</t>
        </is>
      </c>
      <c r="C764" s="3" t="inlineStr">
        <is>
          <t>Одежда для детей</t>
        </is>
      </c>
      <c r="D764" s="2" t="inlineStr">
        <is>
          <t>Свитера детские для девочек</t>
        </is>
      </c>
      <c r="E764" s="3" t="inlineStr">
        <is>
          <t>a88 Толстовка на молнии для девочек</t>
        </is>
      </c>
      <c r="F764" s="2" t="inlineStr">
        <is>
          <t>весна, лето, осень</t>
        </is>
      </c>
      <c r="G764" s="3" t="inlineStr">
        <is>
          <t>kari</t>
        </is>
      </c>
      <c r="H764" s="2" t="inlineStr">
        <is>
          <t>Зиннуров Ильнур</t>
        </is>
      </c>
      <c r="J764" s="3" t="inlineStr">
        <is>
          <t>2026SS</t>
        </is>
      </c>
      <c r="K764" s="3" t="n">
        <v>2536</v>
      </c>
      <c r="L764" s="3" t="n">
        <v>465</v>
      </c>
      <c r="M764" s="3" t="n">
        <v>3</v>
      </c>
      <c r="N764" s="4">
        <f>IFERROR(L764/K764,0)</f>
        <v/>
      </c>
      <c r="O764" s="4">
        <f>IFERROR(M764/L764,0)</f>
        <v/>
      </c>
      <c r="P764" t="n">
        <v>652</v>
      </c>
      <c r="Q764" s="5" t="n">
        <v>1</v>
      </c>
      <c r="R764" s="7" t="n">
        <v>1</v>
      </c>
      <c r="S764">
        <f>IF(OR(N764&lt;$T$1*0.5,O764&lt;$U$1*0.5),"код для проверки","нормальный код")</f>
        <v/>
      </c>
      <c r="T764">
        <f>IF(N764&lt;$T$1*0.5,"Низшая четверть",IF(N764&lt;$T$1,"Вторая четверть","Больше половины"))</f>
        <v/>
      </c>
      <c r="U764">
        <f>IF(O764&lt;$U$1*0.5,"Низшая четверть",IF(O764&lt;$U$1,"Вторая четверть","Больше половины"))</f>
        <v/>
      </c>
      <c r="V764">
        <f>IF(OR(N764&lt;SUMIFS(L:L,R:R,1,E:E,E764)/SUMIFS(K:K,R:R,1,E:E,E764)*0.5,O764&lt;SUMIFS(M:M,R:R,1,E:E,E764)/SUMIFS(L:L,R:R,1,E:E,E764)*0.5),"код для проверки","нормальный код")</f>
        <v/>
      </c>
      <c r="W764">
        <f>IF(N764&lt;SUMIFS(L:L,R:R,1,E:E,E764)/SUMIFS(K:K,R:R,1,E:E,E764)*0.5,"Низшая четверть",IF(N764&lt;SUMIFS(L:L,R:R,1,E:E,E764)/SUMIFS(K:K,R:R,1,E:E,E764),"Вторая четверть","Больше половины"))</f>
        <v/>
      </c>
      <c r="X764">
        <f>IF(O764&lt;SUMIFS(M:M,R:R,1,E:E,E764)/SUMIFS(L:L,R:R,1,E:E,E764)*0.5,"Низшая четверть",IF(O764&lt;SUMIFS(M:M,R:R,1,E:E,E764)/SUMIFS(L:L,R:R,1,E:E,E764),"Вторая четверть","Больше половины"))</f>
        <v/>
      </c>
      <c r="Y764" t="n">
        <v>24</v>
      </c>
    </row>
    <row r="765">
      <c r="A765" s="1" t="inlineStr">
        <is>
          <t>19300430</t>
        </is>
      </c>
      <c r="B765" s="2" t="inlineStr">
        <is>
          <t>796555388</t>
        </is>
      </c>
      <c r="C765" s="3" t="inlineStr">
        <is>
          <t>Одежда для детей</t>
        </is>
      </c>
      <c r="D765" s="2" t="inlineStr">
        <is>
          <t>Брюки детские для мальчиков</t>
        </is>
      </c>
      <c r="E765" s="3" t="inlineStr">
        <is>
          <t>193 Шорты детские для мальчиков</t>
        </is>
      </c>
      <c r="F765" s="2" t="inlineStr">
        <is>
          <t>лето</t>
        </is>
      </c>
      <c r="G765" s="3" t="inlineStr">
        <is>
          <t>Kari KIDS</t>
        </is>
      </c>
      <c r="H765" s="2" t="inlineStr">
        <is>
          <t>Зиннуров Ильнур</t>
        </is>
      </c>
      <c r="J765" s="3" t="inlineStr">
        <is>
          <t>2026SS</t>
        </is>
      </c>
      <c r="K765" s="3" t="n">
        <v>2532</v>
      </c>
      <c r="L765" s="3" t="n">
        <v>239</v>
      </c>
      <c r="M765" s="3" t="n">
        <v>7</v>
      </c>
      <c r="N765" s="4">
        <f>IFERROR(L765/K765,0)</f>
        <v/>
      </c>
      <c r="O765" s="4">
        <f>IFERROR(M765/L765,0)</f>
        <v/>
      </c>
      <c r="P765" t="n">
        <v>586</v>
      </c>
      <c r="Q765" s="5" t="n">
        <v>1</v>
      </c>
      <c r="R765" s="7" t="n">
        <v>1</v>
      </c>
      <c r="S765">
        <f>IF(OR(N765&lt;$T$1*0.5,O765&lt;$U$1*0.5),"код для проверки","нормальный код")</f>
        <v/>
      </c>
      <c r="T765">
        <f>IF(N765&lt;$T$1*0.5,"Низшая четверть",IF(N765&lt;$T$1,"Вторая четверть","Больше половины"))</f>
        <v/>
      </c>
      <c r="U765">
        <f>IF(O765&lt;$U$1*0.5,"Низшая четверть",IF(O765&lt;$U$1,"Вторая четверть","Больше половины"))</f>
        <v/>
      </c>
      <c r="V765">
        <f>IF(OR(N765&lt;SUMIFS(L:L,R:R,1,E:E,E765)/SUMIFS(K:K,R:R,1,E:E,E765)*0.5,O765&lt;SUMIFS(M:M,R:R,1,E:E,E765)/SUMIFS(L:L,R:R,1,E:E,E765)*0.5),"код для проверки","нормальный код")</f>
        <v/>
      </c>
      <c r="W765">
        <f>IF(N765&lt;SUMIFS(L:L,R:R,1,E:E,E765)/SUMIFS(K:K,R:R,1,E:E,E765)*0.5,"Низшая четверть",IF(N765&lt;SUMIFS(L:L,R:R,1,E:E,E765)/SUMIFS(K:K,R:R,1,E:E,E765),"Вторая четверть","Больше половины"))</f>
        <v/>
      </c>
      <c r="X765">
        <f>IF(O765&lt;SUMIFS(M:M,R:R,1,E:E,E765)/SUMIFS(L:L,R:R,1,E:E,E765)*0.5,"Низшая четверть",IF(O765&lt;SUMIFS(M:M,R:R,1,E:E,E765)/SUMIFS(L:L,R:R,1,E:E,E765),"Вторая четверть","Больше половины"))</f>
        <v/>
      </c>
      <c r="Y765" t="n">
        <v>14</v>
      </c>
    </row>
    <row r="766">
      <c r="A766" s="1" t="inlineStr">
        <is>
          <t>a6000140</t>
        </is>
      </c>
      <c r="B766" s="2" t="inlineStr">
        <is>
          <t>701976531</t>
        </is>
      </c>
      <c r="C766" s="3" t="inlineStr">
        <is>
          <t>Одежда для детей</t>
        </is>
      </c>
      <c r="D766" s="2" t="inlineStr">
        <is>
          <t>Платья, майки, футболки детские для девочек</t>
        </is>
      </c>
      <c r="E766" s="3" t="inlineStr">
        <is>
          <t>a60 Футболка детская для девочек</t>
        </is>
      </c>
      <c r="F766" s="2" t="inlineStr">
        <is>
          <t>всесезонный</t>
        </is>
      </c>
      <c r="G766" s="3" t="inlineStr">
        <is>
          <t>Kari KIDS</t>
        </is>
      </c>
      <c r="H766" s="2" t="inlineStr">
        <is>
          <t>Зиннуров Ильнур</t>
        </is>
      </c>
      <c r="J766" s="3" t="inlineStr">
        <is>
          <t>2026SS</t>
        </is>
      </c>
      <c r="K766" s="3" t="n">
        <v>2527</v>
      </c>
      <c r="L766" s="3" t="n">
        <v>480</v>
      </c>
      <c r="M766" s="3" t="n">
        <v>6</v>
      </c>
      <c r="N766" s="4">
        <f>IFERROR(L766/K766,0)</f>
        <v/>
      </c>
      <c r="O766" s="4">
        <f>IFERROR(M766/L766,0)</f>
        <v/>
      </c>
      <c r="P766" t="n">
        <v>41</v>
      </c>
      <c r="Q766" s="5" t="n">
        <v>0.8</v>
      </c>
      <c r="R766" s="7" t="n">
        <v>1</v>
      </c>
      <c r="S766">
        <f>IF(OR(N766&lt;$T$1*0.5,O766&lt;$U$1*0.5),"код для проверки","нормальный код")</f>
        <v/>
      </c>
      <c r="T766">
        <f>IF(N766&lt;$T$1*0.5,"Низшая четверть",IF(N766&lt;$T$1,"Вторая четверть","Больше половины"))</f>
        <v/>
      </c>
      <c r="U766">
        <f>IF(O766&lt;$U$1*0.5,"Низшая четверть",IF(O766&lt;$U$1,"Вторая четверть","Больше половины"))</f>
        <v/>
      </c>
      <c r="V766">
        <f>IF(OR(N766&lt;SUMIFS(L:L,R:R,1,E:E,E766)/SUMIFS(K:K,R:R,1,E:E,E766)*0.5,O766&lt;SUMIFS(M:M,R:R,1,E:E,E766)/SUMIFS(L:L,R:R,1,E:E,E766)*0.5),"код для проверки","нормальный код")</f>
        <v/>
      </c>
      <c r="W766">
        <f>IF(N766&lt;SUMIFS(L:L,R:R,1,E:E,E766)/SUMIFS(K:K,R:R,1,E:E,E766)*0.5,"Низшая четверть",IF(N766&lt;SUMIFS(L:L,R:R,1,E:E,E766)/SUMIFS(K:K,R:R,1,E:E,E766),"Вторая четверть","Больше половины"))</f>
        <v/>
      </c>
      <c r="X766">
        <f>IF(O766&lt;SUMIFS(M:M,R:R,1,E:E,E766)/SUMIFS(L:L,R:R,1,E:E,E766)*0.5,"Низшая четверть",IF(O766&lt;SUMIFS(M:M,R:R,1,E:E,E766)/SUMIFS(L:L,R:R,1,E:E,E766),"Вторая четверть","Больше половины"))</f>
        <v/>
      </c>
      <c r="Y766" t="n">
        <v>12</v>
      </c>
    </row>
    <row r="767">
      <c r="A767" s="1" t="inlineStr">
        <is>
          <t>55400090</t>
        </is>
      </c>
      <c r="B767" s="2" t="inlineStr">
        <is>
          <t>881815657</t>
        </is>
      </c>
      <c r="C767" s="3" t="inlineStr">
        <is>
          <t>Одежда для детей</t>
        </is>
      </c>
      <c r="D767" s="2" t="inlineStr">
        <is>
          <t>Головные уборы детские для мальчиков</t>
        </is>
      </c>
      <c r="E767" s="3" t="inlineStr">
        <is>
          <t>554 Панама детская для мальчиков</t>
        </is>
      </c>
      <c r="F767" s="2" t="inlineStr">
        <is>
          <t>весна, лето</t>
        </is>
      </c>
      <c r="G767" s="3" t="inlineStr">
        <is>
          <t>kari</t>
        </is>
      </c>
      <c r="H767" s="2" t="inlineStr">
        <is>
          <t>Никонорова Алина</t>
        </is>
      </c>
      <c r="J767" s="3" t="inlineStr">
        <is>
          <t>2026SS</t>
        </is>
      </c>
      <c r="K767" s="3" t="n">
        <v>2527</v>
      </c>
      <c r="L767" s="3" t="n">
        <v>210</v>
      </c>
      <c r="M767" s="3" t="n">
        <v>2</v>
      </c>
      <c r="N767" s="4">
        <f>IFERROR(L767/K767,0)</f>
        <v/>
      </c>
      <c r="O767" s="4">
        <f>IFERROR(M767/L767,0)</f>
        <v/>
      </c>
      <c r="P767" t="n">
        <v>346</v>
      </c>
      <c r="Q767" s="5" t="n">
        <v>1</v>
      </c>
      <c r="R767" s="7" t="n">
        <v>1</v>
      </c>
      <c r="S767">
        <f>IF(OR(N767&lt;$T$1*0.5,O767&lt;$U$1*0.5),"код для проверки","нормальный код")</f>
        <v/>
      </c>
      <c r="T767">
        <f>IF(N767&lt;$T$1*0.5,"Низшая четверть",IF(N767&lt;$T$1,"Вторая четверть","Больше половины"))</f>
        <v/>
      </c>
      <c r="U767">
        <f>IF(O767&lt;$U$1*0.5,"Низшая четверть",IF(O767&lt;$U$1,"Вторая четверть","Больше половины"))</f>
        <v/>
      </c>
      <c r="V767">
        <f>IF(OR(N767&lt;SUMIFS(L:L,R:R,1,E:E,E767)/SUMIFS(K:K,R:R,1,E:E,E767)*0.5,O767&lt;SUMIFS(M:M,R:R,1,E:E,E767)/SUMIFS(L:L,R:R,1,E:E,E767)*0.5),"код для проверки","нормальный код")</f>
        <v/>
      </c>
      <c r="W767">
        <f>IF(N767&lt;SUMIFS(L:L,R:R,1,E:E,E767)/SUMIFS(K:K,R:R,1,E:E,E767)*0.5,"Низшая четверть",IF(N767&lt;SUMIFS(L:L,R:R,1,E:E,E767)/SUMIFS(K:K,R:R,1,E:E,E767),"Вторая четверть","Больше половины"))</f>
        <v/>
      </c>
      <c r="X767">
        <f>IF(O767&lt;SUMIFS(M:M,R:R,1,E:E,E767)/SUMIFS(L:L,R:R,1,E:E,E767)*0.5,"Низшая четверть",IF(O767&lt;SUMIFS(M:M,R:R,1,E:E,E767)/SUMIFS(L:L,R:R,1,E:E,E767),"Вторая четверть","Больше половины"))</f>
        <v/>
      </c>
      <c r="Y767" t="n">
        <v>6</v>
      </c>
    </row>
    <row r="768">
      <c r="A768" s="1" t="inlineStr">
        <is>
          <t>094002G0</t>
        </is>
      </c>
      <c r="B768" s="2" t="inlineStr">
        <is>
          <t>804097418</t>
        </is>
      </c>
      <c r="C768" s="3" t="inlineStr">
        <is>
          <t>Одежда и аксессуары</t>
        </is>
      </c>
      <c r="D768" s="2" t="inlineStr">
        <is>
          <t>Купальники женские</t>
        </is>
      </c>
      <c r="E768" s="3" t="inlineStr">
        <is>
          <t>094 Купальник</t>
        </is>
      </c>
      <c r="F768" s="2" t="inlineStr">
        <is>
          <t>лето</t>
        </is>
      </c>
      <c r="G768" s="3" t="inlineStr">
        <is>
          <t>kari</t>
        </is>
      </c>
      <c r="H768" s="2" t="inlineStr">
        <is>
          <t>Никонорова Алина</t>
        </is>
      </c>
      <c r="J768" s="3" t="inlineStr">
        <is>
          <t>2026SS</t>
        </is>
      </c>
      <c r="K768" s="3" t="n">
        <v>2512</v>
      </c>
      <c r="L768" s="3" t="n">
        <v>2799</v>
      </c>
      <c r="M768" s="3" t="n">
        <v>13</v>
      </c>
      <c r="N768" s="4">
        <f>IFERROR(L768/K768,0)</f>
        <v/>
      </c>
      <c r="O768" s="4">
        <f>IFERROR(M768/L768,0)</f>
        <v/>
      </c>
      <c r="P768" t="n">
        <v>270</v>
      </c>
      <c r="Q768" s="5" t="n">
        <v>1</v>
      </c>
      <c r="R768" s="7" t="n">
        <v>1</v>
      </c>
      <c r="S768">
        <f>IF(OR(N768&lt;$T$1*0.5,O768&lt;$U$1*0.5),"код для проверки","нормальный код")</f>
        <v/>
      </c>
      <c r="T768">
        <f>IF(N768&lt;$T$1*0.5,"Низшая четверть",IF(N768&lt;$T$1,"Вторая четверть","Больше половины"))</f>
        <v/>
      </c>
      <c r="U768">
        <f>IF(O768&lt;$U$1*0.5,"Низшая четверть",IF(O768&lt;$U$1,"Вторая четверть","Больше половины"))</f>
        <v/>
      </c>
      <c r="V768">
        <f>IF(OR(N768&lt;SUMIFS(L:L,R:R,1,E:E,E768)/SUMIFS(K:K,R:R,1,E:E,E768)*0.5,O768&lt;SUMIFS(M:M,R:R,1,E:E,E768)/SUMIFS(L:L,R:R,1,E:E,E768)*0.5),"код для проверки","нормальный код")</f>
        <v/>
      </c>
      <c r="W768">
        <f>IF(N768&lt;SUMIFS(L:L,R:R,1,E:E,E768)/SUMIFS(K:K,R:R,1,E:E,E768)*0.5,"Низшая четверть",IF(N768&lt;SUMIFS(L:L,R:R,1,E:E,E768)/SUMIFS(K:K,R:R,1,E:E,E768),"Вторая четверть","Больше половины"))</f>
        <v/>
      </c>
      <c r="X768">
        <f>IF(O768&lt;SUMIFS(M:M,R:R,1,E:E,E768)/SUMIFS(L:L,R:R,1,E:E,E768)*0.5,"Низшая четверть",IF(O768&lt;SUMIFS(M:M,R:R,1,E:E,E768)/SUMIFS(L:L,R:R,1,E:E,E768),"Вторая четверть","Больше половины"))</f>
        <v/>
      </c>
      <c r="Y768" t="n">
        <v>21</v>
      </c>
    </row>
    <row r="769">
      <c r="A769" s="1" t="inlineStr">
        <is>
          <t>a8300040</t>
        </is>
      </c>
      <c r="B769" s="2" t="inlineStr">
        <is>
          <t>695216181</t>
        </is>
      </c>
      <c r="C769" s="3" t="inlineStr">
        <is>
          <t>Одежда для детей</t>
        </is>
      </c>
      <c r="D769" s="2" t="inlineStr">
        <is>
          <t>Свитера детские для девочек</t>
        </is>
      </c>
      <c r="E769" s="3" t="inlineStr">
        <is>
          <t>a83 Толстовка-худи утепленная для девочек</t>
        </is>
      </c>
      <c r="F769" s="2" t="inlineStr">
        <is>
          <t>весна, осень, зима</t>
        </is>
      </c>
      <c r="G769" s="3" t="inlineStr">
        <is>
          <t>Kari KIDS</t>
        </is>
      </c>
      <c r="H769" s="2" t="inlineStr">
        <is>
          <t>Зиннуров Ильнур</t>
        </is>
      </c>
      <c r="J769" s="3" t="inlineStr">
        <is>
          <t>2026SS</t>
        </is>
      </c>
      <c r="K769" s="3" t="n">
        <v>2508</v>
      </c>
      <c r="L769" s="3" t="n">
        <v>283</v>
      </c>
      <c r="M769" s="3" t="n">
        <v>4</v>
      </c>
      <c r="N769" s="4">
        <f>IFERROR(L769/K769,0)</f>
        <v/>
      </c>
      <c r="O769" s="4">
        <f>IFERROR(M769/L769,0)</f>
        <v/>
      </c>
      <c r="P769" t="n">
        <v>381</v>
      </c>
      <c r="Q769" s="5" t="n">
        <v>1</v>
      </c>
      <c r="R769" s="7" t="n">
        <v>1</v>
      </c>
      <c r="S769">
        <f>IF(OR(N769&lt;$T$1*0.5,O769&lt;$U$1*0.5),"код для проверки","нормальный код")</f>
        <v/>
      </c>
      <c r="T769">
        <f>IF(N769&lt;$T$1*0.5,"Низшая четверть",IF(N769&lt;$T$1,"Вторая четверть","Больше половины"))</f>
        <v/>
      </c>
      <c r="U769">
        <f>IF(O769&lt;$U$1*0.5,"Низшая четверть",IF(O769&lt;$U$1,"Вторая четверть","Больше половины"))</f>
        <v/>
      </c>
      <c r="V769">
        <f>IF(OR(N769&lt;SUMIFS(L:L,R:R,1,E:E,E769)/SUMIFS(K:K,R:R,1,E:E,E769)*0.5,O769&lt;SUMIFS(M:M,R:R,1,E:E,E769)/SUMIFS(L:L,R:R,1,E:E,E769)*0.5),"код для проверки","нормальный код")</f>
        <v/>
      </c>
      <c r="W769">
        <f>IF(N769&lt;SUMIFS(L:L,R:R,1,E:E,E769)/SUMIFS(K:K,R:R,1,E:E,E769)*0.5,"Низшая четверть",IF(N769&lt;SUMIFS(L:L,R:R,1,E:E,E769)/SUMIFS(K:K,R:R,1,E:E,E769),"Вторая четверть","Больше половины"))</f>
        <v/>
      </c>
      <c r="X769">
        <f>IF(O769&lt;SUMIFS(M:M,R:R,1,E:E,E769)/SUMIFS(L:L,R:R,1,E:E,E769)*0.5,"Низшая четверть",IF(O769&lt;SUMIFS(M:M,R:R,1,E:E,E769)/SUMIFS(L:L,R:R,1,E:E,E769),"Вторая четверть","Больше половины"))</f>
        <v/>
      </c>
      <c r="Y769" t="n">
        <v>20</v>
      </c>
    </row>
    <row r="770">
      <c r="A770" s="1" t="inlineStr">
        <is>
          <t>094000S0</t>
        </is>
      </c>
      <c r="B770" s="2" t="inlineStr">
        <is>
          <t>815107333</t>
        </is>
      </c>
      <c r="C770" s="3" t="inlineStr">
        <is>
          <t>Одежда и аксессуары</t>
        </is>
      </c>
      <c r="D770" s="2" t="inlineStr">
        <is>
          <t>Купальники женские</t>
        </is>
      </c>
      <c r="E770" s="3" t="inlineStr">
        <is>
          <t>094 Купальник</t>
        </is>
      </c>
      <c r="F770" s="2" t="inlineStr">
        <is>
          <t>лето</t>
        </is>
      </c>
      <c r="G770" s="3" t="inlineStr">
        <is>
          <t>kari</t>
        </is>
      </c>
      <c r="H770" s="2" t="inlineStr">
        <is>
          <t>Никонорова Алина</t>
        </is>
      </c>
      <c r="J770" s="3" t="inlineStr">
        <is>
          <t>2026SS</t>
        </is>
      </c>
      <c r="K770" s="3" t="n">
        <v>2506</v>
      </c>
      <c r="L770" s="3" t="n">
        <v>1360</v>
      </c>
      <c r="M770" s="3" t="n">
        <v>8</v>
      </c>
      <c r="N770" s="4">
        <f>IFERROR(L770/K770,0)</f>
        <v/>
      </c>
      <c r="O770" s="4">
        <f>IFERROR(M770/L770,0)</f>
        <v/>
      </c>
      <c r="P770" t="n">
        <v>2250</v>
      </c>
      <c r="Q770" s="5" t="n">
        <v>0.6666666666666666</v>
      </c>
      <c r="R770" s="7" t="n">
        <v>1</v>
      </c>
      <c r="S770">
        <f>IF(OR(N770&lt;$T$1*0.5,O770&lt;$U$1*0.5),"код для проверки","нормальный код")</f>
        <v/>
      </c>
      <c r="T770">
        <f>IF(N770&lt;$T$1*0.5,"Низшая четверть",IF(N770&lt;$T$1,"Вторая четверть","Больше половины"))</f>
        <v/>
      </c>
      <c r="U770">
        <f>IF(O770&lt;$U$1*0.5,"Низшая четверть",IF(O770&lt;$U$1,"Вторая четверть","Больше половины"))</f>
        <v/>
      </c>
      <c r="V770">
        <f>IF(OR(N770&lt;SUMIFS(L:L,R:R,1,E:E,E770)/SUMIFS(K:K,R:R,1,E:E,E770)*0.5,O770&lt;SUMIFS(M:M,R:R,1,E:E,E770)/SUMIFS(L:L,R:R,1,E:E,E770)*0.5),"код для проверки","нормальный код")</f>
        <v/>
      </c>
      <c r="W770">
        <f>IF(N770&lt;SUMIFS(L:L,R:R,1,E:E,E770)/SUMIFS(K:K,R:R,1,E:E,E770)*0.5,"Низшая четверть",IF(N770&lt;SUMIFS(L:L,R:R,1,E:E,E770)/SUMIFS(K:K,R:R,1,E:E,E770),"Вторая четверть","Больше половины"))</f>
        <v/>
      </c>
      <c r="X770">
        <f>IF(O770&lt;SUMIFS(M:M,R:R,1,E:E,E770)/SUMIFS(L:L,R:R,1,E:E,E770)*0.5,"Низшая четверть",IF(O770&lt;SUMIFS(M:M,R:R,1,E:E,E770)/SUMIFS(L:L,R:R,1,E:E,E770),"Вторая четверть","Больше половины"))</f>
        <v/>
      </c>
      <c r="Y770" t="n">
        <v>25</v>
      </c>
    </row>
    <row r="771">
      <c r="A771" s="1" t="inlineStr">
        <is>
          <t>19100040</t>
        </is>
      </c>
      <c r="B771" s="2" t="inlineStr">
        <is>
          <t>796398084</t>
        </is>
      </c>
      <c r="C771" s="3" t="inlineStr">
        <is>
          <t>Одежда для детей</t>
        </is>
      </c>
      <c r="D771" s="2" t="inlineStr">
        <is>
          <t>Спортивная одежда детская для девочек</t>
        </is>
      </c>
      <c r="E771" s="3" t="inlineStr">
        <is>
          <t>191 Спортивный костюм детский для девочек</t>
        </is>
      </c>
      <c r="F771" s="2" t="inlineStr">
        <is>
          <t>всесезонный</t>
        </is>
      </c>
      <c r="G771" s="3" t="inlineStr">
        <is>
          <t>kari</t>
        </is>
      </c>
      <c r="H771" s="2" t="inlineStr">
        <is>
          <t>Зиннуров Ильнур</t>
        </is>
      </c>
      <c r="J771" s="3" t="inlineStr">
        <is>
          <t>2026SS</t>
        </is>
      </c>
      <c r="K771" s="3" t="n">
        <v>2502</v>
      </c>
      <c r="L771" s="3" t="n">
        <v>198</v>
      </c>
      <c r="M771" s="3" t="n">
        <v>3</v>
      </c>
      <c r="N771" s="4">
        <f>IFERROR(L771/K771,0)</f>
        <v/>
      </c>
      <c r="O771" s="4">
        <f>IFERROR(M771/L771,0)</f>
        <v/>
      </c>
      <c r="P771" t="n">
        <v>316</v>
      </c>
      <c r="Q771" s="5" t="n">
        <v>1</v>
      </c>
      <c r="R771" s="7" t="n">
        <v>1</v>
      </c>
      <c r="S771">
        <f>IF(OR(N771&lt;$T$1*0.5,O771&lt;$U$1*0.5),"код для проверки","нормальный код")</f>
        <v/>
      </c>
      <c r="T771">
        <f>IF(N771&lt;$T$1*0.5,"Низшая четверть",IF(N771&lt;$T$1,"Вторая четверть","Больше половины"))</f>
        <v/>
      </c>
      <c r="U771">
        <f>IF(O771&lt;$U$1*0.5,"Низшая четверть",IF(O771&lt;$U$1,"Вторая четверть","Больше половины"))</f>
        <v/>
      </c>
      <c r="V771">
        <f>IF(OR(N771&lt;SUMIFS(L:L,R:R,1,E:E,E771)/SUMIFS(K:K,R:R,1,E:E,E771)*0.5,O771&lt;SUMIFS(M:M,R:R,1,E:E,E771)/SUMIFS(L:L,R:R,1,E:E,E771)*0.5),"код для проверки","нормальный код")</f>
        <v/>
      </c>
      <c r="W771">
        <f>IF(N771&lt;SUMIFS(L:L,R:R,1,E:E,E771)/SUMIFS(K:K,R:R,1,E:E,E771)*0.5,"Низшая четверть",IF(N771&lt;SUMIFS(L:L,R:R,1,E:E,E771)/SUMIFS(K:K,R:R,1,E:E,E771),"Вторая четверть","Больше половины"))</f>
        <v/>
      </c>
      <c r="X771">
        <f>IF(O771&lt;SUMIFS(M:M,R:R,1,E:E,E771)/SUMIFS(L:L,R:R,1,E:E,E771)*0.5,"Низшая четверть",IF(O771&lt;SUMIFS(M:M,R:R,1,E:E,E771)/SUMIFS(L:L,R:R,1,E:E,E771),"Вторая четверть","Больше половины"))</f>
        <v/>
      </c>
      <c r="Y771" t="n">
        <v>14</v>
      </c>
    </row>
    <row r="772">
      <c r="A772" s="1" t="inlineStr">
        <is>
          <t>29900160</t>
        </is>
      </c>
      <c r="B772" s="2" t="inlineStr">
        <is>
          <t>699198542</t>
        </is>
      </c>
      <c r="C772" s="3" t="inlineStr">
        <is>
          <t>Одежда для детей</t>
        </is>
      </c>
      <c r="D772" s="2" t="inlineStr">
        <is>
          <t>Платья, майки, футболки детские для девочек</t>
        </is>
      </c>
      <c r="E772" s="3" t="inlineStr">
        <is>
          <t>299 Платье длинный рукав детское для девочек</t>
        </is>
      </c>
      <c r="F772" s="2" t="inlineStr">
        <is>
          <t>весна, осень, зима</t>
        </is>
      </c>
      <c r="G772" s="3" t="inlineStr">
        <is>
          <t>Kari KIDS</t>
        </is>
      </c>
      <c r="H772" s="2" t="inlineStr">
        <is>
          <t>Зиннуров Ильнур</t>
        </is>
      </c>
      <c r="J772" s="3" t="inlineStr">
        <is>
          <t>2026SS</t>
        </is>
      </c>
      <c r="K772" s="3" t="n">
        <v>2499</v>
      </c>
      <c r="L772" s="3" t="n">
        <v>325</v>
      </c>
      <c r="M772" s="3" t="n">
        <v>0</v>
      </c>
      <c r="N772" s="4">
        <f>IFERROR(L772/K772,0)</f>
        <v/>
      </c>
      <c r="O772" s="4">
        <f>IFERROR(M772/L772,0)</f>
        <v/>
      </c>
      <c r="P772" t="n">
        <v>207</v>
      </c>
      <c r="Q772" s="5" t="n">
        <v>1</v>
      </c>
      <c r="R772" s="7" t="n">
        <v>1</v>
      </c>
      <c r="S772">
        <f>IF(OR(N772&lt;$T$1*0.5,O772&lt;$U$1*0.5),"код для проверки","нормальный код")</f>
        <v/>
      </c>
      <c r="T772">
        <f>IF(N772&lt;$T$1*0.5,"Низшая четверть",IF(N772&lt;$T$1,"Вторая четверть","Больше половины"))</f>
        <v/>
      </c>
      <c r="U772">
        <f>IF(O772&lt;$U$1*0.5,"Низшая четверть",IF(O772&lt;$U$1,"Вторая четверть","Больше половины"))</f>
        <v/>
      </c>
      <c r="V772">
        <f>IF(OR(N772&lt;SUMIFS(L:L,R:R,1,E:E,E772)/SUMIFS(K:K,R:R,1,E:E,E772)*0.5,O772&lt;SUMIFS(M:M,R:R,1,E:E,E772)/SUMIFS(L:L,R:R,1,E:E,E772)*0.5),"код для проверки","нормальный код")</f>
        <v/>
      </c>
      <c r="W772">
        <f>IF(N772&lt;SUMIFS(L:L,R:R,1,E:E,E772)/SUMIFS(K:K,R:R,1,E:E,E772)*0.5,"Низшая четверть",IF(N772&lt;SUMIFS(L:L,R:R,1,E:E,E772)/SUMIFS(K:K,R:R,1,E:E,E772),"Вторая четверть","Больше половины"))</f>
        <v/>
      </c>
      <c r="X772">
        <f>IF(O772&lt;SUMIFS(M:M,R:R,1,E:E,E772)/SUMIFS(L:L,R:R,1,E:E,E772)*0.5,"Низшая четверть",IF(O772&lt;SUMIFS(M:M,R:R,1,E:E,E772)/SUMIFS(L:L,R:R,1,E:E,E772),"Вторая четверть","Больше половины"))</f>
        <v/>
      </c>
      <c r="Y772" t="n">
        <v>21</v>
      </c>
    </row>
    <row r="773">
      <c r="A773" s="1" t="inlineStr">
        <is>
          <t>53600320</t>
        </is>
      </c>
      <c r="B773" s="2" t="inlineStr">
        <is>
          <t>879308840</t>
        </is>
      </c>
      <c r="C773" s="3" t="inlineStr">
        <is>
          <t>Одежда для детей</t>
        </is>
      </c>
      <c r="D773" s="2" t="inlineStr">
        <is>
          <t>Платья, майки, футболки детские для девочек</t>
        </is>
      </c>
      <c r="E773" s="3" t="inlineStr">
        <is>
          <t>536 Платье летнее детское</t>
        </is>
      </c>
      <c r="F773" s="2" t="inlineStr">
        <is>
          <t>лето</t>
        </is>
      </c>
      <c r="G773" s="3" t="inlineStr">
        <is>
          <t>Kari KIDS</t>
        </is>
      </c>
      <c r="H773" s="2" t="inlineStr">
        <is>
          <t>Зиннуров Ильнур</t>
        </is>
      </c>
      <c r="J773" s="3" t="inlineStr">
        <is>
          <t>2026SS</t>
        </is>
      </c>
      <c r="K773" s="3" t="n">
        <v>2498</v>
      </c>
      <c r="L773" s="3" t="n">
        <v>108</v>
      </c>
      <c r="M773" s="3" t="n">
        <v>3</v>
      </c>
      <c r="N773" s="4">
        <f>IFERROR(L773/K773,0)</f>
        <v/>
      </c>
      <c r="O773" s="4">
        <f>IFERROR(M773/L773,0)</f>
        <v/>
      </c>
      <c r="P773" t="n">
        <v>687</v>
      </c>
      <c r="Q773" s="5" t="n">
        <v>1</v>
      </c>
      <c r="R773" s="7" t="n">
        <v>1</v>
      </c>
      <c r="S773">
        <f>IF(OR(N773&lt;$T$1*0.5,O773&lt;$U$1*0.5),"код для проверки","нормальный код")</f>
        <v/>
      </c>
      <c r="T773">
        <f>IF(N773&lt;$T$1*0.5,"Низшая четверть",IF(N773&lt;$T$1,"Вторая четверть","Больше половины"))</f>
        <v/>
      </c>
      <c r="U773">
        <f>IF(O773&lt;$U$1*0.5,"Низшая четверть",IF(O773&lt;$U$1,"Вторая четверть","Больше половины"))</f>
        <v/>
      </c>
      <c r="V773">
        <f>IF(OR(N773&lt;SUMIFS(L:L,R:R,1,E:E,E773)/SUMIFS(K:K,R:R,1,E:E,E773)*0.5,O773&lt;SUMIFS(M:M,R:R,1,E:E,E773)/SUMIFS(L:L,R:R,1,E:E,E773)*0.5),"код для проверки","нормальный код")</f>
        <v/>
      </c>
      <c r="W773">
        <f>IF(N773&lt;SUMIFS(L:L,R:R,1,E:E,E773)/SUMIFS(K:K,R:R,1,E:E,E773)*0.5,"Низшая четверть",IF(N773&lt;SUMIFS(L:L,R:R,1,E:E,E773)/SUMIFS(K:K,R:R,1,E:E,E773),"Вторая четверть","Больше половины"))</f>
        <v/>
      </c>
      <c r="X773">
        <f>IF(O773&lt;SUMIFS(M:M,R:R,1,E:E,E773)/SUMIFS(L:L,R:R,1,E:E,E773)*0.5,"Низшая четверть",IF(O773&lt;SUMIFS(M:M,R:R,1,E:E,E773)/SUMIFS(L:L,R:R,1,E:E,E773),"Вторая четверть","Больше половины"))</f>
        <v/>
      </c>
      <c r="Y773" t="n">
        <v>9</v>
      </c>
    </row>
    <row r="774">
      <c r="A774" s="1" t="inlineStr">
        <is>
          <t>30400100</t>
        </is>
      </c>
      <c r="B774" s="2" t="inlineStr">
        <is>
          <t>768031867</t>
        </is>
      </c>
      <c r="C774" s="3" t="inlineStr">
        <is>
          <t>Одежда и аксессуары</t>
        </is>
      </c>
      <c r="D774" s="2" t="inlineStr">
        <is>
          <t>Майки и платья женские</t>
        </is>
      </c>
      <c r="E774" s="3" t="inlineStr">
        <is>
          <t>304 Юбка женская</t>
        </is>
      </c>
      <c r="F774" s="2" t="inlineStr">
        <is>
          <t>всесезонный</t>
        </is>
      </c>
      <c r="G774" s="3" t="inlineStr">
        <is>
          <t>kari</t>
        </is>
      </c>
      <c r="H774" s="2" t="inlineStr">
        <is>
          <t>Зиннуров Ильнур</t>
        </is>
      </c>
      <c r="J774" s="3" t="inlineStr">
        <is>
          <t>2026SS</t>
        </is>
      </c>
      <c r="K774" s="3" t="n">
        <v>2486</v>
      </c>
      <c r="L774" s="3" t="n">
        <v>244</v>
      </c>
      <c r="M774" s="3" t="n">
        <v>0</v>
      </c>
      <c r="N774" s="4">
        <f>IFERROR(L774/K774,0)</f>
        <v/>
      </c>
      <c r="O774" s="4">
        <f>IFERROR(M774/L774,0)</f>
        <v/>
      </c>
      <c r="P774" t="n">
        <v>232</v>
      </c>
      <c r="Q774" s="5" t="n">
        <v>1</v>
      </c>
      <c r="R774" s="7" t="n">
        <v>1</v>
      </c>
      <c r="S774">
        <f>IF(OR(N774&lt;$T$1*0.5,O774&lt;$U$1*0.5),"код для проверки","нормальный код")</f>
        <v/>
      </c>
      <c r="T774">
        <f>IF(N774&lt;$T$1*0.5,"Низшая четверть",IF(N774&lt;$T$1,"Вторая четверть","Больше половины"))</f>
        <v/>
      </c>
      <c r="U774">
        <f>IF(O774&lt;$U$1*0.5,"Низшая четверть",IF(O774&lt;$U$1,"Вторая четверть","Больше половины"))</f>
        <v/>
      </c>
      <c r="V774">
        <f>IF(OR(N774&lt;SUMIFS(L:L,R:R,1,E:E,E774)/SUMIFS(K:K,R:R,1,E:E,E774)*0.5,O774&lt;SUMIFS(M:M,R:R,1,E:E,E774)/SUMIFS(L:L,R:R,1,E:E,E774)*0.5),"код для проверки","нормальный код")</f>
        <v/>
      </c>
      <c r="W774">
        <f>IF(N774&lt;SUMIFS(L:L,R:R,1,E:E,E774)/SUMIFS(K:K,R:R,1,E:E,E774)*0.5,"Низшая четверть",IF(N774&lt;SUMIFS(L:L,R:R,1,E:E,E774)/SUMIFS(K:K,R:R,1,E:E,E774),"Вторая четверть","Больше половины"))</f>
        <v/>
      </c>
      <c r="X774">
        <f>IF(O774&lt;SUMIFS(M:M,R:R,1,E:E,E774)/SUMIFS(L:L,R:R,1,E:E,E774)*0.5,"Низшая четверть",IF(O774&lt;SUMIFS(M:M,R:R,1,E:E,E774)/SUMIFS(L:L,R:R,1,E:E,E774),"Вторая четверть","Больше половины"))</f>
        <v/>
      </c>
      <c r="Y774" t="n">
        <v>23</v>
      </c>
    </row>
    <row r="775">
      <c r="A775" s="1" t="inlineStr">
        <is>
          <t>094001U0</t>
        </is>
      </c>
      <c r="B775" s="2" t="inlineStr">
        <is>
          <t>710460016</t>
        </is>
      </c>
      <c r="C775" s="3" t="inlineStr">
        <is>
          <t>Одежда и аксессуары</t>
        </is>
      </c>
      <c r="D775" s="2" t="inlineStr">
        <is>
          <t>Купальники женские</t>
        </is>
      </c>
      <c r="E775" s="3" t="inlineStr">
        <is>
          <t>094 Купальник</t>
        </is>
      </c>
      <c r="F775" s="2" t="inlineStr">
        <is>
          <t>лето</t>
        </is>
      </c>
      <c r="G775" s="3" t="inlineStr">
        <is>
          <t>kari</t>
        </is>
      </c>
      <c r="H775" s="2" t="inlineStr">
        <is>
          <t>Никонорова Алина</t>
        </is>
      </c>
      <c r="J775" s="3" t="inlineStr">
        <is>
          <t>2026SS</t>
        </is>
      </c>
      <c r="K775" s="3" t="n">
        <v>2475</v>
      </c>
      <c r="L775" s="3" t="n">
        <v>3646</v>
      </c>
      <c r="M775" s="3" t="n">
        <v>10</v>
      </c>
      <c r="N775" s="4">
        <f>IFERROR(L775/K775,0)</f>
        <v/>
      </c>
      <c r="O775" s="4">
        <f>IFERROR(M775/L775,0)</f>
        <v/>
      </c>
      <c r="P775" t="n">
        <v>1066</v>
      </c>
      <c r="Q775" s="5" t="n">
        <v>0.5555555555555556</v>
      </c>
      <c r="R775" s="7" t="n">
        <v>1</v>
      </c>
      <c r="S775">
        <f>IF(OR(N775&lt;$T$1*0.5,O775&lt;$U$1*0.5),"код для проверки","нормальный код")</f>
        <v/>
      </c>
      <c r="T775">
        <f>IF(N775&lt;$T$1*0.5,"Низшая четверть",IF(N775&lt;$T$1,"Вторая четверть","Больше половины"))</f>
        <v/>
      </c>
      <c r="U775">
        <f>IF(O775&lt;$U$1*0.5,"Низшая четверть",IF(O775&lt;$U$1,"Вторая четверть","Больше половины"))</f>
        <v/>
      </c>
      <c r="V775">
        <f>IF(OR(N775&lt;SUMIFS(L:L,R:R,1,E:E,E775)/SUMIFS(K:K,R:R,1,E:E,E775)*0.5,O775&lt;SUMIFS(M:M,R:R,1,E:E,E775)/SUMIFS(L:L,R:R,1,E:E,E775)*0.5),"код для проверки","нормальный код")</f>
        <v/>
      </c>
      <c r="W775">
        <f>IF(N775&lt;SUMIFS(L:L,R:R,1,E:E,E775)/SUMIFS(K:K,R:R,1,E:E,E775)*0.5,"Низшая четверть",IF(N775&lt;SUMIFS(L:L,R:R,1,E:E,E775)/SUMIFS(K:K,R:R,1,E:E,E775),"Вторая четверть","Больше половины"))</f>
        <v/>
      </c>
      <c r="X775">
        <f>IF(O775&lt;SUMIFS(M:M,R:R,1,E:E,E775)/SUMIFS(L:L,R:R,1,E:E,E775)*0.5,"Низшая четверть",IF(O775&lt;SUMIFS(M:M,R:R,1,E:E,E775)/SUMIFS(L:L,R:R,1,E:E,E775),"Вторая четверть","Больше половины"))</f>
        <v/>
      </c>
      <c r="Y775" t="n">
        <v>25</v>
      </c>
    </row>
    <row r="776">
      <c r="A776" s="1" t="inlineStr">
        <is>
          <t>96300030</t>
        </is>
      </c>
      <c r="B776" s="2" t="inlineStr">
        <is>
          <t>770505686</t>
        </is>
      </c>
      <c r="C776" s="3" t="inlineStr">
        <is>
          <t>Одежда для детей</t>
        </is>
      </c>
      <c r="D776" s="2" t="inlineStr">
        <is>
          <t>Одежда для новорожденных</t>
        </is>
      </c>
      <c r="E776" s="3" t="inlineStr">
        <is>
          <t>963 Сарафан для маленькой девочки</t>
        </is>
      </c>
      <c r="F776" s="2" t="inlineStr">
        <is>
          <t>лето</t>
        </is>
      </c>
      <c r="G776" s="3" t="inlineStr">
        <is>
          <t>Kari baby</t>
        </is>
      </c>
      <c r="H776" s="2" t="inlineStr">
        <is>
          <t>Зиннуров Ильнур</t>
        </is>
      </c>
      <c r="J776" s="3" t="inlineStr">
        <is>
          <t>2026SS</t>
        </is>
      </c>
      <c r="K776" s="3" t="n">
        <v>2464</v>
      </c>
      <c r="L776" s="3" t="n">
        <v>373</v>
      </c>
      <c r="M776" s="3" t="n">
        <v>2</v>
      </c>
      <c r="N776" s="4">
        <f>IFERROR(L776/K776,0)</f>
        <v/>
      </c>
      <c r="O776" s="4">
        <f>IFERROR(M776/L776,0)</f>
        <v/>
      </c>
      <c r="P776" t="n">
        <v>487</v>
      </c>
      <c r="Q776" s="5" t="n">
        <v>1</v>
      </c>
      <c r="R776" s="7" t="n">
        <v>1</v>
      </c>
      <c r="S776">
        <f>IF(OR(N776&lt;$T$1*0.5,O776&lt;$U$1*0.5),"код для проверки","нормальный код")</f>
        <v/>
      </c>
      <c r="T776">
        <f>IF(N776&lt;$T$1*0.5,"Низшая четверть",IF(N776&lt;$T$1,"Вторая четверть","Больше половины"))</f>
        <v/>
      </c>
      <c r="U776">
        <f>IF(O776&lt;$U$1*0.5,"Низшая четверть",IF(O776&lt;$U$1,"Вторая четверть","Больше половины"))</f>
        <v/>
      </c>
      <c r="V776">
        <f>IF(OR(N776&lt;SUMIFS(L:L,R:R,1,E:E,E776)/SUMIFS(K:K,R:R,1,E:E,E776)*0.5,O776&lt;SUMIFS(M:M,R:R,1,E:E,E776)/SUMIFS(L:L,R:R,1,E:E,E776)*0.5),"код для проверки","нормальный код")</f>
        <v/>
      </c>
      <c r="W776">
        <f>IF(N776&lt;SUMIFS(L:L,R:R,1,E:E,E776)/SUMIFS(K:K,R:R,1,E:E,E776)*0.5,"Низшая четверть",IF(N776&lt;SUMIFS(L:L,R:R,1,E:E,E776)/SUMIFS(K:K,R:R,1,E:E,E776),"Вторая четверть","Больше половины"))</f>
        <v/>
      </c>
      <c r="X776">
        <f>IF(O776&lt;SUMIFS(M:M,R:R,1,E:E,E776)/SUMIFS(L:L,R:R,1,E:E,E776)*0.5,"Низшая четверть",IF(O776&lt;SUMIFS(M:M,R:R,1,E:E,E776)/SUMIFS(L:L,R:R,1,E:E,E776),"Вторая четверть","Больше половины"))</f>
        <v/>
      </c>
      <c r="Y776" t="n">
        <v>11</v>
      </c>
    </row>
    <row r="777">
      <c r="A777" s="1" t="inlineStr">
        <is>
          <t>h1000100</t>
        </is>
      </c>
      <c r="B777" s="2" t="inlineStr">
        <is>
          <t>797520147</t>
        </is>
      </c>
      <c r="C777" s="3" t="inlineStr">
        <is>
          <t>Одежда и аксессуары</t>
        </is>
      </c>
      <c r="D777" s="2" t="inlineStr">
        <is>
          <t>Футболки, рубашки мужские</t>
        </is>
      </c>
      <c r="E777" s="3" t="inlineStr">
        <is>
          <t>h10 Футболка мужская</t>
        </is>
      </c>
      <c r="F777" s="2" t="inlineStr">
        <is>
          <t>всесезонный</t>
        </is>
      </c>
      <c r="G777" s="3" t="inlineStr">
        <is>
          <t>kari</t>
        </is>
      </c>
      <c r="H777" s="2" t="inlineStr">
        <is>
          <t>Зиннуров Ильнур</t>
        </is>
      </c>
      <c r="J777" s="3" t="inlineStr">
        <is>
          <t>2026SS</t>
        </is>
      </c>
      <c r="K777" s="3" t="n">
        <v>2460</v>
      </c>
      <c r="L777" s="3" t="n">
        <v>1935</v>
      </c>
      <c r="M777" s="3" t="n">
        <v>8</v>
      </c>
      <c r="N777" s="4">
        <f>IFERROR(L777/K777,0)</f>
        <v/>
      </c>
      <c r="O777" s="4">
        <f>IFERROR(M777/L777,0)</f>
        <v/>
      </c>
      <c r="P777" t="n">
        <v>402</v>
      </c>
      <c r="Q777" s="5" t="n">
        <v>1</v>
      </c>
      <c r="R777" s="7" t="n">
        <v>1</v>
      </c>
      <c r="S777">
        <f>IF(OR(N777&lt;$T$1*0.5,O777&lt;$U$1*0.5),"код для проверки","нормальный код")</f>
        <v/>
      </c>
      <c r="T777">
        <f>IF(N777&lt;$T$1*0.5,"Низшая четверть",IF(N777&lt;$T$1,"Вторая четверть","Больше половины"))</f>
        <v/>
      </c>
      <c r="U777">
        <f>IF(O777&lt;$U$1*0.5,"Низшая четверть",IF(O777&lt;$U$1,"Вторая четверть","Больше половины"))</f>
        <v/>
      </c>
      <c r="V777">
        <f>IF(OR(N777&lt;SUMIFS(L:L,R:R,1,E:E,E777)/SUMIFS(K:K,R:R,1,E:E,E777)*0.5,O777&lt;SUMIFS(M:M,R:R,1,E:E,E777)/SUMIFS(L:L,R:R,1,E:E,E777)*0.5),"код для проверки","нормальный код")</f>
        <v/>
      </c>
      <c r="W777">
        <f>IF(N777&lt;SUMIFS(L:L,R:R,1,E:E,E777)/SUMIFS(K:K,R:R,1,E:E,E777)*0.5,"Низшая четверть",IF(N777&lt;SUMIFS(L:L,R:R,1,E:E,E777)/SUMIFS(K:K,R:R,1,E:E,E777),"Вторая четверть","Больше половины"))</f>
        <v/>
      </c>
      <c r="X777">
        <f>IF(O777&lt;SUMIFS(M:M,R:R,1,E:E,E777)/SUMIFS(L:L,R:R,1,E:E,E777)*0.5,"Низшая четверть",IF(O777&lt;SUMIFS(M:M,R:R,1,E:E,E777)/SUMIFS(L:L,R:R,1,E:E,E777),"Вторая четверть","Больше половины"))</f>
        <v/>
      </c>
      <c r="Y777" t="n">
        <v>20</v>
      </c>
    </row>
    <row r="778">
      <c r="A778" s="1" t="inlineStr">
        <is>
          <t>h7700130</t>
        </is>
      </c>
      <c r="B778" s="2" t="inlineStr">
        <is>
          <t>806627324</t>
        </is>
      </c>
      <c r="C778" s="3" t="inlineStr">
        <is>
          <t>Одежда и аксессуары</t>
        </is>
      </c>
      <c r="D778" s="2" t="inlineStr">
        <is>
          <t>Купальники женские</t>
        </is>
      </c>
      <c r="E778" s="3" t="inlineStr">
        <is>
          <t>h77 Одежда пляжная женская</t>
        </is>
      </c>
      <c r="F778" s="2" t="inlineStr">
        <is>
          <t>лето</t>
        </is>
      </c>
      <c r="G778" s="3" t="inlineStr">
        <is>
          <t>kari</t>
        </is>
      </c>
      <c r="H778" s="2" t="inlineStr">
        <is>
          <t>Зиннуров Ильнур</t>
        </is>
      </c>
      <c r="J778" s="3" t="inlineStr">
        <is>
          <t>2026SS</t>
        </is>
      </c>
      <c r="K778" s="3" t="n">
        <v>2455</v>
      </c>
      <c r="L778" s="3" t="n">
        <v>505</v>
      </c>
      <c r="M778" s="3" t="n">
        <v>0</v>
      </c>
      <c r="N778" s="4">
        <f>IFERROR(L778/K778,0)</f>
        <v/>
      </c>
      <c r="O778" s="4">
        <f>IFERROR(M778/L778,0)</f>
        <v/>
      </c>
      <c r="P778" t="n">
        <v>878</v>
      </c>
      <c r="Q778" s="5" t="n">
        <v>1</v>
      </c>
      <c r="R778" s="7" t="n">
        <v>1</v>
      </c>
      <c r="S778">
        <f>IF(OR(N778&lt;$T$1*0.5,O778&lt;$U$1*0.5),"код для проверки","нормальный код")</f>
        <v/>
      </c>
      <c r="T778">
        <f>IF(N778&lt;$T$1*0.5,"Низшая четверть",IF(N778&lt;$T$1,"Вторая четверть","Больше половины"))</f>
        <v/>
      </c>
      <c r="U778">
        <f>IF(O778&lt;$U$1*0.5,"Низшая четверть",IF(O778&lt;$U$1,"Вторая четверть","Больше половины"))</f>
        <v/>
      </c>
      <c r="V778">
        <f>IF(OR(N778&lt;SUMIFS(L:L,R:R,1,E:E,E778)/SUMIFS(K:K,R:R,1,E:E,E778)*0.5,O778&lt;SUMIFS(M:M,R:R,1,E:E,E778)/SUMIFS(L:L,R:R,1,E:E,E778)*0.5),"код для проверки","нормальный код")</f>
        <v/>
      </c>
      <c r="W778">
        <f>IF(N778&lt;SUMIFS(L:L,R:R,1,E:E,E778)/SUMIFS(K:K,R:R,1,E:E,E778)*0.5,"Низшая четверть",IF(N778&lt;SUMIFS(L:L,R:R,1,E:E,E778)/SUMIFS(K:K,R:R,1,E:E,E778),"Вторая четверть","Больше половины"))</f>
        <v/>
      </c>
      <c r="X778">
        <f>IF(O778&lt;SUMIFS(M:M,R:R,1,E:E,E778)/SUMIFS(L:L,R:R,1,E:E,E778)*0.5,"Низшая четверть",IF(O778&lt;SUMIFS(M:M,R:R,1,E:E,E778)/SUMIFS(L:L,R:R,1,E:E,E778),"Вторая четверть","Больше половины"))</f>
        <v/>
      </c>
      <c r="Y778" t="n">
        <v>7</v>
      </c>
    </row>
    <row r="779">
      <c r="A779" s="1" t="inlineStr">
        <is>
          <t>20100220</t>
        </is>
      </c>
      <c r="B779" s="2" t="inlineStr">
        <is>
          <t>760592118</t>
        </is>
      </c>
      <c r="C779" s="3" t="inlineStr">
        <is>
          <t>Одежда для детей</t>
        </is>
      </c>
      <c r="D779" s="2" t="inlineStr">
        <is>
          <t>Головные детские уборы для девочек</t>
        </is>
      </c>
      <c r="E779" s="3" t="inlineStr">
        <is>
          <t>201 Бейсболка детская для девочек</t>
        </is>
      </c>
      <c r="F779" s="2" t="inlineStr">
        <is>
          <t>весна, лето</t>
        </is>
      </c>
      <c r="G779" s="3" t="inlineStr">
        <is>
          <t>kari</t>
        </is>
      </c>
      <c r="H779" s="2" t="inlineStr">
        <is>
          <t>Никонорова Алина</t>
        </is>
      </c>
      <c r="J779" s="3" t="inlineStr">
        <is>
          <t>2026SS</t>
        </is>
      </c>
      <c r="K779" s="3" t="n">
        <v>2449</v>
      </c>
      <c r="L779" s="3" t="n">
        <v>669</v>
      </c>
      <c r="M779" s="3" t="n">
        <v>10</v>
      </c>
      <c r="N779" s="4">
        <f>IFERROR(L779/K779,0)</f>
        <v/>
      </c>
      <c r="O779" s="4">
        <f>IFERROR(M779/L779,0)</f>
        <v/>
      </c>
      <c r="P779" t="n">
        <v>576</v>
      </c>
      <c r="Q779" s="5" t="n">
        <v>1</v>
      </c>
      <c r="R779" s="7" t="n">
        <v>1</v>
      </c>
      <c r="S779">
        <f>IF(OR(N779&lt;$T$1*0.5,O779&lt;$U$1*0.5),"код для проверки","нормальный код")</f>
        <v/>
      </c>
      <c r="T779">
        <f>IF(N779&lt;$T$1*0.5,"Низшая четверть",IF(N779&lt;$T$1,"Вторая четверть","Больше половины"))</f>
        <v/>
      </c>
      <c r="U779">
        <f>IF(O779&lt;$U$1*0.5,"Низшая четверть",IF(O779&lt;$U$1,"Вторая четверть","Больше половины"))</f>
        <v/>
      </c>
      <c r="V779">
        <f>IF(OR(N779&lt;SUMIFS(L:L,R:R,1,E:E,E779)/SUMIFS(K:K,R:R,1,E:E,E779)*0.5,O779&lt;SUMIFS(M:M,R:R,1,E:E,E779)/SUMIFS(L:L,R:R,1,E:E,E779)*0.5),"код для проверки","нормальный код")</f>
        <v/>
      </c>
      <c r="W779">
        <f>IF(N779&lt;SUMIFS(L:L,R:R,1,E:E,E779)/SUMIFS(K:K,R:R,1,E:E,E779)*0.5,"Низшая четверть",IF(N779&lt;SUMIFS(L:L,R:R,1,E:E,E779)/SUMIFS(K:K,R:R,1,E:E,E779),"Вторая четверть","Больше половины"))</f>
        <v/>
      </c>
      <c r="X779">
        <f>IF(O779&lt;SUMIFS(M:M,R:R,1,E:E,E779)/SUMIFS(L:L,R:R,1,E:E,E779)*0.5,"Низшая четверть",IF(O779&lt;SUMIFS(M:M,R:R,1,E:E,E779)/SUMIFS(L:L,R:R,1,E:E,E779),"Вторая четверть","Больше половины"))</f>
        <v/>
      </c>
      <c r="Y779" t="n">
        <v>11</v>
      </c>
    </row>
    <row r="780">
      <c r="A780" s="1" t="inlineStr">
        <is>
          <t>29900220</t>
        </is>
      </c>
      <c r="B780" s="2" t="inlineStr">
        <is>
          <t>806821980</t>
        </is>
      </c>
      <c r="C780" s="3" t="inlineStr">
        <is>
          <t>Одежда для детей</t>
        </is>
      </c>
      <c r="D780" s="2" t="inlineStr">
        <is>
          <t>Платья, майки, футболки детские для девочек</t>
        </is>
      </c>
      <c r="E780" s="3" t="inlineStr">
        <is>
          <t>299 Платье длинный рукав детское для девочек</t>
        </is>
      </c>
      <c r="F780" s="2" t="inlineStr">
        <is>
          <t>весна, осень, зима</t>
        </is>
      </c>
      <c r="G780" s="3" t="inlineStr">
        <is>
          <t>Kari KIDS</t>
        </is>
      </c>
      <c r="H780" s="2" t="inlineStr">
        <is>
          <t>Зиннуров Ильнур</t>
        </is>
      </c>
      <c r="J780" s="3" t="inlineStr">
        <is>
          <t>2026SS</t>
        </is>
      </c>
      <c r="K780" s="3" t="n">
        <v>2448</v>
      </c>
      <c r="L780" s="3" t="n">
        <v>421</v>
      </c>
      <c r="M780" s="3" t="n">
        <v>2</v>
      </c>
      <c r="N780" s="4">
        <f>IFERROR(L780/K780,0)</f>
        <v/>
      </c>
      <c r="O780" s="4">
        <f>IFERROR(M780/L780,0)</f>
        <v/>
      </c>
      <c r="P780" t="n">
        <v>213</v>
      </c>
      <c r="Q780" s="5" t="n">
        <v>1</v>
      </c>
      <c r="R780" s="7" t="n">
        <v>1</v>
      </c>
      <c r="S780">
        <f>IF(OR(N780&lt;$T$1*0.5,O780&lt;$U$1*0.5),"код для проверки","нормальный код")</f>
        <v/>
      </c>
      <c r="T780">
        <f>IF(N780&lt;$T$1*0.5,"Низшая четверть",IF(N780&lt;$T$1,"Вторая четверть","Больше половины"))</f>
        <v/>
      </c>
      <c r="U780">
        <f>IF(O780&lt;$U$1*0.5,"Низшая четверть",IF(O780&lt;$U$1,"Вторая четверть","Больше половины"))</f>
        <v/>
      </c>
      <c r="V780">
        <f>IF(OR(N780&lt;SUMIFS(L:L,R:R,1,E:E,E780)/SUMIFS(K:K,R:R,1,E:E,E780)*0.5,O780&lt;SUMIFS(M:M,R:R,1,E:E,E780)/SUMIFS(L:L,R:R,1,E:E,E780)*0.5),"код для проверки","нормальный код")</f>
        <v/>
      </c>
      <c r="W780">
        <f>IF(N780&lt;SUMIFS(L:L,R:R,1,E:E,E780)/SUMIFS(K:K,R:R,1,E:E,E780)*0.5,"Низшая четверть",IF(N780&lt;SUMIFS(L:L,R:R,1,E:E,E780)/SUMIFS(K:K,R:R,1,E:E,E780),"Вторая четверть","Больше половины"))</f>
        <v/>
      </c>
      <c r="X780">
        <f>IF(O780&lt;SUMIFS(M:M,R:R,1,E:E,E780)/SUMIFS(L:L,R:R,1,E:E,E780)*0.5,"Низшая четверть",IF(O780&lt;SUMIFS(M:M,R:R,1,E:E,E780)/SUMIFS(L:L,R:R,1,E:E,E780),"Вторая четверть","Больше половины"))</f>
        <v/>
      </c>
      <c r="Y780" t="n">
        <v>7</v>
      </c>
    </row>
    <row r="781">
      <c r="A781" s="1" t="inlineStr">
        <is>
          <t>29900130</t>
        </is>
      </c>
      <c r="B781" s="2" t="inlineStr">
        <is>
          <t>699198421</t>
        </is>
      </c>
      <c r="C781" s="3" t="inlineStr">
        <is>
          <t>Одежда для детей</t>
        </is>
      </c>
      <c r="D781" s="2" t="inlineStr">
        <is>
          <t>Платья, майки, футболки детские для девочек</t>
        </is>
      </c>
      <c r="E781" s="3" t="inlineStr">
        <is>
          <t>299 Платье длинный рукав детское для девочек</t>
        </is>
      </c>
      <c r="F781" s="2" t="inlineStr">
        <is>
          <t>весна, осень, зима</t>
        </is>
      </c>
      <c r="G781" s="3" t="inlineStr">
        <is>
          <t>Kari KIDS</t>
        </is>
      </c>
      <c r="H781" s="2" t="inlineStr">
        <is>
          <t>Зиннуров Ильнур</t>
        </is>
      </c>
      <c r="J781" s="3" t="inlineStr">
        <is>
          <t>2026SS</t>
        </is>
      </c>
      <c r="K781" s="3" t="n">
        <v>2442</v>
      </c>
      <c r="L781" s="3" t="n">
        <v>245</v>
      </c>
      <c r="M781" s="3" t="n">
        <v>1</v>
      </c>
      <c r="N781" s="4">
        <f>IFERROR(L781/K781,0)</f>
        <v/>
      </c>
      <c r="O781" s="4">
        <f>IFERROR(M781/L781,0)</f>
        <v/>
      </c>
      <c r="P781" t="n">
        <v>189</v>
      </c>
      <c r="Q781" s="5" t="n">
        <v>0.6</v>
      </c>
      <c r="R781" s="7" t="n">
        <v>1</v>
      </c>
      <c r="S781">
        <f>IF(OR(N781&lt;$T$1*0.5,O781&lt;$U$1*0.5),"код для проверки","нормальный код")</f>
        <v/>
      </c>
      <c r="T781">
        <f>IF(N781&lt;$T$1*0.5,"Низшая четверть",IF(N781&lt;$T$1,"Вторая четверть","Больше половины"))</f>
        <v/>
      </c>
      <c r="U781">
        <f>IF(O781&lt;$U$1*0.5,"Низшая четверть",IF(O781&lt;$U$1,"Вторая четверть","Больше половины"))</f>
        <v/>
      </c>
      <c r="V781">
        <f>IF(OR(N781&lt;SUMIFS(L:L,R:R,1,E:E,E781)/SUMIFS(K:K,R:R,1,E:E,E781)*0.5,O781&lt;SUMIFS(M:M,R:R,1,E:E,E781)/SUMIFS(L:L,R:R,1,E:E,E781)*0.5),"код для проверки","нормальный код")</f>
        <v/>
      </c>
      <c r="W781">
        <f>IF(N781&lt;SUMIFS(L:L,R:R,1,E:E,E781)/SUMIFS(K:K,R:R,1,E:E,E781)*0.5,"Низшая четверть",IF(N781&lt;SUMIFS(L:L,R:R,1,E:E,E781)/SUMIFS(K:K,R:R,1,E:E,E781),"Вторая четверть","Больше половины"))</f>
        <v/>
      </c>
      <c r="X781">
        <f>IF(O781&lt;SUMIFS(M:M,R:R,1,E:E,E781)/SUMIFS(L:L,R:R,1,E:E,E781)*0.5,"Низшая четверть",IF(O781&lt;SUMIFS(M:M,R:R,1,E:E,E781)/SUMIFS(L:L,R:R,1,E:E,E781),"Вторая четверть","Больше половины"))</f>
        <v/>
      </c>
      <c r="Y781" t="n">
        <v>16</v>
      </c>
    </row>
    <row r="782">
      <c r="A782" s="1" t="inlineStr">
        <is>
          <t>a8300080</t>
        </is>
      </c>
      <c r="B782" s="2" t="inlineStr">
        <is>
          <t>822902220</t>
        </is>
      </c>
      <c r="C782" s="3" t="inlineStr">
        <is>
          <t>Одежда для детей</t>
        </is>
      </c>
      <c r="D782" s="2" t="inlineStr">
        <is>
          <t>Свитера детские для девочек</t>
        </is>
      </c>
      <c r="E782" s="3" t="inlineStr">
        <is>
          <t>a83 Толстовка-худи утепленная для девочек</t>
        </is>
      </c>
      <c r="F782" s="2" t="inlineStr">
        <is>
          <t>весна, осень, зима</t>
        </is>
      </c>
      <c r="G782" s="3" t="inlineStr">
        <is>
          <t>kari</t>
        </is>
      </c>
      <c r="H782" s="2" t="inlineStr">
        <is>
          <t>Зиннуров Ильнур</t>
        </is>
      </c>
      <c r="J782" s="3" t="inlineStr">
        <is>
          <t>2026SS</t>
        </is>
      </c>
      <c r="K782" s="3" t="n">
        <v>2433</v>
      </c>
      <c r="L782" s="3" t="n">
        <v>233</v>
      </c>
      <c r="M782" s="3" t="n">
        <v>4</v>
      </c>
      <c r="N782" s="4">
        <f>IFERROR(L782/K782,0)</f>
        <v/>
      </c>
      <c r="O782" s="4">
        <f>IFERROR(M782/L782,0)</f>
        <v/>
      </c>
      <c r="P782" t="n">
        <v>413</v>
      </c>
      <c r="Q782" s="5" t="n">
        <v>1</v>
      </c>
      <c r="R782" s="7" t="n">
        <v>1</v>
      </c>
      <c r="S782">
        <f>IF(OR(N782&lt;$T$1*0.5,O782&lt;$U$1*0.5),"код для проверки","нормальный код")</f>
        <v/>
      </c>
      <c r="T782">
        <f>IF(N782&lt;$T$1*0.5,"Низшая четверть",IF(N782&lt;$T$1,"Вторая четверть","Больше половины"))</f>
        <v/>
      </c>
      <c r="U782">
        <f>IF(O782&lt;$U$1*0.5,"Низшая четверть",IF(O782&lt;$U$1,"Вторая четверть","Больше половины"))</f>
        <v/>
      </c>
      <c r="V782">
        <f>IF(OR(N782&lt;SUMIFS(L:L,R:R,1,E:E,E782)/SUMIFS(K:K,R:R,1,E:E,E782)*0.5,O782&lt;SUMIFS(M:M,R:R,1,E:E,E782)/SUMIFS(L:L,R:R,1,E:E,E782)*0.5),"код для проверки","нормальный код")</f>
        <v/>
      </c>
      <c r="W782">
        <f>IF(N782&lt;SUMIFS(L:L,R:R,1,E:E,E782)/SUMIFS(K:K,R:R,1,E:E,E782)*0.5,"Низшая четверть",IF(N782&lt;SUMIFS(L:L,R:R,1,E:E,E782)/SUMIFS(K:K,R:R,1,E:E,E782),"Вторая четверть","Больше половины"))</f>
        <v/>
      </c>
      <c r="X782">
        <f>IF(O782&lt;SUMIFS(M:M,R:R,1,E:E,E782)/SUMIFS(L:L,R:R,1,E:E,E782)*0.5,"Низшая четверть",IF(O782&lt;SUMIFS(M:M,R:R,1,E:E,E782)/SUMIFS(L:L,R:R,1,E:E,E782),"Вторая четверть","Больше половины"))</f>
        <v/>
      </c>
      <c r="Y782" t="n">
        <v>10</v>
      </c>
    </row>
    <row r="783">
      <c r="A783" s="1" t="inlineStr">
        <is>
          <t>a5000070</t>
        </is>
      </c>
      <c r="B783" s="2" t="inlineStr">
        <is>
          <t>790994316</t>
        </is>
      </c>
      <c r="C783" s="3" t="inlineStr">
        <is>
          <t>Одежда для детей</t>
        </is>
      </c>
      <c r="D783" s="2" t="inlineStr">
        <is>
          <t>Чулочные и носочные детские изделия для девочек</t>
        </is>
      </c>
      <c r="E783" s="3" t="inlineStr">
        <is>
          <t>a50 Капри и велосипедки для девочек</t>
        </is>
      </c>
      <c r="F783" s="2" t="inlineStr">
        <is>
          <t>весна, лето</t>
        </is>
      </c>
      <c r="G783" s="3" t="inlineStr">
        <is>
          <t>kari</t>
        </is>
      </c>
      <c r="H783" s="2" t="inlineStr">
        <is>
          <t>Зиннуров Ильнур</t>
        </is>
      </c>
      <c r="J783" s="3" t="inlineStr">
        <is>
          <t>2026SS</t>
        </is>
      </c>
      <c r="K783" s="3" t="n">
        <v>2430</v>
      </c>
      <c r="L783" s="3" t="n">
        <v>218</v>
      </c>
      <c r="M783" s="3" t="n">
        <v>2</v>
      </c>
      <c r="N783" s="4">
        <f>IFERROR(L783/K783,0)</f>
        <v/>
      </c>
      <c r="O783" s="4">
        <f>IFERROR(M783/L783,0)</f>
        <v/>
      </c>
      <c r="P783" t="n">
        <v>602</v>
      </c>
      <c r="Q783" s="5" t="n">
        <v>1</v>
      </c>
      <c r="R783" s="7" t="n">
        <v>1</v>
      </c>
      <c r="S783">
        <f>IF(OR(N783&lt;$T$1*0.5,O783&lt;$U$1*0.5),"код для проверки","нормальный код")</f>
        <v/>
      </c>
      <c r="T783">
        <f>IF(N783&lt;$T$1*0.5,"Низшая четверть",IF(N783&lt;$T$1,"Вторая четверть","Больше половины"))</f>
        <v/>
      </c>
      <c r="U783">
        <f>IF(O783&lt;$U$1*0.5,"Низшая четверть",IF(O783&lt;$U$1,"Вторая четверть","Больше половины"))</f>
        <v/>
      </c>
      <c r="V783">
        <f>IF(OR(N783&lt;SUMIFS(L:L,R:R,1,E:E,E783)/SUMIFS(K:K,R:R,1,E:E,E783)*0.5,O783&lt;SUMIFS(M:M,R:R,1,E:E,E783)/SUMIFS(L:L,R:R,1,E:E,E783)*0.5),"код для проверки","нормальный код")</f>
        <v/>
      </c>
      <c r="W783">
        <f>IF(N783&lt;SUMIFS(L:L,R:R,1,E:E,E783)/SUMIFS(K:K,R:R,1,E:E,E783)*0.5,"Низшая четверть",IF(N783&lt;SUMIFS(L:L,R:R,1,E:E,E783)/SUMIFS(K:K,R:R,1,E:E,E783),"Вторая четверть","Больше половины"))</f>
        <v/>
      </c>
      <c r="X783">
        <f>IF(O783&lt;SUMIFS(M:M,R:R,1,E:E,E783)/SUMIFS(L:L,R:R,1,E:E,E783)*0.5,"Низшая четверть",IF(O783&lt;SUMIFS(M:M,R:R,1,E:E,E783)/SUMIFS(L:L,R:R,1,E:E,E783),"Вторая четверть","Больше половины"))</f>
        <v/>
      </c>
      <c r="Y783" t="n">
        <v>18</v>
      </c>
    </row>
    <row r="784">
      <c r="A784" s="1" t="inlineStr">
        <is>
          <t>a7700000</t>
        </is>
      </c>
      <c r="B784" s="2" t="inlineStr">
        <is>
          <t>695216101</t>
        </is>
      </c>
      <c r="C784" s="3" t="inlineStr">
        <is>
          <t>Одежда для детей</t>
        </is>
      </c>
      <c r="D784" s="2" t="inlineStr">
        <is>
          <t>Свитера детские для мальчиков</t>
        </is>
      </c>
      <c r="E784" s="3" t="inlineStr">
        <is>
          <t>a77 Толстовка-худи утепленная для мальчиков</t>
        </is>
      </c>
      <c r="F784" s="2" t="inlineStr">
        <is>
          <t>весна, осень, зима</t>
        </is>
      </c>
      <c r="G784" s="3" t="inlineStr">
        <is>
          <t>Kari KIDS</t>
        </is>
      </c>
      <c r="H784" s="2" t="inlineStr">
        <is>
          <t>Зиннуров Ильнур</t>
        </is>
      </c>
      <c r="J784" s="3" t="inlineStr">
        <is>
          <t>2026SS</t>
        </is>
      </c>
      <c r="K784" s="3" t="n">
        <v>2423</v>
      </c>
      <c r="L784" s="3" t="n">
        <v>312</v>
      </c>
      <c r="M784" s="3" t="n">
        <v>1</v>
      </c>
      <c r="N784" s="4">
        <f>IFERROR(L784/K784,0)</f>
        <v/>
      </c>
      <c r="O784" s="4">
        <f>IFERROR(M784/L784,0)</f>
        <v/>
      </c>
      <c r="P784" t="n">
        <v>87</v>
      </c>
      <c r="Q784" s="5" t="n">
        <v>0.6</v>
      </c>
      <c r="R784" s="7" t="n">
        <v>1</v>
      </c>
      <c r="S784">
        <f>IF(OR(N784&lt;$T$1*0.5,O784&lt;$U$1*0.5),"код для проверки","нормальный код")</f>
        <v/>
      </c>
      <c r="T784">
        <f>IF(N784&lt;$T$1*0.5,"Низшая четверть",IF(N784&lt;$T$1,"Вторая четверть","Больше половины"))</f>
        <v/>
      </c>
      <c r="U784">
        <f>IF(O784&lt;$U$1*0.5,"Низшая четверть",IF(O784&lt;$U$1,"Вторая четверть","Больше половины"))</f>
        <v/>
      </c>
      <c r="V784">
        <f>IF(OR(N784&lt;SUMIFS(L:L,R:R,1,E:E,E784)/SUMIFS(K:K,R:R,1,E:E,E784)*0.5,O784&lt;SUMIFS(M:M,R:R,1,E:E,E784)/SUMIFS(L:L,R:R,1,E:E,E784)*0.5),"код для проверки","нормальный код")</f>
        <v/>
      </c>
      <c r="W784">
        <f>IF(N784&lt;SUMIFS(L:L,R:R,1,E:E,E784)/SUMIFS(K:K,R:R,1,E:E,E784)*0.5,"Низшая четверть",IF(N784&lt;SUMIFS(L:L,R:R,1,E:E,E784)/SUMIFS(K:K,R:R,1,E:E,E784),"Вторая четверть","Больше половины"))</f>
        <v/>
      </c>
      <c r="X784">
        <f>IF(O784&lt;SUMIFS(M:M,R:R,1,E:E,E784)/SUMIFS(L:L,R:R,1,E:E,E784)*0.5,"Низшая четверть",IF(O784&lt;SUMIFS(M:M,R:R,1,E:E,E784)/SUMIFS(L:L,R:R,1,E:E,E784),"Вторая четверть","Больше половины"))</f>
        <v/>
      </c>
      <c r="Y784" t="n">
        <v>23</v>
      </c>
    </row>
    <row r="785">
      <c r="A785" s="1" t="inlineStr">
        <is>
          <t>h7700240</t>
        </is>
      </c>
      <c r="B785" s="2" t="inlineStr">
        <is>
          <t>835902592</t>
        </is>
      </c>
      <c r="C785" s="3" t="inlineStr">
        <is>
          <t>Одежда и аксессуары</t>
        </is>
      </c>
      <c r="D785" s="2" t="inlineStr">
        <is>
          <t>Купальники женские</t>
        </is>
      </c>
      <c r="E785" s="3" t="inlineStr">
        <is>
          <t>h77 Одежда пляжная женская</t>
        </is>
      </c>
      <c r="F785" s="2" t="inlineStr">
        <is>
          <t>лето</t>
        </is>
      </c>
      <c r="G785" s="3" t="inlineStr">
        <is>
          <t>kari</t>
        </is>
      </c>
      <c r="H785" s="2" t="inlineStr">
        <is>
          <t>Зиннуров Ильнур</t>
        </is>
      </c>
      <c r="J785" s="3" t="inlineStr">
        <is>
          <t>2026SS</t>
        </is>
      </c>
      <c r="K785" s="3" t="n">
        <v>2406</v>
      </c>
      <c r="L785" s="3" t="n">
        <v>312</v>
      </c>
      <c r="M785" s="3" t="n">
        <v>1</v>
      </c>
      <c r="N785" s="4">
        <f>IFERROR(L785/K785,0)</f>
        <v/>
      </c>
      <c r="O785" s="4">
        <f>IFERROR(M785/L785,0)</f>
        <v/>
      </c>
      <c r="P785" t="n">
        <v>2018</v>
      </c>
      <c r="Q785" s="5" t="n">
        <v>1</v>
      </c>
      <c r="R785" s="7" t="n">
        <v>1</v>
      </c>
      <c r="S785">
        <f>IF(OR(N785&lt;$T$1*0.5,O785&lt;$U$1*0.5),"код для проверки","нормальный код")</f>
        <v/>
      </c>
      <c r="T785">
        <f>IF(N785&lt;$T$1*0.5,"Низшая четверть",IF(N785&lt;$T$1,"Вторая четверть","Больше половины"))</f>
        <v/>
      </c>
      <c r="U785">
        <f>IF(O785&lt;$U$1*0.5,"Низшая четверть",IF(O785&lt;$U$1,"Вторая четверть","Больше половины"))</f>
        <v/>
      </c>
      <c r="V785">
        <f>IF(OR(N785&lt;SUMIFS(L:L,R:R,1,E:E,E785)/SUMIFS(K:K,R:R,1,E:E,E785)*0.5,O785&lt;SUMIFS(M:M,R:R,1,E:E,E785)/SUMIFS(L:L,R:R,1,E:E,E785)*0.5),"код для проверки","нормальный код")</f>
        <v/>
      </c>
      <c r="W785">
        <f>IF(N785&lt;SUMIFS(L:L,R:R,1,E:E,E785)/SUMIFS(K:K,R:R,1,E:E,E785)*0.5,"Низшая четверть",IF(N785&lt;SUMIFS(L:L,R:R,1,E:E,E785)/SUMIFS(K:K,R:R,1,E:E,E785),"Вторая четверть","Больше половины"))</f>
        <v/>
      </c>
      <c r="X785">
        <f>IF(O785&lt;SUMIFS(M:M,R:R,1,E:E,E785)/SUMIFS(L:L,R:R,1,E:E,E785)*0.5,"Низшая четверть",IF(O785&lt;SUMIFS(M:M,R:R,1,E:E,E785)/SUMIFS(L:L,R:R,1,E:E,E785),"Вторая четверть","Больше половины"))</f>
        <v/>
      </c>
      <c r="Y785" t="n">
        <v>10</v>
      </c>
    </row>
    <row r="786">
      <c r="A786" s="1" t="inlineStr">
        <is>
          <t>20100250</t>
        </is>
      </c>
      <c r="B786" s="2" t="inlineStr">
        <is>
          <t>926355455</t>
        </is>
      </c>
      <c r="C786" s="3" t="inlineStr">
        <is>
          <t>Одежда для детей</t>
        </is>
      </c>
      <c r="D786" s="2" t="inlineStr">
        <is>
          <t>Головные детские уборы для девочек</t>
        </is>
      </c>
      <c r="E786" s="3" t="inlineStr">
        <is>
          <t>201 Бейсболка детская для девочек</t>
        </is>
      </c>
      <c r="F786" s="2" t="inlineStr">
        <is>
          <t>весна, лето</t>
        </is>
      </c>
      <c r="G786" s="3" t="inlineStr">
        <is>
          <t>kari</t>
        </is>
      </c>
      <c r="H786" s="2" t="inlineStr">
        <is>
          <t>Никонорова Алина</t>
        </is>
      </c>
      <c r="J786" s="3" t="inlineStr">
        <is>
          <t>2026SS</t>
        </is>
      </c>
      <c r="K786" s="3" t="n">
        <v>2404</v>
      </c>
      <c r="L786" s="3" t="n">
        <v>309</v>
      </c>
      <c r="M786" s="3" t="n">
        <v>13</v>
      </c>
      <c r="N786" s="4">
        <f>IFERROR(L786/K786,0)</f>
        <v/>
      </c>
      <c r="O786" s="4">
        <f>IFERROR(M786/L786,0)</f>
        <v/>
      </c>
      <c r="P786" t="n">
        <v>488</v>
      </c>
      <c r="Q786" s="5" t="n">
        <v>1</v>
      </c>
      <c r="R786" s="7" t="n">
        <v>1</v>
      </c>
      <c r="S786">
        <f>IF(OR(N786&lt;$T$1*0.5,O786&lt;$U$1*0.5),"код для проверки","нормальный код")</f>
        <v/>
      </c>
      <c r="T786">
        <f>IF(N786&lt;$T$1*0.5,"Низшая четверть",IF(N786&lt;$T$1,"Вторая четверть","Больше половины"))</f>
        <v/>
      </c>
      <c r="U786">
        <f>IF(O786&lt;$U$1*0.5,"Низшая четверть",IF(O786&lt;$U$1,"Вторая четверть","Больше половины"))</f>
        <v/>
      </c>
      <c r="V786">
        <f>IF(OR(N786&lt;SUMIFS(L:L,R:R,1,E:E,E786)/SUMIFS(K:K,R:R,1,E:E,E786)*0.5,O786&lt;SUMIFS(M:M,R:R,1,E:E,E786)/SUMIFS(L:L,R:R,1,E:E,E786)*0.5),"код для проверки","нормальный код")</f>
        <v/>
      </c>
      <c r="W786">
        <f>IF(N786&lt;SUMIFS(L:L,R:R,1,E:E,E786)/SUMIFS(K:K,R:R,1,E:E,E786)*0.5,"Низшая четверть",IF(N786&lt;SUMIFS(L:L,R:R,1,E:E,E786)/SUMIFS(K:K,R:R,1,E:E,E786),"Вторая четверть","Больше половины"))</f>
        <v/>
      </c>
      <c r="X786">
        <f>IF(O786&lt;SUMIFS(M:M,R:R,1,E:E,E786)/SUMIFS(L:L,R:R,1,E:E,E786)*0.5,"Низшая четверть",IF(O786&lt;SUMIFS(M:M,R:R,1,E:E,E786)/SUMIFS(L:L,R:R,1,E:E,E786),"Вторая четверть","Больше половины"))</f>
        <v/>
      </c>
      <c r="Y786" t="n">
        <v>10</v>
      </c>
    </row>
    <row r="787">
      <c r="A787" s="1" t="inlineStr">
        <is>
          <t>23800150</t>
        </is>
      </c>
      <c r="B787" s="2" t="inlineStr">
        <is>
          <t>765996667</t>
        </is>
      </c>
      <c r="C787" s="3" t="inlineStr">
        <is>
          <t>Одежда для детей</t>
        </is>
      </c>
      <c r="D787" s="2" t="inlineStr">
        <is>
          <t>Платья, майки, футболки детские для девочек</t>
        </is>
      </c>
      <c r="E787" s="3" t="inlineStr">
        <is>
          <t>238 Платье детское для девочек</t>
        </is>
      </c>
      <c r="F787" s="2" t="inlineStr">
        <is>
          <t>всесезонный</t>
        </is>
      </c>
      <c r="G787" s="3" t="inlineStr">
        <is>
          <t>kari</t>
        </is>
      </c>
      <c r="H787" s="2" t="inlineStr">
        <is>
          <t>Зиннуров Ильнур</t>
        </is>
      </c>
      <c r="J787" s="3" t="inlineStr">
        <is>
          <t>2026SS</t>
        </is>
      </c>
      <c r="K787" s="3" t="n">
        <v>2402</v>
      </c>
      <c r="L787" s="3" t="n">
        <v>513</v>
      </c>
      <c r="M787" s="3" t="n">
        <v>3</v>
      </c>
      <c r="N787" s="4">
        <f>IFERROR(L787/K787,0)</f>
        <v/>
      </c>
      <c r="O787" s="4">
        <f>IFERROR(M787/L787,0)</f>
        <v/>
      </c>
      <c r="P787" t="n">
        <v>642</v>
      </c>
      <c r="Q787" s="5" t="n">
        <v>1</v>
      </c>
      <c r="R787" s="7" t="n">
        <v>1</v>
      </c>
      <c r="S787">
        <f>IF(OR(N787&lt;$T$1*0.5,O787&lt;$U$1*0.5),"код для проверки","нормальный код")</f>
        <v/>
      </c>
      <c r="T787">
        <f>IF(N787&lt;$T$1*0.5,"Низшая четверть",IF(N787&lt;$T$1,"Вторая четверть","Больше половины"))</f>
        <v/>
      </c>
      <c r="U787">
        <f>IF(O787&lt;$U$1*0.5,"Низшая четверть",IF(O787&lt;$U$1,"Вторая четверть","Больше половины"))</f>
        <v/>
      </c>
      <c r="V787">
        <f>IF(OR(N787&lt;SUMIFS(L:L,R:R,1,E:E,E787)/SUMIFS(K:K,R:R,1,E:E,E787)*0.5,O787&lt;SUMIFS(M:M,R:R,1,E:E,E787)/SUMIFS(L:L,R:R,1,E:E,E787)*0.5),"код для проверки","нормальный код")</f>
        <v/>
      </c>
      <c r="W787">
        <f>IF(N787&lt;SUMIFS(L:L,R:R,1,E:E,E787)/SUMIFS(K:K,R:R,1,E:E,E787)*0.5,"Низшая четверть",IF(N787&lt;SUMIFS(L:L,R:R,1,E:E,E787)/SUMIFS(K:K,R:R,1,E:E,E787),"Вторая четверть","Больше половины"))</f>
        <v/>
      </c>
      <c r="X787">
        <f>IF(O787&lt;SUMIFS(M:M,R:R,1,E:E,E787)/SUMIFS(L:L,R:R,1,E:E,E787)*0.5,"Низшая четверть",IF(O787&lt;SUMIFS(M:M,R:R,1,E:E,E787)/SUMIFS(L:L,R:R,1,E:E,E787),"Вторая четверть","Больше половины"))</f>
        <v/>
      </c>
      <c r="Y787" t="n">
        <v>20</v>
      </c>
    </row>
    <row r="788">
      <c r="A788" s="1" t="inlineStr">
        <is>
          <t>a8800020</t>
        </is>
      </c>
      <c r="B788" s="2" t="inlineStr">
        <is>
          <t>716561251</t>
        </is>
      </c>
      <c r="C788" s="3" t="inlineStr">
        <is>
          <t>Одежда для детей</t>
        </is>
      </c>
      <c r="D788" s="2" t="inlineStr">
        <is>
          <t>Свитера детские для девочек</t>
        </is>
      </c>
      <c r="E788" s="3" t="inlineStr">
        <is>
          <t>a88 Толстовка на молнии для девочек</t>
        </is>
      </c>
      <c r="F788" s="2" t="inlineStr">
        <is>
          <t>весна, лето, осень</t>
        </is>
      </c>
      <c r="G788" s="3" t="inlineStr">
        <is>
          <t>Kari KIDS</t>
        </is>
      </c>
      <c r="H788" s="2" t="inlineStr">
        <is>
          <t>Зиннуров Ильнур</t>
        </is>
      </c>
      <c r="J788" s="3" t="inlineStr">
        <is>
          <t>2026SS</t>
        </is>
      </c>
      <c r="K788" s="3" t="n">
        <v>2394</v>
      </c>
      <c r="L788" s="3" t="n">
        <v>107</v>
      </c>
      <c r="M788" s="3" t="n">
        <v>2</v>
      </c>
      <c r="N788" s="4">
        <f>IFERROR(L788/K788,0)</f>
        <v/>
      </c>
      <c r="O788" s="4">
        <f>IFERROR(M788/L788,0)</f>
        <v/>
      </c>
      <c r="P788" t="n">
        <v>364</v>
      </c>
      <c r="Q788" s="5" t="n">
        <v>0.8</v>
      </c>
      <c r="R788" s="7" t="n">
        <v>1</v>
      </c>
      <c r="S788">
        <f>IF(OR(N788&lt;$T$1*0.5,O788&lt;$U$1*0.5),"код для проверки","нормальный код")</f>
        <v/>
      </c>
      <c r="T788">
        <f>IF(N788&lt;$T$1*0.5,"Низшая четверть",IF(N788&lt;$T$1,"Вторая четверть","Больше половины"))</f>
        <v/>
      </c>
      <c r="U788">
        <f>IF(O788&lt;$U$1*0.5,"Низшая четверть",IF(O788&lt;$U$1,"Вторая четверть","Больше половины"))</f>
        <v/>
      </c>
      <c r="V788">
        <f>IF(OR(N788&lt;SUMIFS(L:L,R:R,1,E:E,E788)/SUMIFS(K:K,R:R,1,E:E,E788)*0.5,O788&lt;SUMIFS(M:M,R:R,1,E:E,E788)/SUMIFS(L:L,R:R,1,E:E,E788)*0.5),"код для проверки","нормальный код")</f>
        <v/>
      </c>
      <c r="W788">
        <f>IF(N788&lt;SUMIFS(L:L,R:R,1,E:E,E788)/SUMIFS(K:K,R:R,1,E:E,E788)*0.5,"Низшая четверть",IF(N788&lt;SUMIFS(L:L,R:R,1,E:E,E788)/SUMIFS(K:K,R:R,1,E:E,E788),"Вторая четверть","Больше половины"))</f>
        <v/>
      </c>
      <c r="X788">
        <f>IF(O788&lt;SUMIFS(M:M,R:R,1,E:E,E788)/SUMIFS(L:L,R:R,1,E:E,E788)*0.5,"Низшая четверть",IF(O788&lt;SUMIFS(M:M,R:R,1,E:E,E788)/SUMIFS(L:L,R:R,1,E:E,E788),"Вторая четверть","Больше половины"))</f>
        <v/>
      </c>
      <c r="Y788" t="n">
        <v>14</v>
      </c>
    </row>
    <row r="789">
      <c r="A789" s="1" t="inlineStr">
        <is>
          <t>19600090</t>
        </is>
      </c>
      <c r="B789" s="2" t="inlineStr">
        <is>
          <t>799656574</t>
        </is>
      </c>
      <c r="C789" s="3" t="inlineStr">
        <is>
          <t>Одежда и аксессуары</t>
        </is>
      </c>
      <c r="D789" s="2" t="inlineStr">
        <is>
          <t>Майки и платья женские</t>
        </is>
      </c>
      <c r="E789" s="3" t="inlineStr">
        <is>
          <t>196 Майка женская</t>
        </is>
      </c>
      <c r="F789" s="2" t="inlineStr">
        <is>
          <t>всесезонный</t>
        </is>
      </c>
      <c r="G789" s="3" t="inlineStr">
        <is>
          <t>kari</t>
        </is>
      </c>
      <c r="H789" s="2" t="inlineStr">
        <is>
          <t>Зиннуров Ильнур</t>
        </is>
      </c>
      <c r="J789" s="3" t="inlineStr">
        <is>
          <t>2026SS</t>
        </is>
      </c>
      <c r="K789" s="3" t="n">
        <v>2391</v>
      </c>
      <c r="L789" s="3" t="n">
        <v>175</v>
      </c>
      <c r="M789" s="3" t="n">
        <v>6</v>
      </c>
      <c r="N789" s="4">
        <f>IFERROR(L789/K789,0)</f>
        <v/>
      </c>
      <c r="O789" s="4">
        <f>IFERROR(M789/L789,0)</f>
        <v/>
      </c>
      <c r="P789" t="n">
        <v>491</v>
      </c>
      <c r="Q789" s="5" t="n">
        <v>1</v>
      </c>
      <c r="R789" s="7" t="n">
        <v>1</v>
      </c>
      <c r="S789">
        <f>IF(OR(N789&lt;$T$1*0.5,O789&lt;$U$1*0.5),"код для проверки","нормальный код")</f>
        <v/>
      </c>
      <c r="T789">
        <f>IF(N789&lt;$T$1*0.5,"Низшая четверть",IF(N789&lt;$T$1,"Вторая четверть","Больше половины"))</f>
        <v/>
      </c>
      <c r="U789">
        <f>IF(O789&lt;$U$1*0.5,"Низшая четверть",IF(O789&lt;$U$1,"Вторая четверть","Больше половины"))</f>
        <v/>
      </c>
      <c r="V789">
        <f>IF(OR(N789&lt;SUMIFS(L:L,R:R,1,E:E,E789)/SUMIFS(K:K,R:R,1,E:E,E789)*0.5,O789&lt;SUMIFS(M:M,R:R,1,E:E,E789)/SUMIFS(L:L,R:R,1,E:E,E789)*0.5),"код для проверки","нормальный код")</f>
        <v/>
      </c>
      <c r="W789">
        <f>IF(N789&lt;SUMIFS(L:L,R:R,1,E:E,E789)/SUMIFS(K:K,R:R,1,E:E,E789)*0.5,"Низшая четверть",IF(N789&lt;SUMIFS(L:L,R:R,1,E:E,E789)/SUMIFS(K:K,R:R,1,E:E,E789),"Вторая четверть","Больше половины"))</f>
        <v/>
      </c>
      <c r="X789">
        <f>IF(O789&lt;SUMIFS(M:M,R:R,1,E:E,E789)/SUMIFS(L:L,R:R,1,E:E,E789)*0.5,"Низшая четверть",IF(O789&lt;SUMIFS(M:M,R:R,1,E:E,E789)/SUMIFS(L:L,R:R,1,E:E,E789),"Вторая четверть","Больше половины"))</f>
        <v/>
      </c>
      <c r="Y789" t="n">
        <v>19</v>
      </c>
    </row>
    <row r="790">
      <c r="A790" s="1" t="inlineStr">
        <is>
          <t>19600100</t>
        </is>
      </c>
      <c r="B790" s="2" t="inlineStr">
        <is>
          <t>768083128</t>
        </is>
      </c>
      <c r="C790" s="3" t="inlineStr">
        <is>
          <t>Одежда и аксессуары</t>
        </is>
      </c>
      <c r="D790" s="2" t="inlineStr">
        <is>
          <t>Майки и платья женские</t>
        </is>
      </c>
      <c r="E790" s="3" t="inlineStr">
        <is>
          <t>196 Майка женская</t>
        </is>
      </c>
      <c r="F790" s="2" t="inlineStr">
        <is>
          <t>всесезонный</t>
        </is>
      </c>
      <c r="G790" s="3" t="inlineStr">
        <is>
          <t>kari</t>
        </is>
      </c>
      <c r="H790" s="2" t="inlineStr">
        <is>
          <t>Зиннуров Ильнур</t>
        </is>
      </c>
      <c r="J790" s="3" t="inlineStr">
        <is>
          <t>2026SS</t>
        </is>
      </c>
      <c r="K790" s="3" t="n">
        <v>2381</v>
      </c>
      <c r="L790" s="3" t="n">
        <v>302</v>
      </c>
      <c r="M790" s="3" t="n">
        <v>10</v>
      </c>
      <c r="N790" s="4">
        <f>IFERROR(L790/K790,0)</f>
        <v/>
      </c>
      <c r="O790" s="4">
        <f>IFERROR(M790/L790,0)</f>
        <v/>
      </c>
      <c r="P790" t="n">
        <v>231</v>
      </c>
      <c r="Q790" s="5" t="n">
        <v>0.8333333333333334</v>
      </c>
      <c r="R790" s="7" t="n">
        <v>1</v>
      </c>
      <c r="S790">
        <f>IF(OR(N790&lt;$T$1*0.5,O790&lt;$U$1*0.5),"код для проверки","нормальный код")</f>
        <v/>
      </c>
      <c r="T790">
        <f>IF(N790&lt;$T$1*0.5,"Низшая четверть",IF(N790&lt;$T$1,"Вторая четверть","Больше половины"))</f>
        <v/>
      </c>
      <c r="U790">
        <f>IF(O790&lt;$U$1*0.5,"Низшая четверть",IF(O790&lt;$U$1,"Вторая четверть","Больше половины"))</f>
        <v/>
      </c>
      <c r="V790">
        <f>IF(OR(N790&lt;SUMIFS(L:L,R:R,1,E:E,E790)/SUMIFS(K:K,R:R,1,E:E,E790)*0.5,O790&lt;SUMIFS(M:M,R:R,1,E:E,E790)/SUMIFS(L:L,R:R,1,E:E,E790)*0.5),"код для проверки","нормальный код")</f>
        <v/>
      </c>
      <c r="W790">
        <f>IF(N790&lt;SUMIFS(L:L,R:R,1,E:E,E790)/SUMIFS(K:K,R:R,1,E:E,E790)*0.5,"Низшая четверть",IF(N790&lt;SUMIFS(L:L,R:R,1,E:E,E790)/SUMIFS(K:K,R:R,1,E:E,E790),"Вторая четверть","Больше половины"))</f>
        <v/>
      </c>
      <c r="X790">
        <f>IF(O790&lt;SUMIFS(M:M,R:R,1,E:E,E790)/SUMIFS(L:L,R:R,1,E:E,E790)*0.5,"Низшая четверть",IF(O790&lt;SUMIFS(M:M,R:R,1,E:E,E790)/SUMIFS(L:L,R:R,1,E:E,E790),"Вторая четверть","Больше половины"))</f>
        <v/>
      </c>
      <c r="Y790" t="n">
        <v>16</v>
      </c>
    </row>
    <row r="791">
      <c r="A791" s="1" t="inlineStr">
        <is>
          <t>53600360</t>
        </is>
      </c>
      <c r="B791" s="2" t="inlineStr">
        <is>
          <t>879308791</t>
        </is>
      </c>
      <c r="C791" s="3" t="inlineStr">
        <is>
          <t>Одежда для детей</t>
        </is>
      </c>
      <c r="D791" s="2" t="inlineStr">
        <is>
          <t>Платья, майки, футболки детские для девочек</t>
        </is>
      </c>
      <c r="E791" s="3" t="inlineStr">
        <is>
          <t>536 Платье летнее детское</t>
        </is>
      </c>
      <c r="F791" s="2" t="inlineStr">
        <is>
          <t>лето</t>
        </is>
      </c>
      <c r="G791" s="3" t="inlineStr">
        <is>
          <t>kari</t>
        </is>
      </c>
      <c r="H791" s="2" t="inlineStr">
        <is>
          <t>Зиннуров Ильнур</t>
        </is>
      </c>
      <c r="J791" s="3" t="inlineStr">
        <is>
          <t>2026SS</t>
        </is>
      </c>
      <c r="K791" s="3" t="n">
        <v>2379</v>
      </c>
      <c r="L791" s="3" t="n">
        <v>69</v>
      </c>
      <c r="M791" s="3" t="n">
        <v>3</v>
      </c>
      <c r="N791" s="4">
        <f>IFERROR(L791/K791,0)</f>
        <v/>
      </c>
      <c r="O791" s="4">
        <f>IFERROR(M791/L791,0)</f>
        <v/>
      </c>
      <c r="P791" t="n">
        <v>591</v>
      </c>
      <c r="Q791" s="5" t="n">
        <v>1</v>
      </c>
      <c r="R791" s="7" t="n">
        <v>1</v>
      </c>
      <c r="S791">
        <f>IF(OR(N791&lt;$T$1*0.5,O791&lt;$U$1*0.5),"код для проверки","нормальный код")</f>
        <v/>
      </c>
      <c r="T791">
        <f>IF(N791&lt;$T$1*0.5,"Низшая четверть",IF(N791&lt;$T$1,"Вторая четверть","Больше половины"))</f>
        <v/>
      </c>
      <c r="U791">
        <f>IF(O791&lt;$U$1*0.5,"Низшая четверть",IF(O791&lt;$U$1,"Вторая четверть","Больше половины"))</f>
        <v/>
      </c>
      <c r="V791">
        <f>IF(OR(N791&lt;SUMIFS(L:L,R:R,1,E:E,E791)/SUMIFS(K:K,R:R,1,E:E,E791)*0.5,O791&lt;SUMIFS(M:M,R:R,1,E:E,E791)/SUMIFS(L:L,R:R,1,E:E,E791)*0.5),"код для проверки","нормальный код")</f>
        <v/>
      </c>
      <c r="W791">
        <f>IF(N791&lt;SUMIFS(L:L,R:R,1,E:E,E791)/SUMIFS(K:K,R:R,1,E:E,E791)*0.5,"Низшая четверть",IF(N791&lt;SUMIFS(L:L,R:R,1,E:E,E791)/SUMIFS(K:K,R:R,1,E:E,E791),"Вторая четверть","Больше половины"))</f>
        <v/>
      </c>
      <c r="X791">
        <f>IF(O791&lt;SUMIFS(M:M,R:R,1,E:E,E791)/SUMIFS(L:L,R:R,1,E:E,E791)*0.5,"Низшая четверть",IF(O791&lt;SUMIFS(M:M,R:R,1,E:E,E791)/SUMIFS(L:L,R:R,1,E:E,E791),"Вторая четверть","Больше половины"))</f>
        <v/>
      </c>
      <c r="Y791" t="n">
        <v>8</v>
      </c>
    </row>
    <row r="792">
      <c r="A792" s="1" t="inlineStr">
        <is>
          <t>a5200030</t>
        </is>
      </c>
      <c r="B792" s="2" t="inlineStr">
        <is>
          <t>788948153</t>
        </is>
      </c>
      <c r="C792" s="3" t="inlineStr">
        <is>
          <t>Одежда для детей</t>
        </is>
      </c>
      <c r="D792" s="2" t="inlineStr">
        <is>
          <t>Брюки детские для девочек</t>
        </is>
      </c>
      <c r="E792" s="3" t="inlineStr">
        <is>
          <t>a52 Брюки летние для девочек</t>
        </is>
      </c>
      <c r="F792" s="2" t="inlineStr">
        <is>
          <t>весна, лето</t>
        </is>
      </c>
      <c r="G792" s="3" t="inlineStr">
        <is>
          <t>kari</t>
        </is>
      </c>
      <c r="H792" s="2" t="inlineStr">
        <is>
          <t>Зиннуров Ильнур</t>
        </is>
      </c>
      <c r="J792" s="3" t="inlineStr">
        <is>
          <t>2026SS</t>
        </is>
      </c>
      <c r="K792" s="3" t="n">
        <v>2373</v>
      </c>
      <c r="L792" s="3" t="n">
        <v>284</v>
      </c>
      <c r="M792" s="3" t="n">
        <v>5</v>
      </c>
      <c r="N792" s="4">
        <f>IFERROR(L792/K792,0)</f>
        <v/>
      </c>
      <c r="O792" s="4">
        <f>IFERROR(M792/L792,0)</f>
        <v/>
      </c>
      <c r="P792" t="n">
        <v>410</v>
      </c>
      <c r="Q792" s="5" t="n">
        <v>1</v>
      </c>
      <c r="R792" s="7" t="n">
        <v>1</v>
      </c>
      <c r="S792">
        <f>IF(OR(N792&lt;$T$1*0.5,O792&lt;$U$1*0.5),"код для проверки","нормальный код")</f>
        <v/>
      </c>
      <c r="T792">
        <f>IF(N792&lt;$T$1*0.5,"Низшая четверть",IF(N792&lt;$T$1,"Вторая четверть","Больше половины"))</f>
        <v/>
      </c>
      <c r="U792">
        <f>IF(O792&lt;$U$1*0.5,"Низшая четверть",IF(O792&lt;$U$1,"Вторая четверть","Больше половины"))</f>
        <v/>
      </c>
      <c r="V792">
        <f>IF(OR(N792&lt;SUMIFS(L:L,R:R,1,E:E,E792)/SUMIFS(K:K,R:R,1,E:E,E792)*0.5,O792&lt;SUMIFS(M:M,R:R,1,E:E,E792)/SUMIFS(L:L,R:R,1,E:E,E792)*0.5),"код для проверки","нормальный код")</f>
        <v/>
      </c>
      <c r="W792">
        <f>IF(N792&lt;SUMIFS(L:L,R:R,1,E:E,E792)/SUMIFS(K:K,R:R,1,E:E,E792)*0.5,"Низшая четверть",IF(N792&lt;SUMIFS(L:L,R:R,1,E:E,E792)/SUMIFS(K:K,R:R,1,E:E,E792),"Вторая четверть","Больше половины"))</f>
        <v/>
      </c>
      <c r="X792">
        <f>IF(O792&lt;SUMIFS(M:M,R:R,1,E:E,E792)/SUMIFS(L:L,R:R,1,E:E,E792)*0.5,"Низшая четверть",IF(O792&lt;SUMIFS(M:M,R:R,1,E:E,E792)/SUMIFS(L:L,R:R,1,E:E,E792),"Вторая четверть","Больше половины"))</f>
        <v/>
      </c>
      <c r="Y792" t="n">
        <v>16</v>
      </c>
    </row>
    <row r="793">
      <c r="A793" s="1" t="inlineStr">
        <is>
          <t>96300050</t>
        </is>
      </c>
      <c r="B793" s="2" t="inlineStr">
        <is>
          <t>770505704</t>
        </is>
      </c>
      <c r="C793" s="3" t="inlineStr">
        <is>
          <t>Одежда для детей</t>
        </is>
      </c>
      <c r="D793" s="2" t="inlineStr">
        <is>
          <t>Одежда для новорожденных</t>
        </is>
      </c>
      <c r="E793" s="3" t="inlineStr">
        <is>
          <t>963 Сарафан для маленькой девочки</t>
        </is>
      </c>
      <c r="F793" s="2" t="inlineStr">
        <is>
          <t>лето</t>
        </is>
      </c>
      <c r="G793" s="3" t="inlineStr">
        <is>
          <t>Kari baby</t>
        </is>
      </c>
      <c r="H793" s="2" t="inlineStr">
        <is>
          <t>Зиннуров Ильнур</t>
        </is>
      </c>
      <c r="J793" s="3" t="inlineStr">
        <is>
          <t>2026SS</t>
        </is>
      </c>
      <c r="K793" s="3" t="n">
        <v>2327</v>
      </c>
      <c r="L793" s="3" t="n">
        <v>116</v>
      </c>
      <c r="M793" s="3" t="n">
        <v>7</v>
      </c>
      <c r="N793" s="4">
        <f>IFERROR(L793/K793,0)</f>
        <v/>
      </c>
      <c r="O793" s="4">
        <f>IFERROR(M793/L793,0)</f>
        <v/>
      </c>
      <c r="P793" t="n">
        <v>612</v>
      </c>
      <c r="Q793" s="5" t="n">
        <v>1</v>
      </c>
      <c r="R793" s="7" t="n">
        <v>1</v>
      </c>
      <c r="S793">
        <f>IF(OR(N793&lt;$T$1*0.5,O793&lt;$U$1*0.5),"код для проверки","нормальный код")</f>
        <v/>
      </c>
      <c r="T793">
        <f>IF(N793&lt;$T$1*0.5,"Низшая четверть",IF(N793&lt;$T$1,"Вторая четверть","Больше половины"))</f>
        <v/>
      </c>
      <c r="U793">
        <f>IF(O793&lt;$U$1*0.5,"Низшая четверть",IF(O793&lt;$U$1,"Вторая четверть","Больше половины"))</f>
        <v/>
      </c>
      <c r="V793">
        <f>IF(OR(N793&lt;SUMIFS(L:L,R:R,1,E:E,E793)/SUMIFS(K:K,R:R,1,E:E,E793)*0.5,O793&lt;SUMIFS(M:M,R:R,1,E:E,E793)/SUMIFS(L:L,R:R,1,E:E,E793)*0.5),"код для проверки","нормальный код")</f>
        <v/>
      </c>
      <c r="W793">
        <f>IF(N793&lt;SUMIFS(L:L,R:R,1,E:E,E793)/SUMIFS(K:K,R:R,1,E:E,E793)*0.5,"Низшая четверть",IF(N793&lt;SUMIFS(L:L,R:R,1,E:E,E793)/SUMIFS(K:K,R:R,1,E:E,E793),"Вторая четверть","Больше половины"))</f>
        <v/>
      </c>
      <c r="X793">
        <f>IF(O793&lt;SUMIFS(M:M,R:R,1,E:E,E793)/SUMIFS(L:L,R:R,1,E:E,E793)*0.5,"Низшая четверть",IF(O793&lt;SUMIFS(M:M,R:R,1,E:E,E793)/SUMIFS(L:L,R:R,1,E:E,E793),"Вторая четверть","Больше половины"))</f>
        <v/>
      </c>
      <c r="Y793" t="n">
        <v>9</v>
      </c>
    </row>
    <row r="794">
      <c r="A794" s="1" t="inlineStr">
        <is>
          <t>23200060</t>
        </is>
      </c>
      <c r="B794" s="2" t="inlineStr">
        <is>
          <t>722494495</t>
        </is>
      </c>
      <c r="C794" s="3" t="inlineStr">
        <is>
          <t>Одежда для детей</t>
        </is>
      </c>
      <c r="D794" s="2" t="inlineStr">
        <is>
          <t>Нижнее белье детское для мальчиков</t>
        </is>
      </c>
      <c r="E794" s="3" t="inlineStr">
        <is>
          <t>232 Пижама детская для мальчиков</t>
        </is>
      </c>
      <c r="F794" s="2" t="inlineStr">
        <is>
          <t>всесезонный</t>
        </is>
      </c>
      <c r="G794" s="3" t="inlineStr">
        <is>
          <t>Kari KIDS</t>
        </is>
      </c>
      <c r="H794" s="2" t="inlineStr">
        <is>
          <t>Зиннуров Ильнур</t>
        </is>
      </c>
      <c r="J794" s="3" t="inlineStr">
        <is>
          <t>2026SS</t>
        </is>
      </c>
      <c r="K794" s="3" t="n">
        <v>2325</v>
      </c>
      <c r="L794" s="3" t="n">
        <v>681</v>
      </c>
      <c r="M794" s="3" t="n">
        <v>0</v>
      </c>
      <c r="N794" s="4">
        <f>IFERROR(L794/K794,0)</f>
        <v/>
      </c>
      <c r="O794" s="4">
        <f>IFERROR(M794/L794,0)</f>
        <v/>
      </c>
      <c r="P794" t="n">
        <v>275</v>
      </c>
      <c r="Q794" s="5" t="n">
        <v>1</v>
      </c>
      <c r="R794" s="7" t="n">
        <v>1</v>
      </c>
      <c r="S794">
        <f>IF(OR(N794&lt;$T$1*0.5,O794&lt;$U$1*0.5),"код для проверки","нормальный код")</f>
        <v/>
      </c>
      <c r="T794">
        <f>IF(N794&lt;$T$1*0.5,"Низшая четверть",IF(N794&lt;$T$1,"Вторая четверть","Больше половины"))</f>
        <v/>
      </c>
      <c r="U794">
        <f>IF(O794&lt;$U$1*0.5,"Низшая четверть",IF(O794&lt;$U$1,"Вторая четверть","Больше половины"))</f>
        <v/>
      </c>
      <c r="V794">
        <f>IF(OR(N794&lt;SUMIFS(L:L,R:R,1,E:E,E794)/SUMIFS(K:K,R:R,1,E:E,E794)*0.5,O794&lt;SUMIFS(M:M,R:R,1,E:E,E794)/SUMIFS(L:L,R:R,1,E:E,E794)*0.5),"код для проверки","нормальный код")</f>
        <v/>
      </c>
      <c r="W794">
        <f>IF(N794&lt;SUMIFS(L:L,R:R,1,E:E,E794)/SUMIFS(K:K,R:R,1,E:E,E794)*0.5,"Низшая четверть",IF(N794&lt;SUMIFS(L:L,R:R,1,E:E,E794)/SUMIFS(K:K,R:R,1,E:E,E794),"Вторая четверть","Больше половины"))</f>
        <v/>
      </c>
      <c r="X794">
        <f>IF(O794&lt;SUMIFS(M:M,R:R,1,E:E,E794)/SUMIFS(L:L,R:R,1,E:E,E794)*0.5,"Низшая четверть",IF(O794&lt;SUMIFS(M:M,R:R,1,E:E,E794)/SUMIFS(L:L,R:R,1,E:E,E794),"Вторая четверть","Больше половины"))</f>
        <v/>
      </c>
      <c r="Y794" t="n">
        <v>27</v>
      </c>
    </row>
    <row r="795">
      <c r="A795" s="1" t="inlineStr">
        <is>
          <t>43500120</t>
        </is>
      </c>
      <c r="B795" s="2" t="inlineStr">
        <is>
          <t>698694546</t>
        </is>
      </c>
      <c r="C795" s="3" t="inlineStr">
        <is>
          <t>Одежда для детей</t>
        </is>
      </c>
      <c r="D795" s="2" t="inlineStr">
        <is>
          <t>Брюки детские для мальчиков</t>
        </is>
      </c>
      <c r="E795" s="3" t="inlineStr">
        <is>
          <t>435 Брюки спортивные утепленные для мальчиков</t>
        </is>
      </c>
      <c r="F795" s="2" t="inlineStr">
        <is>
          <t>весна, осень, зима</t>
        </is>
      </c>
      <c r="G795" s="3" t="inlineStr">
        <is>
          <t>kari</t>
        </is>
      </c>
      <c r="H795" s="2" t="inlineStr">
        <is>
          <t>Зиннуров Ильнур</t>
        </is>
      </c>
      <c r="J795" s="3" t="inlineStr">
        <is>
          <t>2026SS</t>
        </is>
      </c>
      <c r="K795" s="3" t="n">
        <v>2324</v>
      </c>
      <c r="L795" s="3" t="n">
        <v>674</v>
      </c>
      <c r="M795" s="3" t="n">
        <v>8</v>
      </c>
      <c r="N795" s="4">
        <f>IFERROR(L795/K795,0)</f>
        <v/>
      </c>
      <c r="O795" s="4">
        <f>IFERROR(M795/L795,0)</f>
        <v/>
      </c>
      <c r="P795" t="n">
        <v>411</v>
      </c>
      <c r="Q795" s="5" t="n">
        <v>1</v>
      </c>
      <c r="R795" s="7" t="n">
        <v>1</v>
      </c>
      <c r="S795">
        <f>IF(OR(N795&lt;$T$1*0.5,O795&lt;$U$1*0.5),"код для проверки","нормальный код")</f>
        <v/>
      </c>
      <c r="T795">
        <f>IF(N795&lt;$T$1*0.5,"Низшая четверть",IF(N795&lt;$T$1,"Вторая четверть","Больше половины"))</f>
        <v/>
      </c>
      <c r="U795">
        <f>IF(O795&lt;$U$1*0.5,"Низшая четверть",IF(O795&lt;$U$1,"Вторая четверть","Больше половины"))</f>
        <v/>
      </c>
      <c r="V795">
        <f>IF(OR(N795&lt;SUMIFS(L:L,R:R,1,E:E,E795)/SUMIFS(K:K,R:R,1,E:E,E795)*0.5,O795&lt;SUMIFS(M:M,R:R,1,E:E,E795)/SUMIFS(L:L,R:R,1,E:E,E795)*0.5),"код для проверки","нормальный код")</f>
        <v/>
      </c>
      <c r="W795">
        <f>IF(N795&lt;SUMIFS(L:L,R:R,1,E:E,E795)/SUMIFS(K:K,R:R,1,E:E,E795)*0.5,"Низшая четверть",IF(N795&lt;SUMIFS(L:L,R:R,1,E:E,E795)/SUMIFS(K:K,R:R,1,E:E,E795),"Вторая четверть","Больше половины"))</f>
        <v/>
      </c>
      <c r="X795">
        <f>IF(O795&lt;SUMIFS(M:M,R:R,1,E:E,E795)/SUMIFS(L:L,R:R,1,E:E,E795)*0.5,"Низшая четверть",IF(O795&lt;SUMIFS(M:M,R:R,1,E:E,E795)/SUMIFS(L:L,R:R,1,E:E,E795),"Вторая четверть","Больше половины"))</f>
        <v/>
      </c>
      <c r="Y795" t="n">
        <v>12</v>
      </c>
    </row>
    <row r="796">
      <c r="A796" s="1" t="inlineStr">
        <is>
          <t>95500310</t>
        </is>
      </c>
      <c r="B796" s="2" t="inlineStr">
        <is>
          <t>879308825</t>
        </is>
      </c>
      <c r="C796" s="3" t="inlineStr">
        <is>
          <t>Одежда для детей</t>
        </is>
      </c>
      <c r="D796" s="2" t="inlineStr">
        <is>
          <t>Платья, майки, футболки детские для девочек</t>
        </is>
      </c>
      <c r="E796" s="3" t="inlineStr">
        <is>
          <t>955 Топ детский для девочек</t>
        </is>
      </c>
      <c r="F796" s="2" t="inlineStr">
        <is>
          <t>лето</t>
        </is>
      </c>
      <c r="G796" s="3" t="inlineStr">
        <is>
          <t>kari</t>
        </is>
      </c>
      <c r="H796" s="2" t="inlineStr">
        <is>
          <t>Зиннуров Ильнур</t>
        </is>
      </c>
      <c r="J796" s="3" t="inlineStr">
        <is>
          <t>2026SS</t>
        </is>
      </c>
      <c r="K796" s="3" t="n">
        <v>2310</v>
      </c>
      <c r="L796" s="3" t="n">
        <v>216</v>
      </c>
      <c r="M796" s="3" t="n">
        <v>8</v>
      </c>
      <c r="N796" s="4">
        <f>IFERROR(L796/K796,0)</f>
        <v/>
      </c>
      <c r="O796" s="4">
        <f>IFERROR(M796/L796,0)</f>
        <v/>
      </c>
      <c r="P796" t="n">
        <v>680</v>
      </c>
      <c r="Q796" s="5" t="n">
        <v>1</v>
      </c>
      <c r="R796" s="7" t="n">
        <v>1</v>
      </c>
      <c r="S796">
        <f>IF(OR(N796&lt;$T$1*0.5,O796&lt;$U$1*0.5),"код для проверки","нормальный код")</f>
        <v/>
      </c>
      <c r="T796">
        <f>IF(N796&lt;$T$1*0.5,"Низшая четверть",IF(N796&lt;$T$1,"Вторая четверть","Больше половины"))</f>
        <v/>
      </c>
      <c r="U796">
        <f>IF(O796&lt;$U$1*0.5,"Низшая четверть",IF(O796&lt;$U$1,"Вторая четверть","Больше половины"))</f>
        <v/>
      </c>
      <c r="V796">
        <f>IF(OR(N796&lt;SUMIFS(L:L,R:R,1,E:E,E796)/SUMIFS(K:K,R:R,1,E:E,E796)*0.5,O796&lt;SUMIFS(M:M,R:R,1,E:E,E796)/SUMIFS(L:L,R:R,1,E:E,E796)*0.5),"код для проверки","нормальный код")</f>
        <v/>
      </c>
      <c r="W796">
        <f>IF(N796&lt;SUMIFS(L:L,R:R,1,E:E,E796)/SUMIFS(K:K,R:R,1,E:E,E796)*0.5,"Низшая четверть",IF(N796&lt;SUMIFS(L:L,R:R,1,E:E,E796)/SUMIFS(K:K,R:R,1,E:E,E796),"Вторая четверть","Больше половины"))</f>
        <v/>
      </c>
      <c r="X796">
        <f>IF(O796&lt;SUMIFS(M:M,R:R,1,E:E,E796)/SUMIFS(L:L,R:R,1,E:E,E796)*0.5,"Низшая четверть",IF(O796&lt;SUMIFS(M:M,R:R,1,E:E,E796)/SUMIFS(L:L,R:R,1,E:E,E796),"Вторая четверть","Больше половины"))</f>
        <v/>
      </c>
      <c r="Y796" t="n">
        <v>8</v>
      </c>
    </row>
    <row r="797">
      <c r="A797" s="1" t="inlineStr">
        <is>
          <t>29600020</t>
        </is>
      </c>
      <c r="B797" s="2" t="inlineStr">
        <is>
          <t>732841050</t>
        </is>
      </c>
      <c r="C797" s="3" t="inlineStr">
        <is>
          <t>Одежда и аксессуары</t>
        </is>
      </c>
      <c r="D797" s="2" t="inlineStr">
        <is>
          <t>Майки и платья женские</t>
        </is>
      </c>
      <c r="E797" s="3" t="inlineStr">
        <is>
          <t>296 Блузка длинный рукав женская</t>
        </is>
      </c>
      <c r="F797" s="2" t="inlineStr">
        <is>
          <t>всесезонный</t>
        </is>
      </c>
      <c r="G797" s="3" t="inlineStr">
        <is>
          <t>kari</t>
        </is>
      </c>
      <c r="H797" s="2" t="inlineStr">
        <is>
          <t>Зиннуров Ильнур</t>
        </is>
      </c>
      <c r="J797" s="3" t="inlineStr">
        <is>
          <t>2026SS</t>
        </is>
      </c>
      <c r="K797" s="3" t="n">
        <v>2300</v>
      </c>
      <c r="L797" s="3" t="n">
        <v>306</v>
      </c>
      <c r="M797" s="3" t="n">
        <v>3</v>
      </c>
      <c r="N797" s="4">
        <f>IFERROR(L797/K797,0)</f>
        <v/>
      </c>
      <c r="O797" s="4">
        <f>IFERROR(M797/L797,0)</f>
        <v/>
      </c>
      <c r="P797" t="n">
        <v>287</v>
      </c>
      <c r="Q797" s="5" t="n">
        <v>1</v>
      </c>
      <c r="R797" s="7" t="n">
        <v>1</v>
      </c>
      <c r="S797">
        <f>IF(OR(N797&lt;$T$1*0.5,O797&lt;$U$1*0.5),"код для проверки","нормальный код")</f>
        <v/>
      </c>
      <c r="T797">
        <f>IF(N797&lt;$T$1*0.5,"Низшая четверть",IF(N797&lt;$T$1,"Вторая четверть","Больше половины"))</f>
        <v/>
      </c>
      <c r="U797">
        <f>IF(O797&lt;$U$1*0.5,"Низшая четверть",IF(O797&lt;$U$1,"Вторая четверть","Больше половины"))</f>
        <v/>
      </c>
      <c r="V797">
        <f>IF(OR(N797&lt;SUMIFS(L:L,R:R,1,E:E,E797)/SUMIFS(K:K,R:R,1,E:E,E797)*0.5,O797&lt;SUMIFS(M:M,R:R,1,E:E,E797)/SUMIFS(L:L,R:R,1,E:E,E797)*0.5),"код для проверки","нормальный код")</f>
        <v/>
      </c>
      <c r="W797">
        <f>IF(N797&lt;SUMIFS(L:L,R:R,1,E:E,E797)/SUMIFS(K:K,R:R,1,E:E,E797)*0.5,"Низшая четверть",IF(N797&lt;SUMIFS(L:L,R:R,1,E:E,E797)/SUMIFS(K:K,R:R,1,E:E,E797),"Вторая четверть","Больше половины"))</f>
        <v/>
      </c>
      <c r="X797">
        <f>IF(O797&lt;SUMIFS(M:M,R:R,1,E:E,E797)/SUMIFS(L:L,R:R,1,E:E,E797)*0.5,"Низшая четверть",IF(O797&lt;SUMIFS(M:M,R:R,1,E:E,E797)/SUMIFS(L:L,R:R,1,E:E,E797),"Вторая четверть","Больше половины"))</f>
        <v/>
      </c>
      <c r="Y797" t="n">
        <v>15</v>
      </c>
    </row>
    <row r="798">
      <c r="A798" s="1" t="inlineStr">
        <is>
          <t>b5008080</t>
        </is>
      </c>
      <c r="B798" s="2" t="inlineStr">
        <is>
          <t>378959477</t>
        </is>
      </c>
      <c r="C798" s="3" t="inlineStr">
        <is>
          <t>Одежда и аксессуары</t>
        </is>
      </c>
      <c r="D798" s="2" t="inlineStr">
        <is>
          <t>Майки и платья женские</t>
        </is>
      </c>
      <c r="E798" s="3" t="inlineStr">
        <is>
          <t>b50 Футболка женская для активного отдыха</t>
        </is>
      </c>
      <c r="F798" s="2" t="inlineStr">
        <is>
          <t>всесезонный</t>
        </is>
      </c>
      <c r="G798" s="3" t="inlineStr">
        <is>
          <t>kari</t>
        </is>
      </c>
      <c r="H798" s="2" t="inlineStr">
        <is>
          <t>Зиннуров Ильнур</t>
        </is>
      </c>
      <c r="J798" s="3" t="inlineStr">
        <is>
          <t>2026SS</t>
        </is>
      </c>
      <c r="K798" s="3" t="n">
        <v>2297</v>
      </c>
      <c r="L798" s="3" t="n">
        <v>168</v>
      </c>
      <c r="M798" s="3" t="n">
        <v>3</v>
      </c>
      <c r="N798" s="4">
        <f>IFERROR(L798/K798,0)</f>
        <v/>
      </c>
      <c r="O798" s="4">
        <f>IFERROR(M798/L798,0)</f>
        <v/>
      </c>
      <c r="P798" t="n">
        <v>228</v>
      </c>
      <c r="Q798" s="5" t="n">
        <v>1</v>
      </c>
      <c r="R798" s="7" t="n">
        <v>1</v>
      </c>
      <c r="S798">
        <f>IF(OR(N798&lt;$T$1*0.5,O798&lt;$U$1*0.5),"код для проверки","нормальный код")</f>
        <v/>
      </c>
      <c r="T798">
        <f>IF(N798&lt;$T$1*0.5,"Низшая четверть",IF(N798&lt;$T$1,"Вторая четверть","Больше половины"))</f>
        <v/>
      </c>
      <c r="U798">
        <f>IF(O798&lt;$U$1*0.5,"Низшая четверть",IF(O798&lt;$U$1,"Вторая четверть","Больше половины"))</f>
        <v/>
      </c>
      <c r="V798">
        <f>IF(OR(N798&lt;SUMIFS(L:L,R:R,1,E:E,E798)/SUMIFS(K:K,R:R,1,E:E,E798)*0.5,O798&lt;SUMIFS(M:M,R:R,1,E:E,E798)/SUMIFS(L:L,R:R,1,E:E,E798)*0.5),"код для проверки","нормальный код")</f>
        <v/>
      </c>
      <c r="W798">
        <f>IF(N798&lt;SUMIFS(L:L,R:R,1,E:E,E798)/SUMIFS(K:K,R:R,1,E:E,E798)*0.5,"Низшая четверть",IF(N798&lt;SUMIFS(L:L,R:R,1,E:E,E798)/SUMIFS(K:K,R:R,1,E:E,E798),"Вторая четверть","Больше половины"))</f>
        <v/>
      </c>
      <c r="X798">
        <f>IF(O798&lt;SUMIFS(M:M,R:R,1,E:E,E798)/SUMIFS(L:L,R:R,1,E:E,E798)*0.5,"Низшая четверть",IF(O798&lt;SUMIFS(M:M,R:R,1,E:E,E798)/SUMIFS(L:L,R:R,1,E:E,E798),"Вторая четверть","Больше половины"))</f>
        <v/>
      </c>
      <c r="Y798" t="n">
        <v>4</v>
      </c>
    </row>
    <row r="799">
      <c r="A799" s="1" t="inlineStr">
        <is>
          <t>29900190</t>
        </is>
      </c>
      <c r="B799" s="2" t="inlineStr">
        <is>
          <t>766002926</t>
        </is>
      </c>
      <c r="C799" s="3" t="inlineStr">
        <is>
          <t>Одежда для детей</t>
        </is>
      </c>
      <c r="D799" s="2" t="inlineStr">
        <is>
          <t>Платья, майки, футболки детские для девочек</t>
        </is>
      </c>
      <c r="E799" s="3" t="inlineStr">
        <is>
          <t>299 Платье длинный рукав детское для девочек</t>
        </is>
      </c>
      <c r="F799" s="2" t="inlineStr">
        <is>
          <t>весна, осень, зима</t>
        </is>
      </c>
      <c r="G799" s="3" t="inlineStr">
        <is>
          <t>kari</t>
        </is>
      </c>
      <c r="H799" s="2" t="inlineStr">
        <is>
          <t>Зиннуров Ильнур</t>
        </is>
      </c>
      <c r="J799" s="3" t="inlineStr">
        <is>
          <t>2026SS</t>
        </is>
      </c>
      <c r="K799" s="3" t="n">
        <v>2293</v>
      </c>
      <c r="L799" s="3" t="n">
        <v>96</v>
      </c>
      <c r="M799" s="3" t="n">
        <v>1</v>
      </c>
      <c r="N799" s="4">
        <f>IFERROR(L799/K799,0)</f>
        <v/>
      </c>
      <c r="O799" s="4">
        <f>IFERROR(M799/L799,0)</f>
        <v/>
      </c>
      <c r="P799" t="n">
        <v>400</v>
      </c>
      <c r="Q799" s="5" t="n">
        <v>1</v>
      </c>
      <c r="R799" s="7" t="n">
        <v>1</v>
      </c>
      <c r="S799">
        <f>IF(OR(N799&lt;$T$1*0.5,O799&lt;$U$1*0.5),"код для проверки","нормальный код")</f>
        <v/>
      </c>
      <c r="T799">
        <f>IF(N799&lt;$T$1*0.5,"Низшая четверть",IF(N799&lt;$T$1,"Вторая четверть","Больше половины"))</f>
        <v/>
      </c>
      <c r="U799">
        <f>IF(O799&lt;$U$1*0.5,"Низшая четверть",IF(O799&lt;$U$1,"Вторая четверть","Больше половины"))</f>
        <v/>
      </c>
      <c r="V799">
        <f>IF(OR(N799&lt;SUMIFS(L:L,R:R,1,E:E,E799)/SUMIFS(K:K,R:R,1,E:E,E799)*0.5,O799&lt;SUMIFS(M:M,R:R,1,E:E,E799)/SUMIFS(L:L,R:R,1,E:E,E799)*0.5),"код для проверки","нормальный код")</f>
        <v/>
      </c>
      <c r="W799">
        <f>IF(N799&lt;SUMIFS(L:L,R:R,1,E:E,E799)/SUMIFS(K:K,R:R,1,E:E,E799)*0.5,"Низшая четверть",IF(N799&lt;SUMIFS(L:L,R:R,1,E:E,E799)/SUMIFS(K:K,R:R,1,E:E,E799),"Вторая четверть","Больше половины"))</f>
        <v/>
      </c>
      <c r="X799">
        <f>IF(O799&lt;SUMIFS(M:M,R:R,1,E:E,E799)/SUMIFS(L:L,R:R,1,E:E,E799)*0.5,"Низшая четверть",IF(O799&lt;SUMIFS(M:M,R:R,1,E:E,E799)/SUMIFS(L:L,R:R,1,E:E,E799),"Вторая четверть","Больше половины"))</f>
        <v/>
      </c>
      <c r="Y799" t="n">
        <v>19</v>
      </c>
    </row>
    <row r="800">
      <c r="A800" s="1" t="inlineStr">
        <is>
          <t>310000I0</t>
        </is>
      </c>
      <c r="B800" s="2" t="inlineStr">
        <is>
          <t>701976663</t>
        </is>
      </c>
      <c r="C800" s="3" t="inlineStr">
        <is>
          <t>Одежда для детей</t>
        </is>
      </c>
      <c r="D800" s="2" t="inlineStr">
        <is>
          <t>Футболки, майки, рубашки детские для мальчиков</t>
        </is>
      </c>
      <c r="E800" s="3" t="inlineStr">
        <is>
          <t>310 Футболка детская для мальчиков</t>
        </is>
      </c>
      <c r="F800" s="2" t="inlineStr">
        <is>
          <t>всесезонный</t>
        </is>
      </c>
      <c r="G800" s="3" t="inlineStr">
        <is>
          <t>Kari KIDS</t>
        </is>
      </c>
      <c r="H800" s="2" t="inlineStr">
        <is>
          <t>Зиннуров Ильнур</t>
        </is>
      </c>
      <c r="J800" s="3" t="inlineStr">
        <is>
          <t>2026SS</t>
        </is>
      </c>
      <c r="K800" s="3" t="n">
        <v>2288</v>
      </c>
      <c r="L800" s="3" t="n">
        <v>1389</v>
      </c>
      <c r="M800" s="3" t="n">
        <v>1</v>
      </c>
      <c r="N800" s="4">
        <f>IFERROR(L800/K800,0)</f>
        <v/>
      </c>
      <c r="O800" s="4">
        <f>IFERROR(M800/L800,0)</f>
        <v/>
      </c>
      <c r="P800" t="n">
        <v>332</v>
      </c>
      <c r="Q800" s="5" t="n">
        <v>1</v>
      </c>
      <c r="R800" s="7" t="n">
        <v>1</v>
      </c>
      <c r="S800">
        <f>IF(OR(N800&lt;$T$1*0.5,O800&lt;$U$1*0.5),"код для проверки","нормальный код")</f>
        <v/>
      </c>
      <c r="T800">
        <f>IF(N800&lt;$T$1*0.5,"Низшая четверть",IF(N800&lt;$T$1,"Вторая четверть","Больше половины"))</f>
        <v/>
      </c>
      <c r="U800">
        <f>IF(O800&lt;$U$1*0.5,"Низшая четверть",IF(O800&lt;$U$1,"Вторая четверть","Больше половины"))</f>
        <v/>
      </c>
      <c r="V800">
        <f>IF(OR(N800&lt;SUMIFS(L:L,R:R,1,E:E,E800)/SUMIFS(K:K,R:R,1,E:E,E800)*0.5,O800&lt;SUMIFS(M:M,R:R,1,E:E,E800)/SUMIFS(L:L,R:R,1,E:E,E800)*0.5),"код для проверки","нормальный код")</f>
        <v/>
      </c>
      <c r="W800">
        <f>IF(N800&lt;SUMIFS(L:L,R:R,1,E:E,E800)/SUMIFS(K:K,R:R,1,E:E,E800)*0.5,"Низшая четверть",IF(N800&lt;SUMIFS(L:L,R:R,1,E:E,E800)/SUMIFS(K:K,R:R,1,E:E,E800),"Вторая четверть","Больше половины"))</f>
        <v/>
      </c>
      <c r="X800">
        <f>IF(O800&lt;SUMIFS(M:M,R:R,1,E:E,E800)/SUMIFS(L:L,R:R,1,E:E,E800)*0.5,"Низшая четверть",IF(O800&lt;SUMIFS(M:M,R:R,1,E:E,E800)/SUMIFS(L:L,R:R,1,E:E,E800),"Вторая четверть","Больше половины"))</f>
        <v/>
      </c>
      <c r="Y800" t="n">
        <v>16</v>
      </c>
    </row>
    <row r="801">
      <c r="A801" s="1" t="inlineStr">
        <is>
          <t>29600050</t>
        </is>
      </c>
      <c r="B801" s="2" t="inlineStr">
        <is>
          <t>732841083</t>
        </is>
      </c>
      <c r="C801" s="3" t="inlineStr">
        <is>
          <t>Одежда и аксессуары</t>
        </is>
      </c>
      <c r="D801" s="2" t="inlineStr">
        <is>
          <t>Майки и платья женские</t>
        </is>
      </c>
      <c r="E801" s="3" t="inlineStr">
        <is>
          <t>296 Блузка длинный рукав женская</t>
        </is>
      </c>
      <c r="F801" s="2" t="inlineStr">
        <is>
          <t>всесезонный</t>
        </is>
      </c>
      <c r="G801" s="3" t="inlineStr">
        <is>
          <t>kari</t>
        </is>
      </c>
      <c r="H801" s="2" t="inlineStr">
        <is>
          <t>Зиннуров Ильнур</t>
        </is>
      </c>
      <c r="J801" s="3" t="inlineStr">
        <is>
          <t>2026SS</t>
        </is>
      </c>
      <c r="K801" s="3" t="n">
        <v>2282</v>
      </c>
      <c r="L801" s="3" t="n">
        <v>330</v>
      </c>
      <c r="M801" s="3" t="n">
        <v>7</v>
      </c>
      <c r="N801" s="4">
        <f>IFERROR(L801/K801,0)</f>
        <v/>
      </c>
      <c r="O801" s="4">
        <f>IFERROR(M801/L801,0)</f>
        <v/>
      </c>
      <c r="P801" t="n">
        <v>292</v>
      </c>
      <c r="Q801" s="5" t="n">
        <v>1</v>
      </c>
      <c r="R801" s="7" t="n">
        <v>1</v>
      </c>
      <c r="S801">
        <f>IF(OR(N801&lt;$T$1*0.5,O801&lt;$U$1*0.5),"код для проверки","нормальный код")</f>
        <v/>
      </c>
      <c r="T801">
        <f>IF(N801&lt;$T$1*0.5,"Низшая четверть",IF(N801&lt;$T$1,"Вторая четверть","Больше половины"))</f>
        <v/>
      </c>
      <c r="U801">
        <f>IF(O801&lt;$U$1*0.5,"Низшая четверть",IF(O801&lt;$U$1,"Вторая четверть","Больше половины"))</f>
        <v/>
      </c>
      <c r="V801">
        <f>IF(OR(N801&lt;SUMIFS(L:L,R:R,1,E:E,E801)/SUMIFS(K:K,R:R,1,E:E,E801)*0.5,O801&lt;SUMIFS(M:M,R:R,1,E:E,E801)/SUMIFS(L:L,R:R,1,E:E,E801)*0.5),"код для проверки","нормальный код")</f>
        <v/>
      </c>
      <c r="W801">
        <f>IF(N801&lt;SUMIFS(L:L,R:R,1,E:E,E801)/SUMIFS(K:K,R:R,1,E:E,E801)*0.5,"Низшая четверть",IF(N801&lt;SUMIFS(L:L,R:R,1,E:E,E801)/SUMIFS(K:K,R:R,1,E:E,E801),"Вторая четверть","Больше половины"))</f>
        <v/>
      </c>
      <c r="X801">
        <f>IF(O801&lt;SUMIFS(M:M,R:R,1,E:E,E801)/SUMIFS(L:L,R:R,1,E:E,E801)*0.5,"Низшая четверть",IF(O801&lt;SUMIFS(M:M,R:R,1,E:E,E801)/SUMIFS(L:L,R:R,1,E:E,E801),"Вторая четверть","Больше половины"))</f>
        <v/>
      </c>
      <c r="Y801" t="n">
        <v>16</v>
      </c>
    </row>
    <row r="802">
      <c r="A802" s="1" t="inlineStr">
        <is>
          <t>17900050</t>
        </is>
      </c>
      <c r="B802" s="2" t="inlineStr">
        <is>
          <t>929518402</t>
        </is>
      </c>
      <c r="C802" s="3" t="inlineStr">
        <is>
          <t>Одежда и аксессуары</t>
        </is>
      </c>
      <c r="D802" s="2" t="inlineStr">
        <is>
          <t>Джинсы женские</t>
        </is>
      </c>
      <c r="E802" s="3" t="inlineStr">
        <is>
          <t>179 Джинсы женские</t>
        </is>
      </c>
      <c r="F802" s="2" t="inlineStr">
        <is>
          <t>всесезонный</t>
        </is>
      </c>
      <c r="G802" s="3" t="inlineStr">
        <is>
          <t>kari</t>
        </is>
      </c>
      <c r="H802" s="2" t="inlineStr">
        <is>
          <t>Зиннуров Ильнур</t>
        </is>
      </c>
      <c r="J802" s="3" t="inlineStr">
        <is>
          <t>2026SS</t>
        </is>
      </c>
      <c r="K802" s="3" t="n">
        <v>2281</v>
      </c>
      <c r="L802" s="3" t="n">
        <v>451</v>
      </c>
      <c r="M802" s="3" t="n">
        <v>16</v>
      </c>
      <c r="N802" s="4">
        <f>IFERROR(L802/K802,0)</f>
        <v/>
      </c>
      <c r="O802" s="4">
        <f>IFERROR(M802/L802,0)</f>
        <v/>
      </c>
      <c r="P802" t="n">
        <v>435</v>
      </c>
      <c r="Q802" s="5" t="n">
        <v>1</v>
      </c>
      <c r="R802" s="7" t="n">
        <v>1</v>
      </c>
      <c r="S802">
        <f>IF(OR(N802&lt;$T$1*0.5,O802&lt;$U$1*0.5),"код для проверки","нормальный код")</f>
        <v/>
      </c>
      <c r="T802">
        <f>IF(N802&lt;$T$1*0.5,"Низшая четверть",IF(N802&lt;$T$1,"Вторая четверть","Больше половины"))</f>
        <v/>
      </c>
      <c r="U802">
        <f>IF(O802&lt;$U$1*0.5,"Низшая четверть",IF(O802&lt;$U$1,"Вторая четверть","Больше половины"))</f>
        <v/>
      </c>
      <c r="V802">
        <f>IF(OR(N802&lt;SUMIFS(L:L,R:R,1,E:E,E802)/SUMIFS(K:K,R:R,1,E:E,E802)*0.5,O802&lt;SUMIFS(M:M,R:R,1,E:E,E802)/SUMIFS(L:L,R:R,1,E:E,E802)*0.5),"код для проверки","нормальный код")</f>
        <v/>
      </c>
      <c r="W802">
        <f>IF(N802&lt;SUMIFS(L:L,R:R,1,E:E,E802)/SUMIFS(K:K,R:R,1,E:E,E802)*0.5,"Низшая четверть",IF(N802&lt;SUMIFS(L:L,R:R,1,E:E,E802)/SUMIFS(K:K,R:R,1,E:E,E802),"Вторая четверть","Больше половины"))</f>
        <v/>
      </c>
      <c r="X802">
        <f>IF(O802&lt;SUMIFS(M:M,R:R,1,E:E,E802)/SUMIFS(L:L,R:R,1,E:E,E802)*0.5,"Низшая четверть",IF(O802&lt;SUMIFS(M:M,R:R,1,E:E,E802)/SUMIFS(L:L,R:R,1,E:E,E802),"Вторая четверть","Больше половины"))</f>
        <v/>
      </c>
      <c r="Y802" t="n">
        <v>22</v>
      </c>
    </row>
    <row r="803">
      <c r="A803" s="1" t="inlineStr">
        <is>
          <t>h7700190</t>
        </is>
      </c>
      <c r="B803" s="2" t="inlineStr">
        <is>
          <t>809625494</t>
        </is>
      </c>
      <c r="C803" s="3" t="inlineStr">
        <is>
          <t>Одежда и аксессуары</t>
        </is>
      </c>
      <c r="D803" s="2" t="inlineStr">
        <is>
          <t>Купальники женские</t>
        </is>
      </c>
      <c r="E803" s="3" t="inlineStr">
        <is>
          <t>h77 Одежда пляжная женская</t>
        </is>
      </c>
      <c r="F803" s="2" t="inlineStr">
        <is>
          <t>лето</t>
        </is>
      </c>
      <c r="G803" s="3" t="inlineStr">
        <is>
          <t>kari</t>
        </is>
      </c>
      <c r="H803" s="2" t="inlineStr">
        <is>
          <t>Зиннуров Ильнур</t>
        </is>
      </c>
      <c r="J803" s="3" t="inlineStr">
        <is>
          <t>2026SS</t>
        </is>
      </c>
      <c r="K803" s="3" t="n">
        <v>2270</v>
      </c>
      <c r="L803" s="3" t="n">
        <v>198</v>
      </c>
      <c r="M803" s="3" t="n">
        <v>3</v>
      </c>
      <c r="N803" s="4">
        <f>IFERROR(L803/K803,0)</f>
        <v/>
      </c>
      <c r="O803" s="4">
        <f>IFERROR(M803/L803,0)</f>
        <v/>
      </c>
      <c r="P803" t="n">
        <v>1353</v>
      </c>
      <c r="Q803" s="5" t="n">
        <v>1</v>
      </c>
      <c r="R803" s="7" t="n">
        <v>1</v>
      </c>
      <c r="S803">
        <f>IF(OR(N803&lt;$T$1*0.5,O803&lt;$U$1*0.5),"код для проверки","нормальный код")</f>
        <v/>
      </c>
      <c r="T803">
        <f>IF(N803&lt;$T$1*0.5,"Низшая четверть",IF(N803&lt;$T$1,"Вторая четверть","Больше половины"))</f>
        <v/>
      </c>
      <c r="U803">
        <f>IF(O803&lt;$U$1*0.5,"Низшая четверть",IF(O803&lt;$U$1,"Вторая четверть","Больше половины"))</f>
        <v/>
      </c>
      <c r="V803">
        <f>IF(OR(N803&lt;SUMIFS(L:L,R:R,1,E:E,E803)/SUMIFS(K:K,R:R,1,E:E,E803)*0.5,O803&lt;SUMIFS(M:M,R:R,1,E:E,E803)/SUMIFS(L:L,R:R,1,E:E,E803)*0.5),"код для проверки","нормальный код")</f>
        <v/>
      </c>
      <c r="W803">
        <f>IF(N803&lt;SUMIFS(L:L,R:R,1,E:E,E803)/SUMIFS(K:K,R:R,1,E:E,E803)*0.5,"Низшая четверть",IF(N803&lt;SUMIFS(L:L,R:R,1,E:E,E803)/SUMIFS(K:K,R:R,1,E:E,E803),"Вторая четверть","Больше половины"))</f>
        <v/>
      </c>
      <c r="X803">
        <f>IF(O803&lt;SUMIFS(M:M,R:R,1,E:E,E803)/SUMIFS(L:L,R:R,1,E:E,E803)*0.5,"Низшая четверть",IF(O803&lt;SUMIFS(M:M,R:R,1,E:E,E803)/SUMIFS(L:L,R:R,1,E:E,E803),"Вторая четверть","Больше половины"))</f>
        <v/>
      </c>
      <c r="Y803" t="n">
        <v>8</v>
      </c>
    </row>
    <row r="804">
      <c r="A804" s="1" t="inlineStr">
        <is>
          <t>18408000</t>
        </is>
      </c>
      <c r="B804" s="2" t="inlineStr">
        <is>
          <t>341720447</t>
        </is>
      </c>
      <c r="C804" s="3" t="inlineStr">
        <is>
          <t>Одежда и аксессуары</t>
        </is>
      </c>
      <c r="D804" s="2" t="inlineStr">
        <is>
          <t>Майки и платья женские</t>
        </is>
      </c>
      <c r="E804" s="3" t="inlineStr">
        <is>
          <t>184 Женская футболка</t>
        </is>
      </c>
      <c r="F804" s="2" t="inlineStr">
        <is>
          <t>всесезонный</t>
        </is>
      </c>
      <c r="G804" s="3" t="inlineStr">
        <is>
          <t>kari</t>
        </is>
      </c>
      <c r="H804" s="2" t="inlineStr">
        <is>
          <t>Зиннуров Ильнур</t>
        </is>
      </c>
      <c r="J804" s="3" t="inlineStr">
        <is>
          <t>2026SS</t>
        </is>
      </c>
      <c r="K804" s="3" t="n">
        <v>2259</v>
      </c>
      <c r="L804" s="3" t="n">
        <v>80</v>
      </c>
      <c r="M804" s="3" t="n">
        <v>1</v>
      </c>
      <c r="N804" s="4">
        <f>IFERROR(L804/K804,0)</f>
        <v/>
      </c>
      <c r="O804" s="4">
        <f>IFERROR(M804/L804,0)</f>
        <v/>
      </c>
      <c r="P804" t="n">
        <v>62</v>
      </c>
      <c r="Q804" s="5" t="n">
        <v>0.6</v>
      </c>
      <c r="R804" s="7" t="n">
        <v>1</v>
      </c>
      <c r="S804">
        <f>IF(OR(N804&lt;$T$1*0.5,O804&lt;$U$1*0.5),"код для проверки","нормальный код")</f>
        <v/>
      </c>
      <c r="T804">
        <f>IF(N804&lt;$T$1*0.5,"Низшая четверть",IF(N804&lt;$T$1,"Вторая четверть","Больше половины"))</f>
        <v/>
      </c>
      <c r="U804">
        <f>IF(O804&lt;$U$1*0.5,"Низшая четверть",IF(O804&lt;$U$1,"Вторая четверть","Больше половины"))</f>
        <v/>
      </c>
      <c r="V804">
        <f>IF(OR(N804&lt;SUMIFS(L:L,R:R,1,E:E,E804)/SUMIFS(K:K,R:R,1,E:E,E804)*0.5,O804&lt;SUMIFS(M:M,R:R,1,E:E,E804)/SUMIFS(L:L,R:R,1,E:E,E804)*0.5),"код для проверки","нормальный код")</f>
        <v/>
      </c>
      <c r="W804">
        <f>IF(N804&lt;SUMIFS(L:L,R:R,1,E:E,E804)/SUMIFS(K:K,R:R,1,E:E,E804)*0.5,"Низшая четверть",IF(N804&lt;SUMIFS(L:L,R:R,1,E:E,E804)/SUMIFS(K:K,R:R,1,E:E,E804),"Вторая четверть","Больше половины"))</f>
        <v/>
      </c>
      <c r="X804">
        <f>IF(O804&lt;SUMIFS(M:M,R:R,1,E:E,E804)/SUMIFS(L:L,R:R,1,E:E,E804)*0.5,"Низшая четверть",IF(O804&lt;SUMIFS(M:M,R:R,1,E:E,E804)/SUMIFS(L:L,R:R,1,E:E,E804),"Вторая четверть","Больше половины"))</f>
        <v/>
      </c>
      <c r="Y804" t="n">
        <v>7</v>
      </c>
    </row>
    <row r="805">
      <c r="A805" s="1" t="inlineStr">
        <is>
          <t>55400080</t>
        </is>
      </c>
      <c r="B805" s="2" t="inlineStr">
        <is>
          <t>371246733</t>
        </is>
      </c>
      <c r="C805" s="3" t="inlineStr">
        <is>
          <t>Одежда для детей</t>
        </is>
      </c>
      <c r="D805" s="2" t="inlineStr">
        <is>
          <t>Головные уборы детские для мальчиков</t>
        </is>
      </c>
      <c r="E805" s="3" t="inlineStr">
        <is>
          <t>554 Панама детская для мальчиков</t>
        </is>
      </c>
      <c r="F805" s="2" t="inlineStr">
        <is>
          <t>весна, лето</t>
        </is>
      </c>
      <c r="G805" s="3" t="inlineStr">
        <is>
          <t>kari</t>
        </is>
      </c>
      <c r="H805" s="2" t="inlineStr">
        <is>
          <t>Никонорова Алина</t>
        </is>
      </c>
      <c r="J805" s="3" t="inlineStr">
        <is>
          <t>2026SS</t>
        </is>
      </c>
      <c r="K805" s="3" t="n">
        <v>2258</v>
      </c>
      <c r="L805" s="3" t="n">
        <v>202</v>
      </c>
      <c r="M805" s="3" t="n">
        <v>2</v>
      </c>
      <c r="N805" s="4">
        <f>IFERROR(L805/K805,0)</f>
        <v/>
      </c>
      <c r="O805" s="4">
        <f>IFERROR(M805/L805,0)</f>
        <v/>
      </c>
      <c r="P805" t="n">
        <v>0</v>
      </c>
      <c r="Q805" s="5" t="n">
        <v>0</v>
      </c>
      <c r="R805" s="7" t="n">
        <v>0</v>
      </c>
      <c r="S805" t="inlineStr">
        <is>
          <t>Мало остатка</t>
        </is>
      </c>
      <c r="T805">
        <f>IF(N805&lt;$T$1*0.5,"Низшая четверть",IF(N805&lt;$T$1,"Вторая четверть","Больше половины"))</f>
        <v/>
      </c>
      <c r="U805">
        <f>IF(O805&lt;$U$1*0.5,"Низшая четверть",IF(O805&lt;$U$1,"Вторая четверть","Больше половины"))</f>
        <v/>
      </c>
      <c r="V805">
        <f>IF(OR(N805&lt;SUMIFS(L:L,R:R,1,E:E,E805)/SUMIFS(K:K,R:R,1,E:E,E805)*0.5,O805&lt;SUMIFS(M:M,R:R,1,E:E,E805)/SUMIFS(L:L,R:R,1,E:E,E805)*0.5),"код для проверки","нормальный код")</f>
        <v/>
      </c>
      <c r="W805">
        <f>IF(N805&lt;SUMIFS(L:L,R:R,1,E:E,E805)/SUMIFS(K:K,R:R,1,E:E,E805)*0.5,"Низшая четверть",IF(N805&lt;SUMIFS(L:L,R:R,1,E:E,E805)/SUMIFS(K:K,R:R,1,E:E,E805),"Вторая четверть","Больше половины"))</f>
        <v/>
      </c>
      <c r="X805">
        <f>IF(O805&lt;SUMIFS(M:M,R:R,1,E:E,E805)/SUMIFS(L:L,R:R,1,E:E,E805)*0.5,"Низшая четверть",IF(O805&lt;SUMIFS(M:M,R:R,1,E:E,E805)/SUMIFS(L:L,R:R,1,E:E,E805),"Вторая четверть","Больше половины"))</f>
        <v/>
      </c>
      <c r="Y805" t="n">
        <v>4</v>
      </c>
    </row>
    <row r="806">
      <c r="A806" s="1" t="inlineStr">
        <is>
          <t>16508070</t>
        </is>
      </c>
      <c r="B806" s="2" t="inlineStr">
        <is>
          <t>316075946</t>
        </is>
      </c>
      <c r="C806" s="3" t="inlineStr">
        <is>
          <t>Одежда и аксессуары</t>
        </is>
      </c>
      <c r="D806" s="2" t="inlineStr">
        <is>
          <t>Брюки, шорты женские</t>
        </is>
      </c>
      <c r="E806" s="3" t="inlineStr">
        <is>
          <t>h13 Шорты женские</t>
        </is>
      </c>
      <c r="F806" s="2" t="inlineStr">
        <is>
          <t>весна, лето</t>
        </is>
      </c>
      <c r="G806" s="3" t="inlineStr">
        <is>
          <t>kari</t>
        </is>
      </c>
      <c r="H806" s="2" t="inlineStr">
        <is>
          <t>Зиннуров Ильнур</t>
        </is>
      </c>
      <c r="J806" s="3" t="inlineStr">
        <is>
          <t>2026SS</t>
        </is>
      </c>
      <c r="K806" s="3" t="n">
        <v>2254</v>
      </c>
      <c r="L806" s="3" t="n">
        <v>97</v>
      </c>
      <c r="M806" s="3" t="n">
        <v>6</v>
      </c>
      <c r="N806" s="4">
        <f>IFERROR(L806/K806,0)</f>
        <v/>
      </c>
      <c r="O806" s="4">
        <f>IFERROR(M806/L806,0)</f>
        <v/>
      </c>
      <c r="P806" t="n">
        <v>172</v>
      </c>
      <c r="Q806" s="5" t="n">
        <v>0.625</v>
      </c>
      <c r="R806" s="7" t="n">
        <v>1</v>
      </c>
      <c r="S806">
        <f>IF(OR(N806&lt;$T$1*0.5,O806&lt;$U$1*0.5),"код для проверки","нормальный код")</f>
        <v/>
      </c>
      <c r="T806">
        <f>IF(N806&lt;$T$1*0.5,"Низшая четверть",IF(N806&lt;$T$1,"Вторая четверть","Больше половины"))</f>
        <v/>
      </c>
      <c r="U806">
        <f>IF(O806&lt;$U$1*0.5,"Низшая четверть",IF(O806&lt;$U$1,"Вторая четверть","Больше половины"))</f>
        <v/>
      </c>
      <c r="V806">
        <f>IF(OR(N806&lt;SUMIFS(L:L,R:R,1,E:E,E806)/SUMIFS(K:K,R:R,1,E:E,E806)*0.5,O806&lt;SUMIFS(M:M,R:R,1,E:E,E806)/SUMIFS(L:L,R:R,1,E:E,E806)*0.5),"код для проверки","нормальный код")</f>
        <v/>
      </c>
      <c r="W806">
        <f>IF(N806&lt;SUMIFS(L:L,R:R,1,E:E,E806)/SUMIFS(K:K,R:R,1,E:E,E806)*0.5,"Низшая четверть",IF(N806&lt;SUMIFS(L:L,R:R,1,E:E,E806)/SUMIFS(K:K,R:R,1,E:E,E806),"Вторая четверть","Больше половины"))</f>
        <v/>
      </c>
      <c r="X806">
        <f>IF(O806&lt;SUMIFS(M:M,R:R,1,E:E,E806)/SUMIFS(L:L,R:R,1,E:E,E806)*0.5,"Низшая четверть",IF(O806&lt;SUMIFS(M:M,R:R,1,E:E,E806)/SUMIFS(L:L,R:R,1,E:E,E806),"Вторая четверть","Больше половины"))</f>
        <v/>
      </c>
      <c r="Y806" t="n">
        <v>8</v>
      </c>
    </row>
    <row r="807">
      <c r="A807" s="1" t="inlineStr">
        <is>
          <t>39300580</t>
        </is>
      </c>
      <c r="B807" s="2" t="inlineStr">
        <is>
          <t>835318240</t>
        </is>
      </c>
      <c r="C807" s="3" t="inlineStr">
        <is>
          <t>Одежда для детей</t>
        </is>
      </c>
      <c r="D807" s="2" t="inlineStr">
        <is>
          <t>Чулочные и носочные детские изделия для девочек</t>
        </is>
      </c>
      <c r="E807" s="3" t="inlineStr">
        <is>
          <t>393 Детские легинсы</t>
        </is>
      </c>
      <c r="F807" s="2" t="inlineStr">
        <is>
          <t>всесезонный</t>
        </is>
      </c>
      <c r="G807" s="3" t="inlineStr">
        <is>
          <t>kari</t>
        </is>
      </c>
      <c r="H807" s="2" t="inlineStr">
        <is>
          <t>Зиннуров Ильнур</t>
        </is>
      </c>
      <c r="J807" s="3" t="inlineStr">
        <is>
          <t>2026SS</t>
        </is>
      </c>
      <c r="K807" s="3" t="n">
        <v>2242</v>
      </c>
      <c r="L807" s="3" t="n">
        <v>603</v>
      </c>
      <c r="M807" s="3" t="n">
        <v>5</v>
      </c>
      <c r="N807" s="4">
        <f>IFERROR(L807/K807,0)</f>
        <v/>
      </c>
      <c r="O807" s="4">
        <f>IFERROR(M807/L807,0)</f>
        <v/>
      </c>
      <c r="P807" t="n">
        <v>110</v>
      </c>
      <c r="Q807" s="5" t="n">
        <v>0.8</v>
      </c>
      <c r="R807" s="7" t="n">
        <v>1</v>
      </c>
      <c r="S807">
        <f>IF(OR(N807&lt;$T$1*0.5,O807&lt;$U$1*0.5),"код для проверки","нормальный код")</f>
        <v/>
      </c>
      <c r="T807">
        <f>IF(N807&lt;$T$1*0.5,"Низшая четверть",IF(N807&lt;$T$1,"Вторая четверть","Больше половины"))</f>
        <v/>
      </c>
      <c r="U807">
        <f>IF(O807&lt;$U$1*0.5,"Низшая четверть",IF(O807&lt;$U$1,"Вторая четверть","Больше половины"))</f>
        <v/>
      </c>
      <c r="V807">
        <f>IF(OR(N807&lt;SUMIFS(L:L,R:R,1,E:E,E807)/SUMIFS(K:K,R:R,1,E:E,E807)*0.5,O807&lt;SUMIFS(M:M,R:R,1,E:E,E807)/SUMIFS(L:L,R:R,1,E:E,E807)*0.5),"код для проверки","нормальный код")</f>
        <v/>
      </c>
      <c r="W807">
        <f>IF(N807&lt;SUMIFS(L:L,R:R,1,E:E,E807)/SUMIFS(K:K,R:R,1,E:E,E807)*0.5,"Низшая четверть",IF(N807&lt;SUMIFS(L:L,R:R,1,E:E,E807)/SUMIFS(K:K,R:R,1,E:E,E807),"Вторая четверть","Больше половины"))</f>
        <v/>
      </c>
      <c r="X807">
        <f>IF(O807&lt;SUMIFS(M:M,R:R,1,E:E,E807)/SUMIFS(L:L,R:R,1,E:E,E807)*0.5,"Низшая четверть",IF(O807&lt;SUMIFS(M:M,R:R,1,E:E,E807)/SUMIFS(L:L,R:R,1,E:E,E807),"Вторая четверть","Больше половины"))</f>
        <v/>
      </c>
      <c r="Y807" t="n">
        <v>9</v>
      </c>
    </row>
    <row r="808">
      <c r="A808" s="1" t="inlineStr">
        <is>
          <t>56900150</t>
        </is>
      </c>
      <c r="B808" s="2" t="inlineStr">
        <is>
          <t>866256921</t>
        </is>
      </c>
      <c r="C808" s="3" t="inlineStr">
        <is>
          <t>Одежда для детей</t>
        </is>
      </c>
      <c r="D808" s="2" t="inlineStr">
        <is>
          <t>Одежда для новорожденных</t>
        </is>
      </c>
      <c r="E808" s="3" t="inlineStr">
        <is>
          <t>569 Комбинезон для маленькой девочки</t>
        </is>
      </c>
      <c r="F808" s="2" t="inlineStr">
        <is>
          <t>всесезонный</t>
        </is>
      </c>
      <c r="G808" s="3" t="inlineStr">
        <is>
          <t>Kari baby</t>
        </is>
      </c>
      <c r="H808" s="2" t="inlineStr">
        <is>
          <t>Зиннуров Ильнур</t>
        </is>
      </c>
      <c r="J808" s="3" t="inlineStr">
        <is>
          <t>2026SS</t>
        </is>
      </c>
      <c r="K808" s="3" t="n">
        <v>2241</v>
      </c>
      <c r="L808" s="3" t="n">
        <v>101</v>
      </c>
      <c r="M808" s="3" t="n">
        <v>2</v>
      </c>
      <c r="N808" s="4">
        <f>IFERROR(L808/K808,0)</f>
        <v/>
      </c>
      <c r="O808" s="4">
        <f>IFERROR(M808/L808,0)</f>
        <v/>
      </c>
      <c r="P808" t="n">
        <v>409</v>
      </c>
      <c r="Q808" s="5" t="n">
        <v>1</v>
      </c>
      <c r="R808" s="7" t="n">
        <v>1</v>
      </c>
      <c r="S808">
        <f>IF(OR(N808&lt;$T$1*0.5,O808&lt;$U$1*0.5),"код для проверки","нормальный код")</f>
        <v/>
      </c>
      <c r="T808">
        <f>IF(N808&lt;$T$1*0.5,"Низшая четверть",IF(N808&lt;$T$1,"Вторая четверть","Больше половины"))</f>
        <v/>
      </c>
      <c r="U808">
        <f>IF(O808&lt;$U$1*0.5,"Низшая четверть",IF(O808&lt;$U$1,"Вторая четверть","Больше половины"))</f>
        <v/>
      </c>
      <c r="V808">
        <f>IF(OR(N808&lt;SUMIFS(L:L,R:R,1,E:E,E808)/SUMIFS(K:K,R:R,1,E:E,E808)*0.5,O808&lt;SUMIFS(M:M,R:R,1,E:E,E808)/SUMIFS(L:L,R:R,1,E:E,E808)*0.5),"код для проверки","нормальный код")</f>
        <v/>
      </c>
      <c r="W808">
        <f>IF(N808&lt;SUMIFS(L:L,R:R,1,E:E,E808)/SUMIFS(K:K,R:R,1,E:E,E808)*0.5,"Низшая четверть",IF(N808&lt;SUMIFS(L:L,R:R,1,E:E,E808)/SUMIFS(K:K,R:R,1,E:E,E808),"Вторая четверть","Больше половины"))</f>
        <v/>
      </c>
      <c r="X808">
        <f>IF(O808&lt;SUMIFS(M:M,R:R,1,E:E,E808)/SUMIFS(L:L,R:R,1,E:E,E808)*0.5,"Низшая четверть",IF(O808&lt;SUMIFS(M:M,R:R,1,E:E,E808)/SUMIFS(L:L,R:R,1,E:E,E808),"Вторая четверть","Больше половины"))</f>
        <v/>
      </c>
      <c r="Y808" t="n">
        <v>16</v>
      </c>
    </row>
    <row r="809">
      <c r="A809" s="1" t="inlineStr">
        <is>
          <t>a9100050</t>
        </is>
      </c>
      <c r="B809" s="2" t="inlineStr">
        <is>
          <t>711885828</t>
        </is>
      </c>
      <c r="C809" s="3" t="inlineStr">
        <is>
          <t>Одежда для детей</t>
        </is>
      </c>
      <c r="D809" s="2" t="inlineStr">
        <is>
          <t>Свитера детские для мальчиков</t>
        </is>
      </c>
      <c r="E809" s="3" t="inlineStr">
        <is>
          <t>a91 Свитшот для мальчика</t>
        </is>
      </c>
      <c r="F809" s="2" t="inlineStr">
        <is>
          <t>весна, лето, осень</t>
        </is>
      </c>
      <c r="G809" s="3" t="inlineStr">
        <is>
          <t>Kari KIDS</t>
        </is>
      </c>
      <c r="H809" s="2" t="inlineStr">
        <is>
          <t>Зиннуров Ильнур</t>
        </is>
      </c>
      <c r="J809" s="3" t="inlineStr">
        <is>
          <t>2026SS</t>
        </is>
      </c>
      <c r="K809" s="3" t="n">
        <v>2238</v>
      </c>
      <c r="L809" s="3" t="n">
        <v>193</v>
      </c>
      <c r="M809" s="3" t="n">
        <v>5</v>
      </c>
      <c r="N809" s="4">
        <f>IFERROR(L809/K809,0)</f>
        <v/>
      </c>
      <c r="O809" s="4">
        <f>IFERROR(M809/L809,0)</f>
        <v/>
      </c>
      <c r="P809" t="n">
        <v>437</v>
      </c>
      <c r="Q809" s="5" t="n">
        <v>1</v>
      </c>
      <c r="R809" s="7" t="n">
        <v>1</v>
      </c>
      <c r="S809">
        <f>IF(OR(N809&lt;$T$1*0.5,O809&lt;$U$1*0.5),"код для проверки","нормальный код")</f>
        <v/>
      </c>
      <c r="T809">
        <f>IF(N809&lt;$T$1*0.5,"Низшая четверть",IF(N809&lt;$T$1,"Вторая четверть","Больше половины"))</f>
        <v/>
      </c>
      <c r="U809">
        <f>IF(O809&lt;$U$1*0.5,"Низшая четверть",IF(O809&lt;$U$1,"Вторая четверть","Больше половины"))</f>
        <v/>
      </c>
      <c r="V809">
        <f>IF(OR(N809&lt;SUMIFS(L:L,R:R,1,E:E,E809)/SUMIFS(K:K,R:R,1,E:E,E809)*0.5,O809&lt;SUMIFS(M:M,R:R,1,E:E,E809)/SUMIFS(L:L,R:R,1,E:E,E809)*0.5),"код для проверки","нормальный код")</f>
        <v/>
      </c>
      <c r="W809">
        <f>IF(N809&lt;SUMIFS(L:L,R:R,1,E:E,E809)/SUMIFS(K:K,R:R,1,E:E,E809)*0.5,"Низшая четверть",IF(N809&lt;SUMIFS(L:L,R:R,1,E:E,E809)/SUMIFS(K:K,R:R,1,E:E,E809),"Вторая четверть","Больше половины"))</f>
        <v/>
      </c>
      <c r="X809">
        <f>IF(O809&lt;SUMIFS(M:M,R:R,1,E:E,E809)/SUMIFS(L:L,R:R,1,E:E,E809)*0.5,"Низшая четверть",IF(O809&lt;SUMIFS(M:M,R:R,1,E:E,E809)/SUMIFS(L:L,R:R,1,E:E,E809),"Вторая четверть","Больше половины"))</f>
        <v/>
      </c>
      <c r="Y809" t="n">
        <v>22</v>
      </c>
    </row>
    <row r="810">
      <c r="A810" s="1" t="inlineStr">
        <is>
          <t>19400380</t>
        </is>
      </c>
      <c r="B810" s="2" t="inlineStr">
        <is>
          <t>837332376</t>
        </is>
      </c>
      <c r="C810" s="3" t="inlineStr">
        <is>
          <t>Одежда для детей</t>
        </is>
      </c>
      <c r="D810" s="2" t="inlineStr">
        <is>
          <t>Брюки детские для девочек</t>
        </is>
      </c>
      <c r="E810" s="3" t="inlineStr">
        <is>
          <t>194 Шорты детские для девочек</t>
        </is>
      </c>
      <c r="F810" s="2" t="inlineStr">
        <is>
          <t>лето</t>
        </is>
      </c>
      <c r="G810" s="3" t="inlineStr">
        <is>
          <t>Kari KIDS</t>
        </is>
      </c>
      <c r="H810" s="2" t="inlineStr">
        <is>
          <t>Зиннуров Ильнур</t>
        </is>
      </c>
      <c r="J810" s="3" t="inlineStr">
        <is>
          <t>2026SS</t>
        </is>
      </c>
      <c r="K810" s="3" t="n">
        <v>2237</v>
      </c>
      <c r="L810" s="3" t="n">
        <v>471</v>
      </c>
      <c r="M810" s="3" t="n">
        <v>0</v>
      </c>
      <c r="N810" s="4">
        <f>IFERROR(L810/K810,0)</f>
        <v/>
      </c>
      <c r="O810" s="4">
        <f>IFERROR(M810/L810,0)</f>
        <v/>
      </c>
      <c r="P810" t="n">
        <v>842</v>
      </c>
      <c r="Q810" s="5" t="n">
        <v>1</v>
      </c>
      <c r="R810" s="7" t="n">
        <v>1</v>
      </c>
      <c r="S810">
        <f>IF(OR(N810&lt;$T$1*0.5,O810&lt;$U$1*0.5),"код для проверки","нормальный код")</f>
        <v/>
      </c>
      <c r="T810">
        <f>IF(N810&lt;$T$1*0.5,"Низшая четверть",IF(N810&lt;$T$1,"Вторая четверть","Больше половины"))</f>
        <v/>
      </c>
      <c r="U810">
        <f>IF(O810&lt;$U$1*0.5,"Низшая четверть",IF(O810&lt;$U$1,"Вторая четверть","Больше половины"))</f>
        <v/>
      </c>
      <c r="V810">
        <f>IF(OR(N810&lt;SUMIFS(L:L,R:R,1,E:E,E810)/SUMIFS(K:K,R:R,1,E:E,E810)*0.5,O810&lt;SUMIFS(M:M,R:R,1,E:E,E810)/SUMIFS(L:L,R:R,1,E:E,E810)*0.5),"код для проверки","нормальный код")</f>
        <v/>
      </c>
      <c r="W810">
        <f>IF(N810&lt;SUMIFS(L:L,R:R,1,E:E,E810)/SUMIFS(K:K,R:R,1,E:E,E810)*0.5,"Низшая четверть",IF(N810&lt;SUMIFS(L:L,R:R,1,E:E,E810)/SUMIFS(K:K,R:R,1,E:E,E810),"Вторая четверть","Больше половины"))</f>
        <v/>
      </c>
      <c r="X810">
        <f>IF(O810&lt;SUMIFS(M:M,R:R,1,E:E,E810)/SUMIFS(L:L,R:R,1,E:E,E810)*0.5,"Низшая четверть",IF(O810&lt;SUMIFS(M:M,R:R,1,E:E,E810)/SUMIFS(L:L,R:R,1,E:E,E810),"Вторая четверть","Больше половины"))</f>
        <v/>
      </c>
      <c r="Y810" t="n">
        <v>18</v>
      </c>
    </row>
    <row r="811">
      <c r="A811" s="1" t="inlineStr">
        <is>
          <t>a6000370</t>
        </is>
      </c>
      <c r="B811" s="2" t="inlineStr">
        <is>
          <t>701976687</t>
        </is>
      </c>
      <c r="C811" s="3" t="inlineStr">
        <is>
          <t>Одежда для детей</t>
        </is>
      </c>
      <c r="D811" s="2" t="inlineStr">
        <is>
          <t>Платья, майки, футболки детские для девочек</t>
        </is>
      </c>
      <c r="E811" s="3" t="inlineStr">
        <is>
          <t>a60 Футболка детская для девочек</t>
        </is>
      </c>
      <c r="F811" s="2" t="inlineStr">
        <is>
          <t>всесезонный</t>
        </is>
      </c>
      <c r="G811" s="3" t="inlineStr">
        <is>
          <t>kari</t>
        </is>
      </c>
      <c r="H811" s="2" t="inlineStr">
        <is>
          <t>Зиннуров Ильнур</t>
        </is>
      </c>
      <c r="J811" s="3" t="inlineStr">
        <is>
          <t>2026SS</t>
        </is>
      </c>
      <c r="K811" s="3" t="n">
        <v>2236</v>
      </c>
      <c r="L811" s="3" t="n">
        <v>253</v>
      </c>
      <c r="M811" s="3" t="n">
        <v>10</v>
      </c>
      <c r="N811" s="4">
        <f>IFERROR(L811/K811,0)</f>
        <v/>
      </c>
      <c r="O811" s="4">
        <f>IFERROR(M811/L811,0)</f>
        <v/>
      </c>
      <c r="P811" t="n">
        <v>491</v>
      </c>
      <c r="Q811" s="5" t="n">
        <v>1</v>
      </c>
      <c r="R811" s="7" t="n">
        <v>1</v>
      </c>
      <c r="S811">
        <f>IF(OR(N811&lt;$T$1*0.5,O811&lt;$U$1*0.5),"код для проверки","нормальный код")</f>
        <v/>
      </c>
      <c r="T811">
        <f>IF(N811&lt;$T$1*0.5,"Низшая четверть",IF(N811&lt;$T$1,"Вторая четверть","Больше половины"))</f>
        <v/>
      </c>
      <c r="U811">
        <f>IF(O811&lt;$U$1*0.5,"Низшая четверть",IF(O811&lt;$U$1,"Вторая четверть","Больше половины"))</f>
        <v/>
      </c>
      <c r="V811">
        <f>IF(OR(N811&lt;SUMIFS(L:L,R:R,1,E:E,E811)/SUMIFS(K:K,R:R,1,E:E,E811)*0.5,O811&lt;SUMIFS(M:M,R:R,1,E:E,E811)/SUMIFS(L:L,R:R,1,E:E,E811)*0.5),"код для проверки","нормальный код")</f>
        <v/>
      </c>
      <c r="W811">
        <f>IF(N811&lt;SUMIFS(L:L,R:R,1,E:E,E811)/SUMIFS(K:K,R:R,1,E:E,E811)*0.5,"Низшая четверть",IF(N811&lt;SUMIFS(L:L,R:R,1,E:E,E811)/SUMIFS(K:K,R:R,1,E:E,E811),"Вторая четверть","Больше половины"))</f>
        <v/>
      </c>
      <c r="X811">
        <f>IF(O811&lt;SUMIFS(M:M,R:R,1,E:E,E811)/SUMIFS(L:L,R:R,1,E:E,E811)*0.5,"Низшая четверть",IF(O811&lt;SUMIFS(M:M,R:R,1,E:E,E811)/SUMIFS(L:L,R:R,1,E:E,E811),"Вторая четверть","Больше половины"))</f>
        <v/>
      </c>
      <c r="Y811" t="n">
        <v>13</v>
      </c>
    </row>
    <row r="812">
      <c r="A812" s="1" t="inlineStr">
        <is>
          <t>90000060</t>
        </is>
      </c>
      <c r="B812" s="2" t="inlineStr">
        <is>
          <t>879308888</t>
        </is>
      </c>
      <c r="C812" s="3" t="inlineStr">
        <is>
          <t>Одежда для детей</t>
        </is>
      </c>
      <c r="D812" s="2" t="inlineStr">
        <is>
          <t>Одежда для новорожденных</t>
        </is>
      </c>
      <c r="E812" s="3" t="inlineStr">
        <is>
          <t>900 Штанишки для маленького мальчика</t>
        </is>
      </c>
      <c r="F812" s="2" t="inlineStr">
        <is>
          <t>всесезонный</t>
        </is>
      </c>
      <c r="G812" s="3" t="inlineStr">
        <is>
          <t>Kari baby</t>
        </is>
      </c>
      <c r="H812" s="2" t="inlineStr">
        <is>
          <t>Зиннуров Ильнур</t>
        </is>
      </c>
      <c r="J812" s="3" t="inlineStr">
        <is>
          <t>2026SS</t>
        </is>
      </c>
      <c r="K812" s="3" t="n">
        <v>2235</v>
      </c>
      <c r="L812" s="3" t="n">
        <v>142</v>
      </c>
      <c r="M812" s="3" t="n">
        <v>14</v>
      </c>
      <c r="N812" s="4">
        <f>IFERROR(L812/K812,0)</f>
        <v/>
      </c>
      <c r="O812" s="4">
        <f>IFERROR(M812/L812,0)</f>
        <v/>
      </c>
      <c r="P812" t="n">
        <v>424</v>
      </c>
      <c r="Q812" s="5" t="n">
        <v>1</v>
      </c>
      <c r="R812" s="7" t="n">
        <v>1</v>
      </c>
      <c r="S812">
        <f>IF(OR(N812&lt;$T$1*0.5,O812&lt;$U$1*0.5),"код для проверки","нормальный код")</f>
        <v/>
      </c>
      <c r="T812">
        <f>IF(N812&lt;$T$1*0.5,"Низшая четверть",IF(N812&lt;$T$1,"Вторая четверть","Больше половины"))</f>
        <v/>
      </c>
      <c r="U812">
        <f>IF(O812&lt;$U$1*0.5,"Низшая четверть",IF(O812&lt;$U$1,"Вторая четверть","Больше половины"))</f>
        <v/>
      </c>
      <c r="V812">
        <f>IF(OR(N812&lt;SUMIFS(L:L,R:R,1,E:E,E812)/SUMIFS(K:K,R:R,1,E:E,E812)*0.5,O812&lt;SUMIFS(M:M,R:R,1,E:E,E812)/SUMIFS(L:L,R:R,1,E:E,E812)*0.5),"код для проверки","нормальный код")</f>
        <v/>
      </c>
      <c r="W812">
        <f>IF(N812&lt;SUMIFS(L:L,R:R,1,E:E,E812)/SUMIFS(K:K,R:R,1,E:E,E812)*0.5,"Низшая четверть",IF(N812&lt;SUMIFS(L:L,R:R,1,E:E,E812)/SUMIFS(K:K,R:R,1,E:E,E812),"Вторая четверть","Больше половины"))</f>
        <v/>
      </c>
      <c r="X812">
        <f>IF(O812&lt;SUMIFS(M:M,R:R,1,E:E,E812)/SUMIFS(L:L,R:R,1,E:E,E812)*0.5,"Низшая четверть",IF(O812&lt;SUMIFS(M:M,R:R,1,E:E,E812)/SUMIFS(L:L,R:R,1,E:E,E812),"Вторая четверть","Больше половины"))</f>
        <v/>
      </c>
      <c r="Y812" t="n">
        <v>12</v>
      </c>
    </row>
    <row r="813">
      <c r="A813" s="1" t="inlineStr">
        <is>
          <t>a6000260</t>
        </is>
      </c>
      <c r="B813" s="2" t="inlineStr">
        <is>
          <t>721315660</t>
        </is>
      </c>
      <c r="C813" s="3" t="inlineStr">
        <is>
          <t>Одежда для детей</t>
        </is>
      </c>
      <c r="D813" s="2" t="inlineStr">
        <is>
          <t>Платья, майки, футболки детские для девочек</t>
        </is>
      </c>
      <c r="E813" s="3" t="inlineStr">
        <is>
          <t>a60 Футболка детская для девочек</t>
        </is>
      </c>
      <c r="F813" s="2" t="inlineStr">
        <is>
          <t>всесезонный</t>
        </is>
      </c>
      <c r="G813" s="3" t="inlineStr">
        <is>
          <t>kari</t>
        </is>
      </c>
      <c r="H813" s="2" t="inlineStr">
        <is>
          <t>Зиннуров Ильнур</t>
        </is>
      </c>
      <c r="J813" s="3" t="inlineStr">
        <is>
          <t>2026SS</t>
        </is>
      </c>
      <c r="K813" s="3" t="n">
        <v>2221</v>
      </c>
      <c r="L813" s="3" t="n">
        <v>129</v>
      </c>
      <c r="M813" s="3" t="n">
        <v>1</v>
      </c>
      <c r="N813" s="4">
        <f>IFERROR(L813/K813,0)</f>
        <v/>
      </c>
      <c r="O813" s="4">
        <f>IFERROR(M813/L813,0)</f>
        <v/>
      </c>
      <c r="P813" t="n">
        <v>453</v>
      </c>
      <c r="Q813" s="5" t="n">
        <v>1</v>
      </c>
      <c r="R813" s="7" t="n">
        <v>1</v>
      </c>
      <c r="S813">
        <f>IF(OR(N813&lt;$T$1*0.5,O813&lt;$U$1*0.5),"код для проверки","нормальный код")</f>
        <v/>
      </c>
      <c r="T813">
        <f>IF(N813&lt;$T$1*0.5,"Низшая четверть",IF(N813&lt;$T$1,"Вторая четверть","Больше половины"))</f>
        <v/>
      </c>
      <c r="U813">
        <f>IF(O813&lt;$U$1*0.5,"Низшая четверть",IF(O813&lt;$U$1,"Вторая четверть","Больше половины"))</f>
        <v/>
      </c>
      <c r="V813">
        <f>IF(OR(N813&lt;SUMIFS(L:L,R:R,1,E:E,E813)/SUMIFS(K:K,R:R,1,E:E,E813)*0.5,O813&lt;SUMIFS(M:M,R:R,1,E:E,E813)/SUMIFS(L:L,R:R,1,E:E,E813)*0.5),"код для проверки","нормальный код")</f>
        <v/>
      </c>
      <c r="W813">
        <f>IF(N813&lt;SUMIFS(L:L,R:R,1,E:E,E813)/SUMIFS(K:K,R:R,1,E:E,E813)*0.5,"Низшая четверть",IF(N813&lt;SUMIFS(L:L,R:R,1,E:E,E813)/SUMIFS(K:K,R:R,1,E:E,E813),"Вторая четверть","Больше половины"))</f>
        <v/>
      </c>
      <c r="X813">
        <f>IF(O813&lt;SUMIFS(M:M,R:R,1,E:E,E813)/SUMIFS(L:L,R:R,1,E:E,E813)*0.5,"Низшая четверть",IF(O813&lt;SUMIFS(M:M,R:R,1,E:E,E813)/SUMIFS(L:L,R:R,1,E:E,E813),"Вторая четверть","Больше половины"))</f>
        <v/>
      </c>
      <c r="Y813" t="n">
        <v>14</v>
      </c>
    </row>
    <row r="814">
      <c r="A814" s="1" t="inlineStr">
        <is>
          <t>17908030</t>
        </is>
      </c>
      <c r="B814" s="2" t="inlineStr">
        <is>
          <t>316075893</t>
        </is>
      </c>
      <c r="C814" s="3" t="inlineStr">
        <is>
          <t>Одежда и аксессуары</t>
        </is>
      </c>
      <c r="D814" s="2" t="inlineStr">
        <is>
          <t>Джинсы женские</t>
        </is>
      </c>
      <c r="E814" s="3" t="inlineStr">
        <is>
          <t>179 Джинсы женские</t>
        </is>
      </c>
      <c r="F814" s="2" t="inlineStr">
        <is>
          <t>всесезонный</t>
        </is>
      </c>
      <c r="G814" s="3" t="inlineStr">
        <is>
          <t>kari</t>
        </is>
      </c>
      <c r="H814" s="2" t="inlineStr">
        <is>
          <t>Зиннуров Ильнур</t>
        </is>
      </c>
      <c r="J814" s="3" t="inlineStr">
        <is>
          <t>2026SS</t>
        </is>
      </c>
      <c r="K814" s="3" t="n">
        <v>2221</v>
      </c>
      <c r="L814" s="3" t="n">
        <v>215</v>
      </c>
      <c r="M814" s="3" t="n">
        <v>9</v>
      </c>
      <c r="N814" s="4">
        <f>IFERROR(L814/K814,0)</f>
        <v/>
      </c>
      <c r="O814" s="4">
        <f>IFERROR(M814/L814,0)</f>
        <v/>
      </c>
      <c r="P814" t="n">
        <v>165</v>
      </c>
      <c r="Q814" s="5" t="n">
        <v>0.3636363636363636</v>
      </c>
      <c r="R814" s="7" t="n">
        <v>1</v>
      </c>
      <c r="S814">
        <f>IF(OR(N814&lt;$T$1*0.5,O814&lt;$U$1*0.5),"код для проверки","нормальный код")</f>
        <v/>
      </c>
      <c r="T814">
        <f>IF(N814&lt;$T$1*0.5,"Низшая четверть",IF(N814&lt;$T$1,"Вторая четверть","Больше половины"))</f>
        <v/>
      </c>
      <c r="U814">
        <f>IF(O814&lt;$U$1*0.5,"Низшая четверть",IF(O814&lt;$U$1,"Вторая четверть","Больше половины"))</f>
        <v/>
      </c>
      <c r="V814">
        <f>IF(OR(N814&lt;SUMIFS(L:L,R:R,1,E:E,E814)/SUMIFS(K:K,R:R,1,E:E,E814)*0.5,O814&lt;SUMIFS(M:M,R:R,1,E:E,E814)/SUMIFS(L:L,R:R,1,E:E,E814)*0.5),"код для проверки","нормальный код")</f>
        <v/>
      </c>
      <c r="W814">
        <f>IF(N814&lt;SUMIFS(L:L,R:R,1,E:E,E814)/SUMIFS(K:K,R:R,1,E:E,E814)*0.5,"Низшая четверть",IF(N814&lt;SUMIFS(L:L,R:R,1,E:E,E814)/SUMIFS(K:K,R:R,1,E:E,E814),"Вторая четверть","Больше половины"))</f>
        <v/>
      </c>
      <c r="X814">
        <f>IF(O814&lt;SUMIFS(M:M,R:R,1,E:E,E814)/SUMIFS(L:L,R:R,1,E:E,E814)*0.5,"Низшая четверть",IF(O814&lt;SUMIFS(M:M,R:R,1,E:E,E814)/SUMIFS(L:L,R:R,1,E:E,E814),"Вторая четверть","Больше половины"))</f>
        <v/>
      </c>
      <c r="Y814" t="n">
        <v>12</v>
      </c>
    </row>
    <row r="815">
      <c r="A815" s="1" t="inlineStr">
        <is>
          <t>h0508050</t>
        </is>
      </c>
      <c r="B815" s="2" t="inlineStr">
        <is>
          <t>316544886</t>
        </is>
      </c>
      <c r="C815" s="3" t="inlineStr">
        <is>
          <t>Одежда и аксессуары</t>
        </is>
      </c>
      <c r="D815" s="2" t="inlineStr">
        <is>
          <t>Брюки, шорты мужские</t>
        </is>
      </c>
      <c r="E815" s="3" t="inlineStr">
        <is>
          <t>h05 Брюки мужские</t>
        </is>
      </c>
      <c r="F815" s="2" t="inlineStr">
        <is>
          <t>всесезонный</t>
        </is>
      </c>
      <c r="G815" s="3" t="inlineStr">
        <is>
          <t>kari</t>
        </is>
      </c>
      <c r="H815" s="2" t="inlineStr">
        <is>
          <t>Зиннуров Ильнур</t>
        </is>
      </c>
      <c r="J815" s="3" t="inlineStr">
        <is>
          <t>2026SS</t>
        </is>
      </c>
      <c r="K815" s="3" t="n">
        <v>2217</v>
      </c>
      <c r="L815" s="3" t="n">
        <v>183</v>
      </c>
      <c r="M815" s="3" t="n">
        <v>2</v>
      </c>
      <c r="N815" s="4">
        <f>IFERROR(L815/K815,0)</f>
        <v/>
      </c>
      <c r="O815" s="4">
        <f>IFERROR(M815/L815,0)</f>
        <v/>
      </c>
      <c r="P815" t="n">
        <v>151</v>
      </c>
      <c r="Q815" s="5" t="n">
        <v>1</v>
      </c>
      <c r="R815" s="7" t="n">
        <v>1</v>
      </c>
      <c r="S815">
        <f>IF(OR(N815&lt;$T$1*0.5,O815&lt;$U$1*0.5),"код для проверки","нормальный код")</f>
        <v/>
      </c>
      <c r="T815">
        <f>IF(N815&lt;$T$1*0.5,"Низшая четверть",IF(N815&lt;$T$1,"Вторая четверть","Больше половины"))</f>
        <v/>
      </c>
      <c r="U815">
        <f>IF(O815&lt;$U$1*0.5,"Низшая четверть",IF(O815&lt;$U$1,"Вторая четверть","Больше половины"))</f>
        <v/>
      </c>
      <c r="V815">
        <f>IF(OR(N815&lt;SUMIFS(L:L,R:R,1,E:E,E815)/SUMIFS(K:K,R:R,1,E:E,E815)*0.5,O815&lt;SUMIFS(M:M,R:R,1,E:E,E815)/SUMIFS(L:L,R:R,1,E:E,E815)*0.5),"код для проверки","нормальный код")</f>
        <v/>
      </c>
      <c r="W815">
        <f>IF(N815&lt;SUMIFS(L:L,R:R,1,E:E,E815)/SUMIFS(K:K,R:R,1,E:E,E815)*0.5,"Низшая четверть",IF(N815&lt;SUMIFS(L:L,R:R,1,E:E,E815)/SUMIFS(K:K,R:R,1,E:E,E815),"Вторая четверть","Больше половины"))</f>
        <v/>
      </c>
      <c r="X815">
        <f>IF(O815&lt;SUMIFS(M:M,R:R,1,E:E,E815)/SUMIFS(L:L,R:R,1,E:E,E815)*0.5,"Низшая четверть",IF(O815&lt;SUMIFS(M:M,R:R,1,E:E,E815)/SUMIFS(L:L,R:R,1,E:E,E815),"Вторая четверть","Больше половины"))</f>
        <v/>
      </c>
      <c r="Y815" t="n">
        <v>6</v>
      </c>
    </row>
    <row r="816">
      <c r="A816" s="1" t="inlineStr">
        <is>
          <t>18100170</t>
        </is>
      </c>
      <c r="B816" s="2" t="inlineStr">
        <is>
          <t>929518367</t>
        </is>
      </c>
      <c r="C816" s="3" t="inlineStr">
        <is>
          <t>Одежда для детей</t>
        </is>
      </c>
      <c r="D816" s="2" t="inlineStr">
        <is>
          <t>Джинсы детские для девочек</t>
        </is>
      </c>
      <c r="E816" s="3" t="inlineStr">
        <is>
          <t>181 Джинсы детские для девочек</t>
        </is>
      </c>
      <c r="F816" s="2" t="inlineStr">
        <is>
          <t>всесезонный</t>
        </is>
      </c>
      <c r="G816" s="3" t="inlineStr">
        <is>
          <t>Kari KIDS</t>
        </is>
      </c>
      <c r="H816" s="2" t="inlineStr">
        <is>
          <t>Зиннуров Ильнур</t>
        </is>
      </c>
      <c r="J816" s="3" t="inlineStr">
        <is>
          <t>2026SS</t>
        </is>
      </c>
      <c r="K816" s="3" t="n">
        <v>2217</v>
      </c>
      <c r="L816" s="3" t="n">
        <v>193</v>
      </c>
      <c r="M816" s="3" t="n">
        <v>6</v>
      </c>
      <c r="N816" s="4">
        <f>IFERROR(L816/K816,0)</f>
        <v/>
      </c>
      <c r="O816" s="4">
        <f>IFERROR(M816/L816,0)</f>
        <v/>
      </c>
      <c r="P816" t="n">
        <v>354</v>
      </c>
      <c r="Q816" s="5" t="n">
        <v>1</v>
      </c>
      <c r="R816" s="7" t="n">
        <v>1</v>
      </c>
      <c r="S816">
        <f>IF(OR(N816&lt;$T$1*0.5,O816&lt;$U$1*0.5),"код для проверки","нормальный код")</f>
        <v/>
      </c>
      <c r="T816">
        <f>IF(N816&lt;$T$1*0.5,"Низшая четверть",IF(N816&lt;$T$1,"Вторая четверть","Больше половины"))</f>
        <v/>
      </c>
      <c r="U816">
        <f>IF(O816&lt;$U$1*0.5,"Низшая четверть",IF(O816&lt;$U$1,"Вторая четверть","Больше половины"))</f>
        <v/>
      </c>
      <c r="V816">
        <f>IF(OR(N816&lt;SUMIFS(L:L,R:R,1,E:E,E816)/SUMIFS(K:K,R:R,1,E:E,E816)*0.5,O816&lt;SUMIFS(M:M,R:R,1,E:E,E816)/SUMIFS(L:L,R:R,1,E:E,E816)*0.5),"код для проверки","нормальный код")</f>
        <v/>
      </c>
      <c r="W816">
        <f>IF(N816&lt;SUMIFS(L:L,R:R,1,E:E,E816)/SUMIFS(K:K,R:R,1,E:E,E816)*0.5,"Низшая четверть",IF(N816&lt;SUMIFS(L:L,R:R,1,E:E,E816)/SUMIFS(K:K,R:R,1,E:E,E816),"Вторая четверть","Больше половины"))</f>
        <v/>
      </c>
      <c r="X816">
        <f>IF(O816&lt;SUMIFS(M:M,R:R,1,E:E,E816)/SUMIFS(L:L,R:R,1,E:E,E816)*0.5,"Низшая четверть",IF(O816&lt;SUMIFS(M:M,R:R,1,E:E,E816)/SUMIFS(L:L,R:R,1,E:E,E816),"Вторая четверть","Больше половины"))</f>
        <v/>
      </c>
      <c r="Y816" t="n">
        <v>18</v>
      </c>
    </row>
    <row r="817">
      <c r="A817" s="1" t="inlineStr">
        <is>
          <t>29100150</t>
        </is>
      </c>
      <c r="B817" s="2" t="inlineStr">
        <is>
          <t>698694573</t>
        </is>
      </c>
      <c r="C817" s="3" t="inlineStr">
        <is>
          <t>Одежда для детей</t>
        </is>
      </c>
      <c r="D817" s="2" t="inlineStr">
        <is>
          <t>Брюки детские для мальчиков</t>
        </is>
      </c>
      <c r="E817" s="3" t="inlineStr">
        <is>
          <t>291 Штаны детские для мальчиков</t>
        </is>
      </c>
      <c r="F817" s="2" t="inlineStr">
        <is>
          <t>всесезонный</t>
        </is>
      </c>
      <c r="G817" s="3" t="inlineStr">
        <is>
          <t>Kari KIDS</t>
        </is>
      </c>
      <c r="H817" s="2" t="inlineStr">
        <is>
          <t>Зиннуров Ильнур</t>
        </is>
      </c>
      <c r="J817" s="3" t="inlineStr">
        <is>
          <t>2026SS</t>
        </is>
      </c>
      <c r="K817" s="3" t="n">
        <v>2210</v>
      </c>
      <c r="L817" s="3" t="n">
        <v>202</v>
      </c>
      <c r="M817" s="3" t="n">
        <v>2</v>
      </c>
      <c r="N817" s="4">
        <f>IFERROR(L817/K817,0)</f>
        <v/>
      </c>
      <c r="O817" s="4">
        <f>IFERROR(M817/L817,0)</f>
        <v/>
      </c>
      <c r="P817" t="n">
        <v>225</v>
      </c>
      <c r="Q817" s="5" t="n">
        <v>1</v>
      </c>
      <c r="R817" s="7" t="n">
        <v>1</v>
      </c>
      <c r="S817">
        <f>IF(OR(N817&lt;$T$1*0.5,O817&lt;$U$1*0.5),"код для проверки","нормальный код")</f>
        <v/>
      </c>
      <c r="T817">
        <f>IF(N817&lt;$T$1*0.5,"Низшая четверть",IF(N817&lt;$T$1,"Вторая четверть","Больше половины"))</f>
        <v/>
      </c>
      <c r="U817">
        <f>IF(O817&lt;$U$1*0.5,"Низшая четверть",IF(O817&lt;$U$1,"Вторая четверть","Больше половины"))</f>
        <v/>
      </c>
      <c r="V817">
        <f>IF(OR(N817&lt;SUMIFS(L:L,R:R,1,E:E,E817)/SUMIFS(K:K,R:R,1,E:E,E817)*0.5,O817&lt;SUMIFS(M:M,R:R,1,E:E,E817)/SUMIFS(L:L,R:R,1,E:E,E817)*0.5),"код для проверки","нормальный код")</f>
        <v/>
      </c>
      <c r="W817">
        <f>IF(N817&lt;SUMIFS(L:L,R:R,1,E:E,E817)/SUMIFS(K:K,R:R,1,E:E,E817)*0.5,"Низшая четверть",IF(N817&lt;SUMIFS(L:L,R:R,1,E:E,E817)/SUMIFS(K:K,R:R,1,E:E,E817),"Вторая четверть","Больше половины"))</f>
        <v/>
      </c>
      <c r="X817">
        <f>IF(O817&lt;SUMIFS(M:M,R:R,1,E:E,E817)/SUMIFS(L:L,R:R,1,E:E,E817)*0.5,"Низшая четверть",IF(O817&lt;SUMIFS(M:M,R:R,1,E:E,E817)/SUMIFS(L:L,R:R,1,E:E,E817),"Вторая четверть","Больше половины"))</f>
        <v/>
      </c>
      <c r="Y817" t="n">
        <v>14</v>
      </c>
    </row>
    <row r="818">
      <c r="A818" s="1" t="inlineStr">
        <is>
          <t>a8300020</t>
        </is>
      </c>
      <c r="B818" s="2" t="inlineStr">
        <is>
          <t>695216070</t>
        </is>
      </c>
      <c r="C818" s="3" t="inlineStr">
        <is>
          <t>Одежда для детей</t>
        </is>
      </c>
      <c r="D818" s="2" t="inlineStr">
        <is>
          <t>Свитера детские для девочек</t>
        </is>
      </c>
      <c r="E818" s="3" t="inlineStr">
        <is>
          <t>a83 Толстовка-худи утепленная для девочек</t>
        </is>
      </c>
      <c r="F818" s="2" t="inlineStr">
        <is>
          <t>весна, осень, зима</t>
        </is>
      </c>
      <c r="G818" s="3" t="inlineStr">
        <is>
          <t>Kari KIDS</t>
        </is>
      </c>
      <c r="H818" s="2" t="inlineStr">
        <is>
          <t>Зиннуров Ильнур</t>
        </is>
      </c>
      <c r="J818" s="3" t="inlineStr">
        <is>
          <t>2026SS</t>
        </is>
      </c>
      <c r="K818" s="3" t="n">
        <v>2198</v>
      </c>
      <c r="L818" s="3" t="n">
        <v>493</v>
      </c>
      <c r="M818" s="3" t="n">
        <v>2</v>
      </c>
      <c r="N818" s="4">
        <f>IFERROR(L818/K818,0)</f>
        <v/>
      </c>
      <c r="O818" s="4">
        <f>IFERROR(M818/L818,0)</f>
        <v/>
      </c>
      <c r="P818" t="n">
        <v>193</v>
      </c>
      <c r="Q818" s="5" t="n">
        <v>1</v>
      </c>
      <c r="R818" s="7" t="n">
        <v>1</v>
      </c>
      <c r="S818">
        <f>IF(OR(N818&lt;$T$1*0.5,O818&lt;$U$1*0.5),"код для проверки","нормальный код")</f>
        <v/>
      </c>
      <c r="T818">
        <f>IF(N818&lt;$T$1*0.5,"Низшая четверть",IF(N818&lt;$T$1,"Вторая четверть","Больше половины"))</f>
        <v/>
      </c>
      <c r="U818">
        <f>IF(O818&lt;$U$1*0.5,"Низшая четверть",IF(O818&lt;$U$1,"Вторая четверть","Больше половины"))</f>
        <v/>
      </c>
      <c r="V818">
        <f>IF(OR(N818&lt;SUMIFS(L:L,R:R,1,E:E,E818)/SUMIFS(K:K,R:R,1,E:E,E818)*0.5,O818&lt;SUMIFS(M:M,R:R,1,E:E,E818)/SUMIFS(L:L,R:R,1,E:E,E818)*0.5),"код для проверки","нормальный код")</f>
        <v/>
      </c>
      <c r="W818">
        <f>IF(N818&lt;SUMIFS(L:L,R:R,1,E:E,E818)/SUMIFS(K:K,R:R,1,E:E,E818)*0.5,"Низшая четверть",IF(N818&lt;SUMIFS(L:L,R:R,1,E:E,E818)/SUMIFS(K:K,R:R,1,E:E,E818),"Вторая четверть","Больше половины"))</f>
        <v/>
      </c>
      <c r="X818">
        <f>IF(O818&lt;SUMIFS(M:M,R:R,1,E:E,E818)/SUMIFS(L:L,R:R,1,E:E,E818)*0.5,"Низшая четверть",IF(O818&lt;SUMIFS(M:M,R:R,1,E:E,E818)/SUMIFS(L:L,R:R,1,E:E,E818),"Вторая четверть","Больше половины"))</f>
        <v/>
      </c>
      <c r="Y818" t="n">
        <v>22</v>
      </c>
    </row>
    <row r="819">
      <c r="A819" s="1" t="inlineStr">
        <is>
          <t>10908250</t>
        </is>
      </c>
      <c r="B819" s="2" t="inlineStr">
        <is>
          <t>378959549</t>
        </is>
      </c>
      <c r="C819" s="3" t="inlineStr">
        <is>
          <t>Одежда и аксессуары</t>
        </is>
      </c>
      <c r="D819" s="2" t="inlineStr">
        <is>
          <t>Шарфы женские</t>
        </is>
      </c>
      <c r="E819" s="3" t="inlineStr">
        <is>
          <t>109 Палантин женский</t>
        </is>
      </c>
      <c r="F819" s="2" t="inlineStr">
        <is>
          <t>весна, осень, зима</t>
        </is>
      </c>
      <c r="G819" s="3" t="inlineStr">
        <is>
          <t>kari</t>
        </is>
      </c>
      <c r="H819" s="2" t="inlineStr">
        <is>
          <t>Никонорова Алина</t>
        </is>
      </c>
      <c r="J819" s="3" t="inlineStr">
        <is>
          <t>2026SS</t>
        </is>
      </c>
      <c r="K819" s="3" t="n">
        <v>2198</v>
      </c>
      <c r="L819" s="3" t="n">
        <v>1220</v>
      </c>
      <c r="M819" s="3" t="n">
        <v>8</v>
      </c>
      <c r="N819" s="4">
        <f>IFERROR(L819/K819,0)</f>
        <v/>
      </c>
      <c r="O819" s="4">
        <f>IFERROR(M819/L819,0)</f>
        <v/>
      </c>
      <c r="P819" t="n">
        <v>100</v>
      </c>
      <c r="Q819" s="5" t="n">
        <v>1</v>
      </c>
      <c r="R819" s="7" t="n">
        <v>1</v>
      </c>
      <c r="S819">
        <f>IF(OR(N819&lt;$T$1*0.5,O819&lt;$U$1*0.5),"код для проверки","нормальный код")</f>
        <v/>
      </c>
      <c r="T819">
        <f>IF(N819&lt;$T$1*0.5,"Низшая четверть",IF(N819&lt;$T$1,"Вторая четверть","Больше половины"))</f>
        <v/>
      </c>
      <c r="U819">
        <f>IF(O819&lt;$U$1*0.5,"Низшая четверть",IF(O819&lt;$U$1,"Вторая четверть","Больше половины"))</f>
        <v/>
      </c>
      <c r="V819">
        <f>IF(OR(N819&lt;SUMIFS(L:L,R:R,1,E:E,E819)/SUMIFS(K:K,R:R,1,E:E,E819)*0.5,O819&lt;SUMIFS(M:M,R:R,1,E:E,E819)/SUMIFS(L:L,R:R,1,E:E,E819)*0.5),"код для проверки","нормальный код")</f>
        <v/>
      </c>
      <c r="W819">
        <f>IF(N819&lt;SUMIFS(L:L,R:R,1,E:E,E819)/SUMIFS(K:K,R:R,1,E:E,E819)*0.5,"Низшая четверть",IF(N819&lt;SUMIFS(L:L,R:R,1,E:E,E819)/SUMIFS(K:K,R:R,1,E:E,E819),"Вторая четверть","Больше половины"))</f>
        <v/>
      </c>
      <c r="X819">
        <f>IF(O819&lt;SUMIFS(M:M,R:R,1,E:E,E819)/SUMIFS(L:L,R:R,1,E:E,E819)*0.5,"Низшая четверть",IF(O819&lt;SUMIFS(M:M,R:R,1,E:E,E819)/SUMIFS(L:L,R:R,1,E:E,E819),"Вторая четверть","Больше половины"))</f>
        <v/>
      </c>
      <c r="Y819" t="n">
        <v>13</v>
      </c>
    </row>
    <row r="820">
      <c r="A820" s="1" t="inlineStr">
        <is>
          <t>a8400000</t>
        </is>
      </c>
      <c r="B820" s="2" t="inlineStr">
        <is>
          <t>716597509</t>
        </is>
      </c>
      <c r="C820" s="3" t="inlineStr">
        <is>
          <t>Одежда для детей</t>
        </is>
      </c>
      <c r="D820" s="2" t="inlineStr">
        <is>
          <t>Свитера детские для девочек</t>
        </is>
      </c>
      <c r="E820" s="3" t="inlineStr">
        <is>
          <t>a84 Толстовка-худи для девочек</t>
        </is>
      </c>
      <c r="F820" s="2" t="inlineStr">
        <is>
          <t>весна, лето, осень</t>
        </is>
      </c>
      <c r="G820" s="3" t="inlineStr">
        <is>
          <t>Kari KIDS</t>
        </is>
      </c>
      <c r="H820" s="2" t="inlineStr">
        <is>
          <t>Зиннуров Ильнур</t>
        </is>
      </c>
      <c r="J820" s="3" t="inlineStr">
        <is>
          <t>2026SS</t>
        </is>
      </c>
      <c r="K820" s="3" t="n">
        <v>2190</v>
      </c>
      <c r="L820" s="3" t="n">
        <v>84</v>
      </c>
      <c r="M820" s="3" t="n">
        <v>1</v>
      </c>
      <c r="N820" s="4">
        <f>IFERROR(L820/K820,0)</f>
        <v/>
      </c>
      <c r="O820" s="4">
        <f>IFERROR(M820/L820,0)</f>
        <v/>
      </c>
      <c r="P820" t="n">
        <v>208</v>
      </c>
      <c r="Q820" s="5" t="n">
        <v>1</v>
      </c>
      <c r="R820" s="7" t="n">
        <v>1</v>
      </c>
      <c r="S820">
        <f>IF(OR(N820&lt;$T$1*0.5,O820&lt;$U$1*0.5),"код для проверки","нормальный код")</f>
        <v/>
      </c>
      <c r="T820">
        <f>IF(N820&lt;$T$1*0.5,"Низшая четверть",IF(N820&lt;$T$1,"Вторая четверть","Больше половины"))</f>
        <v/>
      </c>
      <c r="U820">
        <f>IF(O820&lt;$U$1*0.5,"Низшая четверть",IF(O820&lt;$U$1,"Вторая четверть","Больше половины"))</f>
        <v/>
      </c>
      <c r="V820">
        <f>IF(OR(N820&lt;SUMIFS(L:L,R:R,1,E:E,E820)/SUMIFS(K:K,R:R,1,E:E,E820)*0.5,O820&lt;SUMIFS(M:M,R:R,1,E:E,E820)/SUMIFS(L:L,R:R,1,E:E,E820)*0.5),"код для проверки","нормальный код")</f>
        <v/>
      </c>
      <c r="W820">
        <f>IF(N820&lt;SUMIFS(L:L,R:R,1,E:E,E820)/SUMIFS(K:K,R:R,1,E:E,E820)*0.5,"Низшая четверть",IF(N820&lt;SUMIFS(L:L,R:R,1,E:E,E820)/SUMIFS(K:K,R:R,1,E:E,E820),"Вторая четверть","Больше половины"))</f>
        <v/>
      </c>
      <c r="X820">
        <f>IF(O820&lt;SUMIFS(M:M,R:R,1,E:E,E820)/SUMIFS(L:L,R:R,1,E:E,E820)*0.5,"Низшая четверть",IF(O820&lt;SUMIFS(M:M,R:R,1,E:E,E820)/SUMIFS(L:L,R:R,1,E:E,E820),"Вторая четверть","Больше половины"))</f>
        <v/>
      </c>
      <c r="Y820" t="n">
        <v>20</v>
      </c>
    </row>
    <row r="821">
      <c r="A821" s="1" t="inlineStr">
        <is>
          <t>29000130</t>
        </is>
      </c>
      <c r="B821" s="2" t="inlineStr">
        <is>
          <t>797503196</t>
        </is>
      </c>
      <c r="C821" s="3" t="inlineStr">
        <is>
          <t>Одежда для детей</t>
        </is>
      </c>
      <c r="D821" s="2" t="inlineStr">
        <is>
          <t>Брюки детские для девочек</t>
        </is>
      </c>
      <c r="E821" s="3" t="inlineStr">
        <is>
          <t>290 Штаны детские для девочек</t>
        </is>
      </c>
      <c r="F821" s="2" t="inlineStr">
        <is>
          <t>всесезонный</t>
        </is>
      </c>
      <c r="G821" s="3" t="inlineStr">
        <is>
          <t>kari</t>
        </is>
      </c>
      <c r="H821" s="2" t="inlineStr">
        <is>
          <t>Зиннуров Ильнур</t>
        </is>
      </c>
      <c r="J821" s="3" t="inlineStr">
        <is>
          <t>2026SS</t>
        </is>
      </c>
      <c r="K821" s="3" t="n">
        <v>2190</v>
      </c>
      <c r="L821" s="3" t="n">
        <v>184</v>
      </c>
      <c r="M821" s="3" t="n">
        <v>5</v>
      </c>
      <c r="N821" s="4">
        <f>IFERROR(L821/K821,0)</f>
        <v/>
      </c>
      <c r="O821" s="4">
        <f>IFERROR(M821/L821,0)</f>
        <v/>
      </c>
      <c r="P821" t="n">
        <v>308</v>
      </c>
      <c r="Q821" s="5" t="n">
        <v>1</v>
      </c>
      <c r="R821" s="7" t="n">
        <v>1</v>
      </c>
      <c r="S821">
        <f>IF(OR(N821&lt;$T$1*0.5,O821&lt;$U$1*0.5),"код для проверки","нормальный код")</f>
        <v/>
      </c>
      <c r="T821">
        <f>IF(N821&lt;$T$1*0.5,"Низшая четверть",IF(N821&lt;$T$1,"Вторая четверть","Больше половины"))</f>
        <v/>
      </c>
      <c r="U821">
        <f>IF(O821&lt;$U$1*0.5,"Низшая четверть",IF(O821&lt;$U$1,"Вторая четверть","Больше половины"))</f>
        <v/>
      </c>
      <c r="V821">
        <f>IF(OR(N821&lt;SUMIFS(L:L,R:R,1,E:E,E821)/SUMIFS(K:K,R:R,1,E:E,E821)*0.5,O821&lt;SUMIFS(M:M,R:R,1,E:E,E821)/SUMIFS(L:L,R:R,1,E:E,E821)*0.5),"код для проверки","нормальный код")</f>
        <v/>
      </c>
      <c r="W821">
        <f>IF(N821&lt;SUMIFS(L:L,R:R,1,E:E,E821)/SUMIFS(K:K,R:R,1,E:E,E821)*0.5,"Низшая четверть",IF(N821&lt;SUMIFS(L:L,R:R,1,E:E,E821)/SUMIFS(K:K,R:R,1,E:E,E821),"Вторая четверть","Больше половины"))</f>
        <v/>
      </c>
      <c r="X821">
        <f>IF(O821&lt;SUMIFS(M:M,R:R,1,E:E,E821)/SUMIFS(L:L,R:R,1,E:E,E821)*0.5,"Низшая четверть",IF(O821&lt;SUMIFS(M:M,R:R,1,E:E,E821)/SUMIFS(L:L,R:R,1,E:E,E821),"Вторая четверть","Больше половины"))</f>
        <v/>
      </c>
      <c r="Y821" t="n">
        <v>18</v>
      </c>
    </row>
    <row r="822">
      <c r="A822" s="1" t="inlineStr">
        <is>
          <t>94600110</t>
        </is>
      </c>
      <c r="B822" s="2" t="inlineStr">
        <is>
          <t>925975094</t>
        </is>
      </c>
      <c r="C822" s="3" t="inlineStr">
        <is>
          <t>Одежда для детей</t>
        </is>
      </c>
      <c r="D822" s="2" t="inlineStr">
        <is>
          <t>Одежда для новорожденных</t>
        </is>
      </c>
      <c r="E822" s="3" t="inlineStr">
        <is>
          <t>946 Ромпер для мальчика</t>
        </is>
      </c>
      <c r="F822" s="2" t="inlineStr">
        <is>
          <t>лето</t>
        </is>
      </c>
      <c r="G822" s="3" t="inlineStr">
        <is>
          <t>Kari baby</t>
        </is>
      </c>
      <c r="H822" s="2" t="inlineStr">
        <is>
          <t>Зиннуров Ильнур</t>
        </is>
      </c>
      <c r="J822" s="3" t="inlineStr">
        <is>
          <t>2026SS</t>
        </is>
      </c>
      <c r="K822" s="3" t="n">
        <v>2187</v>
      </c>
      <c r="L822" s="3" t="n">
        <v>375</v>
      </c>
      <c r="M822" s="3" t="n">
        <v>3</v>
      </c>
      <c r="N822" s="4">
        <f>IFERROR(L822/K822,0)</f>
        <v/>
      </c>
      <c r="O822" s="4">
        <f>IFERROR(M822/L822,0)</f>
        <v/>
      </c>
      <c r="P822" t="n">
        <v>649</v>
      </c>
      <c r="Q822" s="5" t="n">
        <v>1</v>
      </c>
      <c r="R822" s="7" t="n">
        <v>1</v>
      </c>
      <c r="S822">
        <f>IF(OR(N822&lt;$T$1*0.5,O822&lt;$U$1*0.5),"код для проверки","нормальный код")</f>
        <v/>
      </c>
      <c r="T822">
        <f>IF(N822&lt;$T$1*0.5,"Низшая четверть",IF(N822&lt;$T$1,"Вторая четверть","Больше половины"))</f>
        <v/>
      </c>
      <c r="U822">
        <f>IF(O822&lt;$U$1*0.5,"Низшая четверть",IF(O822&lt;$U$1,"Вторая четверть","Больше половины"))</f>
        <v/>
      </c>
      <c r="V822">
        <f>IF(OR(N822&lt;SUMIFS(L:L,R:R,1,E:E,E822)/SUMIFS(K:K,R:R,1,E:E,E822)*0.5,O822&lt;SUMIFS(M:M,R:R,1,E:E,E822)/SUMIFS(L:L,R:R,1,E:E,E822)*0.5),"код для проверки","нормальный код")</f>
        <v/>
      </c>
      <c r="W822">
        <f>IF(N822&lt;SUMIFS(L:L,R:R,1,E:E,E822)/SUMIFS(K:K,R:R,1,E:E,E822)*0.5,"Низшая четверть",IF(N822&lt;SUMIFS(L:L,R:R,1,E:E,E822)/SUMIFS(K:K,R:R,1,E:E,E822),"Вторая четверть","Больше половины"))</f>
        <v/>
      </c>
      <c r="X822">
        <f>IF(O822&lt;SUMIFS(M:M,R:R,1,E:E,E822)/SUMIFS(L:L,R:R,1,E:E,E822)*0.5,"Низшая четверть",IF(O822&lt;SUMIFS(M:M,R:R,1,E:E,E822)/SUMIFS(L:L,R:R,1,E:E,E822),"Вторая четверть","Больше половины"))</f>
        <v/>
      </c>
      <c r="Y822" t="n">
        <v>16</v>
      </c>
    </row>
    <row r="823">
      <c r="A823" s="1" t="inlineStr">
        <is>
          <t>a9200040</t>
        </is>
      </c>
      <c r="B823" s="2" t="inlineStr">
        <is>
          <t>762346795</t>
        </is>
      </c>
      <c r="C823" s="3" t="inlineStr">
        <is>
          <t>Одежда для детей</t>
        </is>
      </c>
      <c r="D823" s="2" t="inlineStr">
        <is>
          <t>Свитера детские для мальчиков</t>
        </is>
      </c>
      <c r="E823" s="3" t="inlineStr">
        <is>
          <t>a92 Свитшот  утепленный для мальчика</t>
        </is>
      </c>
      <c r="F823" s="2" t="inlineStr">
        <is>
          <t>весна, осень, зима</t>
        </is>
      </c>
      <c r="G823" s="3" t="inlineStr">
        <is>
          <t>kari</t>
        </is>
      </c>
      <c r="H823" s="2" t="inlineStr">
        <is>
          <t>Зиннуров Ильнур</t>
        </is>
      </c>
      <c r="J823" s="3" t="inlineStr">
        <is>
          <t>2026SS</t>
        </is>
      </c>
      <c r="K823" s="3" t="n">
        <v>2185</v>
      </c>
      <c r="L823" s="3" t="n">
        <v>460</v>
      </c>
      <c r="M823" s="3" t="n">
        <v>7</v>
      </c>
      <c r="N823" s="4">
        <f>IFERROR(L823/K823,0)</f>
        <v/>
      </c>
      <c r="O823" s="4">
        <f>IFERROR(M823/L823,0)</f>
        <v/>
      </c>
      <c r="P823" t="n">
        <v>463</v>
      </c>
      <c r="Q823" s="5" t="n">
        <v>1</v>
      </c>
      <c r="R823" s="7" t="n">
        <v>1</v>
      </c>
      <c r="S823">
        <f>IF(OR(N823&lt;$T$1*0.5,O823&lt;$U$1*0.5),"код для проверки","нормальный код")</f>
        <v/>
      </c>
      <c r="T823">
        <f>IF(N823&lt;$T$1*0.5,"Низшая четверть",IF(N823&lt;$T$1,"Вторая четверть","Больше половины"))</f>
        <v/>
      </c>
      <c r="U823">
        <f>IF(O823&lt;$U$1*0.5,"Низшая четверть",IF(O823&lt;$U$1,"Вторая четверть","Больше половины"))</f>
        <v/>
      </c>
      <c r="V823">
        <f>IF(OR(N823&lt;SUMIFS(L:L,R:R,1,E:E,E823)/SUMIFS(K:K,R:R,1,E:E,E823)*0.5,O823&lt;SUMIFS(M:M,R:R,1,E:E,E823)/SUMIFS(L:L,R:R,1,E:E,E823)*0.5),"код для проверки","нормальный код")</f>
        <v/>
      </c>
      <c r="W823">
        <f>IF(N823&lt;SUMIFS(L:L,R:R,1,E:E,E823)/SUMIFS(K:K,R:R,1,E:E,E823)*0.5,"Низшая четверть",IF(N823&lt;SUMIFS(L:L,R:R,1,E:E,E823)/SUMIFS(K:K,R:R,1,E:E,E823),"Вторая четверть","Больше половины"))</f>
        <v/>
      </c>
      <c r="X823">
        <f>IF(O823&lt;SUMIFS(M:M,R:R,1,E:E,E823)/SUMIFS(L:L,R:R,1,E:E,E823)*0.5,"Низшая четверть",IF(O823&lt;SUMIFS(M:M,R:R,1,E:E,E823)/SUMIFS(L:L,R:R,1,E:E,E823),"Вторая четверть","Больше половины"))</f>
        <v/>
      </c>
      <c r="Y823" t="n">
        <v>14</v>
      </c>
    </row>
    <row r="824">
      <c r="A824" s="1" t="inlineStr">
        <is>
          <t>19800120</t>
        </is>
      </c>
      <c r="B824" s="2" t="inlineStr">
        <is>
          <t>755027397</t>
        </is>
      </c>
      <c r="C824" s="3" t="inlineStr">
        <is>
          <t>Одежда и аксессуары</t>
        </is>
      </c>
      <c r="D824" s="2" t="inlineStr">
        <is>
          <t>Майки и платья женские</t>
        </is>
      </c>
      <c r="E824" s="3" t="inlineStr">
        <is>
          <t>198 Топ женский</t>
        </is>
      </c>
      <c r="F824" s="2" t="inlineStr">
        <is>
          <t>лето</t>
        </is>
      </c>
      <c r="G824" s="3" t="inlineStr">
        <is>
          <t>kari</t>
        </is>
      </c>
      <c r="H824" s="2" t="inlineStr">
        <is>
          <t>Зиннуров Ильнур</t>
        </is>
      </c>
      <c r="J824" s="3" t="inlineStr">
        <is>
          <t>2026SS</t>
        </is>
      </c>
      <c r="K824" s="3" t="n">
        <v>2170</v>
      </c>
      <c r="L824" s="3" t="n">
        <v>450</v>
      </c>
      <c r="M824" s="3" t="n">
        <v>7</v>
      </c>
      <c r="N824" s="4">
        <f>IFERROR(L824/K824,0)</f>
        <v/>
      </c>
      <c r="O824" s="4">
        <f>IFERROR(M824/L824,0)</f>
        <v/>
      </c>
      <c r="P824" t="n">
        <v>311</v>
      </c>
      <c r="Q824" s="5" t="n">
        <v>1</v>
      </c>
      <c r="R824" s="7" t="n">
        <v>1</v>
      </c>
      <c r="S824">
        <f>IF(OR(N824&lt;$T$1*0.5,O824&lt;$U$1*0.5),"код для проверки","нормальный код")</f>
        <v/>
      </c>
      <c r="T824">
        <f>IF(N824&lt;$T$1*0.5,"Низшая четверть",IF(N824&lt;$T$1,"Вторая четверть","Больше половины"))</f>
        <v/>
      </c>
      <c r="U824">
        <f>IF(O824&lt;$U$1*0.5,"Низшая четверть",IF(O824&lt;$U$1,"Вторая четверть","Больше половины"))</f>
        <v/>
      </c>
      <c r="V824">
        <f>IF(OR(N824&lt;SUMIFS(L:L,R:R,1,E:E,E824)/SUMIFS(K:K,R:R,1,E:E,E824)*0.5,O824&lt;SUMIFS(M:M,R:R,1,E:E,E824)/SUMIFS(L:L,R:R,1,E:E,E824)*0.5),"код для проверки","нормальный код")</f>
        <v/>
      </c>
      <c r="W824">
        <f>IF(N824&lt;SUMIFS(L:L,R:R,1,E:E,E824)/SUMIFS(K:K,R:R,1,E:E,E824)*0.5,"Низшая четверть",IF(N824&lt;SUMIFS(L:L,R:R,1,E:E,E824)/SUMIFS(K:K,R:R,1,E:E,E824),"Вторая четверть","Больше половины"))</f>
        <v/>
      </c>
      <c r="X824">
        <f>IF(O824&lt;SUMIFS(M:M,R:R,1,E:E,E824)/SUMIFS(L:L,R:R,1,E:E,E824)*0.5,"Низшая четверть",IF(O824&lt;SUMIFS(M:M,R:R,1,E:E,E824)/SUMIFS(L:L,R:R,1,E:E,E824),"Вторая четверть","Больше половины"))</f>
        <v/>
      </c>
      <c r="Y824" t="n">
        <v>21</v>
      </c>
    </row>
    <row r="825">
      <c r="A825" s="1" t="inlineStr">
        <is>
          <t>23900050</t>
        </is>
      </c>
      <c r="B825" s="2" t="inlineStr">
        <is>
          <t>781118597</t>
        </is>
      </c>
      <c r="C825" s="3" t="inlineStr">
        <is>
          <t>Одежда для детей</t>
        </is>
      </c>
      <c r="D825" s="2" t="inlineStr">
        <is>
          <t>Спортивная детская одежда для мальчиков</t>
        </is>
      </c>
      <c r="E825" s="3" t="inlineStr">
        <is>
          <t>239 Спортивный костюм детский для мальчиков</t>
        </is>
      </c>
      <c r="F825" s="2" t="inlineStr">
        <is>
          <t>всесезонный</t>
        </is>
      </c>
      <c r="G825" s="3" t="inlineStr">
        <is>
          <t>kari</t>
        </is>
      </c>
      <c r="H825" s="2" t="inlineStr">
        <is>
          <t>Зиннуров Ильнур</t>
        </is>
      </c>
      <c r="J825" s="3" t="inlineStr">
        <is>
          <t>2026SS</t>
        </is>
      </c>
      <c r="K825" s="3" t="n">
        <v>2168</v>
      </c>
      <c r="L825" s="3" t="n">
        <v>114</v>
      </c>
      <c r="M825" s="3" t="n">
        <v>3</v>
      </c>
      <c r="N825" s="4">
        <f>IFERROR(L825/K825,0)</f>
        <v/>
      </c>
      <c r="O825" s="4">
        <f>IFERROR(M825/L825,0)</f>
        <v/>
      </c>
      <c r="P825" t="n">
        <v>306</v>
      </c>
      <c r="Q825" s="5" t="n">
        <v>1</v>
      </c>
      <c r="R825" s="7" t="n">
        <v>1</v>
      </c>
      <c r="S825">
        <f>IF(OR(N825&lt;$T$1*0.5,O825&lt;$U$1*0.5),"код для проверки","нормальный код")</f>
        <v/>
      </c>
      <c r="T825">
        <f>IF(N825&lt;$T$1*0.5,"Низшая четверть",IF(N825&lt;$T$1,"Вторая четверть","Больше половины"))</f>
        <v/>
      </c>
      <c r="U825">
        <f>IF(O825&lt;$U$1*0.5,"Низшая четверть",IF(O825&lt;$U$1,"Вторая четверть","Больше половины"))</f>
        <v/>
      </c>
      <c r="V825">
        <f>IF(OR(N825&lt;SUMIFS(L:L,R:R,1,E:E,E825)/SUMIFS(K:K,R:R,1,E:E,E825)*0.5,O825&lt;SUMIFS(M:M,R:R,1,E:E,E825)/SUMIFS(L:L,R:R,1,E:E,E825)*0.5),"код для проверки","нормальный код")</f>
        <v/>
      </c>
      <c r="W825">
        <f>IF(N825&lt;SUMIFS(L:L,R:R,1,E:E,E825)/SUMIFS(K:K,R:R,1,E:E,E825)*0.5,"Низшая четверть",IF(N825&lt;SUMIFS(L:L,R:R,1,E:E,E825)/SUMIFS(K:K,R:R,1,E:E,E825),"Вторая четверть","Больше половины"))</f>
        <v/>
      </c>
      <c r="X825">
        <f>IF(O825&lt;SUMIFS(M:M,R:R,1,E:E,E825)/SUMIFS(L:L,R:R,1,E:E,E825)*0.5,"Низшая четверть",IF(O825&lt;SUMIFS(M:M,R:R,1,E:E,E825)/SUMIFS(L:L,R:R,1,E:E,E825),"Вторая четверть","Больше половины"))</f>
        <v/>
      </c>
      <c r="Y825" t="n">
        <v>12</v>
      </c>
    </row>
    <row r="826">
      <c r="A826" s="1" t="inlineStr">
        <is>
          <t>a60000G0</t>
        </is>
      </c>
      <c r="B826" s="2" t="inlineStr">
        <is>
          <t>847884176</t>
        </is>
      </c>
      <c r="C826" s="3" t="inlineStr">
        <is>
          <t>Одежда для детей</t>
        </is>
      </c>
      <c r="D826" s="2" t="inlineStr">
        <is>
          <t>Платья, майки, футболки детские для девочек</t>
        </is>
      </c>
      <c r="E826" s="3" t="inlineStr">
        <is>
          <t>a60 Футболка детская для девочек</t>
        </is>
      </c>
      <c r="F826" s="2" t="inlineStr">
        <is>
          <t>всесезонный</t>
        </is>
      </c>
      <c r="G826" s="3" t="inlineStr">
        <is>
          <t>kari</t>
        </is>
      </c>
      <c r="H826" s="2" t="inlineStr">
        <is>
          <t>Зиннуров Ильнур</t>
        </is>
      </c>
      <c r="J826" s="3" t="inlineStr">
        <is>
          <t>2026SS</t>
        </is>
      </c>
      <c r="K826" s="3" t="n">
        <v>2162</v>
      </c>
      <c r="L826" s="3" t="n">
        <v>111</v>
      </c>
      <c r="M826" s="3" t="n">
        <v>4</v>
      </c>
      <c r="N826" s="4">
        <f>IFERROR(L826/K826,0)</f>
        <v/>
      </c>
      <c r="O826" s="4">
        <f>IFERROR(M826/L826,0)</f>
        <v/>
      </c>
      <c r="P826" t="n">
        <v>1310</v>
      </c>
      <c r="Q826" s="5" t="n">
        <v>1</v>
      </c>
      <c r="R826" s="7" t="n">
        <v>1</v>
      </c>
      <c r="S826">
        <f>IF(OR(N826&lt;$T$1*0.5,O826&lt;$U$1*0.5),"код для проверки","нормальный код")</f>
        <v/>
      </c>
      <c r="T826">
        <f>IF(N826&lt;$T$1*0.5,"Низшая четверть",IF(N826&lt;$T$1,"Вторая четверть","Больше половины"))</f>
        <v/>
      </c>
      <c r="U826">
        <f>IF(O826&lt;$U$1*0.5,"Низшая четверть",IF(O826&lt;$U$1,"Вторая четверть","Больше половины"))</f>
        <v/>
      </c>
      <c r="V826">
        <f>IF(OR(N826&lt;SUMIFS(L:L,R:R,1,E:E,E826)/SUMIFS(K:K,R:R,1,E:E,E826)*0.5,O826&lt;SUMIFS(M:M,R:R,1,E:E,E826)/SUMIFS(L:L,R:R,1,E:E,E826)*0.5),"код для проверки","нормальный код")</f>
        <v/>
      </c>
      <c r="W826">
        <f>IF(N826&lt;SUMIFS(L:L,R:R,1,E:E,E826)/SUMIFS(K:K,R:R,1,E:E,E826)*0.5,"Низшая четверть",IF(N826&lt;SUMIFS(L:L,R:R,1,E:E,E826)/SUMIFS(K:K,R:R,1,E:E,E826),"Вторая четверть","Больше половины"))</f>
        <v/>
      </c>
      <c r="X826">
        <f>IF(O826&lt;SUMIFS(M:M,R:R,1,E:E,E826)/SUMIFS(L:L,R:R,1,E:E,E826)*0.5,"Низшая четверть",IF(O826&lt;SUMIFS(M:M,R:R,1,E:E,E826)/SUMIFS(L:L,R:R,1,E:E,E826),"Вторая четверть","Больше половины"))</f>
        <v/>
      </c>
      <c r="Y826" t="n">
        <v>15</v>
      </c>
    </row>
    <row r="827">
      <c r="A827" s="1" t="inlineStr">
        <is>
          <t>a7700030</t>
        </is>
      </c>
      <c r="B827" s="2" t="inlineStr">
        <is>
          <t>716597177</t>
        </is>
      </c>
      <c r="C827" s="3" t="inlineStr">
        <is>
          <t>Одежда для детей</t>
        </is>
      </c>
      <c r="D827" s="2" t="inlineStr">
        <is>
          <t>Свитера детские для мальчиков</t>
        </is>
      </c>
      <c r="E827" s="3" t="inlineStr">
        <is>
          <t>a77 Толстовка-худи утепленная для мальчиков</t>
        </is>
      </c>
      <c r="F827" s="2" t="inlineStr">
        <is>
          <t>весна, осень, зима</t>
        </is>
      </c>
      <c r="G827" s="3" t="inlineStr">
        <is>
          <t>Kari KIDS</t>
        </is>
      </c>
      <c r="H827" s="2" t="inlineStr">
        <is>
          <t>Зиннуров Ильнур</t>
        </is>
      </c>
      <c r="J827" s="3" t="inlineStr">
        <is>
          <t>2026SS</t>
        </is>
      </c>
      <c r="K827" s="3" t="n">
        <v>2161</v>
      </c>
      <c r="L827" s="3" t="n">
        <v>309</v>
      </c>
      <c r="M827" s="3" t="n">
        <v>6</v>
      </c>
      <c r="N827" s="4">
        <f>IFERROR(L827/K827,0)</f>
        <v/>
      </c>
      <c r="O827" s="4">
        <f>IFERROR(M827/L827,0)</f>
        <v/>
      </c>
      <c r="P827" t="n">
        <v>127</v>
      </c>
      <c r="Q827" s="5" t="n">
        <v>0.6</v>
      </c>
      <c r="R827" s="7" t="n">
        <v>1</v>
      </c>
      <c r="S827">
        <f>IF(OR(N827&lt;$T$1*0.5,O827&lt;$U$1*0.5),"код для проверки","нормальный код")</f>
        <v/>
      </c>
      <c r="T827">
        <f>IF(N827&lt;$T$1*0.5,"Низшая четверть",IF(N827&lt;$T$1,"Вторая четверть","Больше половины"))</f>
        <v/>
      </c>
      <c r="U827">
        <f>IF(O827&lt;$U$1*0.5,"Низшая четверть",IF(O827&lt;$U$1,"Вторая четверть","Больше половины"))</f>
        <v/>
      </c>
      <c r="V827">
        <f>IF(OR(N827&lt;SUMIFS(L:L,R:R,1,E:E,E827)/SUMIFS(K:K,R:R,1,E:E,E827)*0.5,O827&lt;SUMIFS(M:M,R:R,1,E:E,E827)/SUMIFS(L:L,R:R,1,E:E,E827)*0.5),"код для проверки","нормальный код")</f>
        <v/>
      </c>
      <c r="W827">
        <f>IF(N827&lt;SUMIFS(L:L,R:R,1,E:E,E827)/SUMIFS(K:K,R:R,1,E:E,E827)*0.5,"Низшая четверть",IF(N827&lt;SUMIFS(L:L,R:R,1,E:E,E827)/SUMIFS(K:K,R:R,1,E:E,E827),"Вторая четверть","Больше половины"))</f>
        <v/>
      </c>
      <c r="X827">
        <f>IF(O827&lt;SUMIFS(M:M,R:R,1,E:E,E827)/SUMIFS(L:L,R:R,1,E:E,E827)*0.5,"Низшая четверть",IF(O827&lt;SUMIFS(M:M,R:R,1,E:E,E827)/SUMIFS(L:L,R:R,1,E:E,E827),"Вторая четверть","Больше половины"))</f>
        <v/>
      </c>
      <c r="Y827" t="n">
        <v>23</v>
      </c>
    </row>
    <row r="828">
      <c r="A828" s="1" t="inlineStr">
        <is>
          <t>20200200</t>
        </is>
      </c>
      <c r="B828" s="2" t="inlineStr">
        <is>
          <t>371246730</t>
        </is>
      </c>
      <c r="C828" s="3" t="inlineStr">
        <is>
          <t>Одежда для детей</t>
        </is>
      </c>
      <c r="D828" s="2" t="inlineStr">
        <is>
          <t>Головные уборы детские для мальчиков</t>
        </is>
      </c>
      <c r="E828" s="3" t="inlineStr">
        <is>
          <t>202 Бейсболка детская для мальчиков</t>
        </is>
      </c>
      <c r="F828" s="2" t="inlineStr">
        <is>
          <t>весна, лето</t>
        </is>
      </c>
      <c r="G828" s="3" t="inlineStr">
        <is>
          <t>kari</t>
        </is>
      </c>
      <c r="H828" s="2" t="inlineStr">
        <is>
          <t>Никонорова Алина</t>
        </is>
      </c>
      <c r="J828" s="3" t="inlineStr">
        <is>
          <t>2026SS</t>
        </is>
      </c>
      <c r="K828" s="3" t="n">
        <v>2147</v>
      </c>
      <c r="L828" s="3" t="n">
        <v>236</v>
      </c>
      <c r="M828" s="3" t="n">
        <v>8</v>
      </c>
      <c r="N828" s="4">
        <f>IFERROR(L828/K828,0)</f>
        <v/>
      </c>
      <c r="O828" s="4">
        <f>IFERROR(M828/L828,0)</f>
        <v/>
      </c>
      <c r="P828" t="n">
        <v>0</v>
      </c>
      <c r="Q828" s="5" t="n">
        <v>0</v>
      </c>
      <c r="R828" s="7" t="n">
        <v>0</v>
      </c>
      <c r="S828" t="inlineStr">
        <is>
          <t>Мало остатка</t>
        </is>
      </c>
      <c r="T828">
        <f>IF(N828&lt;$T$1*0.5,"Низшая четверть",IF(N828&lt;$T$1,"Вторая четверть","Больше половины"))</f>
        <v/>
      </c>
      <c r="U828">
        <f>IF(O828&lt;$U$1*0.5,"Низшая четверть",IF(O828&lt;$U$1,"Вторая четверть","Больше половины"))</f>
        <v/>
      </c>
      <c r="V828">
        <f>IF(OR(N828&lt;SUMIFS(L:L,R:R,1,E:E,E828)/SUMIFS(K:K,R:R,1,E:E,E828)*0.5,O828&lt;SUMIFS(M:M,R:R,1,E:E,E828)/SUMIFS(L:L,R:R,1,E:E,E828)*0.5),"код для проверки","нормальный код")</f>
        <v/>
      </c>
      <c r="W828">
        <f>IF(N828&lt;SUMIFS(L:L,R:R,1,E:E,E828)/SUMIFS(K:K,R:R,1,E:E,E828)*0.5,"Низшая четверть",IF(N828&lt;SUMIFS(L:L,R:R,1,E:E,E828)/SUMIFS(K:K,R:R,1,E:E,E828),"Вторая четверть","Больше половины"))</f>
        <v/>
      </c>
      <c r="X828">
        <f>IF(O828&lt;SUMIFS(M:M,R:R,1,E:E,E828)/SUMIFS(L:L,R:R,1,E:E,E828)*0.5,"Низшая четверть",IF(O828&lt;SUMIFS(M:M,R:R,1,E:E,E828)/SUMIFS(L:L,R:R,1,E:E,E828),"Вторая четверть","Больше половины"))</f>
        <v/>
      </c>
      <c r="Y828" t="n">
        <v>7</v>
      </c>
    </row>
    <row r="829">
      <c r="A829" s="1" t="inlineStr">
        <is>
          <t>h7700060</t>
        </is>
      </c>
      <c r="B829" s="2" t="inlineStr">
        <is>
          <t>806627269</t>
        </is>
      </c>
      <c r="C829" s="3" t="inlineStr">
        <is>
          <t>Одежда и аксессуары</t>
        </is>
      </c>
      <c r="D829" s="2" t="inlineStr">
        <is>
          <t>Купальники женские</t>
        </is>
      </c>
      <c r="E829" s="3" t="inlineStr">
        <is>
          <t>h77 Одежда пляжная женская</t>
        </is>
      </c>
      <c r="F829" s="2" t="inlineStr">
        <is>
          <t>лето</t>
        </is>
      </c>
      <c r="G829" s="3" t="inlineStr">
        <is>
          <t>kari</t>
        </is>
      </c>
      <c r="H829" s="2" t="inlineStr">
        <is>
          <t>Зиннуров Ильнур</t>
        </is>
      </c>
      <c r="J829" s="3" t="inlineStr">
        <is>
          <t>2026SS</t>
        </is>
      </c>
      <c r="K829" s="3" t="n">
        <v>2140</v>
      </c>
      <c r="L829" s="3" t="n">
        <v>513</v>
      </c>
      <c r="M829" s="3" t="n">
        <v>3</v>
      </c>
      <c r="N829" s="4">
        <f>IFERROR(L829/K829,0)</f>
        <v/>
      </c>
      <c r="O829" s="4">
        <f>IFERROR(M829/L829,0)</f>
        <v/>
      </c>
      <c r="P829" t="n">
        <v>853</v>
      </c>
      <c r="Q829" s="5" t="n">
        <v>0.8</v>
      </c>
      <c r="R829" s="7" t="n">
        <v>1</v>
      </c>
      <c r="S829">
        <f>IF(OR(N829&lt;$T$1*0.5,O829&lt;$U$1*0.5),"код для проверки","нормальный код")</f>
        <v/>
      </c>
      <c r="T829">
        <f>IF(N829&lt;$T$1*0.5,"Низшая четверть",IF(N829&lt;$T$1,"Вторая четверть","Больше половины"))</f>
        <v/>
      </c>
      <c r="U829">
        <f>IF(O829&lt;$U$1*0.5,"Низшая четверть",IF(O829&lt;$U$1,"Вторая четверть","Больше половины"))</f>
        <v/>
      </c>
      <c r="V829">
        <f>IF(OR(N829&lt;SUMIFS(L:L,R:R,1,E:E,E829)/SUMIFS(K:K,R:R,1,E:E,E829)*0.5,O829&lt;SUMIFS(M:M,R:R,1,E:E,E829)/SUMIFS(L:L,R:R,1,E:E,E829)*0.5),"код для проверки","нормальный код")</f>
        <v/>
      </c>
      <c r="W829">
        <f>IF(N829&lt;SUMIFS(L:L,R:R,1,E:E,E829)/SUMIFS(K:K,R:R,1,E:E,E829)*0.5,"Низшая четверть",IF(N829&lt;SUMIFS(L:L,R:R,1,E:E,E829)/SUMIFS(K:K,R:R,1,E:E,E829),"Вторая четверть","Больше половины"))</f>
        <v/>
      </c>
      <c r="X829">
        <f>IF(O829&lt;SUMIFS(M:M,R:R,1,E:E,E829)/SUMIFS(L:L,R:R,1,E:E,E829)*0.5,"Низшая четверть",IF(O829&lt;SUMIFS(M:M,R:R,1,E:E,E829)/SUMIFS(L:L,R:R,1,E:E,E829),"Вторая четверть","Больше половины"))</f>
        <v/>
      </c>
      <c r="Y829" t="n">
        <v>8</v>
      </c>
    </row>
    <row r="830">
      <c r="A830" s="1" t="inlineStr">
        <is>
          <t>88300310</t>
        </is>
      </c>
      <c r="B830" s="2" t="inlineStr">
        <is>
          <t>697438319</t>
        </is>
      </c>
      <c r="C830" s="3" t="inlineStr">
        <is>
          <t>Одежда для детей</t>
        </is>
      </c>
      <c r="D830" s="2" t="inlineStr">
        <is>
          <t>Платья, майки, футболки детские для девочек</t>
        </is>
      </c>
      <c r="E830" s="3" t="inlineStr">
        <is>
          <t>883 Футболка длинный рукав детская для девочек</t>
        </is>
      </c>
      <c r="F830" s="2" t="inlineStr">
        <is>
          <t>всесезонный</t>
        </is>
      </c>
      <c r="G830" s="3" t="inlineStr">
        <is>
          <t>Kari KIDS</t>
        </is>
      </c>
      <c r="H830" s="2" t="inlineStr">
        <is>
          <t>Зиннуров Ильнур</t>
        </is>
      </c>
      <c r="J830" s="3" t="inlineStr">
        <is>
          <t>2026SS</t>
        </is>
      </c>
      <c r="K830" s="3" t="n">
        <v>2140</v>
      </c>
      <c r="L830" s="3" t="n">
        <v>400</v>
      </c>
      <c r="M830" s="3" t="n">
        <v>1</v>
      </c>
      <c r="N830" s="4">
        <f>IFERROR(L830/K830,0)</f>
        <v/>
      </c>
      <c r="O830" s="4">
        <f>IFERROR(M830/L830,0)</f>
        <v/>
      </c>
      <c r="P830" t="n">
        <v>330</v>
      </c>
      <c r="Q830" s="5" t="n">
        <v>1</v>
      </c>
      <c r="R830" s="7" t="n">
        <v>1</v>
      </c>
      <c r="S830">
        <f>IF(OR(N830&lt;$T$1*0.5,O830&lt;$U$1*0.5),"код для проверки","нормальный код")</f>
        <v/>
      </c>
      <c r="T830">
        <f>IF(N830&lt;$T$1*0.5,"Низшая четверть",IF(N830&lt;$T$1,"Вторая четверть","Больше половины"))</f>
        <v/>
      </c>
      <c r="U830">
        <f>IF(O830&lt;$U$1*0.5,"Низшая четверть",IF(O830&lt;$U$1,"Вторая четверть","Больше половины"))</f>
        <v/>
      </c>
      <c r="V830">
        <f>IF(OR(N830&lt;SUMIFS(L:L,R:R,1,E:E,E830)/SUMIFS(K:K,R:R,1,E:E,E830)*0.5,O830&lt;SUMIFS(M:M,R:R,1,E:E,E830)/SUMIFS(L:L,R:R,1,E:E,E830)*0.5),"код для проверки","нормальный код")</f>
        <v/>
      </c>
      <c r="W830">
        <f>IF(N830&lt;SUMIFS(L:L,R:R,1,E:E,E830)/SUMIFS(K:K,R:R,1,E:E,E830)*0.5,"Низшая четверть",IF(N830&lt;SUMIFS(L:L,R:R,1,E:E,E830)/SUMIFS(K:K,R:R,1,E:E,E830),"Вторая четверть","Больше половины"))</f>
        <v/>
      </c>
      <c r="X830">
        <f>IF(O830&lt;SUMIFS(M:M,R:R,1,E:E,E830)/SUMIFS(L:L,R:R,1,E:E,E830)*0.5,"Низшая четверть",IF(O830&lt;SUMIFS(M:M,R:R,1,E:E,E830)/SUMIFS(L:L,R:R,1,E:E,E830),"Вторая четверть","Больше половины"))</f>
        <v/>
      </c>
      <c r="Y830" t="n">
        <v>16</v>
      </c>
    </row>
    <row r="831">
      <c r="A831" s="1" t="inlineStr">
        <is>
          <t>h7700220</t>
        </is>
      </c>
      <c r="B831" s="2" t="inlineStr">
        <is>
          <t>788918758</t>
        </is>
      </c>
      <c r="C831" s="3" t="inlineStr">
        <is>
          <t>Одежда и аксессуары</t>
        </is>
      </c>
      <c r="D831" s="2" t="inlineStr">
        <is>
          <t>Купальники женские</t>
        </is>
      </c>
      <c r="E831" s="3" t="inlineStr">
        <is>
          <t>h77 Одежда пляжная женская</t>
        </is>
      </c>
      <c r="F831" s="2" t="inlineStr">
        <is>
          <t>лето</t>
        </is>
      </c>
      <c r="G831" s="3" t="inlineStr">
        <is>
          <t>kari</t>
        </is>
      </c>
      <c r="H831" s="2" t="inlineStr">
        <is>
          <t>Зиннуров Ильнур</t>
        </is>
      </c>
      <c r="J831" s="3" t="inlineStr">
        <is>
          <t>2026SS</t>
        </is>
      </c>
      <c r="K831" s="3" t="n">
        <v>2139</v>
      </c>
      <c r="L831" s="3" t="n">
        <v>258</v>
      </c>
      <c r="M831" s="3" t="n">
        <v>0</v>
      </c>
      <c r="N831" s="4">
        <f>IFERROR(L831/K831,0)</f>
        <v/>
      </c>
      <c r="O831" s="4">
        <f>IFERROR(M831/L831,0)</f>
        <v/>
      </c>
      <c r="P831" t="n">
        <v>1758</v>
      </c>
      <c r="Q831" s="5" t="n">
        <v>1</v>
      </c>
      <c r="R831" s="7" t="n">
        <v>1</v>
      </c>
      <c r="S831">
        <f>IF(OR(N831&lt;$T$1*0.5,O831&lt;$U$1*0.5),"код для проверки","нормальный код")</f>
        <v/>
      </c>
      <c r="T831">
        <f>IF(N831&lt;$T$1*0.5,"Низшая четверть",IF(N831&lt;$T$1,"Вторая четверть","Больше половины"))</f>
        <v/>
      </c>
      <c r="U831">
        <f>IF(O831&lt;$U$1*0.5,"Низшая четверть",IF(O831&lt;$U$1,"Вторая четверть","Больше половины"))</f>
        <v/>
      </c>
      <c r="V831">
        <f>IF(OR(N831&lt;SUMIFS(L:L,R:R,1,E:E,E831)/SUMIFS(K:K,R:R,1,E:E,E831)*0.5,O831&lt;SUMIFS(M:M,R:R,1,E:E,E831)/SUMIFS(L:L,R:R,1,E:E,E831)*0.5),"код для проверки","нормальный код")</f>
        <v/>
      </c>
      <c r="W831">
        <f>IF(N831&lt;SUMIFS(L:L,R:R,1,E:E,E831)/SUMIFS(K:K,R:R,1,E:E,E831)*0.5,"Низшая четверть",IF(N831&lt;SUMIFS(L:L,R:R,1,E:E,E831)/SUMIFS(K:K,R:R,1,E:E,E831),"Вторая четверть","Больше половины"))</f>
        <v/>
      </c>
      <c r="X831">
        <f>IF(O831&lt;SUMIFS(M:M,R:R,1,E:E,E831)/SUMIFS(L:L,R:R,1,E:E,E831)*0.5,"Низшая четверть",IF(O831&lt;SUMIFS(M:M,R:R,1,E:E,E831)/SUMIFS(L:L,R:R,1,E:E,E831),"Вторая четверть","Больше половины"))</f>
        <v/>
      </c>
      <c r="Y831" t="n">
        <v>8</v>
      </c>
    </row>
    <row r="832">
      <c r="A832" s="1" t="inlineStr">
        <is>
          <t>a6000310</t>
        </is>
      </c>
      <c r="B832" s="2" t="inlineStr">
        <is>
          <t>715352167</t>
        </is>
      </c>
      <c r="C832" s="3" t="inlineStr">
        <is>
          <t>Одежда для детей</t>
        </is>
      </c>
      <c r="D832" s="2" t="inlineStr">
        <is>
          <t>Платья, майки, футболки детские для девочек</t>
        </is>
      </c>
      <c r="E832" s="3" t="inlineStr">
        <is>
          <t>a60 Футболка детская для девочек</t>
        </is>
      </c>
      <c r="F832" s="2" t="inlineStr">
        <is>
          <t>всесезонный</t>
        </is>
      </c>
      <c r="G832" s="3" t="inlineStr">
        <is>
          <t>Kari KIDS</t>
        </is>
      </c>
      <c r="H832" s="2" t="inlineStr">
        <is>
          <t>Зиннуров Ильнур</t>
        </is>
      </c>
      <c r="J832" s="3" t="inlineStr">
        <is>
          <t>2026SS</t>
        </is>
      </c>
      <c r="K832" s="3" t="n">
        <v>2128</v>
      </c>
      <c r="L832" s="3" t="n">
        <v>561</v>
      </c>
      <c r="M832" s="3" t="n">
        <v>2</v>
      </c>
      <c r="N832" s="4">
        <f>IFERROR(L832/K832,0)</f>
        <v/>
      </c>
      <c r="O832" s="4">
        <f>IFERROR(M832/L832,0)</f>
        <v/>
      </c>
      <c r="P832" t="n">
        <v>249</v>
      </c>
      <c r="Q832" s="5" t="n">
        <v>1</v>
      </c>
      <c r="R832" s="7" t="n">
        <v>1</v>
      </c>
      <c r="S832">
        <f>IF(OR(N832&lt;$T$1*0.5,O832&lt;$U$1*0.5),"код для проверки","нормальный код")</f>
        <v/>
      </c>
      <c r="T832">
        <f>IF(N832&lt;$T$1*0.5,"Низшая четверть",IF(N832&lt;$T$1,"Вторая четверть","Больше половины"))</f>
        <v/>
      </c>
      <c r="U832">
        <f>IF(O832&lt;$U$1*0.5,"Низшая четверть",IF(O832&lt;$U$1,"Вторая четверть","Больше половины"))</f>
        <v/>
      </c>
      <c r="V832">
        <f>IF(OR(N832&lt;SUMIFS(L:L,R:R,1,E:E,E832)/SUMIFS(K:K,R:R,1,E:E,E832)*0.5,O832&lt;SUMIFS(M:M,R:R,1,E:E,E832)/SUMIFS(L:L,R:R,1,E:E,E832)*0.5),"код для проверки","нормальный код")</f>
        <v/>
      </c>
      <c r="W832">
        <f>IF(N832&lt;SUMIFS(L:L,R:R,1,E:E,E832)/SUMIFS(K:K,R:R,1,E:E,E832)*0.5,"Низшая четверть",IF(N832&lt;SUMIFS(L:L,R:R,1,E:E,E832)/SUMIFS(K:K,R:R,1,E:E,E832),"Вторая четверть","Больше половины"))</f>
        <v/>
      </c>
      <c r="X832">
        <f>IF(O832&lt;SUMIFS(M:M,R:R,1,E:E,E832)/SUMIFS(L:L,R:R,1,E:E,E832)*0.5,"Низшая четверть",IF(O832&lt;SUMIFS(M:M,R:R,1,E:E,E832)/SUMIFS(L:L,R:R,1,E:E,E832),"Вторая четверть","Больше половины"))</f>
        <v/>
      </c>
      <c r="Y832" t="n">
        <v>8</v>
      </c>
    </row>
    <row r="833">
      <c r="A833" s="1" t="inlineStr">
        <is>
          <t>19600110</t>
        </is>
      </c>
      <c r="B833" s="2" t="inlineStr">
        <is>
          <t>768078878</t>
        </is>
      </c>
      <c r="C833" s="3" t="inlineStr">
        <is>
          <t>Одежда и аксессуары</t>
        </is>
      </c>
      <c r="D833" s="2" t="inlineStr">
        <is>
          <t>Майки и платья женские</t>
        </is>
      </c>
      <c r="E833" s="3" t="inlineStr">
        <is>
          <t>196 Майка женская</t>
        </is>
      </c>
      <c r="F833" s="2" t="inlineStr">
        <is>
          <t>всесезонный</t>
        </is>
      </c>
      <c r="G833" s="3" t="inlineStr">
        <is>
          <t>kari</t>
        </is>
      </c>
      <c r="H833" s="2" t="inlineStr">
        <is>
          <t>Зиннуров Ильнур</t>
        </is>
      </c>
      <c r="J833" s="3" t="inlineStr">
        <is>
          <t>2026SS</t>
        </is>
      </c>
      <c r="K833" s="3" t="n">
        <v>2109</v>
      </c>
      <c r="L833" s="3" t="n">
        <v>180</v>
      </c>
      <c r="M833" s="3" t="n">
        <v>3</v>
      </c>
      <c r="N833" s="4">
        <f>IFERROR(L833/K833,0)</f>
        <v/>
      </c>
      <c r="O833" s="4">
        <f>IFERROR(M833/L833,0)</f>
        <v/>
      </c>
      <c r="P833" t="n">
        <v>236</v>
      </c>
      <c r="Q833" s="5" t="n">
        <v>1</v>
      </c>
      <c r="R833" s="7" t="n">
        <v>1</v>
      </c>
      <c r="S833">
        <f>IF(OR(N833&lt;$T$1*0.5,O833&lt;$U$1*0.5),"код для проверки","нормальный код")</f>
        <v/>
      </c>
      <c r="T833">
        <f>IF(N833&lt;$T$1*0.5,"Низшая четверть",IF(N833&lt;$T$1,"Вторая четверть","Больше половины"))</f>
        <v/>
      </c>
      <c r="U833">
        <f>IF(O833&lt;$U$1*0.5,"Низшая четверть",IF(O833&lt;$U$1,"Вторая четверть","Больше половины"))</f>
        <v/>
      </c>
      <c r="V833">
        <f>IF(OR(N833&lt;SUMIFS(L:L,R:R,1,E:E,E833)/SUMIFS(K:K,R:R,1,E:E,E833)*0.5,O833&lt;SUMIFS(M:M,R:R,1,E:E,E833)/SUMIFS(L:L,R:R,1,E:E,E833)*0.5),"код для проверки","нормальный код")</f>
        <v/>
      </c>
      <c r="W833">
        <f>IF(N833&lt;SUMIFS(L:L,R:R,1,E:E,E833)/SUMIFS(K:K,R:R,1,E:E,E833)*0.5,"Низшая четверть",IF(N833&lt;SUMIFS(L:L,R:R,1,E:E,E833)/SUMIFS(K:K,R:R,1,E:E,E833),"Вторая четверть","Больше половины"))</f>
        <v/>
      </c>
      <c r="X833">
        <f>IF(O833&lt;SUMIFS(M:M,R:R,1,E:E,E833)/SUMIFS(L:L,R:R,1,E:E,E833)*0.5,"Низшая четверть",IF(O833&lt;SUMIFS(M:M,R:R,1,E:E,E833)/SUMIFS(L:L,R:R,1,E:E,E833),"Вторая четверть","Больше половины"))</f>
        <v/>
      </c>
      <c r="Y833" t="n">
        <v>18</v>
      </c>
    </row>
    <row r="834">
      <c r="A834" s="1" t="inlineStr">
        <is>
          <t>h0508000</t>
        </is>
      </c>
      <c r="B834" s="2" t="inlineStr">
        <is>
          <t>316544890</t>
        </is>
      </c>
      <c r="C834" s="3" t="inlineStr">
        <is>
          <t>Одежда и аксессуары</t>
        </is>
      </c>
      <c r="D834" s="2" t="inlineStr">
        <is>
          <t>Брюки, шорты мужские</t>
        </is>
      </c>
      <c r="E834" s="3" t="inlineStr">
        <is>
          <t>h05 Брюки мужские</t>
        </is>
      </c>
      <c r="F834" s="2" t="inlineStr">
        <is>
          <t>всесезонный</t>
        </is>
      </c>
      <c r="G834" s="3" t="inlineStr">
        <is>
          <t>kari</t>
        </is>
      </c>
      <c r="H834" s="2" t="inlineStr">
        <is>
          <t>Зиннуров Ильнур</t>
        </is>
      </c>
      <c r="J834" s="3" t="inlineStr">
        <is>
          <t>2026SS</t>
        </is>
      </c>
      <c r="K834" s="3" t="n">
        <v>2108</v>
      </c>
      <c r="L834" s="3" t="n">
        <v>253</v>
      </c>
      <c r="M834" s="3" t="n">
        <v>9</v>
      </c>
      <c r="N834" s="4">
        <f>IFERROR(L834/K834,0)</f>
        <v/>
      </c>
      <c r="O834" s="4">
        <f>IFERROR(M834/L834,0)</f>
        <v/>
      </c>
      <c r="P834" t="n">
        <v>165</v>
      </c>
      <c r="Q834" s="5" t="n">
        <v>0.8</v>
      </c>
      <c r="R834" s="7" t="n">
        <v>1</v>
      </c>
      <c r="S834">
        <f>IF(OR(N834&lt;$T$1*0.5,O834&lt;$U$1*0.5),"код для проверки","нормальный код")</f>
        <v/>
      </c>
      <c r="T834">
        <f>IF(N834&lt;$T$1*0.5,"Низшая четверть",IF(N834&lt;$T$1,"Вторая четверть","Больше половины"))</f>
        <v/>
      </c>
      <c r="U834">
        <f>IF(O834&lt;$U$1*0.5,"Низшая четверть",IF(O834&lt;$U$1,"Вторая четверть","Больше половины"))</f>
        <v/>
      </c>
      <c r="V834">
        <f>IF(OR(N834&lt;SUMIFS(L:L,R:R,1,E:E,E834)/SUMIFS(K:K,R:R,1,E:E,E834)*0.5,O834&lt;SUMIFS(M:M,R:R,1,E:E,E834)/SUMIFS(L:L,R:R,1,E:E,E834)*0.5),"код для проверки","нормальный код")</f>
        <v/>
      </c>
      <c r="W834">
        <f>IF(N834&lt;SUMIFS(L:L,R:R,1,E:E,E834)/SUMIFS(K:K,R:R,1,E:E,E834)*0.5,"Низшая четверть",IF(N834&lt;SUMIFS(L:L,R:R,1,E:E,E834)/SUMIFS(K:K,R:R,1,E:E,E834),"Вторая четверть","Больше половины"))</f>
        <v/>
      </c>
      <c r="X834">
        <f>IF(O834&lt;SUMIFS(M:M,R:R,1,E:E,E834)/SUMIFS(L:L,R:R,1,E:E,E834)*0.5,"Низшая четверть",IF(O834&lt;SUMIFS(M:M,R:R,1,E:E,E834)/SUMIFS(L:L,R:R,1,E:E,E834),"Вторая четверть","Больше половины"))</f>
        <v/>
      </c>
      <c r="Y834" t="n">
        <v>6</v>
      </c>
    </row>
    <row r="835">
      <c r="A835" s="1" t="inlineStr">
        <is>
          <t>a9100080</t>
        </is>
      </c>
      <c r="B835" s="2" t="inlineStr">
        <is>
          <t>808387962</t>
        </is>
      </c>
      <c r="C835" s="3" t="inlineStr">
        <is>
          <t>Одежда для детей</t>
        </is>
      </c>
      <c r="D835" s="2" t="inlineStr">
        <is>
          <t>Свитера детские для мальчиков</t>
        </is>
      </c>
      <c r="E835" s="3" t="inlineStr">
        <is>
          <t>a91 Свитшот для мальчика</t>
        </is>
      </c>
      <c r="F835" s="2" t="inlineStr">
        <is>
          <t>весна, лето, осень</t>
        </is>
      </c>
      <c r="G835" s="3" t="inlineStr">
        <is>
          <t>kari</t>
        </is>
      </c>
      <c r="H835" s="2" t="inlineStr">
        <is>
          <t>Зиннуров Ильнур</t>
        </is>
      </c>
      <c r="J835" s="3" t="inlineStr">
        <is>
          <t>2026SS</t>
        </is>
      </c>
      <c r="K835" s="3" t="n">
        <v>2107</v>
      </c>
      <c r="L835" s="3" t="n">
        <v>285</v>
      </c>
      <c r="M835" s="3" t="n">
        <v>7</v>
      </c>
      <c r="N835" s="4">
        <f>IFERROR(L835/K835,0)</f>
        <v/>
      </c>
      <c r="O835" s="4">
        <f>IFERROR(M835/L835,0)</f>
        <v/>
      </c>
      <c r="P835" t="n">
        <v>504</v>
      </c>
      <c r="Q835" s="5" t="n">
        <v>1</v>
      </c>
      <c r="R835" s="7" t="n">
        <v>1</v>
      </c>
      <c r="S835">
        <f>IF(OR(N835&lt;$T$1*0.5,O835&lt;$U$1*0.5),"код для проверки","нормальный код")</f>
        <v/>
      </c>
      <c r="T835">
        <f>IF(N835&lt;$T$1*0.5,"Низшая четверть",IF(N835&lt;$T$1,"Вторая четверть","Больше половины"))</f>
        <v/>
      </c>
      <c r="U835">
        <f>IF(O835&lt;$U$1*0.5,"Низшая четверть",IF(O835&lt;$U$1,"Вторая четверть","Больше половины"))</f>
        <v/>
      </c>
      <c r="V835">
        <f>IF(OR(N835&lt;SUMIFS(L:L,R:R,1,E:E,E835)/SUMIFS(K:K,R:R,1,E:E,E835)*0.5,O835&lt;SUMIFS(M:M,R:R,1,E:E,E835)/SUMIFS(L:L,R:R,1,E:E,E835)*0.5),"код для проверки","нормальный код")</f>
        <v/>
      </c>
      <c r="W835">
        <f>IF(N835&lt;SUMIFS(L:L,R:R,1,E:E,E835)/SUMIFS(K:K,R:R,1,E:E,E835)*0.5,"Низшая четверть",IF(N835&lt;SUMIFS(L:L,R:R,1,E:E,E835)/SUMIFS(K:K,R:R,1,E:E,E835),"Вторая четверть","Больше половины"))</f>
        <v/>
      </c>
      <c r="X835">
        <f>IF(O835&lt;SUMIFS(M:M,R:R,1,E:E,E835)/SUMIFS(L:L,R:R,1,E:E,E835)*0.5,"Низшая четверть",IF(O835&lt;SUMIFS(M:M,R:R,1,E:E,E835)/SUMIFS(L:L,R:R,1,E:E,E835),"Вторая четверть","Больше половины"))</f>
        <v/>
      </c>
      <c r="Y835" t="n">
        <v>14</v>
      </c>
    </row>
    <row r="836">
      <c r="A836" s="1" t="inlineStr">
        <is>
          <t>88300220</t>
        </is>
      </c>
      <c r="B836" s="2" t="inlineStr">
        <is>
          <t>714592630</t>
        </is>
      </c>
      <c r="C836" s="3" t="inlineStr">
        <is>
          <t>Одежда для детей</t>
        </is>
      </c>
      <c r="D836" s="2" t="inlineStr">
        <is>
          <t>Платья, майки, футболки детские для девочек</t>
        </is>
      </c>
      <c r="E836" s="3" t="inlineStr">
        <is>
          <t>883 Футболка длинный рукав детская для девочек</t>
        </is>
      </c>
      <c r="F836" s="2" t="inlineStr">
        <is>
          <t>всесезонный</t>
        </is>
      </c>
      <c r="G836" s="3" t="inlineStr">
        <is>
          <t>Kari KIDS</t>
        </is>
      </c>
      <c r="H836" s="2" t="inlineStr">
        <is>
          <t>Зиннуров Ильнур</t>
        </is>
      </c>
      <c r="J836" s="3" t="inlineStr">
        <is>
          <t>2026SS</t>
        </is>
      </c>
      <c r="K836" s="3" t="n">
        <v>2107</v>
      </c>
      <c r="L836" s="3" t="n">
        <v>273</v>
      </c>
      <c r="M836" s="3" t="n">
        <v>2</v>
      </c>
      <c r="N836" s="4">
        <f>IFERROR(L836/K836,0)</f>
        <v/>
      </c>
      <c r="O836" s="4">
        <f>IFERROR(M836/L836,0)</f>
        <v/>
      </c>
      <c r="P836" t="n">
        <v>350</v>
      </c>
      <c r="Q836" s="5" t="n">
        <v>1</v>
      </c>
      <c r="R836" s="7" t="n">
        <v>1</v>
      </c>
      <c r="S836">
        <f>IF(OR(N836&lt;$T$1*0.5,O836&lt;$U$1*0.5),"код для проверки","нормальный код")</f>
        <v/>
      </c>
      <c r="T836">
        <f>IF(N836&lt;$T$1*0.5,"Низшая четверть",IF(N836&lt;$T$1,"Вторая четверть","Больше половины"))</f>
        <v/>
      </c>
      <c r="U836">
        <f>IF(O836&lt;$U$1*0.5,"Низшая четверть",IF(O836&lt;$U$1,"Вторая четверть","Больше половины"))</f>
        <v/>
      </c>
      <c r="V836">
        <f>IF(OR(N836&lt;SUMIFS(L:L,R:R,1,E:E,E836)/SUMIFS(K:K,R:R,1,E:E,E836)*0.5,O836&lt;SUMIFS(M:M,R:R,1,E:E,E836)/SUMIFS(L:L,R:R,1,E:E,E836)*0.5),"код для проверки","нормальный код")</f>
        <v/>
      </c>
      <c r="W836">
        <f>IF(N836&lt;SUMIFS(L:L,R:R,1,E:E,E836)/SUMIFS(K:K,R:R,1,E:E,E836)*0.5,"Низшая четверть",IF(N836&lt;SUMIFS(L:L,R:R,1,E:E,E836)/SUMIFS(K:K,R:R,1,E:E,E836),"Вторая четверть","Больше половины"))</f>
        <v/>
      </c>
      <c r="X836">
        <f>IF(O836&lt;SUMIFS(M:M,R:R,1,E:E,E836)/SUMIFS(L:L,R:R,1,E:E,E836)*0.5,"Низшая четверть",IF(O836&lt;SUMIFS(M:M,R:R,1,E:E,E836)/SUMIFS(L:L,R:R,1,E:E,E836),"Вторая четверть","Больше половины"))</f>
        <v/>
      </c>
      <c r="Y836" t="n">
        <v>15</v>
      </c>
    </row>
    <row r="837">
      <c r="A837" s="1" t="inlineStr">
        <is>
          <t>88100220</t>
        </is>
      </c>
      <c r="B837" s="2" t="inlineStr">
        <is>
          <t>697438328</t>
        </is>
      </c>
      <c r="C837" s="3" t="inlineStr">
        <is>
          <t>Одежда для детей</t>
        </is>
      </c>
      <c r="D837" s="2" t="inlineStr">
        <is>
          <t>Футболки, майки, рубашки детские для мальчиков</t>
        </is>
      </c>
      <c r="E837" s="3" t="inlineStr">
        <is>
          <t>881 Футболка длинный рукав детская для мальчиков</t>
        </is>
      </c>
      <c r="F837" s="2" t="inlineStr">
        <is>
          <t>всесезонный</t>
        </is>
      </c>
      <c r="G837" s="3" t="inlineStr">
        <is>
          <t>Kari KIDS</t>
        </is>
      </c>
      <c r="H837" s="2" t="inlineStr">
        <is>
          <t>Зиннуров Ильнур</t>
        </is>
      </c>
      <c r="J837" s="3" t="inlineStr">
        <is>
          <t>2026SS</t>
        </is>
      </c>
      <c r="K837" s="3" t="n">
        <v>2102</v>
      </c>
      <c r="L837" s="3" t="n">
        <v>205</v>
      </c>
      <c r="M837" s="3" t="n">
        <v>2</v>
      </c>
      <c r="N837" s="4">
        <f>IFERROR(L837/K837,0)</f>
        <v/>
      </c>
      <c r="O837" s="4">
        <f>IFERROR(M837/L837,0)</f>
        <v/>
      </c>
      <c r="P837" t="n">
        <v>235</v>
      </c>
      <c r="Q837" s="5" t="n">
        <v>1</v>
      </c>
      <c r="R837" s="7" t="n">
        <v>1</v>
      </c>
      <c r="S837">
        <f>IF(OR(N837&lt;$T$1*0.5,O837&lt;$U$1*0.5),"код для проверки","нормальный код")</f>
        <v/>
      </c>
      <c r="T837">
        <f>IF(N837&lt;$T$1*0.5,"Низшая четверть",IF(N837&lt;$T$1,"Вторая четверть","Больше половины"))</f>
        <v/>
      </c>
      <c r="U837">
        <f>IF(O837&lt;$U$1*0.5,"Низшая четверть",IF(O837&lt;$U$1,"Вторая четверть","Больше половины"))</f>
        <v/>
      </c>
      <c r="V837">
        <f>IF(OR(N837&lt;SUMIFS(L:L,R:R,1,E:E,E837)/SUMIFS(K:K,R:R,1,E:E,E837)*0.5,O837&lt;SUMIFS(M:M,R:R,1,E:E,E837)/SUMIFS(L:L,R:R,1,E:E,E837)*0.5),"код для проверки","нормальный код")</f>
        <v/>
      </c>
      <c r="W837">
        <f>IF(N837&lt;SUMIFS(L:L,R:R,1,E:E,E837)/SUMIFS(K:K,R:R,1,E:E,E837)*0.5,"Низшая четверть",IF(N837&lt;SUMIFS(L:L,R:R,1,E:E,E837)/SUMIFS(K:K,R:R,1,E:E,E837),"Вторая четверть","Больше половины"))</f>
        <v/>
      </c>
      <c r="X837">
        <f>IF(O837&lt;SUMIFS(M:M,R:R,1,E:E,E837)/SUMIFS(L:L,R:R,1,E:E,E837)*0.5,"Низшая четверть",IF(O837&lt;SUMIFS(M:M,R:R,1,E:E,E837)/SUMIFS(L:L,R:R,1,E:E,E837),"Вторая четверть","Больше половины"))</f>
        <v/>
      </c>
      <c r="Y837" t="n">
        <v>16</v>
      </c>
    </row>
    <row r="838">
      <c r="A838" s="1" t="inlineStr">
        <is>
          <t>a6000340</t>
        </is>
      </c>
      <c r="B838" s="2" t="inlineStr">
        <is>
          <t>701976617</t>
        </is>
      </c>
      <c r="C838" s="3" t="inlineStr">
        <is>
          <t>Одежда для детей</t>
        </is>
      </c>
      <c r="D838" s="2" t="inlineStr">
        <is>
          <t>Платья, майки, футболки детские для девочек</t>
        </is>
      </c>
      <c r="E838" s="3" t="inlineStr">
        <is>
          <t>a60 Футболка детская для девочек</t>
        </is>
      </c>
      <c r="F838" s="2" t="inlineStr">
        <is>
          <t>всесезонный</t>
        </is>
      </c>
      <c r="G838" s="3" t="inlineStr">
        <is>
          <t>Kari KIDS</t>
        </is>
      </c>
      <c r="H838" s="2" t="inlineStr">
        <is>
          <t>Зиннуров Ильнур</t>
        </is>
      </c>
      <c r="J838" s="3" t="inlineStr">
        <is>
          <t>2026SS</t>
        </is>
      </c>
      <c r="K838" s="3" t="n">
        <v>2101</v>
      </c>
      <c r="L838" s="3" t="n">
        <v>326</v>
      </c>
      <c r="M838" s="3" t="n">
        <v>2</v>
      </c>
      <c r="N838" s="4">
        <f>IFERROR(L838/K838,0)</f>
        <v/>
      </c>
      <c r="O838" s="4">
        <f>IFERROR(M838/L838,0)</f>
        <v/>
      </c>
      <c r="P838" t="n">
        <v>191</v>
      </c>
      <c r="Q838" s="5" t="n">
        <v>1</v>
      </c>
      <c r="R838" s="7" t="n">
        <v>1</v>
      </c>
      <c r="S838">
        <f>IF(OR(N838&lt;$T$1*0.5,O838&lt;$U$1*0.5),"код для проверки","нормальный код")</f>
        <v/>
      </c>
      <c r="T838">
        <f>IF(N838&lt;$T$1*0.5,"Низшая четверть",IF(N838&lt;$T$1,"Вторая четверть","Больше половины"))</f>
        <v/>
      </c>
      <c r="U838">
        <f>IF(O838&lt;$U$1*0.5,"Низшая четверть",IF(O838&lt;$U$1,"Вторая четверть","Больше половины"))</f>
        <v/>
      </c>
      <c r="V838">
        <f>IF(OR(N838&lt;SUMIFS(L:L,R:R,1,E:E,E838)/SUMIFS(K:K,R:R,1,E:E,E838)*0.5,O838&lt;SUMIFS(M:M,R:R,1,E:E,E838)/SUMIFS(L:L,R:R,1,E:E,E838)*0.5),"код для проверки","нормальный код")</f>
        <v/>
      </c>
      <c r="W838">
        <f>IF(N838&lt;SUMIFS(L:L,R:R,1,E:E,E838)/SUMIFS(K:K,R:R,1,E:E,E838)*0.5,"Низшая четверть",IF(N838&lt;SUMIFS(L:L,R:R,1,E:E,E838)/SUMIFS(K:K,R:R,1,E:E,E838),"Вторая четверть","Больше половины"))</f>
        <v/>
      </c>
      <c r="X838">
        <f>IF(O838&lt;SUMIFS(M:M,R:R,1,E:E,E838)/SUMIFS(L:L,R:R,1,E:E,E838)*0.5,"Низшая четверть",IF(O838&lt;SUMIFS(M:M,R:R,1,E:E,E838)/SUMIFS(L:L,R:R,1,E:E,E838),"Вторая четверть","Больше половины"))</f>
        <v/>
      </c>
      <c r="Y838" t="n">
        <v>18</v>
      </c>
    </row>
    <row r="839">
      <c r="A839" s="1" t="inlineStr">
        <is>
          <t>a5200120</t>
        </is>
      </c>
      <c r="B839" s="2" t="inlineStr">
        <is>
          <t>788948149</t>
        </is>
      </c>
      <c r="C839" s="3" t="inlineStr">
        <is>
          <t>Одежда для детей</t>
        </is>
      </c>
      <c r="D839" s="2" t="inlineStr">
        <is>
          <t>Брюки детские для девочек</t>
        </is>
      </c>
      <c r="E839" s="3" t="inlineStr">
        <is>
          <t>a52 Брюки летние для девочек</t>
        </is>
      </c>
      <c r="F839" s="2" t="inlineStr">
        <is>
          <t>весна, лето</t>
        </is>
      </c>
      <c r="G839" s="3" t="inlineStr">
        <is>
          <t>kari</t>
        </is>
      </c>
      <c r="H839" s="2" t="inlineStr">
        <is>
          <t>Зиннуров Ильнур</t>
        </is>
      </c>
      <c r="J839" s="3" t="inlineStr">
        <is>
          <t>2026SS</t>
        </is>
      </c>
      <c r="K839" s="3" t="n">
        <v>2098</v>
      </c>
      <c r="L839" s="3" t="n">
        <v>132</v>
      </c>
      <c r="M839" s="3" t="n">
        <v>4</v>
      </c>
      <c r="N839" s="4">
        <f>IFERROR(L839/K839,0)</f>
        <v/>
      </c>
      <c r="O839" s="4">
        <f>IFERROR(M839/L839,0)</f>
        <v/>
      </c>
      <c r="P839" t="n">
        <v>275</v>
      </c>
      <c r="Q839" s="5" t="n">
        <v>1</v>
      </c>
      <c r="R839" s="7" t="n">
        <v>1</v>
      </c>
      <c r="S839">
        <f>IF(OR(N839&lt;$T$1*0.5,O839&lt;$U$1*0.5),"код для проверки","нормальный код")</f>
        <v/>
      </c>
      <c r="T839">
        <f>IF(N839&lt;$T$1*0.5,"Низшая четверть",IF(N839&lt;$T$1,"Вторая четверть","Больше половины"))</f>
        <v/>
      </c>
      <c r="U839">
        <f>IF(O839&lt;$U$1*0.5,"Низшая четверть",IF(O839&lt;$U$1,"Вторая четверть","Больше половины"))</f>
        <v/>
      </c>
      <c r="V839">
        <f>IF(OR(N839&lt;SUMIFS(L:L,R:R,1,E:E,E839)/SUMIFS(K:K,R:R,1,E:E,E839)*0.5,O839&lt;SUMIFS(M:M,R:R,1,E:E,E839)/SUMIFS(L:L,R:R,1,E:E,E839)*0.5),"код для проверки","нормальный код")</f>
        <v/>
      </c>
      <c r="W839">
        <f>IF(N839&lt;SUMIFS(L:L,R:R,1,E:E,E839)/SUMIFS(K:K,R:R,1,E:E,E839)*0.5,"Низшая четверть",IF(N839&lt;SUMIFS(L:L,R:R,1,E:E,E839)/SUMIFS(K:K,R:R,1,E:E,E839),"Вторая четверть","Больше половины"))</f>
        <v/>
      </c>
      <c r="X839">
        <f>IF(O839&lt;SUMIFS(M:M,R:R,1,E:E,E839)/SUMIFS(L:L,R:R,1,E:E,E839)*0.5,"Низшая четверть",IF(O839&lt;SUMIFS(M:M,R:R,1,E:E,E839)/SUMIFS(L:L,R:R,1,E:E,E839),"Вторая четверть","Больше половины"))</f>
        <v/>
      </c>
      <c r="Y839" t="n">
        <v>19</v>
      </c>
    </row>
    <row r="840">
      <c r="A840" s="1" t="inlineStr">
        <is>
          <t>a8000010</t>
        </is>
      </c>
      <c r="B840" s="2" t="inlineStr">
        <is>
          <t>695348246</t>
        </is>
      </c>
      <c r="C840" s="3" t="inlineStr">
        <is>
          <t>Одежда для детей</t>
        </is>
      </c>
      <c r="D840" s="2" t="inlineStr">
        <is>
          <t>Свитера детские для мальчиков</t>
        </is>
      </c>
      <c r="E840" s="3" t="inlineStr">
        <is>
          <t>a80 Толстовка-бомбер для мальчиков</t>
        </is>
      </c>
      <c r="F840" s="2" t="inlineStr">
        <is>
          <t>весна, лето, осень</t>
        </is>
      </c>
      <c r="G840" s="3" t="inlineStr">
        <is>
          <t>Kari KIDS</t>
        </is>
      </c>
      <c r="H840" s="2" t="inlineStr">
        <is>
          <t>Зиннуров Ильнур</t>
        </is>
      </c>
      <c r="J840" s="3" t="inlineStr">
        <is>
          <t>2026SS</t>
        </is>
      </c>
      <c r="K840" s="3" t="n">
        <v>2091</v>
      </c>
      <c r="L840" s="3" t="n">
        <v>310</v>
      </c>
      <c r="M840" s="3" t="n">
        <v>1</v>
      </c>
      <c r="N840" s="4">
        <f>IFERROR(L840/K840,0)</f>
        <v/>
      </c>
      <c r="O840" s="4">
        <f>IFERROR(M840/L840,0)</f>
        <v/>
      </c>
      <c r="P840" t="n">
        <v>204</v>
      </c>
      <c r="Q840" s="5" t="n">
        <v>1</v>
      </c>
      <c r="R840" s="7" t="n">
        <v>1</v>
      </c>
      <c r="S840">
        <f>IF(OR(N840&lt;$T$1*0.5,O840&lt;$U$1*0.5),"код для проверки","нормальный код")</f>
        <v/>
      </c>
      <c r="T840">
        <f>IF(N840&lt;$T$1*0.5,"Низшая четверть",IF(N840&lt;$T$1,"Вторая четверть","Больше половины"))</f>
        <v/>
      </c>
      <c r="U840">
        <f>IF(O840&lt;$U$1*0.5,"Низшая четверть",IF(O840&lt;$U$1,"Вторая четверть","Больше половины"))</f>
        <v/>
      </c>
      <c r="V840">
        <f>IF(OR(N840&lt;SUMIFS(L:L,R:R,1,E:E,E840)/SUMIFS(K:K,R:R,1,E:E,E840)*0.5,O840&lt;SUMIFS(M:M,R:R,1,E:E,E840)/SUMIFS(L:L,R:R,1,E:E,E840)*0.5),"код для проверки","нормальный код")</f>
        <v/>
      </c>
      <c r="W840">
        <f>IF(N840&lt;SUMIFS(L:L,R:R,1,E:E,E840)/SUMIFS(K:K,R:R,1,E:E,E840)*0.5,"Низшая четверть",IF(N840&lt;SUMIFS(L:L,R:R,1,E:E,E840)/SUMIFS(K:K,R:R,1,E:E,E840),"Вторая четверть","Больше половины"))</f>
        <v/>
      </c>
      <c r="X840">
        <f>IF(O840&lt;SUMIFS(M:M,R:R,1,E:E,E840)/SUMIFS(L:L,R:R,1,E:E,E840)*0.5,"Низшая четверть",IF(O840&lt;SUMIFS(M:M,R:R,1,E:E,E840)/SUMIFS(L:L,R:R,1,E:E,E840),"Вторая четверть","Больше половины"))</f>
        <v/>
      </c>
      <c r="Y840" t="n">
        <v>20</v>
      </c>
    </row>
    <row r="841">
      <c r="A841" s="1" t="inlineStr">
        <is>
          <t>y9706020</t>
        </is>
      </c>
      <c r="B841" s="2" t="inlineStr">
        <is>
          <t>210009194</t>
        </is>
      </c>
      <c r="C841" s="3" t="inlineStr">
        <is>
          <t>Одежда и аксессуары</t>
        </is>
      </c>
      <c r="D841" s="2" t="inlineStr">
        <is>
          <t>Спортивная одежда для мужчин</t>
        </is>
      </c>
      <c r="E841" s="3" t="inlineStr">
        <is>
          <t>y97 Футболка мужская</t>
        </is>
      </c>
      <c r="F841" s="2" t="inlineStr">
        <is>
          <t>всесезонный</t>
        </is>
      </c>
      <c r="G841" s="3" t="inlineStr">
        <is>
          <t>kari</t>
        </is>
      </c>
      <c r="H841" s="2" t="inlineStr">
        <is>
          <t>Зиннуров Ильнур</t>
        </is>
      </c>
      <c r="J841" s="3" t="inlineStr">
        <is>
          <t>2026SS</t>
        </is>
      </c>
      <c r="K841" s="3" t="n">
        <v>2089</v>
      </c>
      <c r="L841" s="3" t="n">
        <v>80</v>
      </c>
      <c r="M841" s="3" t="n">
        <v>4</v>
      </c>
      <c r="N841" s="4">
        <f>IFERROR(L841/K841,0)</f>
        <v/>
      </c>
      <c r="O841" s="4">
        <f>IFERROR(M841/L841,0)</f>
        <v/>
      </c>
      <c r="P841" t="n">
        <v>381</v>
      </c>
      <c r="Q841" s="5" t="n">
        <v>1</v>
      </c>
      <c r="R841" s="7" t="n">
        <v>1</v>
      </c>
      <c r="S841">
        <f>IF(OR(N841&lt;$T$1*0.5,O841&lt;$U$1*0.5),"код для проверки","нормальный код")</f>
        <v/>
      </c>
      <c r="T841">
        <f>IF(N841&lt;$T$1*0.5,"Низшая четверть",IF(N841&lt;$T$1,"Вторая четверть","Больше половины"))</f>
        <v/>
      </c>
      <c r="U841">
        <f>IF(O841&lt;$U$1*0.5,"Низшая четверть",IF(O841&lt;$U$1,"Вторая четверть","Больше половины"))</f>
        <v/>
      </c>
      <c r="V841">
        <f>IF(OR(N841&lt;SUMIFS(L:L,R:R,1,E:E,E841)/SUMIFS(K:K,R:R,1,E:E,E841)*0.5,O841&lt;SUMIFS(M:M,R:R,1,E:E,E841)/SUMIFS(L:L,R:R,1,E:E,E841)*0.5),"код для проверки","нормальный код")</f>
        <v/>
      </c>
      <c r="W841">
        <f>IF(N841&lt;SUMIFS(L:L,R:R,1,E:E,E841)/SUMIFS(K:K,R:R,1,E:E,E841)*0.5,"Низшая четверть",IF(N841&lt;SUMIFS(L:L,R:R,1,E:E,E841)/SUMIFS(K:K,R:R,1,E:E,E841),"Вторая четверть","Больше половины"))</f>
        <v/>
      </c>
      <c r="X841">
        <f>IF(O841&lt;SUMIFS(M:M,R:R,1,E:E,E841)/SUMIFS(L:L,R:R,1,E:E,E841)*0.5,"Низшая четверть",IF(O841&lt;SUMIFS(M:M,R:R,1,E:E,E841)/SUMIFS(L:L,R:R,1,E:E,E841),"Вторая четверть","Больше половины"))</f>
        <v/>
      </c>
      <c r="Y841" t="n">
        <v>8</v>
      </c>
    </row>
    <row r="842">
      <c r="A842" s="1" t="inlineStr">
        <is>
          <t>a8900140</t>
        </is>
      </c>
      <c r="B842" s="2" t="inlineStr">
        <is>
          <t>762346881</t>
        </is>
      </c>
      <c r="C842" s="3" t="inlineStr">
        <is>
          <t>Одежда для детей</t>
        </is>
      </c>
      <c r="D842" s="2" t="inlineStr">
        <is>
          <t>Свитера детские для девочек</t>
        </is>
      </c>
      <c r="E842" s="3" t="inlineStr">
        <is>
          <t>a89 Свитшот для девочки</t>
        </is>
      </c>
      <c r="F842" s="2" t="inlineStr">
        <is>
          <t>весна, лето, осень</t>
        </is>
      </c>
      <c r="G842" s="3" t="inlineStr">
        <is>
          <t>kari</t>
        </is>
      </c>
      <c r="H842" s="2" t="inlineStr">
        <is>
          <t>Зиннуров Ильнур</t>
        </is>
      </c>
      <c r="J842" s="3" t="inlineStr">
        <is>
          <t>2026SS</t>
        </is>
      </c>
      <c r="K842" s="3" t="n">
        <v>2082</v>
      </c>
      <c r="L842" s="3" t="n">
        <v>167</v>
      </c>
      <c r="M842" s="3" t="n">
        <v>5</v>
      </c>
      <c r="N842" s="4">
        <f>IFERROR(L842/K842,0)</f>
        <v/>
      </c>
      <c r="O842" s="4">
        <f>IFERROR(M842/L842,0)</f>
        <v/>
      </c>
      <c r="P842" t="n">
        <v>641</v>
      </c>
      <c r="Q842" s="5" t="n">
        <v>1</v>
      </c>
      <c r="R842" s="7" t="n">
        <v>1</v>
      </c>
      <c r="S842">
        <f>IF(OR(N842&lt;$T$1*0.5,O842&lt;$U$1*0.5),"код для проверки","нормальный код")</f>
        <v/>
      </c>
      <c r="T842">
        <f>IF(N842&lt;$T$1*0.5,"Низшая четверть",IF(N842&lt;$T$1,"Вторая четверть","Больше половины"))</f>
        <v/>
      </c>
      <c r="U842">
        <f>IF(O842&lt;$U$1*0.5,"Низшая четверть",IF(O842&lt;$U$1,"Вторая четверть","Больше половины"))</f>
        <v/>
      </c>
      <c r="V842">
        <f>IF(OR(N842&lt;SUMIFS(L:L,R:R,1,E:E,E842)/SUMIFS(K:K,R:R,1,E:E,E842)*0.5,O842&lt;SUMIFS(M:M,R:R,1,E:E,E842)/SUMIFS(L:L,R:R,1,E:E,E842)*0.5),"код для проверки","нормальный код")</f>
        <v/>
      </c>
      <c r="W842">
        <f>IF(N842&lt;SUMIFS(L:L,R:R,1,E:E,E842)/SUMIFS(K:K,R:R,1,E:E,E842)*0.5,"Низшая четверть",IF(N842&lt;SUMIFS(L:L,R:R,1,E:E,E842)/SUMIFS(K:K,R:R,1,E:E,E842),"Вторая четверть","Больше половины"))</f>
        <v/>
      </c>
      <c r="X842">
        <f>IF(O842&lt;SUMIFS(M:M,R:R,1,E:E,E842)/SUMIFS(L:L,R:R,1,E:E,E842)*0.5,"Низшая четверть",IF(O842&lt;SUMIFS(M:M,R:R,1,E:E,E842)/SUMIFS(L:L,R:R,1,E:E,E842),"Вторая четверть","Больше половины"))</f>
        <v/>
      </c>
      <c r="Y842" t="n">
        <v>17</v>
      </c>
    </row>
    <row r="843">
      <c r="A843" s="1" t="inlineStr">
        <is>
          <t>90000050</t>
        </is>
      </c>
      <c r="B843" s="2" t="inlineStr">
        <is>
          <t>879308852</t>
        </is>
      </c>
      <c r="C843" s="3" t="inlineStr">
        <is>
          <t>Одежда для детей</t>
        </is>
      </c>
      <c r="D843" s="2" t="inlineStr">
        <is>
          <t>Одежда для новорожденных</t>
        </is>
      </c>
      <c r="E843" s="3" t="inlineStr">
        <is>
          <t>900 Штанишки для маленького мальчика</t>
        </is>
      </c>
      <c r="F843" s="2" t="inlineStr">
        <is>
          <t>всесезонный</t>
        </is>
      </c>
      <c r="G843" s="3" t="inlineStr">
        <is>
          <t>Kari baby</t>
        </is>
      </c>
      <c r="H843" s="2" t="inlineStr">
        <is>
          <t>Зиннуров Ильнур</t>
        </is>
      </c>
      <c r="J843" s="3" t="inlineStr">
        <is>
          <t>2026SS</t>
        </is>
      </c>
      <c r="K843" s="3" t="n">
        <v>2074</v>
      </c>
      <c r="L843" s="3" t="n">
        <v>98</v>
      </c>
      <c r="M843" s="3" t="n">
        <v>9</v>
      </c>
      <c r="N843" s="4">
        <f>IFERROR(L843/K843,0)</f>
        <v/>
      </c>
      <c r="O843" s="4">
        <f>IFERROR(M843/L843,0)</f>
        <v/>
      </c>
      <c r="P843" t="n">
        <v>448</v>
      </c>
      <c r="Q843" s="5" t="n">
        <v>1</v>
      </c>
      <c r="R843" s="7" t="n">
        <v>1</v>
      </c>
      <c r="S843">
        <f>IF(OR(N843&lt;$T$1*0.5,O843&lt;$U$1*0.5),"код для проверки","нормальный код")</f>
        <v/>
      </c>
      <c r="T843">
        <f>IF(N843&lt;$T$1*0.5,"Низшая четверть",IF(N843&lt;$T$1,"Вторая четверть","Больше половины"))</f>
        <v/>
      </c>
      <c r="U843">
        <f>IF(O843&lt;$U$1*0.5,"Низшая четверть",IF(O843&lt;$U$1,"Вторая четверть","Больше половины"))</f>
        <v/>
      </c>
      <c r="V843">
        <f>IF(OR(N843&lt;SUMIFS(L:L,R:R,1,E:E,E843)/SUMIFS(K:K,R:R,1,E:E,E843)*0.5,O843&lt;SUMIFS(M:M,R:R,1,E:E,E843)/SUMIFS(L:L,R:R,1,E:E,E843)*0.5),"код для проверки","нормальный код")</f>
        <v/>
      </c>
      <c r="W843">
        <f>IF(N843&lt;SUMIFS(L:L,R:R,1,E:E,E843)/SUMIFS(K:K,R:R,1,E:E,E843)*0.5,"Низшая четверть",IF(N843&lt;SUMIFS(L:L,R:R,1,E:E,E843)/SUMIFS(K:K,R:R,1,E:E,E843),"Вторая четверть","Больше половины"))</f>
        <v/>
      </c>
      <c r="X843">
        <f>IF(O843&lt;SUMIFS(M:M,R:R,1,E:E,E843)/SUMIFS(L:L,R:R,1,E:E,E843)*0.5,"Низшая четверть",IF(O843&lt;SUMIFS(M:M,R:R,1,E:E,E843)/SUMIFS(L:L,R:R,1,E:E,E843),"Вторая четверть","Больше половины"))</f>
        <v/>
      </c>
      <c r="Y843" t="n">
        <v>13</v>
      </c>
    </row>
    <row r="844">
      <c r="A844" s="1" t="inlineStr">
        <is>
          <t>094001D0</t>
        </is>
      </c>
      <c r="B844" s="2" t="inlineStr">
        <is>
          <t>804097378</t>
        </is>
      </c>
      <c r="C844" s="3" t="inlineStr">
        <is>
          <t>Одежда и аксессуары</t>
        </is>
      </c>
      <c r="D844" s="2" t="inlineStr">
        <is>
          <t>Купальники женские</t>
        </is>
      </c>
      <c r="E844" s="3" t="inlineStr">
        <is>
          <t>094 Купальник</t>
        </is>
      </c>
      <c r="F844" s="2" t="inlineStr">
        <is>
          <t>лето</t>
        </is>
      </c>
      <c r="G844" s="3" t="inlineStr">
        <is>
          <t>kari</t>
        </is>
      </c>
      <c r="H844" s="2" t="inlineStr">
        <is>
          <t>Никонорова Алина</t>
        </is>
      </c>
      <c r="J844" s="3" t="inlineStr">
        <is>
          <t>2026SS</t>
        </is>
      </c>
      <c r="K844" s="3" t="n">
        <v>2061</v>
      </c>
      <c r="L844" s="3" t="n">
        <v>2402</v>
      </c>
      <c r="M844" s="3" t="n">
        <v>5</v>
      </c>
      <c r="N844" s="4">
        <f>IFERROR(L844/K844,0)</f>
        <v/>
      </c>
      <c r="O844" s="4">
        <f>IFERROR(M844/L844,0)</f>
        <v/>
      </c>
      <c r="P844" t="n">
        <v>1217</v>
      </c>
      <c r="Q844" s="5" t="n">
        <v>0.6666666666666666</v>
      </c>
      <c r="R844" s="7" t="n">
        <v>1</v>
      </c>
      <c r="S844">
        <f>IF(OR(N844&lt;$T$1*0.5,O844&lt;$U$1*0.5),"код для проверки","нормальный код")</f>
        <v/>
      </c>
      <c r="T844">
        <f>IF(N844&lt;$T$1*0.5,"Низшая четверть",IF(N844&lt;$T$1,"Вторая четверть","Больше половины"))</f>
        <v/>
      </c>
      <c r="U844">
        <f>IF(O844&lt;$U$1*0.5,"Низшая четверть",IF(O844&lt;$U$1,"Вторая четверть","Больше половины"))</f>
        <v/>
      </c>
      <c r="V844">
        <f>IF(OR(N844&lt;SUMIFS(L:L,R:R,1,E:E,E844)/SUMIFS(K:K,R:R,1,E:E,E844)*0.5,O844&lt;SUMIFS(M:M,R:R,1,E:E,E844)/SUMIFS(L:L,R:R,1,E:E,E844)*0.5),"код для проверки","нормальный код")</f>
        <v/>
      </c>
      <c r="W844">
        <f>IF(N844&lt;SUMIFS(L:L,R:R,1,E:E,E844)/SUMIFS(K:K,R:R,1,E:E,E844)*0.5,"Низшая четверть",IF(N844&lt;SUMIFS(L:L,R:R,1,E:E,E844)/SUMIFS(K:K,R:R,1,E:E,E844),"Вторая четверть","Больше половины"))</f>
        <v/>
      </c>
      <c r="X844">
        <f>IF(O844&lt;SUMIFS(M:M,R:R,1,E:E,E844)/SUMIFS(L:L,R:R,1,E:E,E844)*0.5,"Низшая четверть",IF(O844&lt;SUMIFS(M:M,R:R,1,E:E,E844)/SUMIFS(L:L,R:R,1,E:E,E844),"Вторая четверть","Больше половины"))</f>
        <v/>
      </c>
      <c r="Y844" t="n">
        <v>20</v>
      </c>
    </row>
    <row r="845">
      <c r="A845" s="1" t="inlineStr">
        <is>
          <t>310003V0</t>
        </is>
      </c>
      <c r="B845" s="2" t="inlineStr">
        <is>
          <t>847884204</t>
        </is>
      </c>
      <c r="C845" s="3" t="inlineStr">
        <is>
          <t>Одежда для детей</t>
        </is>
      </c>
      <c r="D845" s="2" t="inlineStr">
        <is>
          <t>Футболки, майки, рубашки детские для мальчиков</t>
        </is>
      </c>
      <c r="E845" s="3" t="inlineStr">
        <is>
          <t>310 Футболка детская для мальчиков</t>
        </is>
      </c>
      <c r="F845" s="2" t="inlineStr">
        <is>
          <t>всесезонный</t>
        </is>
      </c>
      <c r="G845" s="3" t="inlineStr">
        <is>
          <t>Kari KIDS</t>
        </is>
      </c>
      <c r="H845" s="2" t="inlineStr">
        <is>
          <t>Зиннуров Ильнур</t>
        </is>
      </c>
      <c r="J845" s="3" t="inlineStr">
        <is>
          <t>2026SS</t>
        </is>
      </c>
      <c r="K845" s="3" t="n">
        <v>2042</v>
      </c>
      <c r="L845" s="3" t="n">
        <v>1006</v>
      </c>
      <c r="M845" s="3" t="n">
        <v>2</v>
      </c>
      <c r="N845" s="4">
        <f>IFERROR(L845/K845,0)</f>
        <v/>
      </c>
      <c r="O845" s="4">
        <f>IFERROR(M845/L845,0)</f>
        <v/>
      </c>
      <c r="P845" t="n">
        <v>359</v>
      </c>
      <c r="Q845" s="5" t="n">
        <v>1</v>
      </c>
      <c r="R845" s="7" t="n">
        <v>1</v>
      </c>
      <c r="S845">
        <f>IF(OR(N845&lt;$T$1*0.5,O845&lt;$U$1*0.5),"код для проверки","нормальный код")</f>
        <v/>
      </c>
      <c r="T845">
        <f>IF(N845&lt;$T$1*0.5,"Низшая четверть",IF(N845&lt;$T$1,"Вторая четверть","Больше половины"))</f>
        <v/>
      </c>
      <c r="U845">
        <f>IF(O845&lt;$U$1*0.5,"Низшая четверть",IF(O845&lt;$U$1,"Вторая четверть","Больше половины"))</f>
        <v/>
      </c>
      <c r="V845">
        <f>IF(OR(N845&lt;SUMIFS(L:L,R:R,1,E:E,E845)/SUMIFS(K:K,R:R,1,E:E,E845)*0.5,O845&lt;SUMIFS(M:M,R:R,1,E:E,E845)/SUMIFS(L:L,R:R,1,E:E,E845)*0.5),"код для проверки","нормальный код")</f>
        <v/>
      </c>
      <c r="W845">
        <f>IF(N845&lt;SUMIFS(L:L,R:R,1,E:E,E845)/SUMIFS(K:K,R:R,1,E:E,E845)*0.5,"Низшая четверть",IF(N845&lt;SUMIFS(L:L,R:R,1,E:E,E845)/SUMIFS(K:K,R:R,1,E:E,E845),"Вторая четверть","Больше половины"))</f>
        <v/>
      </c>
      <c r="X845">
        <f>IF(O845&lt;SUMIFS(M:M,R:R,1,E:E,E845)/SUMIFS(L:L,R:R,1,E:E,E845)*0.5,"Низшая четверть",IF(O845&lt;SUMIFS(M:M,R:R,1,E:E,E845)/SUMIFS(L:L,R:R,1,E:E,E845),"Вторая четверть","Больше половины"))</f>
        <v/>
      </c>
      <c r="Y845" t="n">
        <v>16</v>
      </c>
    </row>
    <row r="846">
      <c r="A846" s="1" t="inlineStr">
        <is>
          <t>88300180</t>
        </is>
      </c>
      <c r="B846" s="2" t="inlineStr">
        <is>
          <t>824884793</t>
        </is>
      </c>
      <c r="C846" s="3" t="inlineStr">
        <is>
          <t>Одежда для детей</t>
        </is>
      </c>
      <c r="D846" s="2" t="inlineStr">
        <is>
          <t>Платья, майки, футболки детские для девочек</t>
        </is>
      </c>
      <c r="E846" s="3" t="inlineStr">
        <is>
          <t>883 Футболка длинный рукав детская для девочек</t>
        </is>
      </c>
      <c r="F846" s="2" t="inlineStr">
        <is>
          <t>всесезонный</t>
        </is>
      </c>
      <c r="G846" s="3" t="inlineStr">
        <is>
          <t>Kari KIDS</t>
        </is>
      </c>
      <c r="H846" s="2" t="inlineStr">
        <is>
          <t>Зиннуров Ильнур</t>
        </is>
      </c>
      <c r="J846" s="3" t="inlineStr">
        <is>
          <t>2026SS</t>
        </is>
      </c>
      <c r="K846" s="3" t="n">
        <v>2026</v>
      </c>
      <c r="L846" s="3" t="n">
        <v>455</v>
      </c>
      <c r="M846" s="3" t="n">
        <v>5</v>
      </c>
      <c r="N846" s="4">
        <f>IFERROR(L846/K846,0)</f>
        <v/>
      </c>
      <c r="O846" s="4">
        <f>IFERROR(M846/L846,0)</f>
        <v/>
      </c>
      <c r="P846" t="n">
        <v>1</v>
      </c>
      <c r="Q846" s="5" t="n">
        <v>0.6</v>
      </c>
      <c r="R846" s="7" t="n">
        <v>0</v>
      </c>
      <c r="S846" t="inlineStr">
        <is>
          <t>Мало остатка</t>
        </is>
      </c>
      <c r="T846">
        <f>IF(N846&lt;$T$1*0.5,"Низшая четверть",IF(N846&lt;$T$1,"Вторая четверть","Больше половины"))</f>
        <v/>
      </c>
      <c r="U846">
        <f>IF(O846&lt;$U$1*0.5,"Низшая четверть",IF(O846&lt;$U$1,"Вторая четверть","Больше половины"))</f>
        <v/>
      </c>
      <c r="V846">
        <f>IF(OR(N846&lt;SUMIFS(L:L,R:R,1,E:E,E846)/SUMIFS(K:K,R:R,1,E:E,E846)*0.5,O846&lt;SUMIFS(M:M,R:R,1,E:E,E846)/SUMIFS(L:L,R:R,1,E:E,E846)*0.5),"код для проверки","нормальный код")</f>
        <v/>
      </c>
      <c r="W846">
        <f>IF(N846&lt;SUMIFS(L:L,R:R,1,E:E,E846)/SUMIFS(K:K,R:R,1,E:E,E846)*0.5,"Низшая четверть",IF(N846&lt;SUMIFS(L:L,R:R,1,E:E,E846)/SUMIFS(K:K,R:R,1,E:E,E846),"Вторая четверть","Больше половины"))</f>
        <v/>
      </c>
      <c r="X846">
        <f>IF(O846&lt;SUMIFS(M:M,R:R,1,E:E,E846)/SUMIFS(L:L,R:R,1,E:E,E846)*0.5,"Низшая четверть",IF(O846&lt;SUMIFS(M:M,R:R,1,E:E,E846)/SUMIFS(L:L,R:R,1,E:E,E846),"Вторая четверть","Больше половины"))</f>
        <v/>
      </c>
      <c r="Y846" t="n">
        <v>10</v>
      </c>
    </row>
    <row r="847">
      <c r="A847" s="1" t="inlineStr">
        <is>
          <t>88300260</t>
        </is>
      </c>
      <c r="B847" s="2" t="inlineStr">
        <is>
          <t>697438261</t>
        </is>
      </c>
      <c r="C847" s="3" t="inlineStr">
        <is>
          <t>Одежда для детей</t>
        </is>
      </c>
      <c r="D847" s="2" t="inlineStr">
        <is>
          <t>Платья, майки, футболки детские для девочек</t>
        </is>
      </c>
      <c r="E847" s="3" t="inlineStr">
        <is>
          <t>883 Футболка длинный рукав детская для девочек</t>
        </is>
      </c>
      <c r="F847" s="2" t="inlineStr">
        <is>
          <t>всесезонный</t>
        </is>
      </c>
      <c r="G847" s="3" t="inlineStr">
        <is>
          <t>kari</t>
        </is>
      </c>
      <c r="H847" s="2" t="inlineStr">
        <is>
          <t>Зиннуров Ильнур</t>
        </is>
      </c>
      <c r="J847" s="3" t="inlineStr">
        <is>
          <t>2026SS</t>
        </is>
      </c>
      <c r="K847" s="3" t="n">
        <v>2018</v>
      </c>
      <c r="L847" s="3" t="n">
        <v>144</v>
      </c>
      <c r="M847" s="3" t="n">
        <v>4</v>
      </c>
      <c r="N847" s="4">
        <f>IFERROR(L847/K847,0)</f>
        <v/>
      </c>
      <c r="O847" s="4">
        <f>IFERROR(M847/L847,0)</f>
        <v/>
      </c>
      <c r="P847" t="n">
        <v>92</v>
      </c>
      <c r="Q847" s="5" t="n">
        <v>1</v>
      </c>
      <c r="R847" s="7" t="n">
        <v>1</v>
      </c>
      <c r="S847">
        <f>IF(OR(N847&lt;$T$1*0.5,O847&lt;$U$1*0.5),"код для проверки","нормальный код")</f>
        <v/>
      </c>
      <c r="T847">
        <f>IF(N847&lt;$T$1*0.5,"Низшая четверть",IF(N847&lt;$T$1,"Вторая четверть","Больше половины"))</f>
        <v/>
      </c>
      <c r="U847">
        <f>IF(O847&lt;$U$1*0.5,"Низшая четверть",IF(O847&lt;$U$1,"Вторая четверть","Больше половины"))</f>
        <v/>
      </c>
      <c r="V847">
        <f>IF(OR(N847&lt;SUMIFS(L:L,R:R,1,E:E,E847)/SUMIFS(K:K,R:R,1,E:E,E847)*0.5,O847&lt;SUMIFS(M:M,R:R,1,E:E,E847)/SUMIFS(L:L,R:R,1,E:E,E847)*0.5),"код для проверки","нормальный код")</f>
        <v/>
      </c>
      <c r="W847">
        <f>IF(N847&lt;SUMIFS(L:L,R:R,1,E:E,E847)/SUMIFS(K:K,R:R,1,E:E,E847)*0.5,"Низшая четверть",IF(N847&lt;SUMIFS(L:L,R:R,1,E:E,E847)/SUMIFS(K:K,R:R,1,E:E,E847),"Вторая четверть","Больше половины"))</f>
        <v/>
      </c>
      <c r="X847">
        <f>IF(O847&lt;SUMIFS(M:M,R:R,1,E:E,E847)/SUMIFS(L:L,R:R,1,E:E,E847)*0.5,"Низшая четверть",IF(O847&lt;SUMIFS(M:M,R:R,1,E:E,E847)/SUMIFS(L:L,R:R,1,E:E,E847),"Вторая четверть","Больше половины"))</f>
        <v/>
      </c>
      <c r="Y847" t="n">
        <v>17</v>
      </c>
    </row>
    <row r="848">
      <c r="A848" s="1" t="inlineStr">
        <is>
          <t>a5000050</t>
        </is>
      </c>
      <c r="B848" s="2" t="inlineStr">
        <is>
          <t>852780341</t>
        </is>
      </c>
      <c r="C848" s="3" t="inlineStr">
        <is>
          <t>Одежда для детей</t>
        </is>
      </c>
      <c r="D848" s="2" t="inlineStr">
        <is>
          <t>Чулочные и носочные детские изделия для девочек</t>
        </is>
      </c>
      <c r="E848" s="3" t="inlineStr">
        <is>
          <t>a50 Капри и велосипедки для девочек</t>
        </is>
      </c>
      <c r="F848" s="2" t="inlineStr">
        <is>
          <t>весна, лето</t>
        </is>
      </c>
      <c r="G848" s="3" t="inlineStr">
        <is>
          <t>kari</t>
        </is>
      </c>
      <c r="H848" s="2" t="inlineStr">
        <is>
          <t>Зиннуров Ильнур</t>
        </is>
      </c>
      <c r="J848" s="3" t="inlineStr">
        <is>
          <t>2026SS</t>
        </is>
      </c>
      <c r="K848" s="3" t="n">
        <v>2003</v>
      </c>
      <c r="L848" s="3" t="n">
        <v>69</v>
      </c>
      <c r="M848" s="3" t="n">
        <v>0</v>
      </c>
      <c r="N848" s="4">
        <f>IFERROR(L848/K848,0)</f>
        <v/>
      </c>
      <c r="O848" s="4">
        <f>IFERROR(M848/L848,0)</f>
        <v/>
      </c>
      <c r="P848" t="n">
        <v>730</v>
      </c>
      <c r="Q848" s="5" t="n">
        <v>1</v>
      </c>
      <c r="R848" s="7" t="n">
        <v>1</v>
      </c>
      <c r="S848">
        <f>IF(OR(N848&lt;$T$1*0.5,O848&lt;$U$1*0.5),"код для проверки","нормальный код")</f>
        <v/>
      </c>
      <c r="T848">
        <f>IF(N848&lt;$T$1*0.5,"Низшая четверть",IF(N848&lt;$T$1,"Вторая четверть","Больше половины"))</f>
        <v/>
      </c>
      <c r="U848">
        <f>IF(O848&lt;$U$1*0.5,"Низшая четверть",IF(O848&lt;$U$1,"Вторая четверть","Больше половины"))</f>
        <v/>
      </c>
      <c r="V848">
        <f>IF(OR(N848&lt;SUMIFS(L:L,R:R,1,E:E,E848)/SUMIFS(K:K,R:R,1,E:E,E848)*0.5,O848&lt;SUMIFS(M:M,R:R,1,E:E,E848)/SUMIFS(L:L,R:R,1,E:E,E848)*0.5),"код для проверки","нормальный код")</f>
        <v/>
      </c>
      <c r="W848">
        <f>IF(N848&lt;SUMIFS(L:L,R:R,1,E:E,E848)/SUMIFS(K:K,R:R,1,E:E,E848)*0.5,"Низшая четверть",IF(N848&lt;SUMIFS(L:L,R:R,1,E:E,E848)/SUMIFS(K:K,R:R,1,E:E,E848),"Вторая четверть","Больше половины"))</f>
        <v/>
      </c>
      <c r="X848">
        <f>IF(O848&lt;SUMIFS(M:M,R:R,1,E:E,E848)/SUMIFS(L:L,R:R,1,E:E,E848)*0.5,"Низшая четверть",IF(O848&lt;SUMIFS(M:M,R:R,1,E:E,E848)/SUMIFS(L:L,R:R,1,E:E,E848),"Вторая четверть","Больше половины"))</f>
        <v/>
      </c>
      <c r="Y848" t="n">
        <v>16</v>
      </c>
    </row>
    <row r="849">
      <c r="A849" s="1" t="inlineStr">
        <is>
          <t>20100210</t>
        </is>
      </c>
      <c r="B849" s="2" t="inlineStr">
        <is>
          <t>760592103</t>
        </is>
      </c>
      <c r="C849" s="3" t="inlineStr">
        <is>
          <t>Одежда для детей</t>
        </is>
      </c>
      <c r="D849" s="2" t="inlineStr">
        <is>
          <t>Головные детские уборы для девочек</t>
        </is>
      </c>
      <c r="E849" s="3" t="inlineStr">
        <is>
          <t>201 Бейсболка детская для девочек</t>
        </is>
      </c>
      <c r="F849" s="2" t="inlineStr">
        <is>
          <t>весна, лето</t>
        </is>
      </c>
      <c r="G849" s="3" t="inlineStr">
        <is>
          <t>kari</t>
        </is>
      </c>
      <c r="H849" s="2" t="inlineStr">
        <is>
          <t>Никонорова Алина</t>
        </is>
      </c>
      <c r="J849" s="3" t="inlineStr">
        <is>
          <t>2026SS</t>
        </is>
      </c>
      <c r="K849" s="3" t="n">
        <v>2001</v>
      </c>
      <c r="L849" s="3" t="n">
        <v>482</v>
      </c>
      <c r="M849" s="3" t="n">
        <v>6</v>
      </c>
      <c r="N849" s="4">
        <f>IFERROR(L849/K849,0)</f>
        <v/>
      </c>
      <c r="O849" s="4">
        <f>IFERROR(M849/L849,0)</f>
        <v/>
      </c>
      <c r="P849" t="n">
        <v>434</v>
      </c>
      <c r="Q849" s="5" t="n">
        <v>1</v>
      </c>
      <c r="R849" s="7" t="n">
        <v>1</v>
      </c>
      <c r="S849">
        <f>IF(OR(N849&lt;$T$1*0.5,O849&lt;$U$1*0.5),"код для проверки","нормальный код")</f>
        <v/>
      </c>
      <c r="T849">
        <f>IF(N849&lt;$T$1*0.5,"Низшая четверть",IF(N849&lt;$T$1,"Вторая четверть","Больше половины"))</f>
        <v/>
      </c>
      <c r="U849">
        <f>IF(O849&lt;$U$1*0.5,"Низшая четверть",IF(O849&lt;$U$1,"Вторая четверть","Больше половины"))</f>
        <v/>
      </c>
      <c r="V849">
        <f>IF(OR(N849&lt;SUMIFS(L:L,R:R,1,E:E,E849)/SUMIFS(K:K,R:R,1,E:E,E849)*0.5,O849&lt;SUMIFS(M:M,R:R,1,E:E,E849)/SUMIFS(L:L,R:R,1,E:E,E849)*0.5),"код для проверки","нормальный код")</f>
        <v/>
      </c>
      <c r="W849">
        <f>IF(N849&lt;SUMIFS(L:L,R:R,1,E:E,E849)/SUMIFS(K:K,R:R,1,E:E,E849)*0.5,"Низшая четверть",IF(N849&lt;SUMIFS(L:L,R:R,1,E:E,E849)/SUMIFS(K:K,R:R,1,E:E,E849),"Вторая четверть","Больше половины"))</f>
        <v/>
      </c>
      <c r="X849">
        <f>IF(O849&lt;SUMIFS(M:M,R:R,1,E:E,E849)/SUMIFS(L:L,R:R,1,E:E,E849)*0.5,"Низшая четверть",IF(O849&lt;SUMIFS(M:M,R:R,1,E:E,E849)/SUMIFS(L:L,R:R,1,E:E,E849),"Вторая четверть","Больше половины"))</f>
        <v/>
      </c>
      <c r="Y849" t="n">
        <v>12</v>
      </c>
    </row>
    <row r="850">
      <c r="A850" s="1" t="inlineStr">
        <is>
          <t>y9808050</t>
        </is>
      </c>
      <c r="B850" s="2" t="inlineStr">
        <is>
          <t>378959513</t>
        </is>
      </c>
      <c r="C850" s="3" t="inlineStr">
        <is>
          <t>Одежда и аксессуары</t>
        </is>
      </c>
      <c r="D850" s="2" t="inlineStr">
        <is>
          <t>Спортивная одежда для мужчин</t>
        </is>
      </c>
      <c r="E850" s="3" t="inlineStr">
        <is>
          <t>y98 Шорты мужские</t>
        </is>
      </c>
      <c r="F850" s="2" t="inlineStr">
        <is>
          <t>всесезонный</t>
        </is>
      </c>
      <c r="G850" s="3" t="inlineStr">
        <is>
          <t>kari</t>
        </is>
      </c>
      <c r="H850" s="2" t="inlineStr">
        <is>
          <t>Зиннуров Ильнур</t>
        </is>
      </c>
      <c r="J850" s="3" t="inlineStr">
        <is>
          <t>2026SS</t>
        </is>
      </c>
      <c r="K850" s="3" t="n">
        <v>1998</v>
      </c>
      <c r="L850" s="3" t="n">
        <v>63</v>
      </c>
      <c r="M850" s="3" t="n">
        <v>3</v>
      </c>
      <c r="N850" s="4">
        <f>IFERROR(L850/K850,0)</f>
        <v/>
      </c>
      <c r="O850" s="4">
        <f>IFERROR(M850/L850,0)</f>
        <v/>
      </c>
      <c r="P850" t="n">
        <v>408</v>
      </c>
      <c r="Q850" s="5" t="n">
        <v>1</v>
      </c>
      <c r="R850" s="7" t="n">
        <v>1</v>
      </c>
      <c r="S850">
        <f>IF(OR(N850&lt;$T$1*0.5,O850&lt;$U$1*0.5),"код для проверки","нормальный код")</f>
        <v/>
      </c>
      <c r="T850">
        <f>IF(N850&lt;$T$1*0.5,"Низшая четверть",IF(N850&lt;$T$1,"Вторая четверть","Больше половины"))</f>
        <v/>
      </c>
      <c r="U850">
        <f>IF(O850&lt;$U$1*0.5,"Низшая четверть",IF(O850&lt;$U$1,"Вторая четверть","Больше половины"))</f>
        <v/>
      </c>
      <c r="V850">
        <f>IF(OR(N850&lt;SUMIFS(L:L,R:R,1,E:E,E850)/SUMIFS(K:K,R:R,1,E:E,E850)*0.5,O850&lt;SUMIFS(M:M,R:R,1,E:E,E850)/SUMIFS(L:L,R:R,1,E:E,E850)*0.5),"код для проверки","нормальный код")</f>
        <v/>
      </c>
      <c r="W850">
        <f>IF(N850&lt;SUMIFS(L:L,R:R,1,E:E,E850)/SUMIFS(K:K,R:R,1,E:E,E850)*0.5,"Низшая четверть",IF(N850&lt;SUMIFS(L:L,R:R,1,E:E,E850)/SUMIFS(K:K,R:R,1,E:E,E850),"Вторая четверть","Больше половины"))</f>
        <v/>
      </c>
      <c r="X850">
        <f>IF(O850&lt;SUMIFS(M:M,R:R,1,E:E,E850)/SUMIFS(L:L,R:R,1,E:E,E850)*0.5,"Низшая четверть",IF(O850&lt;SUMIFS(M:M,R:R,1,E:E,E850)/SUMIFS(L:L,R:R,1,E:E,E850),"Вторая четверть","Больше половины"))</f>
        <v/>
      </c>
      <c r="Y850" t="n">
        <v>4</v>
      </c>
    </row>
    <row r="851">
      <c r="A851" s="1" t="inlineStr">
        <is>
          <t>23100040</t>
        </is>
      </c>
      <c r="B851" s="2" t="inlineStr">
        <is>
          <t>694287441</t>
        </is>
      </c>
      <c r="C851" s="3" t="inlineStr">
        <is>
          <t>Одежда для детей</t>
        </is>
      </c>
      <c r="D851" s="2" t="inlineStr">
        <is>
          <t>Нижнее белье детское для девочек</t>
        </is>
      </c>
      <c r="E851" s="3" t="inlineStr">
        <is>
          <t>231 Пижама детская для девочек</t>
        </is>
      </c>
      <c r="F851" s="2" t="inlineStr">
        <is>
          <t>всесезонный</t>
        </is>
      </c>
      <c r="G851" s="3" t="inlineStr">
        <is>
          <t>Kari KIDS</t>
        </is>
      </c>
      <c r="H851" s="2" t="inlineStr">
        <is>
          <t>Зиннуров Ильнур</t>
        </is>
      </c>
      <c r="J851" s="3" t="inlineStr">
        <is>
          <t>2026SS</t>
        </is>
      </c>
      <c r="K851" s="3" t="n">
        <v>1994</v>
      </c>
      <c r="L851" s="3" t="n">
        <v>291</v>
      </c>
      <c r="M851" s="3" t="n">
        <v>1</v>
      </c>
      <c r="N851" s="4">
        <f>IFERROR(L851/K851,0)</f>
        <v/>
      </c>
      <c r="O851" s="4">
        <f>IFERROR(M851/L851,0)</f>
        <v/>
      </c>
      <c r="P851" t="n">
        <v>330</v>
      </c>
      <c r="Q851" s="5" t="n">
        <v>1</v>
      </c>
      <c r="R851" s="7" t="n">
        <v>1</v>
      </c>
      <c r="S851">
        <f>IF(OR(N851&lt;$T$1*0.5,O851&lt;$U$1*0.5),"код для проверки","нормальный код")</f>
        <v/>
      </c>
      <c r="T851">
        <f>IF(N851&lt;$T$1*0.5,"Низшая четверть",IF(N851&lt;$T$1,"Вторая четверть","Больше половины"))</f>
        <v/>
      </c>
      <c r="U851">
        <f>IF(O851&lt;$U$1*0.5,"Низшая четверть",IF(O851&lt;$U$1,"Вторая четверть","Больше половины"))</f>
        <v/>
      </c>
      <c r="V851">
        <f>IF(OR(N851&lt;SUMIFS(L:L,R:R,1,E:E,E851)/SUMIFS(K:K,R:R,1,E:E,E851)*0.5,O851&lt;SUMIFS(M:M,R:R,1,E:E,E851)/SUMIFS(L:L,R:R,1,E:E,E851)*0.5),"код для проверки","нормальный код")</f>
        <v/>
      </c>
      <c r="W851">
        <f>IF(N851&lt;SUMIFS(L:L,R:R,1,E:E,E851)/SUMIFS(K:K,R:R,1,E:E,E851)*0.5,"Низшая четверть",IF(N851&lt;SUMIFS(L:L,R:R,1,E:E,E851)/SUMIFS(K:K,R:R,1,E:E,E851),"Вторая четверть","Больше половины"))</f>
        <v/>
      </c>
      <c r="X851">
        <f>IF(O851&lt;SUMIFS(M:M,R:R,1,E:E,E851)/SUMIFS(L:L,R:R,1,E:E,E851)*0.5,"Низшая четверть",IF(O851&lt;SUMIFS(M:M,R:R,1,E:E,E851)/SUMIFS(L:L,R:R,1,E:E,E851),"Вторая четверть","Больше половины"))</f>
        <v/>
      </c>
      <c r="Y851" t="n">
        <v>26</v>
      </c>
    </row>
    <row r="852">
      <c r="A852" s="1" t="inlineStr">
        <is>
          <t>310003R0</t>
        </is>
      </c>
      <c r="B852" s="2" t="inlineStr">
        <is>
          <t>847892186</t>
        </is>
      </c>
      <c r="C852" s="3" t="inlineStr">
        <is>
          <t>Одежда для детей</t>
        </is>
      </c>
      <c r="D852" s="2" t="inlineStr">
        <is>
          <t>Футболки, майки, рубашки детские для мальчиков</t>
        </is>
      </c>
      <c r="E852" s="3" t="inlineStr">
        <is>
          <t>310 Футболка детская для мальчиков</t>
        </is>
      </c>
      <c r="F852" s="2" t="inlineStr">
        <is>
          <t>всесезонный</t>
        </is>
      </c>
      <c r="G852" s="3" t="inlineStr">
        <is>
          <t>Kari KIDS</t>
        </is>
      </c>
      <c r="H852" s="2" t="inlineStr">
        <is>
          <t>Зиннуров Ильнур</t>
        </is>
      </c>
      <c r="J852" s="3" t="inlineStr">
        <is>
          <t>2026SS</t>
        </is>
      </c>
      <c r="K852" s="3" t="n">
        <v>1988</v>
      </c>
      <c r="L852" s="3" t="n">
        <v>1345</v>
      </c>
      <c r="M852" s="3" t="n">
        <v>1</v>
      </c>
      <c r="N852" s="4">
        <f>IFERROR(L852/K852,0)</f>
        <v/>
      </c>
      <c r="O852" s="4">
        <f>IFERROR(M852/L852,0)</f>
        <v/>
      </c>
      <c r="P852" t="n">
        <v>279</v>
      </c>
      <c r="Q852" s="5" t="n">
        <v>1</v>
      </c>
      <c r="R852" s="7" t="n">
        <v>1</v>
      </c>
      <c r="S852">
        <f>IF(OR(N852&lt;$T$1*0.5,O852&lt;$U$1*0.5),"код для проверки","нормальный код")</f>
        <v/>
      </c>
      <c r="T852">
        <f>IF(N852&lt;$T$1*0.5,"Низшая четверть",IF(N852&lt;$T$1,"Вторая четверть","Больше половины"))</f>
        <v/>
      </c>
      <c r="U852">
        <f>IF(O852&lt;$U$1*0.5,"Низшая четверть",IF(O852&lt;$U$1,"Вторая четверть","Больше половины"))</f>
        <v/>
      </c>
      <c r="V852">
        <f>IF(OR(N852&lt;SUMIFS(L:L,R:R,1,E:E,E852)/SUMIFS(K:K,R:R,1,E:E,E852)*0.5,O852&lt;SUMIFS(M:M,R:R,1,E:E,E852)/SUMIFS(L:L,R:R,1,E:E,E852)*0.5),"код для проверки","нормальный код")</f>
        <v/>
      </c>
      <c r="W852">
        <f>IF(N852&lt;SUMIFS(L:L,R:R,1,E:E,E852)/SUMIFS(K:K,R:R,1,E:E,E852)*0.5,"Низшая четверть",IF(N852&lt;SUMIFS(L:L,R:R,1,E:E,E852)/SUMIFS(K:K,R:R,1,E:E,E852),"Вторая четверть","Больше половины"))</f>
        <v/>
      </c>
      <c r="X852">
        <f>IF(O852&lt;SUMIFS(M:M,R:R,1,E:E,E852)/SUMIFS(L:L,R:R,1,E:E,E852)*0.5,"Низшая четверть",IF(O852&lt;SUMIFS(M:M,R:R,1,E:E,E852)/SUMIFS(L:L,R:R,1,E:E,E852),"Вторая четверть","Больше половины"))</f>
        <v/>
      </c>
      <c r="Y852" t="n">
        <v>16</v>
      </c>
    </row>
    <row r="853">
      <c r="A853" s="1" t="inlineStr">
        <is>
          <t>h4200000</t>
        </is>
      </c>
      <c r="B853" s="2" t="inlineStr">
        <is>
          <t>732841098</t>
        </is>
      </c>
      <c r="C853" s="3" t="inlineStr">
        <is>
          <t>Одежда и аксессуары</t>
        </is>
      </c>
      <c r="D853" s="2" t="inlineStr">
        <is>
          <t>Майки и платья женские</t>
        </is>
      </c>
      <c r="E853" s="3" t="inlineStr">
        <is>
          <t>h42 Блузка короткий рукав женская</t>
        </is>
      </c>
      <c r="F853" s="2" t="inlineStr">
        <is>
          <t>всесезонный</t>
        </is>
      </c>
      <c r="G853" s="3" t="inlineStr">
        <is>
          <t>kari</t>
        </is>
      </c>
      <c r="H853" s="2" t="inlineStr">
        <is>
          <t>Зиннуров Ильнур</t>
        </is>
      </c>
      <c r="J853" s="3" t="inlineStr">
        <is>
          <t>2026SS</t>
        </is>
      </c>
      <c r="K853" s="3" t="n">
        <v>1984</v>
      </c>
      <c r="L853" s="3" t="n">
        <v>262</v>
      </c>
      <c r="M853" s="3" t="n">
        <v>1</v>
      </c>
      <c r="N853" s="4">
        <f>IFERROR(L853/K853,0)</f>
        <v/>
      </c>
      <c r="O853" s="4">
        <f>IFERROR(M853/L853,0)</f>
        <v/>
      </c>
      <c r="P853" t="n">
        <v>208</v>
      </c>
      <c r="Q853" s="5" t="n">
        <v>1</v>
      </c>
      <c r="R853" s="7" t="n">
        <v>1</v>
      </c>
      <c r="S853">
        <f>IF(OR(N853&lt;$T$1*0.5,O853&lt;$U$1*0.5),"код для проверки","нормальный код")</f>
        <v/>
      </c>
      <c r="T853">
        <f>IF(N853&lt;$T$1*0.5,"Низшая четверть",IF(N853&lt;$T$1,"Вторая четверть","Больше половины"))</f>
        <v/>
      </c>
      <c r="U853">
        <f>IF(O853&lt;$U$1*0.5,"Низшая четверть",IF(O853&lt;$U$1,"Вторая четверть","Больше половины"))</f>
        <v/>
      </c>
      <c r="V853">
        <f>IF(OR(N853&lt;SUMIFS(L:L,R:R,1,E:E,E853)/SUMIFS(K:K,R:R,1,E:E,E853)*0.5,O853&lt;SUMIFS(M:M,R:R,1,E:E,E853)/SUMIFS(L:L,R:R,1,E:E,E853)*0.5),"код для проверки","нормальный код")</f>
        <v/>
      </c>
      <c r="W853">
        <f>IF(N853&lt;SUMIFS(L:L,R:R,1,E:E,E853)/SUMIFS(K:K,R:R,1,E:E,E853)*0.5,"Низшая четверть",IF(N853&lt;SUMIFS(L:L,R:R,1,E:E,E853)/SUMIFS(K:K,R:R,1,E:E,E853),"Вторая четверть","Больше половины"))</f>
        <v/>
      </c>
      <c r="X853">
        <f>IF(O853&lt;SUMIFS(M:M,R:R,1,E:E,E853)/SUMIFS(L:L,R:R,1,E:E,E853)*0.5,"Низшая четверть",IF(O853&lt;SUMIFS(M:M,R:R,1,E:E,E853)/SUMIFS(L:L,R:R,1,E:E,E853),"Вторая четверть","Больше половины"))</f>
        <v/>
      </c>
      <c r="Y853" t="n">
        <v>15</v>
      </c>
    </row>
    <row r="854">
      <c r="A854" s="1" t="inlineStr">
        <is>
          <t>y9508020</t>
        </is>
      </c>
      <c r="B854" s="2" t="inlineStr">
        <is>
          <t>360618181</t>
        </is>
      </c>
      <c r="C854" s="3" t="inlineStr">
        <is>
          <t>Одежда и аксессуары</t>
        </is>
      </c>
      <c r="D854" s="2" t="inlineStr">
        <is>
          <t>Свитера женские</t>
        </is>
      </c>
      <c r="E854" s="3" t="inlineStr">
        <is>
          <t>h12 Толстовка женская</t>
        </is>
      </c>
      <c r="F854" s="2" t="inlineStr">
        <is>
          <t>всесезонный</t>
        </is>
      </c>
      <c r="G854" s="3" t="inlineStr">
        <is>
          <t>kari</t>
        </is>
      </c>
      <c r="H854" s="2" t="inlineStr">
        <is>
          <t>Зиннуров Ильнур</t>
        </is>
      </c>
      <c r="J854" s="3" t="inlineStr">
        <is>
          <t>2026SS</t>
        </is>
      </c>
      <c r="K854" s="3" t="n">
        <v>1970</v>
      </c>
      <c r="L854" s="3" t="n">
        <v>141</v>
      </c>
      <c r="M854" s="3" t="n">
        <v>5</v>
      </c>
      <c r="N854" s="4">
        <f>IFERROR(L854/K854,0)</f>
        <v/>
      </c>
      <c r="O854" s="4">
        <f>IFERROR(M854/L854,0)</f>
        <v/>
      </c>
      <c r="P854" t="n">
        <v>314</v>
      </c>
      <c r="Q854" s="5" t="n">
        <v>0.8</v>
      </c>
      <c r="R854" s="7" t="n">
        <v>1</v>
      </c>
      <c r="S854">
        <f>IF(OR(N854&lt;$T$1*0.5,O854&lt;$U$1*0.5),"код для проверки","нормальный код")</f>
        <v/>
      </c>
      <c r="T854">
        <f>IF(N854&lt;$T$1*0.5,"Низшая четверть",IF(N854&lt;$T$1,"Вторая четверть","Больше половины"))</f>
        <v/>
      </c>
      <c r="U854">
        <f>IF(O854&lt;$U$1*0.5,"Низшая четверть",IF(O854&lt;$U$1,"Вторая четверть","Больше половины"))</f>
        <v/>
      </c>
      <c r="V854">
        <f>IF(OR(N854&lt;SUMIFS(L:L,R:R,1,E:E,E854)/SUMIFS(K:K,R:R,1,E:E,E854)*0.5,O854&lt;SUMIFS(M:M,R:R,1,E:E,E854)/SUMIFS(L:L,R:R,1,E:E,E854)*0.5),"код для проверки","нормальный код")</f>
        <v/>
      </c>
      <c r="W854">
        <f>IF(N854&lt;SUMIFS(L:L,R:R,1,E:E,E854)/SUMIFS(K:K,R:R,1,E:E,E854)*0.5,"Низшая четверть",IF(N854&lt;SUMIFS(L:L,R:R,1,E:E,E854)/SUMIFS(K:K,R:R,1,E:E,E854),"Вторая четверть","Больше половины"))</f>
        <v/>
      </c>
      <c r="X854">
        <f>IF(O854&lt;SUMIFS(M:M,R:R,1,E:E,E854)/SUMIFS(L:L,R:R,1,E:E,E854)*0.5,"Низшая четверть",IF(O854&lt;SUMIFS(M:M,R:R,1,E:E,E854)/SUMIFS(L:L,R:R,1,E:E,E854),"Вторая четверть","Больше половины"))</f>
        <v/>
      </c>
      <c r="Y854" t="n">
        <v>6</v>
      </c>
    </row>
    <row r="855">
      <c r="A855" s="1" t="inlineStr">
        <is>
          <t>94500090</t>
        </is>
      </c>
      <c r="B855" s="2" t="inlineStr">
        <is>
          <t>915625078</t>
        </is>
      </c>
      <c r="C855" s="3" t="inlineStr">
        <is>
          <t>Одежда для детей</t>
        </is>
      </c>
      <c r="D855" s="2" t="inlineStr">
        <is>
          <t>Одежда для новорожденных</t>
        </is>
      </c>
      <c r="E855" s="3" t="inlineStr">
        <is>
          <t>945 Комплект одежды для маленького мальчика</t>
        </is>
      </c>
      <c r="F855" s="2" t="inlineStr">
        <is>
          <t>всесезонный</t>
        </is>
      </c>
      <c r="G855" s="3" t="inlineStr">
        <is>
          <t>Kari baby</t>
        </is>
      </c>
      <c r="H855" s="2" t="inlineStr">
        <is>
          <t>Зиннуров Ильнур</t>
        </is>
      </c>
      <c r="J855" s="3" t="inlineStr">
        <is>
          <t>2026SS</t>
        </is>
      </c>
      <c r="K855" s="3" t="n">
        <v>1968</v>
      </c>
      <c r="L855" s="3" t="n">
        <v>93</v>
      </c>
      <c r="M855" s="3" t="n">
        <v>4</v>
      </c>
      <c r="N855" s="4">
        <f>IFERROR(L855/K855,0)</f>
        <v/>
      </c>
      <c r="O855" s="4">
        <f>IFERROR(M855/L855,0)</f>
        <v/>
      </c>
      <c r="P855" t="n">
        <v>375</v>
      </c>
      <c r="Q855" s="5" t="n">
        <v>1</v>
      </c>
      <c r="R855" s="7" t="n">
        <v>1</v>
      </c>
      <c r="S855">
        <f>IF(OR(N855&lt;$T$1*0.5,O855&lt;$U$1*0.5),"код для проверки","нормальный код")</f>
        <v/>
      </c>
      <c r="T855">
        <f>IF(N855&lt;$T$1*0.5,"Низшая четверть",IF(N855&lt;$T$1,"Вторая четверть","Больше половины"))</f>
        <v/>
      </c>
      <c r="U855">
        <f>IF(O855&lt;$U$1*0.5,"Низшая четверть",IF(O855&lt;$U$1,"Вторая четверть","Больше половины"))</f>
        <v/>
      </c>
      <c r="V855">
        <f>IF(OR(N855&lt;SUMIFS(L:L,R:R,1,E:E,E855)/SUMIFS(K:K,R:R,1,E:E,E855)*0.5,O855&lt;SUMIFS(M:M,R:R,1,E:E,E855)/SUMIFS(L:L,R:R,1,E:E,E855)*0.5),"код для проверки","нормальный код")</f>
        <v/>
      </c>
      <c r="W855">
        <f>IF(N855&lt;SUMIFS(L:L,R:R,1,E:E,E855)/SUMIFS(K:K,R:R,1,E:E,E855)*0.5,"Низшая четверть",IF(N855&lt;SUMIFS(L:L,R:R,1,E:E,E855)/SUMIFS(K:K,R:R,1,E:E,E855),"Вторая четверть","Больше половины"))</f>
        <v/>
      </c>
      <c r="X855">
        <f>IF(O855&lt;SUMIFS(M:M,R:R,1,E:E,E855)/SUMIFS(L:L,R:R,1,E:E,E855)*0.5,"Низшая четверть",IF(O855&lt;SUMIFS(M:M,R:R,1,E:E,E855)/SUMIFS(L:L,R:R,1,E:E,E855),"Вторая четверть","Больше половины"))</f>
        <v/>
      </c>
      <c r="Y855" t="n">
        <v>20</v>
      </c>
    </row>
    <row r="856">
      <c r="A856" s="1" t="inlineStr">
        <is>
          <t>88100160</t>
        </is>
      </c>
      <c r="B856" s="2" t="inlineStr">
        <is>
          <t>817515689</t>
        </is>
      </c>
      <c r="C856" s="3" t="inlineStr">
        <is>
          <t>Одежда для детей</t>
        </is>
      </c>
      <c r="D856" s="2" t="inlineStr">
        <is>
          <t>Футболки, майки, рубашки детские для мальчиков</t>
        </is>
      </c>
      <c r="E856" s="3" t="inlineStr">
        <is>
          <t>881 Футболка длинный рукав детская для мальчиков</t>
        </is>
      </c>
      <c r="F856" s="2" t="inlineStr">
        <is>
          <t>всесезонный</t>
        </is>
      </c>
      <c r="G856" s="3" t="inlineStr">
        <is>
          <t>Kari KIDS</t>
        </is>
      </c>
      <c r="H856" s="2" t="inlineStr">
        <is>
          <t>Зиннуров Ильнур</t>
        </is>
      </c>
      <c r="J856" s="3" t="inlineStr">
        <is>
          <t>2026SS</t>
        </is>
      </c>
      <c r="K856" s="3" t="n">
        <v>1968</v>
      </c>
      <c r="L856" s="3" t="n">
        <v>706</v>
      </c>
      <c r="M856" s="3" t="n">
        <v>1</v>
      </c>
      <c r="N856" s="4">
        <f>IFERROR(L856/K856,0)</f>
        <v/>
      </c>
      <c r="O856" s="4">
        <f>IFERROR(M856/L856,0)</f>
        <v/>
      </c>
      <c r="P856" t="n">
        <v>367</v>
      </c>
      <c r="Q856" s="5" t="n">
        <v>1</v>
      </c>
      <c r="R856" s="7" t="n">
        <v>1</v>
      </c>
      <c r="S856">
        <f>IF(OR(N856&lt;$T$1*0.5,O856&lt;$U$1*0.5),"код для проверки","нормальный код")</f>
        <v/>
      </c>
      <c r="T856">
        <f>IF(N856&lt;$T$1*0.5,"Низшая четверть",IF(N856&lt;$T$1,"Вторая четверть","Больше половины"))</f>
        <v/>
      </c>
      <c r="U856">
        <f>IF(O856&lt;$U$1*0.5,"Низшая четверть",IF(O856&lt;$U$1,"Вторая четверть","Больше половины"))</f>
        <v/>
      </c>
      <c r="V856">
        <f>IF(OR(N856&lt;SUMIFS(L:L,R:R,1,E:E,E856)/SUMIFS(K:K,R:R,1,E:E,E856)*0.5,O856&lt;SUMIFS(M:M,R:R,1,E:E,E856)/SUMIFS(L:L,R:R,1,E:E,E856)*0.5),"код для проверки","нормальный код")</f>
        <v/>
      </c>
      <c r="W856">
        <f>IF(N856&lt;SUMIFS(L:L,R:R,1,E:E,E856)/SUMIFS(K:K,R:R,1,E:E,E856)*0.5,"Низшая четверть",IF(N856&lt;SUMIFS(L:L,R:R,1,E:E,E856)/SUMIFS(K:K,R:R,1,E:E,E856),"Вторая четверть","Больше половины"))</f>
        <v/>
      </c>
      <c r="X856">
        <f>IF(O856&lt;SUMIFS(M:M,R:R,1,E:E,E856)/SUMIFS(L:L,R:R,1,E:E,E856)*0.5,"Низшая четверть",IF(O856&lt;SUMIFS(M:M,R:R,1,E:E,E856)/SUMIFS(L:L,R:R,1,E:E,E856),"Вторая четверть","Больше половины"))</f>
        <v/>
      </c>
      <c r="Y856" t="n">
        <v>10</v>
      </c>
    </row>
    <row r="857">
      <c r="A857" s="1" t="inlineStr">
        <is>
          <t>310000K0</t>
        </is>
      </c>
      <c r="B857" s="2" t="inlineStr">
        <is>
          <t>701976671</t>
        </is>
      </c>
      <c r="C857" s="3" t="inlineStr">
        <is>
          <t>Одежда для детей</t>
        </is>
      </c>
      <c r="D857" s="2" t="inlineStr">
        <is>
          <t>Футболки, майки, рубашки детские для мальчиков</t>
        </is>
      </c>
      <c r="E857" s="3" t="inlineStr">
        <is>
          <t>310 Футболка детская для мальчиков</t>
        </is>
      </c>
      <c r="F857" s="2" t="inlineStr">
        <is>
          <t>всесезонный</t>
        </is>
      </c>
      <c r="G857" s="3" t="inlineStr">
        <is>
          <t>Kari KIDS</t>
        </is>
      </c>
      <c r="H857" s="2" t="inlineStr">
        <is>
          <t>Зиннуров Ильнур</t>
        </is>
      </c>
      <c r="J857" s="3" t="inlineStr">
        <is>
          <t>2026SS</t>
        </is>
      </c>
      <c r="K857" s="3" t="n">
        <v>1963</v>
      </c>
      <c r="L857" s="3" t="n">
        <v>437</v>
      </c>
      <c r="M857" s="3" t="n">
        <v>4</v>
      </c>
      <c r="N857" s="4">
        <f>IFERROR(L857/K857,0)</f>
        <v/>
      </c>
      <c r="O857" s="4">
        <f>IFERROR(M857/L857,0)</f>
        <v/>
      </c>
      <c r="P857" t="n">
        <v>37</v>
      </c>
      <c r="Q857" s="5" t="n">
        <v>1</v>
      </c>
      <c r="R857" s="7" t="n">
        <v>1</v>
      </c>
      <c r="S857">
        <f>IF(OR(N857&lt;$T$1*0.5,O857&lt;$U$1*0.5),"код для проверки","нормальный код")</f>
        <v/>
      </c>
      <c r="T857">
        <f>IF(N857&lt;$T$1*0.5,"Низшая четверть",IF(N857&lt;$T$1,"Вторая четверть","Больше половины"))</f>
        <v/>
      </c>
      <c r="U857">
        <f>IF(O857&lt;$U$1*0.5,"Низшая четверть",IF(O857&lt;$U$1,"Вторая четверть","Больше половины"))</f>
        <v/>
      </c>
      <c r="V857">
        <f>IF(OR(N857&lt;SUMIFS(L:L,R:R,1,E:E,E857)/SUMIFS(K:K,R:R,1,E:E,E857)*0.5,O857&lt;SUMIFS(M:M,R:R,1,E:E,E857)/SUMIFS(L:L,R:R,1,E:E,E857)*0.5),"код для проверки","нормальный код")</f>
        <v/>
      </c>
      <c r="W857">
        <f>IF(N857&lt;SUMIFS(L:L,R:R,1,E:E,E857)/SUMIFS(K:K,R:R,1,E:E,E857)*0.5,"Низшая четверть",IF(N857&lt;SUMIFS(L:L,R:R,1,E:E,E857)/SUMIFS(K:K,R:R,1,E:E,E857),"Вторая четверть","Больше половины"))</f>
        <v/>
      </c>
      <c r="X857">
        <f>IF(O857&lt;SUMIFS(M:M,R:R,1,E:E,E857)/SUMIFS(L:L,R:R,1,E:E,E857)*0.5,"Низшая четверть",IF(O857&lt;SUMIFS(M:M,R:R,1,E:E,E857)/SUMIFS(L:L,R:R,1,E:E,E857),"Вторая четверть","Больше половины"))</f>
        <v/>
      </c>
      <c r="Y857" t="n">
        <v>18</v>
      </c>
    </row>
    <row r="858">
      <c r="A858" s="1" t="inlineStr">
        <is>
          <t>39300630</t>
        </is>
      </c>
      <c r="B858" s="2" t="inlineStr">
        <is>
          <t>697334091</t>
        </is>
      </c>
      <c r="C858" s="3" t="inlineStr">
        <is>
          <t>Одежда для детей</t>
        </is>
      </c>
      <c r="D858" s="2" t="inlineStr">
        <is>
          <t>Чулочные и носочные детские изделия для девочек</t>
        </is>
      </c>
      <c r="E858" s="3" t="inlineStr">
        <is>
          <t>393 Детские легинсы</t>
        </is>
      </c>
      <c r="F858" s="2" t="inlineStr">
        <is>
          <t>всесезонный</t>
        </is>
      </c>
      <c r="G858" s="3" t="inlineStr">
        <is>
          <t>kari</t>
        </is>
      </c>
      <c r="H858" s="2" t="inlineStr">
        <is>
          <t>Зиннуров Ильнур</t>
        </is>
      </c>
      <c r="J858" s="3" t="inlineStr">
        <is>
          <t>2026SS</t>
        </is>
      </c>
      <c r="K858" s="3" t="n">
        <v>1963</v>
      </c>
      <c r="L858" s="3" t="n">
        <v>564</v>
      </c>
      <c r="M858" s="3" t="n">
        <v>4</v>
      </c>
      <c r="N858" s="4">
        <f>IFERROR(L858/K858,0)</f>
        <v/>
      </c>
      <c r="O858" s="4">
        <f>IFERROR(M858/L858,0)</f>
        <v/>
      </c>
      <c r="P858" t="n">
        <v>160</v>
      </c>
      <c r="Q858" s="5" t="n">
        <v>1</v>
      </c>
      <c r="R858" s="7" t="n">
        <v>1</v>
      </c>
      <c r="S858">
        <f>IF(OR(N858&lt;$T$1*0.5,O858&lt;$U$1*0.5),"код для проверки","нормальный код")</f>
        <v/>
      </c>
      <c r="T858">
        <f>IF(N858&lt;$T$1*0.5,"Низшая четверть",IF(N858&lt;$T$1,"Вторая четверть","Больше половины"))</f>
        <v/>
      </c>
      <c r="U858">
        <f>IF(O858&lt;$U$1*0.5,"Низшая четверть",IF(O858&lt;$U$1,"Вторая четверть","Больше половины"))</f>
        <v/>
      </c>
      <c r="V858">
        <f>IF(OR(N858&lt;SUMIFS(L:L,R:R,1,E:E,E858)/SUMIFS(K:K,R:R,1,E:E,E858)*0.5,O858&lt;SUMIFS(M:M,R:R,1,E:E,E858)/SUMIFS(L:L,R:R,1,E:E,E858)*0.5),"код для проверки","нормальный код")</f>
        <v/>
      </c>
      <c r="W858">
        <f>IF(N858&lt;SUMIFS(L:L,R:R,1,E:E,E858)/SUMIFS(K:K,R:R,1,E:E,E858)*0.5,"Низшая четверть",IF(N858&lt;SUMIFS(L:L,R:R,1,E:E,E858)/SUMIFS(K:K,R:R,1,E:E,E858),"Вторая четверть","Больше половины"))</f>
        <v/>
      </c>
      <c r="X858">
        <f>IF(O858&lt;SUMIFS(M:M,R:R,1,E:E,E858)/SUMIFS(L:L,R:R,1,E:E,E858)*0.5,"Низшая четверть",IF(O858&lt;SUMIFS(M:M,R:R,1,E:E,E858)/SUMIFS(L:L,R:R,1,E:E,E858),"Вторая четверть","Больше половины"))</f>
        <v/>
      </c>
      <c r="Y858" t="n">
        <v>10</v>
      </c>
    </row>
    <row r="859">
      <c r="A859" s="1" t="inlineStr">
        <is>
          <t>30900040</t>
        </is>
      </c>
      <c r="B859" s="2" t="inlineStr">
        <is>
          <t>732910131</t>
        </is>
      </c>
      <c r="C859" s="3" t="inlineStr">
        <is>
          <t>Одежда и аксессуары</t>
        </is>
      </c>
      <c r="D859" s="2" t="inlineStr">
        <is>
          <t>Брюки, шорты женские</t>
        </is>
      </c>
      <c r="E859" s="3" t="inlineStr">
        <is>
          <t>h81 Брюки летние женские</t>
        </is>
      </c>
      <c r="F859" s="2" t="inlineStr">
        <is>
          <t>лето</t>
        </is>
      </c>
      <c r="G859" s="3" t="inlineStr">
        <is>
          <t>kari</t>
        </is>
      </c>
      <c r="H859" s="2" t="n"/>
      <c r="J859" s="3" t="inlineStr">
        <is>
          <t>2026SS</t>
        </is>
      </c>
      <c r="K859" s="3" t="n">
        <v>1962</v>
      </c>
      <c r="L859" s="3" t="n">
        <v>220</v>
      </c>
      <c r="M859" s="3" t="n">
        <v>1</v>
      </c>
      <c r="N859" s="4">
        <f>IFERROR(L859/K859,0)</f>
        <v/>
      </c>
      <c r="O859" s="4">
        <f>IFERROR(M859/L859,0)</f>
        <v/>
      </c>
      <c r="P859" t="n">
        <v>239</v>
      </c>
      <c r="Q859" s="5" t="n">
        <v>1</v>
      </c>
      <c r="R859" s="7" t="n">
        <v>1</v>
      </c>
      <c r="S859">
        <f>IF(OR(N859&lt;$T$1*0.5,O859&lt;$U$1*0.5),"код для проверки","нормальный код")</f>
        <v/>
      </c>
      <c r="T859">
        <f>IF(N859&lt;$T$1*0.5,"Низшая четверть",IF(N859&lt;$T$1,"Вторая четверть","Больше половины"))</f>
        <v/>
      </c>
      <c r="U859">
        <f>IF(O859&lt;$U$1*0.5,"Низшая четверть",IF(O859&lt;$U$1,"Вторая четверть","Больше половины"))</f>
        <v/>
      </c>
      <c r="V859">
        <f>IF(OR(N859&lt;SUMIFS(L:L,R:R,1,E:E,E859)/SUMIFS(K:K,R:R,1,E:E,E859)*0.5,O859&lt;SUMIFS(M:M,R:R,1,E:E,E859)/SUMIFS(L:L,R:R,1,E:E,E859)*0.5),"код для проверки","нормальный код")</f>
        <v/>
      </c>
      <c r="W859">
        <f>IF(N859&lt;SUMIFS(L:L,R:R,1,E:E,E859)/SUMIFS(K:K,R:R,1,E:E,E859)*0.5,"Низшая четверть",IF(N859&lt;SUMIFS(L:L,R:R,1,E:E,E859)/SUMIFS(K:K,R:R,1,E:E,E859),"Вторая четверть","Больше половины"))</f>
        <v/>
      </c>
      <c r="X859">
        <f>IF(O859&lt;SUMIFS(M:M,R:R,1,E:E,E859)/SUMIFS(L:L,R:R,1,E:E,E859)*0.5,"Низшая четверть",IF(O859&lt;SUMIFS(M:M,R:R,1,E:E,E859)/SUMIFS(L:L,R:R,1,E:E,E859),"Вторая четверть","Больше половины"))</f>
        <v/>
      </c>
      <c r="Y859" t="n">
        <v>24</v>
      </c>
    </row>
    <row r="860">
      <c r="A860" s="1" t="inlineStr">
        <is>
          <t>29900140</t>
        </is>
      </c>
      <c r="B860" s="2" t="inlineStr">
        <is>
          <t>699198450</t>
        </is>
      </c>
      <c r="C860" s="3" t="inlineStr">
        <is>
          <t>Одежда для детей</t>
        </is>
      </c>
      <c r="D860" s="2" t="inlineStr">
        <is>
          <t>Платья, майки, футболки детские для девочек</t>
        </is>
      </c>
      <c r="E860" s="3" t="inlineStr">
        <is>
          <t>299 Платье длинный рукав детское для девочек</t>
        </is>
      </c>
      <c r="F860" s="2" t="inlineStr">
        <is>
          <t>весна, осень, зима</t>
        </is>
      </c>
      <c r="G860" s="3" t="inlineStr">
        <is>
          <t>Kari KIDS</t>
        </is>
      </c>
      <c r="H860" s="2" t="inlineStr">
        <is>
          <t>Зиннуров Ильнур</t>
        </is>
      </c>
      <c r="J860" s="3" t="inlineStr">
        <is>
          <t>2026SS</t>
        </is>
      </c>
      <c r="K860" s="3" t="n">
        <v>1962</v>
      </c>
      <c r="L860" s="3" t="n">
        <v>243</v>
      </c>
      <c r="M860" s="3" t="n">
        <v>1</v>
      </c>
      <c r="N860" s="4">
        <f>IFERROR(L860/K860,0)</f>
        <v/>
      </c>
      <c r="O860" s="4">
        <f>IFERROR(M860/L860,0)</f>
        <v/>
      </c>
      <c r="P860" t="n">
        <v>356</v>
      </c>
      <c r="Q860" s="5" t="n">
        <v>1</v>
      </c>
      <c r="R860" s="7" t="n">
        <v>1</v>
      </c>
      <c r="S860">
        <f>IF(OR(N860&lt;$T$1*0.5,O860&lt;$U$1*0.5),"код для проверки","нормальный код")</f>
        <v/>
      </c>
      <c r="T860">
        <f>IF(N860&lt;$T$1*0.5,"Низшая четверть",IF(N860&lt;$T$1,"Вторая четверть","Больше половины"))</f>
        <v/>
      </c>
      <c r="U860">
        <f>IF(O860&lt;$U$1*0.5,"Низшая четверть",IF(O860&lt;$U$1,"Вторая четверть","Больше половины"))</f>
        <v/>
      </c>
      <c r="V860">
        <f>IF(OR(N860&lt;SUMIFS(L:L,R:R,1,E:E,E860)/SUMIFS(K:K,R:R,1,E:E,E860)*0.5,O860&lt;SUMIFS(M:M,R:R,1,E:E,E860)/SUMIFS(L:L,R:R,1,E:E,E860)*0.5),"код для проверки","нормальный код")</f>
        <v/>
      </c>
      <c r="W860">
        <f>IF(N860&lt;SUMIFS(L:L,R:R,1,E:E,E860)/SUMIFS(K:K,R:R,1,E:E,E860)*0.5,"Низшая четверть",IF(N860&lt;SUMIFS(L:L,R:R,1,E:E,E860)/SUMIFS(K:K,R:R,1,E:E,E860),"Вторая четверть","Больше половины"))</f>
        <v/>
      </c>
      <c r="X860">
        <f>IF(O860&lt;SUMIFS(M:M,R:R,1,E:E,E860)/SUMIFS(L:L,R:R,1,E:E,E860)*0.5,"Низшая четверть",IF(O860&lt;SUMIFS(M:M,R:R,1,E:E,E860)/SUMIFS(L:L,R:R,1,E:E,E860),"Вторая четверть","Больше половины"))</f>
        <v/>
      </c>
      <c r="Y860" t="n">
        <v>11</v>
      </c>
    </row>
    <row r="861">
      <c r="A861" s="1" t="inlineStr">
        <is>
          <t>53600330</t>
        </is>
      </c>
      <c r="B861" s="2" t="inlineStr">
        <is>
          <t>879308806</t>
        </is>
      </c>
      <c r="C861" s="3" t="inlineStr">
        <is>
          <t>Одежда для детей</t>
        </is>
      </c>
      <c r="D861" s="2" t="inlineStr">
        <is>
          <t>Платья, майки, футболки детские для девочек</t>
        </is>
      </c>
      <c r="E861" s="3" t="inlineStr">
        <is>
          <t>536 Платье летнее детское</t>
        </is>
      </c>
      <c r="F861" s="2" t="inlineStr">
        <is>
          <t>лето</t>
        </is>
      </c>
      <c r="G861" s="3" t="inlineStr">
        <is>
          <t>kari</t>
        </is>
      </c>
      <c r="H861" s="2" t="inlineStr">
        <is>
          <t>Зиннуров Ильнур</t>
        </is>
      </c>
      <c r="J861" s="3" t="inlineStr">
        <is>
          <t>2026SS</t>
        </is>
      </c>
      <c r="K861" s="3" t="n">
        <v>1960</v>
      </c>
      <c r="L861" s="3" t="n">
        <v>62</v>
      </c>
      <c r="M861" s="3" t="n">
        <v>3</v>
      </c>
      <c r="N861" s="4">
        <f>IFERROR(L861/K861,0)</f>
        <v/>
      </c>
      <c r="O861" s="4">
        <f>IFERROR(M861/L861,0)</f>
        <v/>
      </c>
      <c r="P861" t="n">
        <v>628</v>
      </c>
      <c r="Q861" s="5" t="n">
        <v>1</v>
      </c>
      <c r="R861" s="7" t="n">
        <v>1</v>
      </c>
      <c r="S861">
        <f>IF(OR(N861&lt;$T$1*0.5,O861&lt;$U$1*0.5),"код для проверки","нормальный код")</f>
        <v/>
      </c>
      <c r="T861">
        <f>IF(N861&lt;$T$1*0.5,"Низшая четверть",IF(N861&lt;$T$1,"Вторая четверть","Больше половины"))</f>
        <v/>
      </c>
      <c r="U861">
        <f>IF(O861&lt;$U$1*0.5,"Низшая четверть",IF(O861&lt;$U$1,"Вторая четверть","Больше половины"))</f>
        <v/>
      </c>
      <c r="V861">
        <f>IF(OR(N861&lt;SUMIFS(L:L,R:R,1,E:E,E861)/SUMIFS(K:K,R:R,1,E:E,E861)*0.5,O861&lt;SUMIFS(M:M,R:R,1,E:E,E861)/SUMIFS(L:L,R:R,1,E:E,E861)*0.5),"код для проверки","нормальный код")</f>
        <v/>
      </c>
      <c r="W861">
        <f>IF(N861&lt;SUMIFS(L:L,R:R,1,E:E,E861)/SUMIFS(K:K,R:R,1,E:E,E861)*0.5,"Низшая четверть",IF(N861&lt;SUMIFS(L:L,R:R,1,E:E,E861)/SUMIFS(K:K,R:R,1,E:E,E861),"Вторая четверть","Больше половины"))</f>
        <v/>
      </c>
      <c r="X861">
        <f>IF(O861&lt;SUMIFS(M:M,R:R,1,E:E,E861)/SUMIFS(L:L,R:R,1,E:E,E861)*0.5,"Низшая четверть",IF(O861&lt;SUMIFS(M:M,R:R,1,E:E,E861)/SUMIFS(L:L,R:R,1,E:E,E861),"Вторая четверть","Больше половины"))</f>
        <v/>
      </c>
      <c r="Y861" t="n">
        <v>8</v>
      </c>
    </row>
    <row r="862">
      <c r="A862" s="1" t="inlineStr">
        <is>
          <t>a6000690</t>
        </is>
      </c>
      <c r="B862" s="2" t="inlineStr">
        <is>
          <t>884287679</t>
        </is>
      </c>
      <c r="C862" s="3" t="inlineStr">
        <is>
          <t>Одежда для детей</t>
        </is>
      </c>
      <c r="D862" s="2" t="inlineStr">
        <is>
          <t>Платья, майки, футболки детские для девочек</t>
        </is>
      </c>
      <c r="E862" s="3" t="inlineStr">
        <is>
          <t>a60 Футболка детская для девочек</t>
        </is>
      </c>
      <c r="F862" s="2" t="inlineStr">
        <is>
          <t>всесезонный</t>
        </is>
      </c>
      <c r="G862" s="3" t="inlineStr">
        <is>
          <t>kari</t>
        </is>
      </c>
      <c r="H862" s="2" t="inlineStr">
        <is>
          <t>Зиннуров Ильнур</t>
        </is>
      </c>
      <c r="J862" s="3" t="inlineStr">
        <is>
          <t>2026SS</t>
        </is>
      </c>
      <c r="K862" s="3" t="n">
        <v>1957</v>
      </c>
      <c r="L862" s="3" t="n">
        <v>78</v>
      </c>
      <c r="M862" s="3" t="n">
        <v>2</v>
      </c>
      <c r="N862" s="4">
        <f>IFERROR(L862/K862,0)</f>
        <v/>
      </c>
      <c r="O862" s="4">
        <f>IFERROR(M862/L862,0)</f>
        <v/>
      </c>
      <c r="P862" t="n">
        <v>982</v>
      </c>
      <c r="Q862" s="5" t="n">
        <v>0.5555555555555556</v>
      </c>
      <c r="R862" s="7" t="n">
        <v>1</v>
      </c>
      <c r="S862">
        <f>IF(OR(N862&lt;$T$1*0.5,O862&lt;$U$1*0.5),"код для проверки","нормальный код")</f>
        <v/>
      </c>
      <c r="T862">
        <f>IF(N862&lt;$T$1*0.5,"Низшая четверть",IF(N862&lt;$T$1,"Вторая четверть","Больше половины"))</f>
        <v/>
      </c>
      <c r="U862">
        <f>IF(O862&lt;$U$1*0.5,"Низшая четверть",IF(O862&lt;$U$1,"Вторая четверть","Больше половины"))</f>
        <v/>
      </c>
      <c r="V862">
        <f>IF(OR(N862&lt;SUMIFS(L:L,R:R,1,E:E,E862)/SUMIFS(K:K,R:R,1,E:E,E862)*0.5,O862&lt;SUMIFS(M:M,R:R,1,E:E,E862)/SUMIFS(L:L,R:R,1,E:E,E862)*0.5),"код для проверки","нормальный код")</f>
        <v/>
      </c>
      <c r="W862">
        <f>IF(N862&lt;SUMIFS(L:L,R:R,1,E:E,E862)/SUMIFS(K:K,R:R,1,E:E,E862)*0.5,"Низшая четверть",IF(N862&lt;SUMIFS(L:L,R:R,1,E:E,E862)/SUMIFS(K:K,R:R,1,E:E,E862),"Вторая четверть","Больше половины"))</f>
        <v/>
      </c>
      <c r="X862">
        <f>IF(O862&lt;SUMIFS(M:M,R:R,1,E:E,E862)/SUMIFS(L:L,R:R,1,E:E,E862)*0.5,"Низшая четверть",IF(O862&lt;SUMIFS(M:M,R:R,1,E:E,E862)/SUMIFS(L:L,R:R,1,E:E,E862),"Вторая четверть","Больше половины"))</f>
        <v/>
      </c>
      <c r="Y862" t="n">
        <v>14</v>
      </c>
    </row>
    <row r="863">
      <c r="A863" s="1" t="inlineStr">
        <is>
          <t>18700000</t>
        </is>
      </c>
      <c r="B863" s="2" t="inlineStr">
        <is>
          <t>840057954</t>
        </is>
      </c>
      <c r="C863" s="3" t="inlineStr">
        <is>
          <t>Одежда и аксессуары</t>
        </is>
      </c>
      <c r="D863" s="2" t="inlineStr">
        <is>
          <t>Майки и платья женские</t>
        </is>
      </c>
      <c r="E863" s="3" t="inlineStr">
        <is>
          <t>187 Платье женское</t>
        </is>
      </c>
      <c r="F863" s="2" t="inlineStr">
        <is>
          <t>весна, лето</t>
        </is>
      </c>
      <c r="G863" s="3" t="inlineStr">
        <is>
          <t>kari</t>
        </is>
      </c>
      <c r="H863" s="2" t="inlineStr">
        <is>
          <t>Зиннуров Ильнур</t>
        </is>
      </c>
      <c r="J863" s="3" t="inlineStr">
        <is>
          <t>2026SS</t>
        </is>
      </c>
      <c r="K863" s="3" t="n">
        <v>1952</v>
      </c>
      <c r="L863" s="3" t="n">
        <v>457</v>
      </c>
      <c r="M863" s="3" t="n">
        <v>2</v>
      </c>
      <c r="N863" s="4">
        <f>IFERROR(L863/K863,0)</f>
        <v/>
      </c>
      <c r="O863" s="4">
        <f>IFERROR(M863/L863,0)</f>
        <v/>
      </c>
      <c r="P863" t="n">
        <v>311</v>
      </c>
      <c r="Q863" s="5" t="n">
        <v>1</v>
      </c>
      <c r="R863" s="7" t="n">
        <v>1</v>
      </c>
      <c r="S863">
        <f>IF(OR(N863&lt;$T$1*0.5,O863&lt;$U$1*0.5),"код для проверки","нормальный код")</f>
        <v/>
      </c>
      <c r="T863">
        <f>IF(N863&lt;$T$1*0.5,"Низшая четверть",IF(N863&lt;$T$1,"Вторая четверть","Больше половины"))</f>
        <v/>
      </c>
      <c r="U863">
        <f>IF(O863&lt;$U$1*0.5,"Низшая четверть",IF(O863&lt;$U$1,"Вторая четверть","Больше половины"))</f>
        <v/>
      </c>
      <c r="V863">
        <f>IF(OR(N863&lt;SUMIFS(L:L,R:R,1,E:E,E863)/SUMIFS(K:K,R:R,1,E:E,E863)*0.5,O863&lt;SUMIFS(M:M,R:R,1,E:E,E863)/SUMIFS(L:L,R:R,1,E:E,E863)*0.5),"код для проверки","нормальный код")</f>
        <v/>
      </c>
      <c r="W863">
        <f>IF(N863&lt;SUMIFS(L:L,R:R,1,E:E,E863)/SUMIFS(K:K,R:R,1,E:E,E863)*0.5,"Низшая четверть",IF(N863&lt;SUMIFS(L:L,R:R,1,E:E,E863)/SUMIFS(K:K,R:R,1,E:E,E863),"Вторая четверть","Больше половины"))</f>
        <v/>
      </c>
      <c r="X863">
        <f>IF(O863&lt;SUMIFS(M:M,R:R,1,E:E,E863)/SUMIFS(L:L,R:R,1,E:E,E863)*0.5,"Низшая четверть",IF(O863&lt;SUMIFS(M:M,R:R,1,E:E,E863)/SUMIFS(L:L,R:R,1,E:E,E863),"Вторая четверть","Больше половины"))</f>
        <v/>
      </c>
      <c r="Y863" t="n">
        <v>27</v>
      </c>
    </row>
    <row r="864">
      <c r="A864" s="1" t="inlineStr">
        <is>
          <t>a7800000</t>
        </is>
      </c>
      <c r="B864" s="2" t="inlineStr">
        <is>
          <t>695216006</t>
        </is>
      </c>
      <c r="C864" s="3" t="inlineStr">
        <is>
          <t>Одежда для детей</t>
        </is>
      </c>
      <c r="D864" s="2" t="inlineStr">
        <is>
          <t>Свитера детские для мальчиков</t>
        </is>
      </c>
      <c r="E864" s="3" t="inlineStr">
        <is>
          <t>a78 Толстовка-худи для мальчиков</t>
        </is>
      </c>
      <c r="F864" s="2" t="inlineStr">
        <is>
          <t>весна, лето, осень</t>
        </is>
      </c>
      <c r="G864" s="3" t="inlineStr">
        <is>
          <t>Kari KIDS</t>
        </is>
      </c>
      <c r="H864" s="2" t="inlineStr">
        <is>
          <t>Зиннуров Ильнур</t>
        </is>
      </c>
      <c r="J864" s="3" t="inlineStr">
        <is>
          <t>2026SS</t>
        </is>
      </c>
      <c r="K864" s="3" t="n">
        <v>1950</v>
      </c>
      <c r="L864" s="3" t="n">
        <v>37</v>
      </c>
      <c r="M864" s="3" t="n">
        <v>0</v>
      </c>
      <c r="N864" s="4">
        <f>IFERROR(L864/K864,0)</f>
        <v/>
      </c>
      <c r="O864" s="4">
        <f>IFERROR(M864/L864,0)</f>
        <v/>
      </c>
      <c r="P864" t="n">
        <v>180</v>
      </c>
      <c r="Q864" s="5" t="n">
        <v>0.8</v>
      </c>
      <c r="R864" s="7" t="n">
        <v>1</v>
      </c>
      <c r="S864">
        <f>IF(OR(N864&lt;$T$1*0.5,O864&lt;$U$1*0.5),"код для проверки","нормальный код")</f>
        <v/>
      </c>
      <c r="T864">
        <f>IF(N864&lt;$T$1*0.5,"Низшая четверть",IF(N864&lt;$T$1,"Вторая четверть","Больше половины"))</f>
        <v/>
      </c>
      <c r="U864">
        <f>IF(O864&lt;$U$1*0.5,"Низшая четверть",IF(O864&lt;$U$1,"Вторая четверть","Больше половины"))</f>
        <v/>
      </c>
      <c r="V864">
        <f>IF(OR(N864&lt;SUMIFS(L:L,R:R,1,E:E,E864)/SUMIFS(K:K,R:R,1,E:E,E864)*0.5,O864&lt;SUMIFS(M:M,R:R,1,E:E,E864)/SUMIFS(L:L,R:R,1,E:E,E864)*0.5),"код для проверки","нормальный код")</f>
        <v/>
      </c>
      <c r="W864">
        <f>IF(N864&lt;SUMIFS(L:L,R:R,1,E:E,E864)/SUMIFS(K:K,R:R,1,E:E,E864)*0.5,"Низшая четверть",IF(N864&lt;SUMIFS(L:L,R:R,1,E:E,E864)/SUMIFS(K:K,R:R,1,E:E,E864),"Вторая четверть","Больше половины"))</f>
        <v/>
      </c>
      <c r="X864">
        <f>IF(O864&lt;SUMIFS(M:M,R:R,1,E:E,E864)/SUMIFS(L:L,R:R,1,E:E,E864)*0.5,"Низшая четверть",IF(O864&lt;SUMIFS(M:M,R:R,1,E:E,E864)/SUMIFS(L:L,R:R,1,E:E,E864),"Вторая четверть","Больше половины"))</f>
        <v/>
      </c>
      <c r="Y864" t="n">
        <v>21</v>
      </c>
    </row>
    <row r="865">
      <c r="A865" s="1" t="inlineStr">
        <is>
          <t>23900040</t>
        </is>
      </c>
      <c r="B865" s="2" t="inlineStr">
        <is>
          <t>721093438</t>
        </is>
      </c>
      <c r="C865" s="3" t="inlineStr">
        <is>
          <t>Одежда для детей</t>
        </is>
      </c>
      <c r="D865" s="2" t="inlineStr">
        <is>
          <t>Спортивная детская одежда для мальчиков</t>
        </is>
      </c>
      <c r="E865" s="3" t="inlineStr">
        <is>
          <t>239 Спортивный костюм детский для мальчиков</t>
        </is>
      </c>
      <c r="F865" s="2" t="inlineStr">
        <is>
          <t>всесезонный</t>
        </is>
      </c>
      <c r="G865" s="3" t="inlineStr">
        <is>
          <t>Kari KIDS</t>
        </is>
      </c>
      <c r="H865" s="2" t="inlineStr">
        <is>
          <t>Зиннуров Ильнур</t>
        </is>
      </c>
      <c r="J865" s="3" t="inlineStr">
        <is>
          <t>2026SS</t>
        </is>
      </c>
      <c r="K865" s="3" t="n">
        <v>1950</v>
      </c>
      <c r="L865" s="3" t="n">
        <v>229</v>
      </c>
      <c r="M865" s="3" t="n">
        <v>6</v>
      </c>
      <c r="N865" s="4">
        <f>IFERROR(L865/K865,0)</f>
        <v/>
      </c>
      <c r="O865" s="4">
        <f>IFERROR(M865/L865,0)</f>
        <v/>
      </c>
      <c r="P865" t="n">
        <v>218</v>
      </c>
      <c r="Q865" s="5" t="n">
        <v>1</v>
      </c>
      <c r="R865" s="7" t="n">
        <v>1</v>
      </c>
      <c r="S865">
        <f>IF(OR(N865&lt;$T$1*0.5,O865&lt;$U$1*0.5),"код для проверки","нормальный код")</f>
        <v/>
      </c>
      <c r="T865">
        <f>IF(N865&lt;$T$1*0.5,"Низшая четверть",IF(N865&lt;$T$1,"Вторая четверть","Больше половины"))</f>
        <v/>
      </c>
      <c r="U865">
        <f>IF(O865&lt;$U$1*0.5,"Низшая четверть",IF(O865&lt;$U$1,"Вторая четверть","Больше половины"))</f>
        <v/>
      </c>
      <c r="V865">
        <f>IF(OR(N865&lt;SUMIFS(L:L,R:R,1,E:E,E865)/SUMIFS(K:K,R:R,1,E:E,E865)*0.5,O865&lt;SUMIFS(M:M,R:R,1,E:E,E865)/SUMIFS(L:L,R:R,1,E:E,E865)*0.5),"код для проверки","нормальный код")</f>
        <v/>
      </c>
      <c r="W865">
        <f>IF(N865&lt;SUMIFS(L:L,R:R,1,E:E,E865)/SUMIFS(K:K,R:R,1,E:E,E865)*0.5,"Низшая четверть",IF(N865&lt;SUMIFS(L:L,R:R,1,E:E,E865)/SUMIFS(K:K,R:R,1,E:E,E865),"Вторая четверть","Больше половины"))</f>
        <v/>
      </c>
      <c r="X865">
        <f>IF(O865&lt;SUMIFS(M:M,R:R,1,E:E,E865)/SUMIFS(L:L,R:R,1,E:E,E865)*0.5,"Низшая четверть",IF(O865&lt;SUMIFS(M:M,R:R,1,E:E,E865)/SUMIFS(L:L,R:R,1,E:E,E865),"Вторая четверть","Больше половины"))</f>
        <v/>
      </c>
      <c r="Y865" t="n">
        <v>24</v>
      </c>
    </row>
    <row r="866">
      <c r="A866" s="1" t="inlineStr">
        <is>
          <t>a6000120</t>
        </is>
      </c>
      <c r="B866" s="2" t="inlineStr">
        <is>
          <t>708049736</t>
        </is>
      </c>
      <c r="C866" s="3" t="inlineStr">
        <is>
          <t>Одежда для детей</t>
        </is>
      </c>
      <c r="D866" s="2" t="inlineStr">
        <is>
          <t>Платья, майки, футболки детские для девочек</t>
        </is>
      </c>
      <c r="E866" s="3" t="inlineStr">
        <is>
          <t>a60 Футболка детская для девочек</t>
        </is>
      </c>
      <c r="F866" s="2" t="inlineStr">
        <is>
          <t>всесезонный</t>
        </is>
      </c>
      <c r="G866" s="3" t="inlineStr">
        <is>
          <t>kari</t>
        </is>
      </c>
      <c r="H866" s="2" t="inlineStr">
        <is>
          <t>Зиннуров Ильнур</t>
        </is>
      </c>
      <c r="J866" s="3" t="inlineStr">
        <is>
          <t>2026SS</t>
        </is>
      </c>
      <c r="K866" s="3" t="n">
        <v>1932</v>
      </c>
      <c r="L866" s="3" t="n">
        <v>841</v>
      </c>
      <c r="M866" s="3" t="n">
        <v>2</v>
      </c>
      <c r="N866" s="4">
        <f>IFERROR(L866/K866,0)</f>
        <v/>
      </c>
      <c r="O866" s="4">
        <f>IFERROR(M866/L866,0)</f>
        <v/>
      </c>
      <c r="P866" t="n">
        <v>211</v>
      </c>
      <c r="Q866" s="5" t="n">
        <v>1</v>
      </c>
      <c r="R866" s="7" t="n">
        <v>1</v>
      </c>
      <c r="S866">
        <f>IF(OR(N866&lt;$T$1*0.5,O866&lt;$U$1*0.5),"код для проверки","нормальный код")</f>
        <v/>
      </c>
      <c r="T866">
        <f>IF(N866&lt;$T$1*0.5,"Низшая четверть",IF(N866&lt;$T$1,"Вторая четверть","Больше половины"))</f>
        <v/>
      </c>
      <c r="U866">
        <f>IF(O866&lt;$U$1*0.5,"Низшая четверть",IF(O866&lt;$U$1,"Вторая четверть","Больше половины"))</f>
        <v/>
      </c>
      <c r="V866">
        <f>IF(OR(N866&lt;SUMIFS(L:L,R:R,1,E:E,E866)/SUMIFS(K:K,R:R,1,E:E,E866)*0.5,O866&lt;SUMIFS(M:M,R:R,1,E:E,E866)/SUMIFS(L:L,R:R,1,E:E,E866)*0.5),"код для проверки","нормальный код")</f>
        <v/>
      </c>
      <c r="W866">
        <f>IF(N866&lt;SUMIFS(L:L,R:R,1,E:E,E866)/SUMIFS(K:K,R:R,1,E:E,E866)*0.5,"Низшая четверть",IF(N866&lt;SUMIFS(L:L,R:R,1,E:E,E866)/SUMIFS(K:K,R:R,1,E:E,E866),"Вторая четверть","Больше половины"))</f>
        <v/>
      </c>
      <c r="X866">
        <f>IF(O866&lt;SUMIFS(M:M,R:R,1,E:E,E866)/SUMIFS(L:L,R:R,1,E:E,E866)*0.5,"Низшая четверть",IF(O866&lt;SUMIFS(M:M,R:R,1,E:E,E866)/SUMIFS(L:L,R:R,1,E:E,E866),"Вторая четверть","Больше половины"))</f>
        <v/>
      </c>
      <c r="Y866" t="n">
        <v>14</v>
      </c>
    </row>
    <row r="867">
      <c r="A867" s="1" t="inlineStr">
        <is>
          <t>310002S0</t>
        </is>
      </c>
      <c r="B867" s="2" t="inlineStr">
        <is>
          <t>847892173</t>
        </is>
      </c>
      <c r="C867" s="3" t="inlineStr">
        <is>
          <t>Одежда для детей</t>
        </is>
      </c>
      <c r="D867" s="2" t="inlineStr">
        <is>
          <t>Футболки, майки, рубашки детские для мальчиков</t>
        </is>
      </c>
      <c r="E867" s="3" t="inlineStr">
        <is>
          <t>310 Футболка детская для мальчиков</t>
        </is>
      </c>
      <c r="F867" s="2" t="inlineStr">
        <is>
          <t>всесезонный</t>
        </is>
      </c>
      <c r="G867" s="3" t="inlineStr">
        <is>
          <t>kari</t>
        </is>
      </c>
      <c r="H867" s="2" t="inlineStr">
        <is>
          <t>Зиннуров Ильнур</t>
        </is>
      </c>
      <c r="J867" s="3" t="inlineStr">
        <is>
          <t>2026SS</t>
        </is>
      </c>
      <c r="K867" s="3" t="n">
        <v>1932</v>
      </c>
      <c r="L867" s="3" t="n">
        <v>35</v>
      </c>
      <c r="M867" s="3" t="n">
        <v>4</v>
      </c>
      <c r="N867" s="4">
        <f>IFERROR(L867/K867,0)</f>
        <v/>
      </c>
      <c r="O867" s="4">
        <f>IFERROR(M867/L867,0)</f>
        <v/>
      </c>
      <c r="P867" t="n">
        <v>671</v>
      </c>
      <c r="Q867" s="5" t="n">
        <v>1</v>
      </c>
      <c r="R867" s="7" t="n">
        <v>1</v>
      </c>
      <c r="S867">
        <f>IF(OR(N867&lt;$T$1*0.5,O867&lt;$U$1*0.5),"код для проверки","нормальный код")</f>
        <v/>
      </c>
      <c r="T867">
        <f>IF(N867&lt;$T$1*0.5,"Низшая четверть",IF(N867&lt;$T$1,"Вторая четверть","Больше половины"))</f>
        <v/>
      </c>
      <c r="U867">
        <f>IF(O867&lt;$U$1*0.5,"Низшая четверть",IF(O867&lt;$U$1,"Вторая четверть","Больше половины"))</f>
        <v/>
      </c>
      <c r="V867">
        <f>IF(OR(N867&lt;SUMIFS(L:L,R:R,1,E:E,E867)/SUMIFS(K:K,R:R,1,E:E,E867)*0.5,O867&lt;SUMIFS(M:M,R:R,1,E:E,E867)/SUMIFS(L:L,R:R,1,E:E,E867)*0.5),"код для проверки","нормальный код")</f>
        <v/>
      </c>
      <c r="W867">
        <f>IF(N867&lt;SUMIFS(L:L,R:R,1,E:E,E867)/SUMIFS(K:K,R:R,1,E:E,E867)*0.5,"Низшая четверть",IF(N867&lt;SUMIFS(L:L,R:R,1,E:E,E867)/SUMIFS(K:K,R:R,1,E:E,E867),"Вторая четверть","Больше половины"))</f>
        <v/>
      </c>
      <c r="X867">
        <f>IF(O867&lt;SUMIFS(M:M,R:R,1,E:E,E867)/SUMIFS(L:L,R:R,1,E:E,E867)*0.5,"Низшая четверть",IF(O867&lt;SUMIFS(M:M,R:R,1,E:E,E867)/SUMIFS(L:L,R:R,1,E:E,E867),"Вторая четверть","Больше половины"))</f>
        <v/>
      </c>
      <c r="Y867" t="n">
        <v>15</v>
      </c>
    </row>
    <row r="868">
      <c r="A868" s="1" t="inlineStr">
        <is>
          <t>57200010</t>
        </is>
      </c>
      <c r="B868" s="2" t="inlineStr">
        <is>
          <t>775959533</t>
        </is>
      </c>
      <c r="C868" s="3" t="inlineStr">
        <is>
          <t>Одежда для детей</t>
        </is>
      </c>
      <c r="D868" s="2" t="inlineStr">
        <is>
          <t>Одежда для новорожденных</t>
        </is>
      </c>
      <c r="E868" s="3" t="inlineStr">
        <is>
          <t>572 Ползунки для девочки</t>
        </is>
      </c>
      <c r="F868" s="2" t="inlineStr">
        <is>
          <t>всесезонный</t>
        </is>
      </c>
      <c r="G868" s="3" t="inlineStr">
        <is>
          <t>Kari baby</t>
        </is>
      </c>
      <c r="H868" s="2" t="inlineStr">
        <is>
          <t>Зиннуров Ильнур</t>
        </is>
      </c>
      <c r="J868" s="3" t="inlineStr">
        <is>
          <t>2026SS</t>
        </is>
      </c>
      <c r="K868" s="3" t="n">
        <v>1931</v>
      </c>
      <c r="L868" s="3" t="n">
        <v>181</v>
      </c>
      <c r="M868" s="3" t="n">
        <v>1</v>
      </c>
      <c r="N868" s="4">
        <f>IFERROR(L868/K868,0)</f>
        <v/>
      </c>
      <c r="O868" s="4">
        <f>IFERROR(M868/L868,0)</f>
        <v/>
      </c>
      <c r="P868" t="n">
        <v>261</v>
      </c>
      <c r="Q868" s="5" t="n">
        <v>1</v>
      </c>
      <c r="R868" s="7" t="n">
        <v>1</v>
      </c>
      <c r="S868">
        <f>IF(OR(N868&lt;$T$1*0.5,O868&lt;$U$1*0.5),"код для проверки","нормальный код")</f>
        <v/>
      </c>
      <c r="T868">
        <f>IF(N868&lt;$T$1*0.5,"Низшая четверть",IF(N868&lt;$T$1,"Вторая четверть","Больше половины"))</f>
        <v/>
      </c>
      <c r="U868">
        <f>IF(O868&lt;$U$1*0.5,"Низшая четверть",IF(O868&lt;$U$1,"Вторая четверть","Больше половины"))</f>
        <v/>
      </c>
      <c r="V868">
        <f>IF(OR(N868&lt;SUMIFS(L:L,R:R,1,E:E,E868)/SUMIFS(K:K,R:R,1,E:E,E868)*0.5,O868&lt;SUMIFS(M:M,R:R,1,E:E,E868)/SUMIFS(L:L,R:R,1,E:E,E868)*0.5),"код для проверки","нормальный код")</f>
        <v/>
      </c>
      <c r="W868">
        <f>IF(N868&lt;SUMIFS(L:L,R:R,1,E:E,E868)/SUMIFS(K:K,R:R,1,E:E,E868)*0.5,"Низшая четверть",IF(N868&lt;SUMIFS(L:L,R:R,1,E:E,E868)/SUMIFS(K:K,R:R,1,E:E,E868),"Вторая четверть","Больше половины"))</f>
        <v/>
      </c>
      <c r="X868">
        <f>IF(O868&lt;SUMIFS(M:M,R:R,1,E:E,E868)/SUMIFS(L:L,R:R,1,E:E,E868)*0.5,"Низшая четверть",IF(O868&lt;SUMIFS(M:M,R:R,1,E:E,E868)/SUMIFS(L:L,R:R,1,E:E,E868),"Вторая четверть","Больше половины"))</f>
        <v/>
      </c>
      <c r="Y868" t="n">
        <v>16</v>
      </c>
    </row>
    <row r="869">
      <c r="A869" s="1" t="inlineStr">
        <is>
          <t>a6000150</t>
        </is>
      </c>
      <c r="B869" s="2" t="inlineStr">
        <is>
          <t>715352714</t>
        </is>
      </c>
      <c r="C869" s="3" t="inlineStr">
        <is>
          <t>Одежда для детей</t>
        </is>
      </c>
      <c r="D869" s="2" t="inlineStr">
        <is>
          <t>Платья, майки, футболки детские для девочек</t>
        </is>
      </c>
      <c r="E869" s="3" t="inlineStr">
        <is>
          <t>a60 Футболка детская для девочек</t>
        </is>
      </c>
      <c r="F869" s="2" t="inlineStr">
        <is>
          <t>всесезонный</t>
        </is>
      </c>
      <c r="G869" s="3" t="inlineStr">
        <is>
          <t>kari</t>
        </is>
      </c>
      <c r="H869" s="2" t="inlineStr">
        <is>
          <t>Зиннуров Ильнур</t>
        </is>
      </c>
      <c r="J869" s="3" t="inlineStr">
        <is>
          <t>2026SS</t>
        </is>
      </c>
      <c r="K869" s="3" t="n">
        <v>1923</v>
      </c>
      <c r="L869" s="3" t="n">
        <v>457</v>
      </c>
      <c r="M869" s="3" t="n">
        <v>1</v>
      </c>
      <c r="N869" s="4">
        <f>IFERROR(L869/K869,0)</f>
        <v/>
      </c>
      <c r="O869" s="4">
        <f>IFERROR(M869/L869,0)</f>
        <v/>
      </c>
      <c r="P869" t="n">
        <v>457</v>
      </c>
      <c r="Q869" s="5" t="n">
        <v>1</v>
      </c>
      <c r="R869" s="7" t="n">
        <v>1</v>
      </c>
      <c r="S869">
        <f>IF(OR(N869&lt;$T$1*0.5,O869&lt;$U$1*0.5),"код для проверки","нормальный код")</f>
        <v/>
      </c>
      <c r="T869">
        <f>IF(N869&lt;$T$1*0.5,"Низшая четверть",IF(N869&lt;$T$1,"Вторая четверть","Больше половины"))</f>
        <v/>
      </c>
      <c r="U869">
        <f>IF(O869&lt;$U$1*0.5,"Низшая четверть",IF(O869&lt;$U$1,"Вторая четверть","Больше половины"))</f>
        <v/>
      </c>
      <c r="V869">
        <f>IF(OR(N869&lt;SUMIFS(L:L,R:R,1,E:E,E869)/SUMIFS(K:K,R:R,1,E:E,E869)*0.5,O869&lt;SUMIFS(M:M,R:R,1,E:E,E869)/SUMIFS(L:L,R:R,1,E:E,E869)*0.5),"код для проверки","нормальный код")</f>
        <v/>
      </c>
      <c r="W869">
        <f>IF(N869&lt;SUMIFS(L:L,R:R,1,E:E,E869)/SUMIFS(K:K,R:R,1,E:E,E869)*0.5,"Низшая четверть",IF(N869&lt;SUMIFS(L:L,R:R,1,E:E,E869)/SUMIFS(K:K,R:R,1,E:E,E869),"Вторая четверть","Больше половины"))</f>
        <v/>
      </c>
      <c r="X869">
        <f>IF(O869&lt;SUMIFS(M:M,R:R,1,E:E,E869)/SUMIFS(L:L,R:R,1,E:E,E869)*0.5,"Низшая четверть",IF(O869&lt;SUMIFS(M:M,R:R,1,E:E,E869)/SUMIFS(L:L,R:R,1,E:E,E869),"Вторая четверть","Больше половины"))</f>
        <v/>
      </c>
      <c r="Y869" t="n">
        <v>9</v>
      </c>
    </row>
    <row r="870">
      <c r="A870" s="1" t="inlineStr">
        <is>
          <t>17900090</t>
        </is>
      </c>
      <c r="B870" s="2" t="inlineStr">
        <is>
          <t>929518451</t>
        </is>
      </c>
      <c r="C870" s="3" t="inlineStr">
        <is>
          <t>Одежда и аксессуары</t>
        </is>
      </c>
      <c r="D870" s="2" t="inlineStr">
        <is>
          <t>Джинсы женские</t>
        </is>
      </c>
      <c r="E870" s="3" t="inlineStr">
        <is>
          <t>179 Джинсы женские</t>
        </is>
      </c>
      <c r="F870" s="2" t="inlineStr">
        <is>
          <t>всесезонный</t>
        </is>
      </c>
      <c r="G870" s="3" t="inlineStr">
        <is>
          <t>kari</t>
        </is>
      </c>
      <c r="H870" s="2" t="inlineStr">
        <is>
          <t>Зиннуров Ильнур</t>
        </is>
      </c>
      <c r="J870" s="3" t="inlineStr">
        <is>
          <t>2026SS</t>
        </is>
      </c>
      <c r="K870" s="3" t="n">
        <v>1921</v>
      </c>
      <c r="L870" s="3" t="n">
        <v>57</v>
      </c>
      <c r="M870" s="3" t="n">
        <v>4</v>
      </c>
      <c r="N870" s="4">
        <f>IFERROR(L870/K870,0)</f>
        <v/>
      </c>
      <c r="O870" s="4">
        <f>IFERROR(M870/L870,0)</f>
        <v/>
      </c>
      <c r="P870" t="n">
        <v>116</v>
      </c>
      <c r="Q870" s="5" t="n">
        <v>0.2857142857142857</v>
      </c>
      <c r="R870" s="7" t="n">
        <v>1</v>
      </c>
      <c r="S870">
        <f>IF(OR(N870&lt;$T$1*0.5,O870&lt;$U$1*0.5),"код для проверки","нормальный код")</f>
        <v/>
      </c>
      <c r="T870">
        <f>IF(N870&lt;$T$1*0.5,"Низшая четверть",IF(N870&lt;$T$1,"Вторая четверть","Больше половины"))</f>
        <v/>
      </c>
      <c r="U870">
        <f>IF(O870&lt;$U$1*0.5,"Низшая четверть",IF(O870&lt;$U$1,"Вторая четверть","Больше половины"))</f>
        <v/>
      </c>
      <c r="V870">
        <f>IF(OR(N870&lt;SUMIFS(L:L,R:R,1,E:E,E870)/SUMIFS(K:K,R:R,1,E:E,E870)*0.5,O870&lt;SUMIFS(M:M,R:R,1,E:E,E870)/SUMIFS(L:L,R:R,1,E:E,E870)*0.5),"код для проверки","нормальный код")</f>
        <v/>
      </c>
      <c r="W870">
        <f>IF(N870&lt;SUMIFS(L:L,R:R,1,E:E,E870)/SUMIFS(K:K,R:R,1,E:E,E870)*0.5,"Низшая четверть",IF(N870&lt;SUMIFS(L:L,R:R,1,E:E,E870)/SUMIFS(K:K,R:R,1,E:E,E870),"Вторая четверть","Больше половины"))</f>
        <v/>
      </c>
      <c r="X870">
        <f>IF(O870&lt;SUMIFS(M:M,R:R,1,E:E,E870)/SUMIFS(L:L,R:R,1,E:E,E870)*0.5,"Низшая четверть",IF(O870&lt;SUMIFS(M:M,R:R,1,E:E,E870)/SUMIFS(L:L,R:R,1,E:E,E870),"Вторая четверть","Больше половины"))</f>
        <v/>
      </c>
      <c r="Y870" t="n">
        <v>12</v>
      </c>
    </row>
    <row r="871">
      <c r="A871" s="1" t="inlineStr">
        <is>
          <t>310002V0</t>
        </is>
      </c>
      <c r="B871" s="2" t="inlineStr">
        <is>
          <t>847884166</t>
        </is>
      </c>
      <c r="C871" s="3" t="inlineStr">
        <is>
          <t>Одежда для детей</t>
        </is>
      </c>
      <c r="D871" s="2" t="inlineStr">
        <is>
          <t>Футболки, майки, рубашки детские для мальчиков</t>
        </is>
      </c>
      <c r="E871" s="3" t="inlineStr">
        <is>
          <t>310 Футболка детская для мальчиков</t>
        </is>
      </c>
      <c r="F871" s="2" t="inlineStr">
        <is>
          <t>всесезонный</t>
        </is>
      </c>
      <c r="G871" s="3" t="inlineStr">
        <is>
          <t>Kari KIDS</t>
        </is>
      </c>
      <c r="H871" s="2" t="inlineStr">
        <is>
          <t>Зиннуров Ильнур</t>
        </is>
      </c>
      <c r="J871" s="3" t="inlineStr">
        <is>
          <t>2026SS</t>
        </is>
      </c>
      <c r="K871" s="3" t="n">
        <v>1920</v>
      </c>
      <c r="L871" s="3" t="n">
        <v>867</v>
      </c>
      <c r="M871" s="3" t="n">
        <v>0</v>
      </c>
      <c r="N871" s="4">
        <f>IFERROR(L871/K871,0)</f>
        <v/>
      </c>
      <c r="O871" s="4">
        <f>IFERROR(M871/L871,0)</f>
        <v/>
      </c>
      <c r="P871" t="n">
        <v>620</v>
      </c>
      <c r="Q871" s="5" t="n">
        <v>1</v>
      </c>
      <c r="R871" s="7" t="n">
        <v>1</v>
      </c>
      <c r="S871">
        <f>IF(OR(N871&lt;$T$1*0.5,O871&lt;$U$1*0.5),"код для проверки","нормальный код")</f>
        <v/>
      </c>
      <c r="T871">
        <f>IF(N871&lt;$T$1*0.5,"Низшая четверть",IF(N871&lt;$T$1,"Вторая четверть","Больше половины"))</f>
        <v/>
      </c>
      <c r="U871">
        <f>IF(O871&lt;$U$1*0.5,"Низшая четверть",IF(O871&lt;$U$1,"Вторая четверть","Больше половины"))</f>
        <v/>
      </c>
      <c r="V871">
        <f>IF(OR(N871&lt;SUMIFS(L:L,R:R,1,E:E,E871)/SUMIFS(K:K,R:R,1,E:E,E871)*0.5,O871&lt;SUMIFS(M:M,R:R,1,E:E,E871)/SUMIFS(L:L,R:R,1,E:E,E871)*0.5),"код для проверки","нормальный код")</f>
        <v/>
      </c>
      <c r="W871">
        <f>IF(N871&lt;SUMIFS(L:L,R:R,1,E:E,E871)/SUMIFS(K:K,R:R,1,E:E,E871)*0.5,"Низшая четверть",IF(N871&lt;SUMIFS(L:L,R:R,1,E:E,E871)/SUMIFS(K:K,R:R,1,E:E,E871),"Вторая четверть","Больше половины"))</f>
        <v/>
      </c>
      <c r="X871">
        <f>IF(O871&lt;SUMIFS(M:M,R:R,1,E:E,E871)/SUMIFS(L:L,R:R,1,E:E,E871)*0.5,"Низшая четверть",IF(O871&lt;SUMIFS(M:M,R:R,1,E:E,E871)/SUMIFS(L:L,R:R,1,E:E,E871),"Вторая четверть","Больше половины"))</f>
        <v/>
      </c>
      <c r="Y871" t="n">
        <v>15</v>
      </c>
    </row>
    <row r="872">
      <c r="A872" s="1" t="inlineStr">
        <is>
          <t>a6000350</t>
        </is>
      </c>
      <c r="B872" s="2" t="inlineStr">
        <is>
          <t>699629682</t>
        </is>
      </c>
      <c r="C872" s="3" t="inlineStr">
        <is>
          <t>Одежда для детей</t>
        </is>
      </c>
      <c r="D872" s="2" t="inlineStr">
        <is>
          <t>Платья, майки, футболки детские для девочек</t>
        </is>
      </c>
      <c r="E872" s="3" t="inlineStr">
        <is>
          <t>a60 Футболка детская для девочек</t>
        </is>
      </c>
      <c r="F872" s="2" t="inlineStr">
        <is>
          <t>всесезонный</t>
        </is>
      </c>
      <c r="G872" s="3" t="inlineStr">
        <is>
          <t>kari</t>
        </is>
      </c>
      <c r="H872" s="2" t="inlineStr">
        <is>
          <t>Зиннуров Ильнур</t>
        </is>
      </c>
      <c r="J872" s="3" t="inlineStr">
        <is>
          <t>2026SS</t>
        </is>
      </c>
      <c r="K872" s="3" t="n">
        <v>1919</v>
      </c>
      <c r="L872" s="3" t="n">
        <v>646</v>
      </c>
      <c r="M872" s="3" t="n">
        <v>0</v>
      </c>
      <c r="N872" s="4">
        <f>IFERROR(L872/K872,0)</f>
        <v/>
      </c>
      <c r="O872" s="4">
        <f>IFERROR(M872/L872,0)</f>
        <v/>
      </c>
      <c r="P872" t="n">
        <v>178</v>
      </c>
      <c r="Q872" s="5" t="n">
        <v>1</v>
      </c>
      <c r="R872" s="7" t="n">
        <v>1</v>
      </c>
      <c r="S872">
        <f>IF(OR(N872&lt;$T$1*0.5,O872&lt;$U$1*0.5),"код для проверки","нормальный код")</f>
        <v/>
      </c>
      <c r="T872">
        <f>IF(N872&lt;$T$1*0.5,"Низшая четверть",IF(N872&lt;$T$1,"Вторая четверть","Больше половины"))</f>
        <v/>
      </c>
      <c r="U872">
        <f>IF(O872&lt;$U$1*0.5,"Низшая четверть",IF(O872&lt;$U$1,"Вторая четверть","Больше половины"))</f>
        <v/>
      </c>
      <c r="V872">
        <f>IF(OR(N872&lt;SUMIFS(L:L,R:R,1,E:E,E872)/SUMIFS(K:K,R:R,1,E:E,E872)*0.5,O872&lt;SUMIFS(M:M,R:R,1,E:E,E872)/SUMIFS(L:L,R:R,1,E:E,E872)*0.5),"код для проверки","нормальный код")</f>
        <v/>
      </c>
      <c r="W872">
        <f>IF(N872&lt;SUMIFS(L:L,R:R,1,E:E,E872)/SUMIFS(K:K,R:R,1,E:E,E872)*0.5,"Низшая четверть",IF(N872&lt;SUMIFS(L:L,R:R,1,E:E,E872)/SUMIFS(K:K,R:R,1,E:E,E872),"Вторая четверть","Больше половины"))</f>
        <v/>
      </c>
      <c r="X872">
        <f>IF(O872&lt;SUMIFS(M:M,R:R,1,E:E,E872)/SUMIFS(L:L,R:R,1,E:E,E872)*0.5,"Низшая четверть",IF(O872&lt;SUMIFS(M:M,R:R,1,E:E,E872)/SUMIFS(L:L,R:R,1,E:E,E872),"Вторая четверть","Больше половины"))</f>
        <v/>
      </c>
      <c r="Y872" t="n">
        <v>6</v>
      </c>
    </row>
    <row r="873">
      <c r="A873" s="1" t="inlineStr">
        <is>
          <t>55400070</t>
        </is>
      </c>
      <c r="B873" s="2" t="inlineStr">
        <is>
          <t>371244681</t>
        </is>
      </c>
      <c r="C873" s="3" t="inlineStr">
        <is>
          <t>Одежда для детей</t>
        </is>
      </c>
      <c r="D873" s="2" t="inlineStr">
        <is>
          <t>Головные уборы детские для мальчиков</t>
        </is>
      </c>
      <c r="E873" s="3" t="inlineStr">
        <is>
          <t>554 Панама детская для мальчиков</t>
        </is>
      </c>
      <c r="F873" s="2" t="inlineStr">
        <is>
          <t>весна, лето</t>
        </is>
      </c>
      <c r="G873" s="3" t="inlineStr">
        <is>
          <t>kari</t>
        </is>
      </c>
      <c r="H873" s="2" t="inlineStr">
        <is>
          <t>Никонорова Алина</t>
        </is>
      </c>
      <c r="J873" s="3" t="inlineStr">
        <is>
          <t>2026SS</t>
        </is>
      </c>
      <c r="K873" s="3" t="n">
        <v>1907</v>
      </c>
      <c r="L873" s="3" t="n">
        <v>276</v>
      </c>
      <c r="M873" s="3" t="n">
        <v>10</v>
      </c>
      <c r="N873" s="4">
        <f>IFERROR(L873/K873,0)</f>
        <v/>
      </c>
      <c r="O873" s="4">
        <f>IFERROR(M873/L873,0)</f>
        <v/>
      </c>
      <c r="P873" t="n">
        <v>0</v>
      </c>
      <c r="Q873" s="5" t="n">
        <v>0</v>
      </c>
      <c r="R873" s="7" t="n">
        <v>0</v>
      </c>
      <c r="S873" t="inlineStr">
        <is>
          <t>Мало остатка</t>
        </is>
      </c>
      <c r="T873">
        <f>IF(N873&lt;$T$1*0.5,"Низшая четверть",IF(N873&lt;$T$1,"Вторая четверть","Больше половины"))</f>
        <v/>
      </c>
      <c r="U873">
        <f>IF(O873&lt;$U$1*0.5,"Низшая четверть",IF(O873&lt;$U$1,"Вторая четверть","Больше половины"))</f>
        <v/>
      </c>
      <c r="V873">
        <f>IF(OR(N873&lt;SUMIFS(L:L,R:R,1,E:E,E873)/SUMIFS(K:K,R:R,1,E:E,E873)*0.5,O873&lt;SUMIFS(M:M,R:R,1,E:E,E873)/SUMIFS(L:L,R:R,1,E:E,E873)*0.5),"код для проверки","нормальный код")</f>
        <v/>
      </c>
      <c r="W873">
        <f>IF(N873&lt;SUMIFS(L:L,R:R,1,E:E,E873)/SUMIFS(K:K,R:R,1,E:E,E873)*0.5,"Низшая четверть",IF(N873&lt;SUMIFS(L:L,R:R,1,E:E,E873)/SUMIFS(K:K,R:R,1,E:E,E873),"Вторая четверть","Больше половины"))</f>
        <v/>
      </c>
      <c r="X873">
        <f>IF(O873&lt;SUMIFS(M:M,R:R,1,E:E,E873)/SUMIFS(L:L,R:R,1,E:E,E873)*0.5,"Низшая четверть",IF(O873&lt;SUMIFS(M:M,R:R,1,E:E,E873)/SUMIFS(L:L,R:R,1,E:E,E873),"Вторая четверть","Больше половины"))</f>
        <v/>
      </c>
      <c r="Y873" t="n">
        <v>7</v>
      </c>
    </row>
    <row r="874">
      <c r="A874" s="1" t="inlineStr">
        <is>
          <t>94608120</t>
        </is>
      </c>
      <c r="B874" s="2" t="inlineStr">
        <is>
          <t>343110214</t>
        </is>
      </c>
      <c r="C874" s="3" t="inlineStr">
        <is>
          <t>Одежда для детей</t>
        </is>
      </c>
      <c r="D874" s="2" t="inlineStr">
        <is>
          <t>Одежда для новорожденных</t>
        </is>
      </c>
      <c r="E874" s="3" t="inlineStr">
        <is>
          <t>946 Ромпер для мальчика</t>
        </is>
      </c>
      <c r="F874" s="2" t="inlineStr">
        <is>
          <t>лето</t>
        </is>
      </c>
      <c r="G874" s="3" t="inlineStr">
        <is>
          <t>Kari baby</t>
        </is>
      </c>
      <c r="H874" s="2" t="inlineStr">
        <is>
          <t>Зиннуров Ильнур</t>
        </is>
      </c>
      <c r="J874" s="3" t="inlineStr">
        <is>
          <t>2026SS</t>
        </is>
      </c>
      <c r="K874" s="3" t="n">
        <v>1905</v>
      </c>
      <c r="L874" s="3" t="n">
        <v>451</v>
      </c>
      <c r="M874" s="3" t="n">
        <v>3</v>
      </c>
      <c r="N874" s="4">
        <f>IFERROR(L874/K874,0)</f>
        <v/>
      </c>
      <c r="O874" s="4">
        <f>IFERROR(M874/L874,0)</f>
        <v/>
      </c>
      <c r="P874" t="n">
        <v>892</v>
      </c>
      <c r="Q874" s="5" t="n">
        <v>1</v>
      </c>
      <c r="R874" s="7" t="n">
        <v>1</v>
      </c>
      <c r="S874">
        <f>IF(OR(N874&lt;$T$1*0.5,O874&lt;$U$1*0.5),"код для проверки","нормальный код")</f>
        <v/>
      </c>
      <c r="T874">
        <f>IF(N874&lt;$T$1*0.5,"Низшая четверть",IF(N874&lt;$T$1,"Вторая четверть","Больше половины"))</f>
        <v/>
      </c>
      <c r="U874">
        <f>IF(O874&lt;$U$1*0.5,"Низшая четверть",IF(O874&lt;$U$1,"Вторая четверть","Больше половины"))</f>
        <v/>
      </c>
      <c r="V874">
        <f>IF(OR(N874&lt;SUMIFS(L:L,R:R,1,E:E,E874)/SUMIFS(K:K,R:R,1,E:E,E874)*0.5,O874&lt;SUMIFS(M:M,R:R,1,E:E,E874)/SUMIFS(L:L,R:R,1,E:E,E874)*0.5),"код для проверки","нормальный код")</f>
        <v/>
      </c>
      <c r="W874">
        <f>IF(N874&lt;SUMIFS(L:L,R:R,1,E:E,E874)/SUMIFS(K:K,R:R,1,E:E,E874)*0.5,"Низшая четверть",IF(N874&lt;SUMIFS(L:L,R:R,1,E:E,E874)/SUMIFS(K:K,R:R,1,E:E,E874),"Вторая четверть","Больше половины"))</f>
        <v/>
      </c>
      <c r="X874">
        <f>IF(O874&lt;SUMIFS(M:M,R:R,1,E:E,E874)/SUMIFS(L:L,R:R,1,E:E,E874)*0.5,"Низшая четверть",IF(O874&lt;SUMIFS(M:M,R:R,1,E:E,E874)/SUMIFS(L:L,R:R,1,E:E,E874),"Вторая четверть","Больше половины"))</f>
        <v/>
      </c>
      <c r="Y874" t="n">
        <v>13</v>
      </c>
    </row>
    <row r="875">
      <c r="A875" s="1" t="inlineStr">
        <is>
          <t>88300320</t>
        </is>
      </c>
      <c r="B875" s="2" t="inlineStr">
        <is>
          <t>714592773</t>
        </is>
      </c>
      <c r="C875" s="3" t="inlineStr">
        <is>
          <t>Одежда для детей</t>
        </is>
      </c>
      <c r="D875" s="2" t="inlineStr">
        <is>
          <t>Платья, майки, футболки детские для девочек</t>
        </is>
      </c>
      <c r="E875" s="3" t="inlineStr">
        <is>
          <t>883 Футболка длинный рукав детская для девочек</t>
        </is>
      </c>
      <c r="F875" s="2" t="inlineStr">
        <is>
          <t>всесезонный</t>
        </is>
      </c>
      <c r="G875" s="3" t="inlineStr">
        <is>
          <t>Kari KIDS</t>
        </is>
      </c>
      <c r="H875" s="2" t="inlineStr">
        <is>
          <t>Зиннуров Ильнур</t>
        </is>
      </c>
      <c r="J875" s="3" t="inlineStr">
        <is>
          <t>2026SS</t>
        </is>
      </c>
      <c r="K875" s="3" t="n">
        <v>1902</v>
      </c>
      <c r="L875" s="3" t="n">
        <v>259</v>
      </c>
      <c r="M875" s="3" t="n">
        <v>5</v>
      </c>
      <c r="N875" s="4">
        <f>IFERROR(L875/K875,0)</f>
        <v/>
      </c>
      <c r="O875" s="4">
        <f>IFERROR(M875/L875,0)</f>
        <v/>
      </c>
      <c r="P875" t="n">
        <v>46</v>
      </c>
      <c r="Q875" s="5" t="n">
        <v>1</v>
      </c>
      <c r="R875" s="7" t="n">
        <v>1</v>
      </c>
      <c r="S875">
        <f>IF(OR(N875&lt;$T$1*0.5,O875&lt;$U$1*0.5),"код для проверки","нормальный код")</f>
        <v/>
      </c>
      <c r="T875">
        <f>IF(N875&lt;$T$1*0.5,"Низшая четверть",IF(N875&lt;$T$1,"Вторая четверть","Больше половины"))</f>
        <v/>
      </c>
      <c r="U875">
        <f>IF(O875&lt;$U$1*0.5,"Низшая четверть",IF(O875&lt;$U$1,"Вторая четверть","Больше половины"))</f>
        <v/>
      </c>
      <c r="V875">
        <f>IF(OR(N875&lt;SUMIFS(L:L,R:R,1,E:E,E875)/SUMIFS(K:K,R:R,1,E:E,E875)*0.5,O875&lt;SUMIFS(M:M,R:R,1,E:E,E875)/SUMIFS(L:L,R:R,1,E:E,E875)*0.5),"код для проверки","нормальный код")</f>
        <v/>
      </c>
      <c r="W875">
        <f>IF(N875&lt;SUMIFS(L:L,R:R,1,E:E,E875)/SUMIFS(K:K,R:R,1,E:E,E875)*0.5,"Низшая четверть",IF(N875&lt;SUMIFS(L:L,R:R,1,E:E,E875)/SUMIFS(K:K,R:R,1,E:E,E875),"Вторая четверть","Больше половины"))</f>
        <v/>
      </c>
      <c r="X875">
        <f>IF(O875&lt;SUMIFS(M:M,R:R,1,E:E,E875)/SUMIFS(L:L,R:R,1,E:E,E875)*0.5,"Низшая четверть",IF(O875&lt;SUMIFS(M:M,R:R,1,E:E,E875)/SUMIFS(L:L,R:R,1,E:E,E875),"Вторая четверть","Больше половины"))</f>
        <v/>
      </c>
      <c r="Y875" t="n">
        <v>20</v>
      </c>
    </row>
    <row r="876">
      <c r="A876" s="1" t="inlineStr">
        <is>
          <t>19900060</t>
        </is>
      </c>
      <c r="B876" s="2" t="inlineStr">
        <is>
          <t>755313433</t>
        </is>
      </c>
      <c r="C876" s="3" t="inlineStr">
        <is>
          <t>Одежда и аксессуары</t>
        </is>
      </c>
      <c r="D876" s="2" t="inlineStr">
        <is>
          <t>Пиджаки, жакеты женские</t>
        </is>
      </c>
      <c r="E876" s="3" t="inlineStr">
        <is>
          <t>199 Пиджак женский</t>
        </is>
      </c>
      <c r="F876" s="2" t="inlineStr">
        <is>
          <t>всесезонный</t>
        </is>
      </c>
      <c r="G876" s="3" t="inlineStr">
        <is>
          <t>kari</t>
        </is>
      </c>
      <c r="H876" s="2" t="inlineStr">
        <is>
          <t>Зиннуров Ильнур</t>
        </is>
      </c>
      <c r="J876" s="3" t="inlineStr">
        <is>
          <t>2026SS</t>
        </is>
      </c>
      <c r="K876" s="3" t="n">
        <v>1902</v>
      </c>
      <c r="L876" s="3" t="n">
        <v>106</v>
      </c>
      <c r="M876" s="3" t="n">
        <v>1</v>
      </c>
      <c r="N876" s="4">
        <f>IFERROR(L876/K876,0)</f>
        <v/>
      </c>
      <c r="O876" s="4">
        <f>IFERROR(M876/L876,0)</f>
        <v/>
      </c>
      <c r="P876" t="n">
        <v>414</v>
      </c>
      <c r="Q876" s="5" t="n">
        <v>1</v>
      </c>
      <c r="R876" s="7" t="n">
        <v>1</v>
      </c>
      <c r="S876">
        <f>IF(OR(N876&lt;$T$1*0.5,O876&lt;$U$1*0.5),"код для проверки","нормальный код")</f>
        <v/>
      </c>
      <c r="T876">
        <f>IF(N876&lt;$T$1*0.5,"Низшая четверть",IF(N876&lt;$T$1,"Вторая четверть","Больше половины"))</f>
        <v/>
      </c>
      <c r="U876">
        <f>IF(O876&lt;$U$1*0.5,"Низшая четверть",IF(O876&lt;$U$1,"Вторая четверть","Больше половины"))</f>
        <v/>
      </c>
      <c r="V876">
        <f>IF(OR(N876&lt;SUMIFS(L:L,R:R,1,E:E,E876)/SUMIFS(K:K,R:R,1,E:E,E876)*0.5,O876&lt;SUMIFS(M:M,R:R,1,E:E,E876)/SUMIFS(L:L,R:R,1,E:E,E876)*0.5),"код для проверки","нормальный код")</f>
        <v/>
      </c>
      <c r="W876">
        <f>IF(N876&lt;SUMIFS(L:L,R:R,1,E:E,E876)/SUMIFS(K:K,R:R,1,E:E,E876)*0.5,"Низшая четверть",IF(N876&lt;SUMIFS(L:L,R:R,1,E:E,E876)/SUMIFS(K:K,R:R,1,E:E,E876),"Вторая четверть","Больше половины"))</f>
        <v/>
      </c>
      <c r="X876">
        <f>IF(O876&lt;SUMIFS(M:M,R:R,1,E:E,E876)/SUMIFS(L:L,R:R,1,E:E,E876)*0.5,"Низшая четверть",IF(O876&lt;SUMIFS(M:M,R:R,1,E:E,E876)/SUMIFS(L:L,R:R,1,E:E,E876),"Вторая четверть","Больше половины"))</f>
        <v/>
      </c>
      <c r="Y876" t="n">
        <v>22</v>
      </c>
    </row>
    <row r="877">
      <c r="A877" s="1" t="inlineStr">
        <is>
          <t>310002X0</t>
        </is>
      </c>
      <c r="B877" s="2" t="inlineStr">
        <is>
          <t>847884252</t>
        </is>
      </c>
      <c r="C877" s="3" t="inlineStr">
        <is>
          <t>Одежда для детей</t>
        </is>
      </c>
      <c r="D877" s="2" t="inlineStr">
        <is>
          <t>Футболки, майки, рубашки детские для мальчиков</t>
        </is>
      </c>
      <c r="E877" s="3" t="inlineStr">
        <is>
          <t>310 Футболка детская для мальчиков</t>
        </is>
      </c>
      <c r="F877" s="2" t="inlineStr">
        <is>
          <t>всесезонный</t>
        </is>
      </c>
      <c r="G877" s="3" t="inlineStr">
        <is>
          <t>kari</t>
        </is>
      </c>
      <c r="H877" s="2" t="inlineStr">
        <is>
          <t>Зиннуров Ильнур</t>
        </is>
      </c>
      <c r="J877" s="3" t="inlineStr">
        <is>
          <t>2026SS</t>
        </is>
      </c>
      <c r="K877" s="3" t="n">
        <v>1889</v>
      </c>
      <c r="L877" s="3" t="n">
        <v>59</v>
      </c>
      <c r="M877" s="3" t="n">
        <v>4</v>
      </c>
      <c r="N877" s="4">
        <f>IFERROR(L877/K877,0)</f>
        <v/>
      </c>
      <c r="O877" s="4">
        <f>IFERROR(M877/L877,0)</f>
        <v/>
      </c>
      <c r="P877" t="n">
        <v>723</v>
      </c>
      <c r="Q877" s="5" t="n">
        <v>1</v>
      </c>
      <c r="R877" s="7" t="n">
        <v>1</v>
      </c>
      <c r="S877">
        <f>IF(OR(N877&lt;$T$1*0.5,O877&lt;$U$1*0.5),"код для проверки","нормальный код")</f>
        <v/>
      </c>
      <c r="T877">
        <f>IF(N877&lt;$T$1*0.5,"Низшая четверть",IF(N877&lt;$T$1,"Вторая четверть","Больше половины"))</f>
        <v/>
      </c>
      <c r="U877">
        <f>IF(O877&lt;$U$1*0.5,"Низшая четверть",IF(O877&lt;$U$1,"Вторая четверть","Больше половины"))</f>
        <v/>
      </c>
      <c r="V877">
        <f>IF(OR(N877&lt;SUMIFS(L:L,R:R,1,E:E,E877)/SUMIFS(K:K,R:R,1,E:E,E877)*0.5,O877&lt;SUMIFS(M:M,R:R,1,E:E,E877)/SUMIFS(L:L,R:R,1,E:E,E877)*0.5),"код для проверки","нормальный код")</f>
        <v/>
      </c>
      <c r="W877">
        <f>IF(N877&lt;SUMIFS(L:L,R:R,1,E:E,E877)/SUMIFS(K:K,R:R,1,E:E,E877)*0.5,"Низшая четверть",IF(N877&lt;SUMIFS(L:L,R:R,1,E:E,E877)/SUMIFS(K:K,R:R,1,E:E,E877),"Вторая четверть","Больше половины"))</f>
        <v/>
      </c>
      <c r="X877">
        <f>IF(O877&lt;SUMIFS(M:M,R:R,1,E:E,E877)/SUMIFS(L:L,R:R,1,E:E,E877)*0.5,"Низшая четверть",IF(O877&lt;SUMIFS(M:M,R:R,1,E:E,E877)/SUMIFS(L:L,R:R,1,E:E,E877),"Вторая четверть","Больше половины"))</f>
        <v/>
      </c>
      <c r="Y877" t="n">
        <v>17</v>
      </c>
    </row>
    <row r="878">
      <c r="A878" s="1" t="inlineStr">
        <is>
          <t>88300150</t>
        </is>
      </c>
      <c r="B878" s="2" t="inlineStr">
        <is>
          <t>727422454</t>
        </is>
      </c>
      <c r="C878" s="3" t="inlineStr">
        <is>
          <t>Одежда для детей</t>
        </is>
      </c>
      <c r="D878" s="2" t="inlineStr">
        <is>
          <t>Платья, майки, футболки детские для девочек</t>
        </is>
      </c>
      <c r="E878" s="3" t="inlineStr">
        <is>
          <t>883 Футболка длинный рукав детская для девочек</t>
        </is>
      </c>
      <c r="F878" s="2" t="inlineStr">
        <is>
          <t>всесезонный</t>
        </is>
      </c>
      <c r="G878" s="3" t="inlineStr">
        <is>
          <t>Kari KIDS</t>
        </is>
      </c>
      <c r="H878" s="2" t="inlineStr">
        <is>
          <t>Зиннуров Ильнур</t>
        </is>
      </c>
      <c r="J878" s="3" t="inlineStr">
        <is>
          <t>2026SS</t>
        </is>
      </c>
      <c r="K878" s="3" t="n">
        <v>1886</v>
      </c>
      <c r="L878" s="3" t="n">
        <v>399</v>
      </c>
      <c r="M878" s="3" t="n">
        <v>1</v>
      </c>
      <c r="N878" s="4">
        <f>IFERROR(L878/K878,0)</f>
        <v/>
      </c>
      <c r="O878" s="4">
        <f>IFERROR(M878/L878,0)</f>
        <v/>
      </c>
      <c r="P878" t="n">
        <v>212</v>
      </c>
      <c r="Q878" s="5" t="n">
        <v>1</v>
      </c>
      <c r="R878" s="7" t="n">
        <v>1</v>
      </c>
      <c r="S878">
        <f>IF(OR(N878&lt;$T$1*0.5,O878&lt;$U$1*0.5),"код для проверки","нормальный код")</f>
        <v/>
      </c>
      <c r="T878">
        <f>IF(N878&lt;$T$1*0.5,"Низшая четверть",IF(N878&lt;$T$1,"Вторая четверть","Больше половины"))</f>
        <v/>
      </c>
      <c r="U878">
        <f>IF(O878&lt;$U$1*0.5,"Низшая четверть",IF(O878&lt;$U$1,"Вторая четверть","Больше половины"))</f>
        <v/>
      </c>
      <c r="V878">
        <f>IF(OR(N878&lt;SUMIFS(L:L,R:R,1,E:E,E878)/SUMIFS(K:K,R:R,1,E:E,E878)*0.5,O878&lt;SUMIFS(M:M,R:R,1,E:E,E878)/SUMIFS(L:L,R:R,1,E:E,E878)*0.5),"код для проверки","нормальный код")</f>
        <v/>
      </c>
      <c r="W878">
        <f>IF(N878&lt;SUMIFS(L:L,R:R,1,E:E,E878)/SUMIFS(K:K,R:R,1,E:E,E878)*0.5,"Низшая четверть",IF(N878&lt;SUMIFS(L:L,R:R,1,E:E,E878)/SUMIFS(K:K,R:R,1,E:E,E878),"Вторая четверть","Больше половины"))</f>
        <v/>
      </c>
      <c r="X878">
        <f>IF(O878&lt;SUMIFS(M:M,R:R,1,E:E,E878)/SUMIFS(L:L,R:R,1,E:E,E878)*0.5,"Низшая четверть",IF(O878&lt;SUMIFS(M:M,R:R,1,E:E,E878)/SUMIFS(L:L,R:R,1,E:E,E878),"Вторая четверть","Больше половины"))</f>
        <v/>
      </c>
      <c r="Y878" t="n">
        <v>15</v>
      </c>
    </row>
    <row r="879">
      <c r="A879" s="1" t="inlineStr">
        <is>
          <t>94000220</t>
        </is>
      </c>
      <c r="B879" s="2" t="inlineStr">
        <is>
          <t>839629792</t>
        </is>
      </c>
      <c r="C879" s="3" t="inlineStr">
        <is>
          <t>Одежда для детей</t>
        </is>
      </c>
      <c r="D879" s="2" t="inlineStr">
        <is>
          <t>Одежда для новорожденных</t>
        </is>
      </c>
      <c r="E879" s="3" t="inlineStr">
        <is>
          <t>940 Футболка для маленького мальчика</t>
        </is>
      </c>
      <c r="F879" s="2" t="inlineStr">
        <is>
          <t>всесезонный</t>
        </is>
      </c>
      <c r="G879" s="3" t="inlineStr">
        <is>
          <t>Kari baby</t>
        </is>
      </c>
      <c r="H879" s="2" t="inlineStr">
        <is>
          <t>Зиннуров Ильнур</t>
        </is>
      </c>
      <c r="J879" s="3" t="inlineStr">
        <is>
          <t>2026SS</t>
        </is>
      </c>
      <c r="K879" s="3" t="n">
        <v>1869</v>
      </c>
      <c r="L879" s="3" t="n">
        <v>1382</v>
      </c>
      <c r="M879" s="3" t="n">
        <v>89</v>
      </c>
      <c r="N879" s="4">
        <f>IFERROR(L879/K879,0)</f>
        <v/>
      </c>
      <c r="O879" s="4">
        <f>IFERROR(M879/L879,0)</f>
        <v/>
      </c>
      <c r="P879" t="n">
        <v>104</v>
      </c>
      <c r="Q879" s="5" t="n">
        <v>1</v>
      </c>
      <c r="R879" s="7" t="n">
        <v>1</v>
      </c>
      <c r="S879">
        <f>IF(OR(N879&lt;$T$1*0.5,O879&lt;$U$1*0.5),"код для проверки","нормальный код")</f>
        <v/>
      </c>
      <c r="T879">
        <f>IF(N879&lt;$T$1*0.5,"Низшая четверть",IF(N879&lt;$T$1,"Вторая четверть","Больше половины"))</f>
        <v/>
      </c>
      <c r="U879">
        <f>IF(O879&lt;$U$1*0.5,"Низшая четверть",IF(O879&lt;$U$1,"Вторая четверть","Больше половины"))</f>
        <v/>
      </c>
      <c r="V879">
        <f>IF(OR(N879&lt;SUMIFS(L:L,R:R,1,E:E,E879)/SUMIFS(K:K,R:R,1,E:E,E879)*0.5,O879&lt;SUMIFS(M:M,R:R,1,E:E,E879)/SUMIFS(L:L,R:R,1,E:E,E879)*0.5),"код для проверки","нормальный код")</f>
        <v/>
      </c>
      <c r="W879">
        <f>IF(N879&lt;SUMIFS(L:L,R:R,1,E:E,E879)/SUMIFS(K:K,R:R,1,E:E,E879)*0.5,"Низшая четверть",IF(N879&lt;SUMIFS(L:L,R:R,1,E:E,E879)/SUMIFS(K:K,R:R,1,E:E,E879),"Вторая четверть","Больше половины"))</f>
        <v/>
      </c>
      <c r="X879">
        <f>IF(O879&lt;SUMIFS(M:M,R:R,1,E:E,E879)/SUMIFS(L:L,R:R,1,E:E,E879)*0.5,"Низшая четверть",IF(O879&lt;SUMIFS(M:M,R:R,1,E:E,E879)/SUMIFS(L:L,R:R,1,E:E,E879),"Вторая четверть","Больше половины"))</f>
        <v/>
      </c>
      <c r="Y879" t="n">
        <v>14</v>
      </c>
    </row>
    <row r="880">
      <c r="A880" s="1" t="inlineStr">
        <is>
          <t>30400040</t>
        </is>
      </c>
      <c r="B880" s="2" t="inlineStr">
        <is>
          <t>734171277</t>
        </is>
      </c>
      <c r="C880" s="3" t="inlineStr">
        <is>
          <t>Одежда и аксессуары</t>
        </is>
      </c>
      <c r="D880" s="2" t="inlineStr">
        <is>
          <t>Майки и платья женские</t>
        </is>
      </c>
      <c r="E880" s="3" t="inlineStr">
        <is>
          <t>304 Юбка женская</t>
        </is>
      </c>
      <c r="F880" s="2" t="inlineStr">
        <is>
          <t>всесезонный</t>
        </is>
      </c>
      <c r="G880" s="3" t="inlineStr">
        <is>
          <t>kari</t>
        </is>
      </c>
      <c r="H880" s="2" t="inlineStr">
        <is>
          <t>Зиннуров Ильнур</t>
        </is>
      </c>
      <c r="J880" s="3" t="inlineStr">
        <is>
          <t>2026SS</t>
        </is>
      </c>
      <c r="K880" s="3" t="n">
        <v>1868</v>
      </c>
      <c r="L880" s="3" t="n">
        <v>304</v>
      </c>
      <c r="M880" s="3" t="n">
        <v>8</v>
      </c>
      <c r="N880" s="4">
        <f>IFERROR(L880/K880,0)</f>
        <v/>
      </c>
      <c r="O880" s="4">
        <f>IFERROR(M880/L880,0)</f>
        <v/>
      </c>
      <c r="P880" t="n">
        <v>892</v>
      </c>
      <c r="Q880" s="5" t="n">
        <v>1</v>
      </c>
      <c r="R880" s="7" t="n">
        <v>1</v>
      </c>
      <c r="S880">
        <f>IF(OR(N880&lt;$T$1*0.5,O880&lt;$U$1*0.5),"код для проверки","нормальный код")</f>
        <v/>
      </c>
      <c r="T880">
        <f>IF(N880&lt;$T$1*0.5,"Низшая четверть",IF(N880&lt;$T$1,"Вторая четверть","Больше половины"))</f>
        <v/>
      </c>
      <c r="U880">
        <f>IF(O880&lt;$U$1*0.5,"Низшая четверть",IF(O880&lt;$U$1,"Вторая четверть","Больше половины"))</f>
        <v/>
      </c>
      <c r="V880">
        <f>IF(OR(N880&lt;SUMIFS(L:L,R:R,1,E:E,E880)/SUMIFS(K:K,R:R,1,E:E,E880)*0.5,O880&lt;SUMIFS(M:M,R:R,1,E:E,E880)/SUMIFS(L:L,R:R,1,E:E,E880)*0.5),"код для проверки","нормальный код")</f>
        <v/>
      </c>
      <c r="W880">
        <f>IF(N880&lt;SUMIFS(L:L,R:R,1,E:E,E880)/SUMIFS(K:K,R:R,1,E:E,E880)*0.5,"Низшая четверть",IF(N880&lt;SUMIFS(L:L,R:R,1,E:E,E880)/SUMIFS(K:K,R:R,1,E:E,E880),"Вторая четверть","Больше половины"))</f>
        <v/>
      </c>
      <c r="X880">
        <f>IF(O880&lt;SUMIFS(M:M,R:R,1,E:E,E880)/SUMIFS(L:L,R:R,1,E:E,E880)*0.5,"Низшая четверть",IF(O880&lt;SUMIFS(M:M,R:R,1,E:E,E880)/SUMIFS(L:L,R:R,1,E:E,E880),"Вторая четверть","Больше половины"))</f>
        <v/>
      </c>
      <c r="Y880" t="n">
        <v>20</v>
      </c>
    </row>
    <row r="881">
      <c r="A881" s="1" t="inlineStr">
        <is>
          <t>20200280</t>
        </is>
      </c>
      <c r="B881" s="2" t="inlineStr">
        <is>
          <t>820479804</t>
        </is>
      </c>
      <c r="C881" s="3" t="inlineStr">
        <is>
          <t>Одежда для детей</t>
        </is>
      </c>
      <c r="D881" s="2" t="inlineStr">
        <is>
          <t>Головные уборы детские для мальчиков</t>
        </is>
      </c>
      <c r="E881" s="3" t="inlineStr">
        <is>
          <t>202 Бейсболка детская для мальчиков</t>
        </is>
      </c>
      <c r="F881" s="2" t="inlineStr">
        <is>
          <t>весна, лето</t>
        </is>
      </c>
      <c r="G881" s="3" t="inlineStr">
        <is>
          <t>kari</t>
        </is>
      </c>
      <c r="H881" s="2" t="inlineStr">
        <is>
          <t>Никонорова Алина</t>
        </is>
      </c>
      <c r="J881" s="3" t="inlineStr">
        <is>
          <t>2026SS</t>
        </is>
      </c>
      <c r="K881" s="3" t="n">
        <v>1867</v>
      </c>
      <c r="L881" s="3" t="n">
        <v>353</v>
      </c>
      <c r="M881" s="3" t="n">
        <v>4</v>
      </c>
      <c r="N881" s="4">
        <f>IFERROR(L881/K881,0)</f>
        <v/>
      </c>
      <c r="O881" s="4">
        <f>IFERROR(M881/L881,0)</f>
        <v/>
      </c>
      <c r="P881" t="n">
        <v>594</v>
      </c>
      <c r="Q881" s="5" t="n">
        <v>1</v>
      </c>
      <c r="R881" s="7" t="n">
        <v>1</v>
      </c>
      <c r="S881">
        <f>IF(OR(N881&lt;$T$1*0.5,O881&lt;$U$1*0.5),"код для проверки","нормальный код")</f>
        <v/>
      </c>
      <c r="T881">
        <f>IF(N881&lt;$T$1*0.5,"Низшая четверть",IF(N881&lt;$T$1,"Вторая четверть","Больше половины"))</f>
        <v/>
      </c>
      <c r="U881">
        <f>IF(O881&lt;$U$1*0.5,"Низшая четверть",IF(O881&lt;$U$1,"Вторая четверть","Больше половины"))</f>
        <v/>
      </c>
      <c r="V881">
        <f>IF(OR(N881&lt;SUMIFS(L:L,R:R,1,E:E,E881)/SUMIFS(K:K,R:R,1,E:E,E881)*0.5,O881&lt;SUMIFS(M:M,R:R,1,E:E,E881)/SUMIFS(L:L,R:R,1,E:E,E881)*0.5),"код для проверки","нормальный код")</f>
        <v/>
      </c>
      <c r="W881">
        <f>IF(N881&lt;SUMIFS(L:L,R:R,1,E:E,E881)/SUMIFS(K:K,R:R,1,E:E,E881)*0.5,"Низшая четверть",IF(N881&lt;SUMIFS(L:L,R:R,1,E:E,E881)/SUMIFS(K:K,R:R,1,E:E,E881),"Вторая четверть","Больше половины"))</f>
        <v/>
      </c>
      <c r="X881">
        <f>IF(O881&lt;SUMIFS(M:M,R:R,1,E:E,E881)/SUMIFS(L:L,R:R,1,E:E,E881)*0.5,"Низшая четверть",IF(O881&lt;SUMIFS(M:M,R:R,1,E:E,E881)/SUMIFS(L:L,R:R,1,E:E,E881),"Вторая четверть","Больше половины"))</f>
        <v/>
      </c>
      <c r="Y881" t="n">
        <v>9</v>
      </c>
    </row>
    <row r="882">
      <c r="A882" s="1" t="inlineStr">
        <is>
          <t>19408480</t>
        </is>
      </c>
      <c r="B882" s="2" t="inlineStr">
        <is>
          <t>341720524</t>
        </is>
      </c>
      <c r="C882" s="3" t="inlineStr">
        <is>
          <t>Одежда для детей</t>
        </is>
      </c>
      <c r="D882" s="2" t="inlineStr">
        <is>
          <t>Брюки детские для девочек</t>
        </is>
      </c>
      <c r="E882" s="3" t="inlineStr">
        <is>
          <t>194 Шорты детские для девочек</t>
        </is>
      </c>
      <c r="F882" s="2" t="inlineStr">
        <is>
          <t>лето</t>
        </is>
      </c>
      <c r="G882" s="3" t="inlineStr">
        <is>
          <t>kari</t>
        </is>
      </c>
      <c r="H882" s="2" t="inlineStr">
        <is>
          <t>Зиннуров Ильнур</t>
        </is>
      </c>
      <c r="J882" s="3" t="inlineStr">
        <is>
          <t>2026SS</t>
        </is>
      </c>
      <c r="K882" s="3" t="n">
        <v>1864</v>
      </c>
      <c r="L882" s="3" t="n">
        <v>149</v>
      </c>
      <c r="M882" s="3" t="n">
        <v>7</v>
      </c>
      <c r="N882" s="4">
        <f>IFERROR(L882/K882,0)</f>
        <v/>
      </c>
      <c r="O882" s="4">
        <f>IFERROR(M882/L882,0)</f>
        <v/>
      </c>
      <c r="P882" t="n">
        <v>296</v>
      </c>
      <c r="Q882" s="5" t="n">
        <v>1</v>
      </c>
      <c r="R882" s="7" t="n">
        <v>1</v>
      </c>
      <c r="S882">
        <f>IF(OR(N882&lt;$T$1*0.5,O882&lt;$U$1*0.5),"код для проверки","нормальный код")</f>
        <v/>
      </c>
      <c r="T882">
        <f>IF(N882&lt;$T$1*0.5,"Низшая четверть",IF(N882&lt;$T$1,"Вторая четверть","Больше половины"))</f>
        <v/>
      </c>
      <c r="U882">
        <f>IF(O882&lt;$U$1*0.5,"Низшая четверть",IF(O882&lt;$U$1,"Вторая четверть","Больше половины"))</f>
        <v/>
      </c>
      <c r="V882">
        <f>IF(OR(N882&lt;SUMIFS(L:L,R:R,1,E:E,E882)/SUMIFS(K:K,R:R,1,E:E,E882)*0.5,O882&lt;SUMIFS(M:M,R:R,1,E:E,E882)/SUMIFS(L:L,R:R,1,E:E,E882)*0.5),"код для проверки","нормальный код")</f>
        <v/>
      </c>
      <c r="W882">
        <f>IF(N882&lt;SUMIFS(L:L,R:R,1,E:E,E882)/SUMIFS(K:K,R:R,1,E:E,E882)*0.5,"Низшая четверть",IF(N882&lt;SUMIFS(L:L,R:R,1,E:E,E882)/SUMIFS(K:K,R:R,1,E:E,E882),"Вторая четверть","Больше половины"))</f>
        <v/>
      </c>
      <c r="X882">
        <f>IF(O882&lt;SUMIFS(M:M,R:R,1,E:E,E882)/SUMIFS(L:L,R:R,1,E:E,E882)*0.5,"Низшая четверть",IF(O882&lt;SUMIFS(M:M,R:R,1,E:E,E882)/SUMIFS(L:L,R:R,1,E:E,E882),"Вторая четверть","Больше половины"))</f>
        <v/>
      </c>
      <c r="Y882" t="n">
        <v>26</v>
      </c>
    </row>
    <row r="883">
      <c r="A883" s="1" t="inlineStr">
        <is>
          <t>56100190</t>
        </is>
      </c>
      <c r="B883" s="2" t="inlineStr">
        <is>
          <t>853127634</t>
        </is>
      </c>
      <c r="C883" s="3" t="inlineStr">
        <is>
          <t>Одежда для детей</t>
        </is>
      </c>
      <c r="D883" s="2" t="inlineStr">
        <is>
          <t>Нижнее белье детское для мальчиков</t>
        </is>
      </c>
      <c r="E883" s="3" t="inlineStr">
        <is>
          <t>561 Майка детская для мальчиков</t>
        </is>
      </c>
      <c r="F883" s="2" t="inlineStr">
        <is>
          <t>всесезонный</t>
        </is>
      </c>
      <c r="G883" s="3" t="inlineStr">
        <is>
          <t>Kari KIDS</t>
        </is>
      </c>
      <c r="H883" s="2" t="inlineStr">
        <is>
          <t>Зиннуров Ильнур</t>
        </is>
      </c>
      <c r="J883" s="3" t="inlineStr">
        <is>
          <t>2026SS</t>
        </is>
      </c>
      <c r="K883" s="3" t="n">
        <v>1856</v>
      </c>
      <c r="L883" s="3" t="n">
        <v>52</v>
      </c>
      <c r="M883" s="3" t="n">
        <v>0</v>
      </c>
      <c r="N883" s="4">
        <f>IFERROR(L883/K883,0)</f>
        <v/>
      </c>
      <c r="O883" s="4">
        <f>IFERROR(M883/L883,0)</f>
        <v/>
      </c>
      <c r="P883" t="n">
        <v>217</v>
      </c>
      <c r="Q883" s="5" t="n">
        <v>1</v>
      </c>
      <c r="R883" s="7" t="n">
        <v>1</v>
      </c>
      <c r="S883">
        <f>IF(OR(N883&lt;$T$1*0.5,O883&lt;$U$1*0.5),"код для проверки","нормальный код")</f>
        <v/>
      </c>
      <c r="T883">
        <f>IF(N883&lt;$T$1*0.5,"Низшая четверть",IF(N883&lt;$T$1,"Вторая четверть","Больше половины"))</f>
        <v/>
      </c>
      <c r="U883">
        <f>IF(O883&lt;$U$1*0.5,"Низшая четверть",IF(O883&lt;$U$1,"Вторая четверть","Больше половины"))</f>
        <v/>
      </c>
      <c r="V883">
        <f>IF(OR(N883&lt;SUMIFS(L:L,R:R,1,E:E,E883)/SUMIFS(K:K,R:R,1,E:E,E883)*0.5,O883&lt;SUMIFS(M:M,R:R,1,E:E,E883)/SUMIFS(L:L,R:R,1,E:E,E883)*0.5),"код для проверки","нормальный код")</f>
        <v/>
      </c>
      <c r="W883">
        <f>IF(N883&lt;SUMIFS(L:L,R:R,1,E:E,E883)/SUMIFS(K:K,R:R,1,E:E,E883)*0.5,"Низшая четверть",IF(N883&lt;SUMIFS(L:L,R:R,1,E:E,E883)/SUMIFS(K:K,R:R,1,E:E,E883),"Вторая четверть","Больше половины"))</f>
        <v/>
      </c>
      <c r="X883">
        <f>IF(O883&lt;SUMIFS(M:M,R:R,1,E:E,E883)/SUMIFS(L:L,R:R,1,E:E,E883)*0.5,"Низшая четверть",IF(O883&lt;SUMIFS(M:M,R:R,1,E:E,E883)/SUMIFS(L:L,R:R,1,E:E,E883),"Вторая четверть","Больше половины"))</f>
        <v/>
      </c>
      <c r="Y883" t="n">
        <v>8</v>
      </c>
    </row>
    <row r="884">
      <c r="A884" s="1" t="inlineStr">
        <is>
          <t>16800170</t>
        </is>
      </c>
      <c r="B884" s="2" t="inlineStr">
        <is>
          <t>732955479</t>
        </is>
      </c>
      <c r="C884" s="3" t="inlineStr">
        <is>
          <t>Одежда и аксессуары</t>
        </is>
      </c>
      <c r="D884" s="2" t="inlineStr">
        <is>
          <t>Головные уборы женские</t>
        </is>
      </c>
      <c r="E884" s="3" t="inlineStr">
        <is>
          <t>168 Шляпа женская летняя</t>
        </is>
      </c>
      <c r="F884" s="2" t="inlineStr">
        <is>
          <t>лето</t>
        </is>
      </c>
      <c r="G884" s="3" t="inlineStr">
        <is>
          <t>kari</t>
        </is>
      </c>
      <c r="H884" s="2" t="inlineStr">
        <is>
          <t>Никонорова Алина</t>
        </is>
      </c>
      <c r="J884" s="3" t="inlineStr">
        <is>
          <t>2026SS</t>
        </is>
      </c>
      <c r="K884" s="3" t="n">
        <v>1854</v>
      </c>
      <c r="L884" s="3" t="n">
        <v>657</v>
      </c>
      <c r="M884" s="3" t="n">
        <v>2</v>
      </c>
      <c r="N884" s="4">
        <f>IFERROR(L884/K884,0)</f>
        <v/>
      </c>
      <c r="O884" s="4">
        <f>IFERROR(M884/L884,0)</f>
        <v/>
      </c>
      <c r="P884" t="n">
        <v>409</v>
      </c>
      <c r="Q884" s="5" t="n">
        <v>1</v>
      </c>
      <c r="R884" s="7" t="n">
        <v>1</v>
      </c>
      <c r="S884">
        <f>IF(OR(N884&lt;$T$1*0.5,O884&lt;$U$1*0.5),"код для проверки","нормальный код")</f>
        <v/>
      </c>
      <c r="T884">
        <f>IF(N884&lt;$T$1*0.5,"Низшая четверть",IF(N884&lt;$T$1,"Вторая четверть","Больше половины"))</f>
        <v/>
      </c>
      <c r="U884">
        <f>IF(O884&lt;$U$1*0.5,"Низшая четверть",IF(O884&lt;$U$1,"Вторая четверть","Больше половины"))</f>
        <v/>
      </c>
      <c r="V884">
        <f>IF(OR(N884&lt;SUMIFS(L:L,R:R,1,E:E,E884)/SUMIFS(K:K,R:R,1,E:E,E884)*0.5,O884&lt;SUMIFS(M:M,R:R,1,E:E,E884)/SUMIFS(L:L,R:R,1,E:E,E884)*0.5),"код для проверки","нормальный код")</f>
        <v/>
      </c>
      <c r="W884">
        <f>IF(N884&lt;SUMIFS(L:L,R:R,1,E:E,E884)/SUMIFS(K:K,R:R,1,E:E,E884)*0.5,"Низшая четверть",IF(N884&lt;SUMIFS(L:L,R:R,1,E:E,E884)/SUMIFS(K:K,R:R,1,E:E,E884),"Вторая четверть","Больше половины"))</f>
        <v/>
      </c>
      <c r="X884">
        <f>IF(O884&lt;SUMIFS(M:M,R:R,1,E:E,E884)/SUMIFS(L:L,R:R,1,E:E,E884)*0.5,"Низшая четверть",IF(O884&lt;SUMIFS(M:M,R:R,1,E:E,E884)/SUMIFS(L:L,R:R,1,E:E,E884),"Вторая четверть","Больше половины"))</f>
        <v/>
      </c>
      <c r="Y884" t="n">
        <v>16</v>
      </c>
    </row>
    <row r="885">
      <c r="A885" s="1" t="inlineStr">
        <is>
          <t>094001Z0</t>
        </is>
      </c>
      <c r="B885" s="2" t="inlineStr">
        <is>
          <t>756548668</t>
        </is>
      </c>
      <c r="C885" s="3" t="inlineStr">
        <is>
          <t>Одежда и аксессуары</t>
        </is>
      </c>
      <c r="D885" s="2" t="inlineStr">
        <is>
          <t>Купальники женские</t>
        </is>
      </c>
      <c r="E885" s="3" t="inlineStr">
        <is>
          <t>094 Купальник</t>
        </is>
      </c>
      <c r="F885" s="2" t="inlineStr">
        <is>
          <t>лето</t>
        </is>
      </c>
      <c r="G885" s="3" t="inlineStr">
        <is>
          <t>kari</t>
        </is>
      </c>
      <c r="H885" s="2" t="inlineStr">
        <is>
          <t>Никонорова Алина</t>
        </is>
      </c>
      <c r="J885" s="3" t="inlineStr">
        <is>
          <t>2026SS</t>
        </is>
      </c>
      <c r="K885" s="3" t="n">
        <v>1806</v>
      </c>
      <c r="L885" s="3" t="n">
        <v>8753</v>
      </c>
      <c r="M885" s="3" t="n">
        <v>8</v>
      </c>
      <c r="N885" s="4">
        <f>IFERROR(L885/K885,0)</f>
        <v/>
      </c>
      <c r="O885" s="4">
        <f>IFERROR(M885/L885,0)</f>
        <v/>
      </c>
      <c r="P885" t="n">
        <v>1713</v>
      </c>
      <c r="Q885" s="5" t="n">
        <v>0.7777777777777778</v>
      </c>
      <c r="R885" s="7" t="n">
        <v>1</v>
      </c>
      <c r="S885">
        <f>IF(OR(N885&lt;$T$1*0.5,O885&lt;$U$1*0.5),"код для проверки","нормальный код")</f>
        <v/>
      </c>
      <c r="T885">
        <f>IF(N885&lt;$T$1*0.5,"Низшая четверть",IF(N885&lt;$T$1,"Вторая четверть","Больше половины"))</f>
        <v/>
      </c>
      <c r="U885">
        <f>IF(O885&lt;$U$1*0.5,"Низшая четверть",IF(O885&lt;$U$1,"Вторая четверть","Больше половины"))</f>
        <v/>
      </c>
      <c r="V885">
        <f>IF(OR(N885&lt;SUMIFS(L:L,R:R,1,E:E,E885)/SUMIFS(K:K,R:R,1,E:E,E885)*0.5,O885&lt;SUMIFS(M:M,R:R,1,E:E,E885)/SUMIFS(L:L,R:R,1,E:E,E885)*0.5),"код для проверки","нормальный код")</f>
        <v/>
      </c>
      <c r="W885">
        <f>IF(N885&lt;SUMIFS(L:L,R:R,1,E:E,E885)/SUMIFS(K:K,R:R,1,E:E,E885)*0.5,"Низшая четверть",IF(N885&lt;SUMIFS(L:L,R:R,1,E:E,E885)/SUMIFS(K:K,R:R,1,E:E,E885),"Вторая четверть","Больше половины"))</f>
        <v/>
      </c>
      <c r="X885">
        <f>IF(O885&lt;SUMIFS(M:M,R:R,1,E:E,E885)/SUMIFS(L:L,R:R,1,E:E,E885)*0.5,"Низшая четверть",IF(O885&lt;SUMIFS(M:M,R:R,1,E:E,E885)/SUMIFS(L:L,R:R,1,E:E,E885),"Вторая четверть","Больше половины"))</f>
        <v/>
      </c>
      <c r="Y885" t="n">
        <v>16</v>
      </c>
    </row>
    <row r="886">
      <c r="A886" s="1" t="inlineStr">
        <is>
          <t>20200240</t>
        </is>
      </c>
      <c r="B886" s="2" t="inlineStr">
        <is>
          <t>371244581</t>
        </is>
      </c>
      <c r="C886" s="3" t="inlineStr">
        <is>
          <t>Одежда для детей</t>
        </is>
      </c>
      <c r="D886" s="2" t="inlineStr">
        <is>
          <t>Головные уборы детские для мальчиков</t>
        </is>
      </c>
      <c r="E886" s="3" t="inlineStr">
        <is>
          <t>202 Бейсболка детская для мальчиков</t>
        </is>
      </c>
      <c r="F886" s="2" t="inlineStr">
        <is>
          <t>весна, лето</t>
        </is>
      </c>
      <c r="G886" s="3" t="inlineStr">
        <is>
          <t>kari</t>
        </is>
      </c>
      <c r="H886" s="2" t="inlineStr">
        <is>
          <t>Никонорова Алина</t>
        </is>
      </c>
      <c r="J886" s="3" t="inlineStr">
        <is>
          <t>2026SS</t>
        </is>
      </c>
      <c r="K886" s="3" t="n">
        <v>1789</v>
      </c>
      <c r="L886" s="3" t="n">
        <v>175</v>
      </c>
      <c r="M886" s="3" t="n">
        <v>3</v>
      </c>
      <c r="N886" s="4">
        <f>IFERROR(L886/K886,0)</f>
        <v/>
      </c>
      <c r="O886" s="4">
        <f>IFERROR(M886/L886,0)</f>
        <v/>
      </c>
      <c r="P886" t="n">
        <v>0</v>
      </c>
      <c r="Q886" s="5" t="n">
        <v>0</v>
      </c>
      <c r="R886" s="7" t="n">
        <v>0</v>
      </c>
      <c r="S886" t="inlineStr">
        <is>
          <t>Мало остатка</t>
        </is>
      </c>
      <c r="T886">
        <f>IF(N886&lt;$T$1*0.5,"Низшая четверть",IF(N886&lt;$T$1,"Вторая четверть","Больше половины"))</f>
        <v/>
      </c>
      <c r="U886">
        <f>IF(O886&lt;$U$1*0.5,"Низшая четверть",IF(O886&lt;$U$1,"Вторая четверть","Больше половины"))</f>
        <v/>
      </c>
      <c r="V886">
        <f>IF(OR(N886&lt;SUMIFS(L:L,R:R,1,E:E,E886)/SUMIFS(K:K,R:R,1,E:E,E886)*0.5,O886&lt;SUMIFS(M:M,R:R,1,E:E,E886)/SUMIFS(L:L,R:R,1,E:E,E886)*0.5),"код для проверки","нормальный код")</f>
        <v/>
      </c>
      <c r="W886">
        <f>IF(N886&lt;SUMIFS(L:L,R:R,1,E:E,E886)/SUMIFS(K:K,R:R,1,E:E,E886)*0.5,"Низшая четверть",IF(N886&lt;SUMIFS(L:L,R:R,1,E:E,E886)/SUMIFS(K:K,R:R,1,E:E,E886),"Вторая четверть","Больше половины"))</f>
        <v/>
      </c>
      <c r="X886">
        <f>IF(O886&lt;SUMIFS(M:M,R:R,1,E:E,E886)/SUMIFS(L:L,R:R,1,E:E,E886)*0.5,"Низшая четверть",IF(O886&lt;SUMIFS(M:M,R:R,1,E:E,E886)/SUMIFS(L:L,R:R,1,E:E,E886),"Вторая четверть","Больше половины"))</f>
        <v/>
      </c>
      <c r="Y886" t="n">
        <v>8</v>
      </c>
    </row>
    <row r="887">
      <c r="A887" s="1" t="inlineStr">
        <is>
          <t>55400110</t>
        </is>
      </c>
      <c r="B887" s="2" t="inlineStr">
        <is>
          <t>820574358</t>
        </is>
      </c>
      <c r="C887" s="3" t="inlineStr">
        <is>
          <t>Одежда для детей</t>
        </is>
      </c>
      <c r="D887" s="2" t="inlineStr">
        <is>
          <t>Головные уборы детские для мальчиков</t>
        </is>
      </c>
      <c r="E887" s="3" t="inlineStr">
        <is>
          <t>554 Панама детская для мальчиков</t>
        </is>
      </c>
      <c r="F887" s="2" t="inlineStr">
        <is>
          <t>весна, лето</t>
        </is>
      </c>
      <c r="G887" s="3" t="inlineStr">
        <is>
          <t>kari</t>
        </is>
      </c>
      <c r="H887" s="2" t="inlineStr">
        <is>
          <t>Никонорова Алина</t>
        </is>
      </c>
      <c r="J887" s="3" t="inlineStr">
        <is>
          <t>2026SS</t>
        </is>
      </c>
      <c r="K887" s="3" t="n">
        <v>1782</v>
      </c>
      <c r="L887" s="3" t="n">
        <v>178</v>
      </c>
      <c r="M887" s="3" t="n">
        <v>1</v>
      </c>
      <c r="N887" s="4">
        <f>IFERROR(L887/K887,0)</f>
        <v/>
      </c>
      <c r="O887" s="4">
        <f>IFERROR(M887/L887,0)</f>
        <v/>
      </c>
      <c r="P887" t="n">
        <v>546</v>
      </c>
      <c r="Q887" s="5" t="n">
        <v>1</v>
      </c>
      <c r="R887" s="7" t="n">
        <v>1</v>
      </c>
      <c r="S887">
        <f>IF(OR(N887&lt;$T$1*0.5,O887&lt;$U$1*0.5),"код для проверки","нормальный код")</f>
        <v/>
      </c>
      <c r="T887">
        <f>IF(N887&lt;$T$1*0.5,"Низшая четверть",IF(N887&lt;$T$1,"Вторая четверть","Больше половины"))</f>
        <v/>
      </c>
      <c r="U887">
        <f>IF(O887&lt;$U$1*0.5,"Низшая четверть",IF(O887&lt;$U$1,"Вторая четверть","Больше половины"))</f>
        <v/>
      </c>
      <c r="V887">
        <f>IF(OR(N887&lt;SUMIFS(L:L,R:R,1,E:E,E887)/SUMIFS(K:K,R:R,1,E:E,E887)*0.5,O887&lt;SUMIFS(M:M,R:R,1,E:E,E887)/SUMIFS(L:L,R:R,1,E:E,E887)*0.5),"код для проверки","нормальный код")</f>
        <v/>
      </c>
      <c r="W887">
        <f>IF(N887&lt;SUMIFS(L:L,R:R,1,E:E,E887)/SUMIFS(K:K,R:R,1,E:E,E887)*0.5,"Низшая четверть",IF(N887&lt;SUMIFS(L:L,R:R,1,E:E,E887)/SUMIFS(K:K,R:R,1,E:E,E887),"Вторая четверть","Больше половины"))</f>
        <v/>
      </c>
      <c r="X887">
        <f>IF(O887&lt;SUMIFS(M:M,R:R,1,E:E,E887)/SUMIFS(L:L,R:R,1,E:E,E887)*0.5,"Низшая четверть",IF(O887&lt;SUMIFS(M:M,R:R,1,E:E,E887)/SUMIFS(L:L,R:R,1,E:E,E887),"Вторая четверть","Больше половины"))</f>
        <v/>
      </c>
      <c r="Y887" t="n">
        <v>7</v>
      </c>
    </row>
    <row r="888">
      <c r="A888" s="1" t="inlineStr">
        <is>
          <t>a7800040</t>
        </is>
      </c>
      <c r="B888" s="2" t="inlineStr">
        <is>
          <t>784002015</t>
        </is>
      </c>
      <c r="C888" s="3" t="inlineStr">
        <is>
          <t>Одежда для детей</t>
        </is>
      </c>
      <c r="D888" s="2" t="inlineStr">
        <is>
          <t>Свитера детские для мальчиков</t>
        </is>
      </c>
      <c r="E888" s="3" t="inlineStr">
        <is>
          <t>a78 Толстовка-худи для мальчиков</t>
        </is>
      </c>
      <c r="F888" s="2" t="inlineStr">
        <is>
          <t>весна, лето, осень</t>
        </is>
      </c>
      <c r="G888" s="3" t="inlineStr">
        <is>
          <t>kari</t>
        </is>
      </c>
      <c r="H888" s="2" t="inlineStr">
        <is>
          <t>Зиннуров Ильнур</t>
        </is>
      </c>
      <c r="J888" s="3" t="inlineStr">
        <is>
          <t>2026SS</t>
        </is>
      </c>
      <c r="K888" s="3" t="n">
        <v>1769</v>
      </c>
      <c r="L888" s="3" t="n">
        <v>57</v>
      </c>
      <c r="M888" s="3" t="n">
        <v>4</v>
      </c>
      <c r="N888" s="4">
        <f>IFERROR(L888/K888,0)</f>
        <v/>
      </c>
      <c r="O888" s="4">
        <f>IFERROR(M888/L888,0)</f>
        <v/>
      </c>
      <c r="P888" t="n">
        <v>216</v>
      </c>
      <c r="Q888" s="5" t="n">
        <v>1</v>
      </c>
      <c r="R888" s="7" t="n">
        <v>1</v>
      </c>
      <c r="S888">
        <f>IF(OR(N888&lt;$T$1*0.5,O888&lt;$U$1*0.5),"код для проверки","нормальный код")</f>
        <v/>
      </c>
      <c r="T888">
        <f>IF(N888&lt;$T$1*0.5,"Низшая четверть",IF(N888&lt;$T$1,"Вторая четверть","Больше половины"))</f>
        <v/>
      </c>
      <c r="U888">
        <f>IF(O888&lt;$U$1*0.5,"Низшая четверть",IF(O888&lt;$U$1,"Вторая четверть","Больше половины"))</f>
        <v/>
      </c>
      <c r="V888">
        <f>IF(OR(N888&lt;SUMIFS(L:L,R:R,1,E:E,E888)/SUMIFS(K:K,R:R,1,E:E,E888)*0.5,O888&lt;SUMIFS(M:M,R:R,1,E:E,E888)/SUMIFS(L:L,R:R,1,E:E,E888)*0.5),"код для проверки","нормальный код")</f>
        <v/>
      </c>
      <c r="W888">
        <f>IF(N888&lt;SUMIFS(L:L,R:R,1,E:E,E888)/SUMIFS(K:K,R:R,1,E:E,E888)*0.5,"Низшая четверть",IF(N888&lt;SUMIFS(L:L,R:R,1,E:E,E888)/SUMIFS(K:K,R:R,1,E:E,E888),"Вторая четверть","Больше половины"))</f>
        <v/>
      </c>
      <c r="X888">
        <f>IF(O888&lt;SUMIFS(M:M,R:R,1,E:E,E888)/SUMIFS(L:L,R:R,1,E:E,E888)*0.5,"Низшая четверть",IF(O888&lt;SUMIFS(M:M,R:R,1,E:E,E888)/SUMIFS(L:L,R:R,1,E:E,E888),"Вторая четверть","Больше половины"))</f>
        <v/>
      </c>
      <c r="Y888" t="n">
        <v>9</v>
      </c>
    </row>
    <row r="889">
      <c r="A889" s="1" t="inlineStr">
        <is>
          <t>y5000060</t>
        </is>
      </c>
      <c r="B889" s="2" t="inlineStr">
        <is>
          <t>913194187</t>
        </is>
      </c>
      <c r="C889" s="3" t="inlineStr">
        <is>
          <t>Одежда для детей</t>
        </is>
      </c>
      <c r="D889" s="2" t="inlineStr">
        <is>
          <t>Спортивная детская одежда для мальчиков</t>
        </is>
      </c>
      <c r="E889" s="3" t="inlineStr">
        <is>
          <t>y50 Комплект летней одежды для мальчиков</t>
        </is>
      </c>
      <c r="F889" s="2" t="inlineStr">
        <is>
          <t>весна, лето</t>
        </is>
      </c>
      <c r="G889" s="3" t="inlineStr">
        <is>
          <t>Kari KIDS</t>
        </is>
      </c>
      <c r="H889" s="2" t="inlineStr">
        <is>
          <t>Зиннуров Ильнур</t>
        </is>
      </c>
      <c r="J889" s="3" t="inlineStr">
        <is>
          <t>2026SS</t>
        </is>
      </c>
      <c r="K889" s="3" t="n">
        <v>1756</v>
      </c>
      <c r="L889" s="3" t="n">
        <v>115</v>
      </c>
      <c r="M889" s="3" t="n">
        <v>2</v>
      </c>
      <c r="N889" s="4">
        <f>IFERROR(L889/K889,0)</f>
        <v/>
      </c>
      <c r="O889" s="4">
        <f>IFERROR(M889/L889,0)</f>
        <v/>
      </c>
      <c r="P889" t="n">
        <v>512</v>
      </c>
      <c r="Q889" s="5" t="n">
        <v>1</v>
      </c>
      <c r="R889" s="7" t="n">
        <v>1</v>
      </c>
      <c r="S889">
        <f>IF(OR(N889&lt;$T$1*0.5,O889&lt;$U$1*0.5),"код для проверки","нормальный код")</f>
        <v/>
      </c>
      <c r="T889">
        <f>IF(N889&lt;$T$1*0.5,"Низшая четверть",IF(N889&lt;$T$1,"Вторая четверть","Больше половины"))</f>
        <v/>
      </c>
      <c r="U889">
        <f>IF(O889&lt;$U$1*0.5,"Низшая четверть",IF(O889&lt;$U$1,"Вторая четверть","Больше половины"))</f>
        <v/>
      </c>
      <c r="V889">
        <f>IF(OR(N889&lt;SUMIFS(L:L,R:R,1,E:E,E889)/SUMIFS(K:K,R:R,1,E:E,E889)*0.5,O889&lt;SUMIFS(M:M,R:R,1,E:E,E889)/SUMIFS(L:L,R:R,1,E:E,E889)*0.5),"код для проверки","нормальный код")</f>
        <v/>
      </c>
      <c r="W889">
        <f>IF(N889&lt;SUMIFS(L:L,R:R,1,E:E,E889)/SUMIFS(K:K,R:R,1,E:E,E889)*0.5,"Низшая четверть",IF(N889&lt;SUMIFS(L:L,R:R,1,E:E,E889)/SUMIFS(K:K,R:R,1,E:E,E889),"Вторая четверть","Больше половины"))</f>
        <v/>
      </c>
      <c r="X889">
        <f>IF(O889&lt;SUMIFS(M:M,R:R,1,E:E,E889)/SUMIFS(L:L,R:R,1,E:E,E889)*0.5,"Низшая четверть",IF(O889&lt;SUMIFS(M:M,R:R,1,E:E,E889)/SUMIFS(L:L,R:R,1,E:E,E889),"Вторая четверть","Больше половины"))</f>
        <v/>
      </c>
      <c r="Y889" t="n">
        <v>19</v>
      </c>
    </row>
    <row r="890">
      <c r="A890" s="1" t="inlineStr">
        <is>
          <t>c1508040</t>
        </is>
      </c>
      <c r="B890" s="2" t="inlineStr">
        <is>
          <t>332505089</t>
        </is>
      </c>
      <c r="C890" s="3" t="inlineStr">
        <is>
          <t>Одежда и аксессуары</t>
        </is>
      </c>
      <c r="D890" s="2" t="inlineStr">
        <is>
          <t>Головные уборы мужские</t>
        </is>
      </c>
      <c r="E890" s="3" t="inlineStr">
        <is>
          <t>c15 Бейсболка</t>
        </is>
      </c>
      <c r="F890" s="2" t="inlineStr">
        <is>
          <t>всесезонный</t>
        </is>
      </c>
      <c r="G890" s="3" t="inlineStr">
        <is>
          <t>kari</t>
        </is>
      </c>
      <c r="H890" s="2" t="inlineStr">
        <is>
          <t>Зиннуров Ильнур</t>
        </is>
      </c>
      <c r="J890" s="3" t="inlineStr">
        <is>
          <t>2026SS</t>
        </is>
      </c>
      <c r="K890" s="3" t="n">
        <v>1754</v>
      </c>
      <c r="L890" s="3" t="n">
        <v>139</v>
      </c>
      <c r="M890" s="3" t="n">
        <v>7</v>
      </c>
      <c r="N890" s="4">
        <f>IFERROR(L890/K890,0)</f>
        <v/>
      </c>
      <c r="O890" s="4">
        <f>IFERROR(M890/L890,0)</f>
        <v/>
      </c>
      <c r="P890" t="n">
        <v>0</v>
      </c>
      <c r="Q890" s="5" t="n">
        <v>1</v>
      </c>
      <c r="R890" s="7" t="n">
        <v>0</v>
      </c>
      <c r="S890" t="inlineStr">
        <is>
          <t>Мало остатка</t>
        </is>
      </c>
      <c r="T890">
        <f>IF(N890&lt;$T$1*0.5,"Низшая четверть",IF(N890&lt;$T$1,"Вторая четверть","Больше половины"))</f>
        <v/>
      </c>
      <c r="U890">
        <f>IF(O890&lt;$U$1*0.5,"Низшая четверть",IF(O890&lt;$U$1,"Вторая четверть","Больше половины"))</f>
        <v/>
      </c>
      <c r="V890">
        <f>IF(OR(N890&lt;SUMIFS(L:L,R:R,1,E:E,E890)/SUMIFS(K:K,R:R,1,E:E,E890)*0.5,O890&lt;SUMIFS(M:M,R:R,1,E:E,E890)/SUMIFS(L:L,R:R,1,E:E,E890)*0.5),"код для проверки","нормальный код")</f>
        <v/>
      </c>
      <c r="W890">
        <f>IF(N890&lt;SUMIFS(L:L,R:R,1,E:E,E890)/SUMIFS(K:K,R:R,1,E:E,E890)*0.5,"Низшая четверть",IF(N890&lt;SUMIFS(L:L,R:R,1,E:E,E890)/SUMIFS(K:K,R:R,1,E:E,E890),"Вторая четверть","Больше половины"))</f>
        <v/>
      </c>
      <c r="X890">
        <f>IF(O890&lt;SUMIFS(M:M,R:R,1,E:E,E890)/SUMIFS(L:L,R:R,1,E:E,E890)*0.5,"Низшая четверть",IF(O890&lt;SUMIFS(M:M,R:R,1,E:E,E890)/SUMIFS(L:L,R:R,1,E:E,E890),"Вторая четверть","Больше половины"))</f>
        <v/>
      </c>
      <c r="Y890" t="n">
        <v>8</v>
      </c>
    </row>
    <row r="891">
      <c r="A891" s="1" t="inlineStr">
        <is>
          <t>20200420</t>
        </is>
      </c>
      <c r="B891" s="2" t="inlineStr">
        <is>
          <t>881339144</t>
        </is>
      </c>
      <c r="C891" s="3" t="inlineStr">
        <is>
          <t>Одежда для детей</t>
        </is>
      </c>
      <c r="D891" s="2" t="inlineStr">
        <is>
          <t>Головные уборы детские для мальчиков</t>
        </is>
      </c>
      <c r="E891" s="3" t="inlineStr">
        <is>
          <t>202 Бейсболка детская для мальчиков</t>
        </is>
      </c>
      <c r="F891" s="2" t="inlineStr">
        <is>
          <t>весна, лето</t>
        </is>
      </c>
      <c r="G891" s="3" t="inlineStr">
        <is>
          <t>kari</t>
        </is>
      </c>
      <c r="H891" s="2" t="inlineStr">
        <is>
          <t>Никонорова Алина</t>
        </is>
      </c>
      <c r="J891" s="3" t="inlineStr">
        <is>
          <t>2026SS</t>
        </is>
      </c>
      <c r="K891" s="3" t="n">
        <v>1751</v>
      </c>
      <c r="L891" s="3" t="n">
        <v>424</v>
      </c>
      <c r="M891" s="3" t="n">
        <v>5</v>
      </c>
      <c r="N891" s="4">
        <f>IFERROR(L891/K891,0)</f>
        <v/>
      </c>
      <c r="O891" s="4">
        <f>IFERROR(M891/L891,0)</f>
        <v/>
      </c>
      <c r="P891" t="n">
        <v>541</v>
      </c>
      <c r="Q891" s="5" t="n">
        <v>1</v>
      </c>
      <c r="R891" s="7" t="n">
        <v>1</v>
      </c>
      <c r="S891">
        <f>IF(OR(N891&lt;$T$1*0.5,O891&lt;$U$1*0.5),"код для проверки","нормальный код")</f>
        <v/>
      </c>
      <c r="T891">
        <f>IF(N891&lt;$T$1*0.5,"Низшая четверть",IF(N891&lt;$T$1,"Вторая четверть","Больше половины"))</f>
        <v/>
      </c>
      <c r="U891">
        <f>IF(O891&lt;$U$1*0.5,"Низшая четверть",IF(O891&lt;$U$1,"Вторая четверть","Больше половины"))</f>
        <v/>
      </c>
      <c r="V891">
        <f>IF(OR(N891&lt;SUMIFS(L:L,R:R,1,E:E,E891)/SUMIFS(K:K,R:R,1,E:E,E891)*0.5,O891&lt;SUMIFS(M:M,R:R,1,E:E,E891)/SUMIFS(L:L,R:R,1,E:E,E891)*0.5),"код для проверки","нормальный код")</f>
        <v/>
      </c>
      <c r="W891">
        <f>IF(N891&lt;SUMIFS(L:L,R:R,1,E:E,E891)/SUMIFS(K:K,R:R,1,E:E,E891)*0.5,"Низшая четверть",IF(N891&lt;SUMIFS(L:L,R:R,1,E:E,E891)/SUMIFS(K:K,R:R,1,E:E,E891),"Вторая четверть","Больше половины"))</f>
        <v/>
      </c>
      <c r="X891">
        <f>IF(O891&lt;SUMIFS(M:M,R:R,1,E:E,E891)/SUMIFS(L:L,R:R,1,E:E,E891)*0.5,"Низшая четверть",IF(O891&lt;SUMIFS(M:M,R:R,1,E:E,E891)/SUMIFS(L:L,R:R,1,E:E,E891),"Вторая четверть","Больше половины"))</f>
        <v/>
      </c>
      <c r="Y891" t="n">
        <v>8</v>
      </c>
    </row>
    <row r="892">
      <c r="A892" s="1" t="inlineStr">
        <is>
          <t>88100140</t>
        </is>
      </c>
      <c r="B892" s="2" t="inlineStr">
        <is>
          <t>724821005</t>
        </is>
      </c>
      <c r="C892" s="3" t="inlineStr">
        <is>
          <t>Одежда для детей</t>
        </is>
      </c>
      <c r="D892" s="2" t="inlineStr">
        <is>
          <t>Футболки, майки, рубашки детские для мальчиков</t>
        </is>
      </c>
      <c r="E892" s="3" t="inlineStr">
        <is>
          <t>881 Футболка длинный рукав детская для мальчиков</t>
        </is>
      </c>
      <c r="F892" s="2" t="inlineStr">
        <is>
          <t>всесезонный</t>
        </is>
      </c>
      <c r="G892" s="3" t="inlineStr">
        <is>
          <t>Kari KIDS</t>
        </is>
      </c>
      <c r="H892" s="2" t="inlineStr">
        <is>
          <t>Зиннуров Ильнур</t>
        </is>
      </c>
      <c r="J892" s="3" t="inlineStr">
        <is>
          <t>2026SS</t>
        </is>
      </c>
      <c r="K892" s="3" t="n">
        <v>1747</v>
      </c>
      <c r="L892" s="3" t="n">
        <v>1370</v>
      </c>
      <c r="M892" s="3" t="n">
        <v>3</v>
      </c>
      <c r="N892" s="4">
        <f>IFERROR(L892/K892,0)</f>
        <v/>
      </c>
      <c r="O892" s="4">
        <f>IFERROR(M892/L892,0)</f>
        <v/>
      </c>
      <c r="P892" t="n">
        <v>4</v>
      </c>
      <c r="Q892" s="5" t="n">
        <v>0.6</v>
      </c>
      <c r="R892" s="7" t="n">
        <v>0</v>
      </c>
      <c r="S892" t="inlineStr">
        <is>
          <t>Мало остатка</t>
        </is>
      </c>
      <c r="T892">
        <f>IF(N892&lt;$T$1*0.5,"Низшая четверть",IF(N892&lt;$T$1,"Вторая четверть","Больше половины"))</f>
        <v/>
      </c>
      <c r="U892">
        <f>IF(O892&lt;$U$1*0.5,"Низшая четверть",IF(O892&lt;$U$1,"Вторая четверть","Больше половины"))</f>
        <v/>
      </c>
      <c r="V892">
        <f>IF(OR(N892&lt;SUMIFS(L:L,R:R,1,E:E,E892)/SUMIFS(K:K,R:R,1,E:E,E892)*0.5,O892&lt;SUMIFS(M:M,R:R,1,E:E,E892)/SUMIFS(L:L,R:R,1,E:E,E892)*0.5),"код для проверки","нормальный код")</f>
        <v/>
      </c>
      <c r="W892">
        <f>IF(N892&lt;SUMIFS(L:L,R:R,1,E:E,E892)/SUMIFS(K:K,R:R,1,E:E,E892)*0.5,"Низшая четверть",IF(N892&lt;SUMIFS(L:L,R:R,1,E:E,E892)/SUMIFS(K:K,R:R,1,E:E,E892),"Вторая четверть","Больше половины"))</f>
        <v/>
      </c>
      <c r="X892">
        <f>IF(O892&lt;SUMIFS(M:M,R:R,1,E:E,E892)/SUMIFS(L:L,R:R,1,E:E,E892)*0.5,"Низшая четверть",IF(O892&lt;SUMIFS(M:M,R:R,1,E:E,E892)/SUMIFS(L:L,R:R,1,E:E,E892),"Вторая четверть","Больше половины"))</f>
        <v/>
      </c>
      <c r="Y892" t="n">
        <v>17</v>
      </c>
    </row>
    <row r="893">
      <c r="A893" s="1" t="inlineStr">
        <is>
          <t>95500390</t>
        </is>
      </c>
      <c r="B893" s="2" t="inlineStr">
        <is>
          <t>852386807</t>
        </is>
      </c>
      <c r="C893" s="3" t="inlineStr">
        <is>
          <t>Одежда для детей</t>
        </is>
      </c>
      <c r="D893" s="2" t="inlineStr">
        <is>
          <t>Платья, майки, футболки детские для девочек</t>
        </is>
      </c>
      <c r="E893" s="3" t="inlineStr">
        <is>
          <t>955 Топ детский для девочек</t>
        </is>
      </c>
      <c r="F893" s="2" t="inlineStr">
        <is>
          <t>лето</t>
        </is>
      </c>
      <c r="G893" s="3" t="inlineStr">
        <is>
          <t>Kari KIDS</t>
        </is>
      </c>
      <c r="H893" s="2" t="inlineStr">
        <is>
          <t>Зиннуров Ильнур</t>
        </is>
      </c>
      <c r="J893" s="3" t="inlineStr">
        <is>
          <t>2026SS</t>
        </is>
      </c>
      <c r="K893" s="3" t="n">
        <v>1741</v>
      </c>
      <c r="L893" s="3" t="n">
        <v>84</v>
      </c>
      <c r="M893" s="3" t="n">
        <v>1</v>
      </c>
      <c r="N893" s="4">
        <f>IFERROR(L893/K893,0)</f>
        <v/>
      </c>
      <c r="O893" s="4">
        <f>IFERROR(M893/L893,0)</f>
        <v/>
      </c>
      <c r="P893" t="n">
        <v>478</v>
      </c>
      <c r="Q893" s="5" t="n">
        <v>1</v>
      </c>
      <c r="R893" s="7" t="n">
        <v>1</v>
      </c>
      <c r="S893">
        <f>IF(OR(N893&lt;$T$1*0.5,O893&lt;$U$1*0.5),"код для проверки","нормальный код")</f>
        <v/>
      </c>
      <c r="T893">
        <f>IF(N893&lt;$T$1*0.5,"Низшая четверть",IF(N893&lt;$T$1,"Вторая четверть","Больше половины"))</f>
        <v/>
      </c>
      <c r="U893">
        <f>IF(O893&lt;$U$1*0.5,"Низшая четверть",IF(O893&lt;$U$1,"Вторая четверть","Больше половины"))</f>
        <v/>
      </c>
      <c r="V893">
        <f>IF(OR(N893&lt;SUMIFS(L:L,R:R,1,E:E,E893)/SUMIFS(K:K,R:R,1,E:E,E893)*0.5,O893&lt;SUMIFS(M:M,R:R,1,E:E,E893)/SUMIFS(L:L,R:R,1,E:E,E893)*0.5),"код для проверки","нормальный код")</f>
        <v/>
      </c>
      <c r="W893">
        <f>IF(N893&lt;SUMIFS(L:L,R:R,1,E:E,E893)/SUMIFS(K:K,R:R,1,E:E,E893)*0.5,"Низшая четверть",IF(N893&lt;SUMIFS(L:L,R:R,1,E:E,E893)/SUMIFS(K:K,R:R,1,E:E,E893),"Вторая четверть","Больше половины"))</f>
        <v/>
      </c>
      <c r="X893">
        <f>IF(O893&lt;SUMIFS(M:M,R:R,1,E:E,E893)/SUMIFS(L:L,R:R,1,E:E,E893)*0.5,"Низшая четверть",IF(O893&lt;SUMIFS(M:M,R:R,1,E:E,E893)/SUMIFS(L:L,R:R,1,E:E,E893),"Вторая четверть","Больше половины"))</f>
        <v/>
      </c>
      <c r="Y893" t="n">
        <v>14</v>
      </c>
    </row>
    <row r="894">
      <c r="A894" s="1" t="inlineStr">
        <is>
          <t>19800000</t>
        </is>
      </c>
      <c r="B894" s="2" t="inlineStr">
        <is>
          <t>701479484</t>
        </is>
      </c>
      <c r="C894" s="3" t="inlineStr">
        <is>
          <t>Одежда и аксессуары</t>
        </is>
      </c>
      <c r="D894" s="2" t="inlineStr">
        <is>
          <t>Майки и платья женские</t>
        </is>
      </c>
      <c r="E894" s="3" t="inlineStr">
        <is>
          <t>198 Топ женский</t>
        </is>
      </c>
      <c r="F894" s="2" t="inlineStr">
        <is>
          <t>лето</t>
        </is>
      </c>
      <c r="G894" s="3" t="inlineStr">
        <is>
          <t>kari</t>
        </is>
      </c>
      <c r="H894" s="2" t="inlineStr">
        <is>
          <t>Зиннуров Ильнур</t>
        </is>
      </c>
      <c r="J894" s="3" t="inlineStr">
        <is>
          <t>2026SS</t>
        </is>
      </c>
      <c r="K894" s="3" t="n">
        <v>1727</v>
      </c>
      <c r="L894" s="3" t="n">
        <v>68</v>
      </c>
      <c r="M894" s="3" t="n">
        <v>0</v>
      </c>
      <c r="N894" s="4">
        <f>IFERROR(L894/K894,0)</f>
        <v/>
      </c>
      <c r="O894" s="4">
        <f>IFERROR(M894/L894,0)</f>
        <v/>
      </c>
      <c r="P894" t="n">
        <v>435</v>
      </c>
      <c r="Q894" s="5" t="n">
        <v>1</v>
      </c>
      <c r="R894" s="7" t="n">
        <v>1</v>
      </c>
      <c r="S894">
        <f>IF(OR(N894&lt;$T$1*0.5,O894&lt;$U$1*0.5),"код для проверки","нормальный код")</f>
        <v/>
      </c>
      <c r="T894">
        <f>IF(N894&lt;$T$1*0.5,"Низшая четверть",IF(N894&lt;$T$1,"Вторая четверть","Больше половины"))</f>
        <v/>
      </c>
      <c r="U894">
        <f>IF(O894&lt;$U$1*0.5,"Низшая четверть",IF(O894&lt;$U$1,"Вторая четверть","Больше половины"))</f>
        <v/>
      </c>
      <c r="V894">
        <f>IF(OR(N894&lt;SUMIFS(L:L,R:R,1,E:E,E894)/SUMIFS(K:K,R:R,1,E:E,E894)*0.5,O894&lt;SUMIFS(M:M,R:R,1,E:E,E894)/SUMIFS(L:L,R:R,1,E:E,E894)*0.5),"код для проверки","нормальный код")</f>
        <v/>
      </c>
      <c r="W894">
        <f>IF(N894&lt;SUMIFS(L:L,R:R,1,E:E,E894)/SUMIFS(K:K,R:R,1,E:E,E894)*0.5,"Низшая четверть",IF(N894&lt;SUMIFS(L:L,R:R,1,E:E,E894)/SUMIFS(K:K,R:R,1,E:E,E894),"Вторая четверть","Больше половины"))</f>
        <v/>
      </c>
      <c r="X894">
        <f>IF(O894&lt;SUMIFS(M:M,R:R,1,E:E,E894)/SUMIFS(L:L,R:R,1,E:E,E894)*0.5,"Низшая четверть",IF(O894&lt;SUMIFS(M:M,R:R,1,E:E,E894)/SUMIFS(L:L,R:R,1,E:E,E894),"Вторая четверть","Больше половины"))</f>
        <v/>
      </c>
      <c r="Y894" t="n">
        <v>28</v>
      </c>
    </row>
    <row r="895">
      <c r="A895" s="1" t="inlineStr">
        <is>
          <t>20100200</t>
        </is>
      </c>
      <c r="B895" s="2" t="inlineStr">
        <is>
          <t>760592101</t>
        </is>
      </c>
      <c r="C895" s="3" t="inlineStr">
        <is>
          <t>Одежда для детей</t>
        </is>
      </c>
      <c r="D895" s="2" t="inlineStr">
        <is>
          <t>Головные детские уборы для девочек</t>
        </is>
      </c>
      <c r="E895" s="3" t="inlineStr">
        <is>
          <t>201 Бейсболка детская для девочек</t>
        </is>
      </c>
      <c r="F895" s="2" t="inlineStr">
        <is>
          <t>весна, лето</t>
        </is>
      </c>
      <c r="G895" s="3" t="inlineStr">
        <is>
          <t>kari</t>
        </is>
      </c>
      <c r="H895" s="2" t="inlineStr">
        <is>
          <t>Никонорова Алина</t>
        </is>
      </c>
      <c r="J895" s="3" t="inlineStr">
        <is>
          <t>2026SS</t>
        </is>
      </c>
      <c r="K895" s="3" t="n">
        <v>1726</v>
      </c>
      <c r="L895" s="3" t="n">
        <v>461</v>
      </c>
      <c r="M895" s="3" t="n">
        <v>2</v>
      </c>
      <c r="N895" s="4">
        <f>IFERROR(L895/K895,0)</f>
        <v/>
      </c>
      <c r="O895" s="4">
        <f>IFERROR(M895/L895,0)</f>
        <v/>
      </c>
      <c r="P895" t="n">
        <v>437</v>
      </c>
      <c r="Q895" s="5" t="n">
        <v>1</v>
      </c>
      <c r="R895" s="7" t="n">
        <v>1</v>
      </c>
      <c r="S895">
        <f>IF(OR(N895&lt;$T$1*0.5,O895&lt;$U$1*0.5),"код для проверки","нормальный код")</f>
        <v/>
      </c>
      <c r="T895">
        <f>IF(N895&lt;$T$1*0.5,"Низшая четверть",IF(N895&lt;$T$1,"Вторая четверть","Больше половины"))</f>
        <v/>
      </c>
      <c r="U895">
        <f>IF(O895&lt;$U$1*0.5,"Низшая четверть",IF(O895&lt;$U$1,"Вторая четверть","Больше половины"))</f>
        <v/>
      </c>
      <c r="V895">
        <f>IF(OR(N895&lt;SUMIFS(L:L,R:R,1,E:E,E895)/SUMIFS(K:K,R:R,1,E:E,E895)*0.5,O895&lt;SUMIFS(M:M,R:R,1,E:E,E895)/SUMIFS(L:L,R:R,1,E:E,E895)*0.5),"код для проверки","нормальный код")</f>
        <v/>
      </c>
      <c r="W895">
        <f>IF(N895&lt;SUMIFS(L:L,R:R,1,E:E,E895)/SUMIFS(K:K,R:R,1,E:E,E895)*0.5,"Низшая четверть",IF(N895&lt;SUMIFS(L:L,R:R,1,E:E,E895)/SUMIFS(K:K,R:R,1,E:E,E895),"Вторая четверть","Больше половины"))</f>
        <v/>
      </c>
      <c r="X895">
        <f>IF(O895&lt;SUMIFS(M:M,R:R,1,E:E,E895)/SUMIFS(L:L,R:R,1,E:E,E895)*0.5,"Низшая четверть",IF(O895&lt;SUMIFS(M:M,R:R,1,E:E,E895)/SUMIFS(L:L,R:R,1,E:E,E895),"Вторая четверть","Больше половины"))</f>
        <v/>
      </c>
      <c r="Y895" t="n">
        <v>11</v>
      </c>
    </row>
    <row r="896">
      <c r="A896" s="1" t="inlineStr">
        <is>
          <t>30900080</t>
        </is>
      </c>
      <c r="B896" s="2" t="inlineStr">
        <is>
          <t>732910125</t>
        </is>
      </c>
      <c r="C896" s="3" t="inlineStr">
        <is>
          <t>Одежда и аксессуары</t>
        </is>
      </c>
      <c r="D896" s="2" t="inlineStr">
        <is>
          <t>Брюки, шорты женские</t>
        </is>
      </c>
      <c r="E896" s="3" t="inlineStr">
        <is>
          <t>h81 Брюки летние женские</t>
        </is>
      </c>
      <c r="F896" s="2" t="inlineStr">
        <is>
          <t>лето</t>
        </is>
      </c>
      <c r="G896" s="3" t="inlineStr">
        <is>
          <t>kari</t>
        </is>
      </c>
      <c r="H896" s="2" t="n"/>
      <c r="J896" s="3" t="inlineStr">
        <is>
          <t>2026SS</t>
        </is>
      </c>
      <c r="K896" s="3" t="n">
        <v>1709</v>
      </c>
      <c r="L896" s="3" t="n">
        <v>183</v>
      </c>
      <c r="M896" s="3" t="n">
        <v>1</v>
      </c>
      <c r="N896" s="4">
        <f>IFERROR(L896/K896,0)</f>
        <v/>
      </c>
      <c r="O896" s="4">
        <f>IFERROR(M896/L896,0)</f>
        <v/>
      </c>
      <c r="P896" t="n">
        <v>317</v>
      </c>
      <c r="Q896" s="5" t="n">
        <v>1</v>
      </c>
      <c r="R896" s="7" t="n">
        <v>1</v>
      </c>
      <c r="S896">
        <f>IF(OR(N896&lt;$T$1*0.5,O896&lt;$U$1*0.5),"код для проверки","нормальный код")</f>
        <v/>
      </c>
      <c r="T896">
        <f>IF(N896&lt;$T$1*0.5,"Низшая четверть",IF(N896&lt;$T$1,"Вторая четверть","Больше половины"))</f>
        <v/>
      </c>
      <c r="U896">
        <f>IF(O896&lt;$U$1*0.5,"Низшая четверть",IF(O896&lt;$U$1,"Вторая четверть","Больше половины"))</f>
        <v/>
      </c>
      <c r="V896">
        <f>IF(OR(N896&lt;SUMIFS(L:L,R:R,1,E:E,E896)/SUMIFS(K:K,R:R,1,E:E,E896)*0.5,O896&lt;SUMIFS(M:M,R:R,1,E:E,E896)/SUMIFS(L:L,R:R,1,E:E,E896)*0.5),"код для проверки","нормальный код")</f>
        <v/>
      </c>
      <c r="W896">
        <f>IF(N896&lt;SUMIFS(L:L,R:R,1,E:E,E896)/SUMIFS(K:K,R:R,1,E:E,E896)*0.5,"Низшая четверть",IF(N896&lt;SUMIFS(L:L,R:R,1,E:E,E896)/SUMIFS(K:K,R:R,1,E:E,E896),"Вторая четверть","Больше половины"))</f>
        <v/>
      </c>
      <c r="X896">
        <f>IF(O896&lt;SUMIFS(M:M,R:R,1,E:E,E896)/SUMIFS(L:L,R:R,1,E:E,E896)*0.5,"Низшая четверть",IF(O896&lt;SUMIFS(M:M,R:R,1,E:E,E896)/SUMIFS(L:L,R:R,1,E:E,E896),"Вторая четверть","Больше половины"))</f>
        <v/>
      </c>
      <c r="Y896" t="n">
        <v>23</v>
      </c>
    </row>
    <row r="897">
      <c r="A897" s="1" t="inlineStr">
        <is>
          <t>29900100</t>
        </is>
      </c>
      <c r="B897" s="2" t="inlineStr">
        <is>
          <t>699198460</t>
        </is>
      </c>
      <c r="C897" s="3" t="inlineStr">
        <is>
          <t>Одежда для детей</t>
        </is>
      </c>
      <c r="D897" s="2" t="inlineStr">
        <is>
          <t>Платья, майки, футболки детские для девочек</t>
        </is>
      </c>
      <c r="E897" s="3" t="inlineStr">
        <is>
          <t>299 Платье длинный рукав детское для девочек</t>
        </is>
      </c>
      <c r="F897" s="2" t="inlineStr">
        <is>
          <t>весна, осень, зима</t>
        </is>
      </c>
      <c r="G897" s="3" t="inlineStr">
        <is>
          <t>Kari KIDS</t>
        </is>
      </c>
      <c r="H897" s="2" t="inlineStr">
        <is>
          <t>Зиннуров Ильнур</t>
        </is>
      </c>
      <c r="J897" s="3" t="inlineStr">
        <is>
          <t>2026SS</t>
        </is>
      </c>
      <c r="K897" s="3" t="n">
        <v>1708</v>
      </c>
      <c r="L897" s="3" t="n">
        <v>300</v>
      </c>
      <c r="M897" s="3" t="n">
        <v>2</v>
      </c>
      <c r="N897" s="4">
        <f>IFERROR(L897/K897,0)</f>
        <v/>
      </c>
      <c r="O897" s="4">
        <f>IFERROR(M897/L897,0)</f>
        <v/>
      </c>
      <c r="P897" t="n">
        <v>152</v>
      </c>
      <c r="Q897" s="5" t="n">
        <v>1</v>
      </c>
      <c r="R897" s="7" t="n">
        <v>1</v>
      </c>
      <c r="S897">
        <f>IF(OR(N897&lt;$T$1*0.5,O897&lt;$U$1*0.5),"код для проверки","нормальный код")</f>
        <v/>
      </c>
      <c r="T897">
        <f>IF(N897&lt;$T$1*0.5,"Низшая четверть",IF(N897&lt;$T$1,"Вторая четверть","Больше половины"))</f>
        <v/>
      </c>
      <c r="U897">
        <f>IF(O897&lt;$U$1*0.5,"Низшая четверть",IF(O897&lt;$U$1,"Вторая четверть","Больше половины"))</f>
        <v/>
      </c>
      <c r="V897">
        <f>IF(OR(N897&lt;SUMIFS(L:L,R:R,1,E:E,E897)/SUMIFS(K:K,R:R,1,E:E,E897)*0.5,O897&lt;SUMIFS(M:M,R:R,1,E:E,E897)/SUMIFS(L:L,R:R,1,E:E,E897)*0.5),"код для проверки","нормальный код")</f>
        <v/>
      </c>
      <c r="W897">
        <f>IF(N897&lt;SUMIFS(L:L,R:R,1,E:E,E897)/SUMIFS(K:K,R:R,1,E:E,E897)*0.5,"Низшая четверть",IF(N897&lt;SUMIFS(L:L,R:R,1,E:E,E897)/SUMIFS(K:K,R:R,1,E:E,E897),"Вторая четверть","Больше половины"))</f>
        <v/>
      </c>
      <c r="X897">
        <f>IF(O897&lt;SUMIFS(M:M,R:R,1,E:E,E897)/SUMIFS(L:L,R:R,1,E:E,E897)*0.5,"Низшая четверть",IF(O897&lt;SUMIFS(M:M,R:R,1,E:E,E897)/SUMIFS(L:L,R:R,1,E:E,E897),"Вторая четверть","Больше половины"))</f>
        <v/>
      </c>
      <c r="Y897" t="n">
        <v>22</v>
      </c>
    </row>
    <row r="898">
      <c r="A898" s="1" t="inlineStr">
        <is>
          <t>310000H0</t>
        </is>
      </c>
      <c r="B898" s="2" t="inlineStr">
        <is>
          <t>699629739</t>
        </is>
      </c>
      <c r="C898" s="3" t="inlineStr">
        <is>
          <t>Одежда для детей</t>
        </is>
      </c>
      <c r="D898" s="2" t="inlineStr">
        <is>
          <t>Футболки, майки, рубашки детские для мальчиков</t>
        </is>
      </c>
      <c r="E898" s="3" t="inlineStr">
        <is>
          <t>310 Футболка детская для мальчиков</t>
        </is>
      </c>
      <c r="F898" s="2" t="inlineStr">
        <is>
          <t>всесезонный</t>
        </is>
      </c>
      <c r="G898" s="3" t="inlineStr">
        <is>
          <t>Kari KIDS</t>
        </is>
      </c>
      <c r="H898" s="2" t="inlineStr">
        <is>
          <t>Зиннуров Ильнур</t>
        </is>
      </c>
      <c r="J898" s="3" t="inlineStr">
        <is>
          <t>2026SS</t>
        </is>
      </c>
      <c r="K898" s="3" t="n">
        <v>1700</v>
      </c>
      <c r="L898" s="3" t="n">
        <v>397</v>
      </c>
      <c r="M898" s="3" t="n">
        <v>0</v>
      </c>
      <c r="N898" s="4">
        <f>IFERROR(L898/K898,0)</f>
        <v/>
      </c>
      <c r="O898" s="4">
        <f>IFERROR(M898/L898,0)</f>
        <v/>
      </c>
      <c r="P898" t="n">
        <v>481</v>
      </c>
      <c r="Q898" s="5" t="n">
        <v>1</v>
      </c>
      <c r="R898" s="7" t="n">
        <v>1</v>
      </c>
      <c r="S898">
        <f>IF(OR(N898&lt;$T$1*0.5,O898&lt;$U$1*0.5),"код для проверки","нормальный код")</f>
        <v/>
      </c>
      <c r="T898">
        <f>IF(N898&lt;$T$1*0.5,"Низшая четверть",IF(N898&lt;$T$1,"Вторая четверть","Больше половины"))</f>
        <v/>
      </c>
      <c r="U898">
        <f>IF(O898&lt;$U$1*0.5,"Низшая четверть",IF(O898&lt;$U$1,"Вторая четверть","Больше половины"))</f>
        <v/>
      </c>
      <c r="V898">
        <f>IF(OR(N898&lt;SUMIFS(L:L,R:R,1,E:E,E898)/SUMIFS(K:K,R:R,1,E:E,E898)*0.5,O898&lt;SUMIFS(M:M,R:R,1,E:E,E898)/SUMIFS(L:L,R:R,1,E:E,E898)*0.5),"код для проверки","нормальный код")</f>
        <v/>
      </c>
      <c r="W898">
        <f>IF(N898&lt;SUMIFS(L:L,R:R,1,E:E,E898)/SUMIFS(K:K,R:R,1,E:E,E898)*0.5,"Низшая четверть",IF(N898&lt;SUMIFS(L:L,R:R,1,E:E,E898)/SUMIFS(K:K,R:R,1,E:E,E898),"Вторая четверть","Больше половины"))</f>
        <v/>
      </c>
      <c r="X898">
        <f>IF(O898&lt;SUMIFS(M:M,R:R,1,E:E,E898)/SUMIFS(L:L,R:R,1,E:E,E898)*0.5,"Низшая четверть",IF(O898&lt;SUMIFS(M:M,R:R,1,E:E,E898)/SUMIFS(L:L,R:R,1,E:E,E898),"Вторая четверть","Больше половины"))</f>
        <v/>
      </c>
      <c r="Y898" t="n">
        <v>17</v>
      </c>
    </row>
    <row r="899">
      <c r="A899" s="1" t="inlineStr">
        <is>
          <t>20100310</t>
        </is>
      </c>
      <c r="B899" s="2" t="inlineStr">
        <is>
          <t>820479788</t>
        </is>
      </c>
      <c r="C899" s="3" t="inlineStr">
        <is>
          <t>Одежда для детей</t>
        </is>
      </c>
      <c r="D899" s="2" t="inlineStr">
        <is>
          <t>Головные детские уборы для девочек</t>
        </is>
      </c>
      <c r="E899" s="3" t="inlineStr">
        <is>
          <t>201 Бейсболка детская для девочек</t>
        </is>
      </c>
      <c r="F899" s="2" t="inlineStr">
        <is>
          <t>весна, лето</t>
        </is>
      </c>
      <c r="G899" s="3" t="inlineStr">
        <is>
          <t>kari</t>
        </is>
      </c>
      <c r="H899" s="2" t="inlineStr">
        <is>
          <t>Никонорова Алина</t>
        </is>
      </c>
      <c r="J899" s="3" t="inlineStr">
        <is>
          <t>2026SS</t>
        </is>
      </c>
      <c r="K899" s="3" t="n">
        <v>1686</v>
      </c>
      <c r="L899" s="3" t="n">
        <v>455</v>
      </c>
      <c r="M899" s="3" t="n">
        <v>4</v>
      </c>
      <c r="N899" s="4">
        <f>IFERROR(L899/K899,0)</f>
        <v/>
      </c>
      <c r="O899" s="4">
        <f>IFERROR(M899/L899,0)</f>
        <v/>
      </c>
      <c r="P899" t="n">
        <v>544</v>
      </c>
      <c r="Q899" s="5" t="n">
        <v>1</v>
      </c>
      <c r="R899" s="7" t="n">
        <v>1</v>
      </c>
      <c r="S899">
        <f>IF(OR(N899&lt;$T$1*0.5,O899&lt;$U$1*0.5),"код для проверки","нормальный код")</f>
        <v/>
      </c>
      <c r="T899">
        <f>IF(N899&lt;$T$1*0.5,"Низшая четверть",IF(N899&lt;$T$1,"Вторая четверть","Больше половины"))</f>
        <v/>
      </c>
      <c r="U899">
        <f>IF(O899&lt;$U$1*0.5,"Низшая четверть",IF(O899&lt;$U$1,"Вторая четверть","Больше половины"))</f>
        <v/>
      </c>
      <c r="V899">
        <f>IF(OR(N899&lt;SUMIFS(L:L,R:R,1,E:E,E899)/SUMIFS(K:K,R:R,1,E:E,E899)*0.5,O899&lt;SUMIFS(M:M,R:R,1,E:E,E899)/SUMIFS(L:L,R:R,1,E:E,E899)*0.5),"код для проверки","нормальный код")</f>
        <v/>
      </c>
      <c r="W899">
        <f>IF(N899&lt;SUMIFS(L:L,R:R,1,E:E,E899)/SUMIFS(K:K,R:R,1,E:E,E899)*0.5,"Низшая четверть",IF(N899&lt;SUMIFS(L:L,R:R,1,E:E,E899)/SUMIFS(K:K,R:R,1,E:E,E899),"Вторая четверть","Больше половины"))</f>
        <v/>
      </c>
      <c r="X899">
        <f>IF(O899&lt;SUMIFS(M:M,R:R,1,E:E,E899)/SUMIFS(L:L,R:R,1,E:E,E899)*0.5,"Низшая четверть",IF(O899&lt;SUMIFS(M:M,R:R,1,E:E,E899)/SUMIFS(L:L,R:R,1,E:E,E899),"Вторая четверть","Больше половины"))</f>
        <v/>
      </c>
      <c r="Y899" t="n">
        <v>9</v>
      </c>
    </row>
    <row r="900">
      <c r="A900" s="1" t="inlineStr">
        <is>
          <t>20200370</t>
        </is>
      </c>
      <c r="B900" s="2" t="inlineStr">
        <is>
          <t>760592168</t>
        </is>
      </c>
      <c r="C900" s="3" t="inlineStr">
        <is>
          <t>Одежда для детей</t>
        </is>
      </c>
      <c r="D900" s="2" t="inlineStr">
        <is>
          <t>Головные уборы детские для мальчиков</t>
        </is>
      </c>
      <c r="E900" s="3" t="inlineStr">
        <is>
          <t>202 Бейсболка детская для мальчиков</t>
        </is>
      </c>
      <c r="F900" s="2" t="inlineStr">
        <is>
          <t>весна, лето</t>
        </is>
      </c>
      <c r="G900" s="3" t="inlineStr">
        <is>
          <t>kari</t>
        </is>
      </c>
      <c r="H900" s="2" t="inlineStr">
        <is>
          <t>Никонорова Алина</t>
        </is>
      </c>
      <c r="J900" s="3" t="inlineStr">
        <is>
          <t>2026SS</t>
        </is>
      </c>
      <c r="K900" s="3" t="n">
        <v>1682</v>
      </c>
      <c r="L900" s="3" t="n">
        <v>309</v>
      </c>
      <c r="M900" s="3" t="n">
        <v>5</v>
      </c>
      <c r="N900" s="4">
        <f>IFERROR(L900/K900,0)</f>
        <v/>
      </c>
      <c r="O900" s="4">
        <f>IFERROR(M900/L900,0)</f>
        <v/>
      </c>
      <c r="P900" t="n">
        <v>640</v>
      </c>
      <c r="Q900" s="5" t="n">
        <v>1</v>
      </c>
      <c r="R900" s="7" t="n">
        <v>1</v>
      </c>
      <c r="S900">
        <f>IF(OR(N900&lt;$T$1*0.5,O900&lt;$U$1*0.5),"код для проверки","нормальный код")</f>
        <v/>
      </c>
      <c r="T900">
        <f>IF(N900&lt;$T$1*0.5,"Низшая четверть",IF(N900&lt;$T$1,"Вторая четверть","Больше половины"))</f>
        <v/>
      </c>
      <c r="U900">
        <f>IF(O900&lt;$U$1*0.5,"Низшая четверть",IF(O900&lt;$U$1,"Вторая четверть","Больше половины"))</f>
        <v/>
      </c>
      <c r="V900">
        <f>IF(OR(N900&lt;SUMIFS(L:L,R:R,1,E:E,E900)/SUMIFS(K:K,R:R,1,E:E,E900)*0.5,O900&lt;SUMIFS(M:M,R:R,1,E:E,E900)/SUMIFS(L:L,R:R,1,E:E,E900)*0.5),"код для проверки","нормальный код")</f>
        <v/>
      </c>
      <c r="W900">
        <f>IF(N900&lt;SUMIFS(L:L,R:R,1,E:E,E900)/SUMIFS(K:K,R:R,1,E:E,E900)*0.5,"Низшая четверть",IF(N900&lt;SUMIFS(L:L,R:R,1,E:E,E900)/SUMIFS(K:K,R:R,1,E:E,E900),"Вторая четверть","Больше половины"))</f>
        <v/>
      </c>
      <c r="X900">
        <f>IF(O900&lt;SUMIFS(M:M,R:R,1,E:E,E900)/SUMIFS(L:L,R:R,1,E:E,E900)*0.5,"Низшая четверть",IF(O900&lt;SUMIFS(M:M,R:R,1,E:E,E900)/SUMIFS(L:L,R:R,1,E:E,E900),"Вторая четверть","Больше половины"))</f>
        <v/>
      </c>
      <c r="Y900" t="n">
        <v>10</v>
      </c>
    </row>
    <row r="901">
      <c r="A901" s="1" t="inlineStr">
        <is>
          <t>310002L0</t>
        </is>
      </c>
      <c r="B901" s="2" t="inlineStr">
        <is>
          <t>847884079</t>
        </is>
      </c>
      <c r="C901" s="3" t="inlineStr">
        <is>
          <t>Одежда для детей</t>
        </is>
      </c>
      <c r="D901" s="2" t="inlineStr">
        <is>
          <t>Футболки, майки, рубашки детские для мальчиков</t>
        </is>
      </c>
      <c r="E901" s="3" t="inlineStr">
        <is>
          <t>310 Футболка детская для мальчиков</t>
        </is>
      </c>
      <c r="F901" s="2" t="inlineStr">
        <is>
          <t>всесезонный</t>
        </is>
      </c>
      <c r="G901" s="3" t="inlineStr">
        <is>
          <t>Kari KIDS</t>
        </is>
      </c>
      <c r="H901" s="2" t="inlineStr">
        <is>
          <t>Зиннуров Ильнур</t>
        </is>
      </c>
      <c r="J901" s="3" t="inlineStr">
        <is>
          <t>2026SS</t>
        </is>
      </c>
      <c r="K901" s="3" t="n">
        <v>1672</v>
      </c>
      <c r="L901" s="3" t="n">
        <v>1126</v>
      </c>
      <c r="M901" s="3" t="n">
        <v>2</v>
      </c>
      <c r="N901" s="4">
        <f>IFERROR(L901/K901,0)</f>
        <v/>
      </c>
      <c r="O901" s="4">
        <f>IFERROR(M901/L901,0)</f>
        <v/>
      </c>
      <c r="P901" t="n">
        <v>835</v>
      </c>
      <c r="Q901" s="5" t="n">
        <v>1</v>
      </c>
      <c r="R901" s="7" t="n">
        <v>1</v>
      </c>
      <c r="S901">
        <f>IF(OR(N901&lt;$T$1*0.5,O901&lt;$U$1*0.5),"код для проверки","нормальный код")</f>
        <v/>
      </c>
      <c r="T901">
        <f>IF(N901&lt;$T$1*0.5,"Низшая четверть",IF(N901&lt;$T$1,"Вторая четверть","Больше половины"))</f>
        <v/>
      </c>
      <c r="U901">
        <f>IF(O901&lt;$U$1*0.5,"Низшая четверть",IF(O901&lt;$U$1,"Вторая четверть","Больше половины"))</f>
        <v/>
      </c>
      <c r="V901">
        <f>IF(OR(N901&lt;SUMIFS(L:L,R:R,1,E:E,E901)/SUMIFS(K:K,R:R,1,E:E,E901)*0.5,O901&lt;SUMIFS(M:M,R:R,1,E:E,E901)/SUMIFS(L:L,R:R,1,E:E,E901)*0.5),"код для проверки","нормальный код")</f>
        <v/>
      </c>
      <c r="W901">
        <f>IF(N901&lt;SUMIFS(L:L,R:R,1,E:E,E901)/SUMIFS(K:K,R:R,1,E:E,E901)*0.5,"Низшая четверть",IF(N901&lt;SUMIFS(L:L,R:R,1,E:E,E901)/SUMIFS(K:K,R:R,1,E:E,E901),"Вторая четверть","Больше половины"))</f>
        <v/>
      </c>
      <c r="X901">
        <f>IF(O901&lt;SUMIFS(M:M,R:R,1,E:E,E901)/SUMIFS(L:L,R:R,1,E:E,E901)*0.5,"Низшая четверть",IF(O901&lt;SUMIFS(M:M,R:R,1,E:E,E901)/SUMIFS(L:L,R:R,1,E:E,E901),"Вторая четверть","Больше половины"))</f>
        <v/>
      </c>
      <c r="Y901" t="n">
        <v>10</v>
      </c>
    </row>
    <row r="902">
      <c r="A902" s="1" t="inlineStr">
        <is>
          <t>310001I0</t>
        </is>
      </c>
      <c r="B902" s="2" t="inlineStr">
        <is>
          <t>884287684</t>
        </is>
      </c>
      <c r="C902" s="3" t="inlineStr">
        <is>
          <t>Одежда для детей</t>
        </is>
      </c>
      <c r="D902" s="2" t="inlineStr">
        <is>
          <t>Футболки, майки, рубашки детские для мальчиков</t>
        </is>
      </c>
      <c r="E902" s="3" t="inlineStr">
        <is>
          <t>310 Футболка детская для мальчиков</t>
        </is>
      </c>
      <c r="F902" s="2" t="inlineStr">
        <is>
          <t>всесезонный</t>
        </is>
      </c>
      <c r="G902" s="3" t="inlineStr">
        <is>
          <t>kari</t>
        </is>
      </c>
      <c r="H902" s="2" t="inlineStr">
        <is>
          <t>Зиннуров Ильнур</t>
        </is>
      </c>
      <c r="J902" s="3" t="inlineStr">
        <is>
          <t>2026SS</t>
        </is>
      </c>
      <c r="K902" s="3" t="n">
        <v>1648</v>
      </c>
      <c r="L902" s="3" t="n">
        <v>20</v>
      </c>
      <c r="M902" s="3" t="n">
        <v>4</v>
      </c>
      <c r="N902" s="4">
        <f>IFERROR(L902/K902,0)</f>
        <v/>
      </c>
      <c r="O902" s="4">
        <f>IFERROR(M902/L902,0)</f>
        <v/>
      </c>
      <c r="P902" t="n">
        <v>447</v>
      </c>
      <c r="Q902" s="5" t="n">
        <v>0.5555555555555556</v>
      </c>
      <c r="R902" s="7" t="n">
        <v>1</v>
      </c>
      <c r="S902">
        <f>IF(OR(N902&lt;$T$1*0.5,O902&lt;$U$1*0.5),"код для проверки","нормальный код")</f>
        <v/>
      </c>
      <c r="T902">
        <f>IF(N902&lt;$T$1*0.5,"Низшая четверть",IF(N902&lt;$T$1,"Вторая четверть","Больше половины"))</f>
        <v/>
      </c>
      <c r="U902">
        <f>IF(O902&lt;$U$1*0.5,"Низшая четверть",IF(O902&lt;$U$1,"Вторая четверть","Больше половины"))</f>
        <v/>
      </c>
      <c r="V902">
        <f>IF(OR(N902&lt;SUMIFS(L:L,R:R,1,E:E,E902)/SUMIFS(K:K,R:R,1,E:E,E902)*0.5,O902&lt;SUMIFS(M:M,R:R,1,E:E,E902)/SUMIFS(L:L,R:R,1,E:E,E902)*0.5),"код для проверки","нормальный код")</f>
        <v/>
      </c>
      <c r="W902">
        <f>IF(N902&lt;SUMIFS(L:L,R:R,1,E:E,E902)/SUMIFS(K:K,R:R,1,E:E,E902)*0.5,"Низшая четверть",IF(N902&lt;SUMIFS(L:L,R:R,1,E:E,E902)/SUMIFS(K:K,R:R,1,E:E,E902),"Вторая четверть","Больше половины"))</f>
        <v/>
      </c>
      <c r="X902">
        <f>IF(O902&lt;SUMIFS(M:M,R:R,1,E:E,E902)/SUMIFS(L:L,R:R,1,E:E,E902)*0.5,"Низшая четверть",IF(O902&lt;SUMIFS(M:M,R:R,1,E:E,E902)/SUMIFS(L:L,R:R,1,E:E,E902),"Вторая четверть","Больше половины"))</f>
        <v/>
      </c>
      <c r="Y902" t="n">
        <v>6</v>
      </c>
    </row>
    <row r="903">
      <c r="A903" s="1" t="inlineStr">
        <is>
          <t>29000100</t>
        </is>
      </c>
      <c r="B903" s="2" t="inlineStr">
        <is>
          <t>769002352</t>
        </is>
      </c>
      <c r="C903" s="3" t="inlineStr">
        <is>
          <t>Одежда для детей</t>
        </is>
      </c>
      <c r="D903" s="2" t="inlineStr">
        <is>
          <t>Брюки детские для девочек</t>
        </is>
      </c>
      <c r="E903" s="3" t="inlineStr">
        <is>
          <t>290 Штаны детские для девочек</t>
        </is>
      </c>
      <c r="F903" s="2" t="inlineStr">
        <is>
          <t>всесезонный</t>
        </is>
      </c>
      <c r="G903" s="3" t="inlineStr">
        <is>
          <t>kari</t>
        </is>
      </c>
      <c r="H903" s="2" t="inlineStr">
        <is>
          <t>Зиннуров Ильнур</t>
        </is>
      </c>
      <c r="J903" s="3" t="inlineStr">
        <is>
          <t>2026SS</t>
        </is>
      </c>
      <c r="K903" s="3" t="n">
        <v>1647</v>
      </c>
      <c r="L903" s="3" t="n">
        <v>228</v>
      </c>
      <c r="M903" s="3" t="n">
        <v>5</v>
      </c>
      <c r="N903" s="4">
        <f>IFERROR(L903/K903,0)</f>
        <v/>
      </c>
      <c r="O903" s="4">
        <f>IFERROR(M903/L903,0)</f>
        <v/>
      </c>
      <c r="P903" t="n">
        <v>772</v>
      </c>
      <c r="Q903" s="5" t="n">
        <v>1</v>
      </c>
      <c r="R903" s="7" t="n">
        <v>1</v>
      </c>
      <c r="S903">
        <f>IF(OR(N903&lt;$T$1*0.5,O903&lt;$U$1*0.5),"код для проверки","нормальный код")</f>
        <v/>
      </c>
      <c r="T903">
        <f>IF(N903&lt;$T$1*0.5,"Низшая четверть",IF(N903&lt;$T$1,"Вторая четверть","Больше половины"))</f>
        <v/>
      </c>
      <c r="U903">
        <f>IF(O903&lt;$U$1*0.5,"Низшая четверть",IF(O903&lt;$U$1,"Вторая четверть","Больше половины"))</f>
        <v/>
      </c>
      <c r="V903">
        <f>IF(OR(N903&lt;SUMIFS(L:L,R:R,1,E:E,E903)/SUMIFS(K:K,R:R,1,E:E,E903)*0.5,O903&lt;SUMIFS(M:M,R:R,1,E:E,E903)/SUMIFS(L:L,R:R,1,E:E,E903)*0.5),"код для проверки","нормальный код")</f>
        <v/>
      </c>
      <c r="W903">
        <f>IF(N903&lt;SUMIFS(L:L,R:R,1,E:E,E903)/SUMIFS(K:K,R:R,1,E:E,E903)*0.5,"Низшая четверть",IF(N903&lt;SUMIFS(L:L,R:R,1,E:E,E903)/SUMIFS(K:K,R:R,1,E:E,E903),"Вторая четверть","Больше половины"))</f>
        <v/>
      </c>
      <c r="X903">
        <f>IF(O903&lt;SUMIFS(M:M,R:R,1,E:E,E903)/SUMIFS(L:L,R:R,1,E:E,E903)*0.5,"Низшая четверть",IF(O903&lt;SUMIFS(M:M,R:R,1,E:E,E903)/SUMIFS(L:L,R:R,1,E:E,E903),"Вторая четверть","Больше половины"))</f>
        <v/>
      </c>
      <c r="Y903" t="n">
        <v>17</v>
      </c>
    </row>
    <row r="904">
      <c r="A904" s="1" t="inlineStr">
        <is>
          <t>10908230</t>
        </is>
      </c>
      <c r="B904" s="2" t="inlineStr">
        <is>
          <t>378959463</t>
        </is>
      </c>
      <c r="C904" s="3" t="inlineStr">
        <is>
          <t>Одежда и аксессуары</t>
        </is>
      </c>
      <c r="D904" s="2" t="inlineStr">
        <is>
          <t>Шарфы женские</t>
        </is>
      </c>
      <c r="E904" s="3" t="inlineStr">
        <is>
          <t>109 Палантин женский</t>
        </is>
      </c>
      <c r="F904" s="2" t="inlineStr">
        <is>
          <t>весна, осень, зима</t>
        </is>
      </c>
      <c r="G904" s="3" t="inlineStr">
        <is>
          <t>kari</t>
        </is>
      </c>
      <c r="H904" s="2" t="inlineStr">
        <is>
          <t>Никонорова Алина</t>
        </is>
      </c>
      <c r="J904" s="3" t="inlineStr">
        <is>
          <t>2026SS</t>
        </is>
      </c>
      <c r="K904" s="3" t="n">
        <v>1644</v>
      </c>
      <c r="L904" s="3" t="n">
        <v>1124</v>
      </c>
      <c r="M904" s="3" t="n">
        <v>6</v>
      </c>
      <c r="N904" s="4">
        <f>IFERROR(L904/K904,0)</f>
        <v/>
      </c>
      <c r="O904" s="4">
        <f>IFERROR(M904/L904,0)</f>
        <v/>
      </c>
      <c r="P904" t="n">
        <v>211</v>
      </c>
      <c r="Q904" s="5" t="n">
        <v>1</v>
      </c>
      <c r="R904" s="7" t="n">
        <v>1</v>
      </c>
      <c r="S904">
        <f>IF(OR(N904&lt;$T$1*0.5,O904&lt;$U$1*0.5),"код для проверки","нормальный код")</f>
        <v/>
      </c>
      <c r="T904">
        <f>IF(N904&lt;$T$1*0.5,"Низшая четверть",IF(N904&lt;$T$1,"Вторая четверть","Больше половины"))</f>
        <v/>
      </c>
      <c r="U904">
        <f>IF(O904&lt;$U$1*0.5,"Низшая четверть",IF(O904&lt;$U$1,"Вторая четверть","Больше половины"))</f>
        <v/>
      </c>
      <c r="V904">
        <f>IF(OR(N904&lt;SUMIFS(L:L,R:R,1,E:E,E904)/SUMIFS(K:K,R:R,1,E:E,E904)*0.5,O904&lt;SUMIFS(M:M,R:R,1,E:E,E904)/SUMIFS(L:L,R:R,1,E:E,E904)*0.5),"код для проверки","нормальный код")</f>
        <v/>
      </c>
      <c r="W904">
        <f>IF(N904&lt;SUMIFS(L:L,R:R,1,E:E,E904)/SUMIFS(K:K,R:R,1,E:E,E904)*0.5,"Низшая четверть",IF(N904&lt;SUMIFS(L:L,R:R,1,E:E,E904)/SUMIFS(K:K,R:R,1,E:E,E904),"Вторая четверть","Больше половины"))</f>
        <v/>
      </c>
      <c r="X904">
        <f>IF(O904&lt;SUMIFS(M:M,R:R,1,E:E,E904)/SUMIFS(L:L,R:R,1,E:E,E904)*0.5,"Низшая четверть",IF(O904&lt;SUMIFS(M:M,R:R,1,E:E,E904)/SUMIFS(L:L,R:R,1,E:E,E904),"Вторая четверть","Больше половины"))</f>
        <v/>
      </c>
      <c r="Y904" t="n">
        <v>15</v>
      </c>
    </row>
    <row r="905">
      <c r="A905" s="1" t="inlineStr">
        <is>
          <t>310000V0</t>
        </is>
      </c>
      <c r="B905" s="2" t="inlineStr">
        <is>
          <t>879308864</t>
        </is>
      </c>
      <c r="C905" s="3" t="inlineStr">
        <is>
          <t>Одежда для детей</t>
        </is>
      </c>
      <c r="D905" s="2" t="inlineStr">
        <is>
          <t>Футболки, майки, рубашки детские для мальчиков</t>
        </is>
      </c>
      <c r="E905" s="3" t="inlineStr">
        <is>
          <t>310 Футболка детская для мальчиков</t>
        </is>
      </c>
      <c r="F905" s="2" t="inlineStr">
        <is>
          <t>всесезонный</t>
        </is>
      </c>
      <c r="G905" s="3" t="inlineStr">
        <is>
          <t>kari</t>
        </is>
      </c>
      <c r="H905" s="2" t="inlineStr">
        <is>
          <t>Зиннуров Ильнур</t>
        </is>
      </c>
      <c r="J905" s="3" t="inlineStr">
        <is>
          <t>2026SS</t>
        </is>
      </c>
      <c r="K905" s="3" t="n">
        <v>1636</v>
      </c>
      <c r="L905" s="3" t="n">
        <v>36</v>
      </c>
      <c r="M905" s="3" t="n">
        <v>0</v>
      </c>
      <c r="N905" s="4">
        <f>IFERROR(L905/K905,0)</f>
        <v/>
      </c>
      <c r="O905" s="4">
        <f>IFERROR(M905/L905,0)</f>
        <v/>
      </c>
      <c r="P905" t="n">
        <v>451</v>
      </c>
      <c r="Q905" s="5" t="n">
        <v>1</v>
      </c>
      <c r="R905" s="7" t="n">
        <v>1</v>
      </c>
      <c r="S905">
        <f>IF(OR(N905&lt;$T$1*0.5,O905&lt;$U$1*0.5),"код для проверки","нормальный код")</f>
        <v/>
      </c>
      <c r="T905">
        <f>IF(N905&lt;$T$1*0.5,"Низшая четверть",IF(N905&lt;$T$1,"Вторая четверть","Больше половины"))</f>
        <v/>
      </c>
      <c r="U905">
        <f>IF(O905&lt;$U$1*0.5,"Низшая четверть",IF(O905&lt;$U$1,"Вторая четверть","Больше половины"))</f>
        <v/>
      </c>
      <c r="V905">
        <f>IF(OR(N905&lt;SUMIFS(L:L,R:R,1,E:E,E905)/SUMIFS(K:K,R:R,1,E:E,E905)*0.5,O905&lt;SUMIFS(M:M,R:R,1,E:E,E905)/SUMIFS(L:L,R:R,1,E:E,E905)*0.5),"код для проверки","нормальный код")</f>
        <v/>
      </c>
      <c r="W905">
        <f>IF(N905&lt;SUMIFS(L:L,R:R,1,E:E,E905)/SUMIFS(K:K,R:R,1,E:E,E905)*0.5,"Низшая четверть",IF(N905&lt;SUMIFS(L:L,R:R,1,E:E,E905)/SUMIFS(K:K,R:R,1,E:E,E905),"Вторая четверть","Больше половины"))</f>
        <v/>
      </c>
      <c r="X905">
        <f>IF(O905&lt;SUMIFS(M:M,R:R,1,E:E,E905)/SUMIFS(L:L,R:R,1,E:E,E905)*0.5,"Низшая четверть",IF(O905&lt;SUMIFS(M:M,R:R,1,E:E,E905)/SUMIFS(L:L,R:R,1,E:E,E905),"Вторая четверть","Больше половины"))</f>
        <v/>
      </c>
      <c r="Y905" t="n">
        <v>9</v>
      </c>
    </row>
    <row r="906">
      <c r="A906" s="1" t="inlineStr">
        <is>
          <t>h1000260</t>
        </is>
      </c>
      <c r="B906" s="2" t="inlineStr">
        <is>
          <t>879308780</t>
        </is>
      </c>
      <c r="C906" s="3" t="inlineStr">
        <is>
          <t>Одежда и аксессуары</t>
        </is>
      </c>
      <c r="D906" s="2" t="inlineStr">
        <is>
          <t>Футболки, рубашки мужские</t>
        </is>
      </c>
      <c r="E906" s="3" t="inlineStr">
        <is>
          <t>h10 Футболка мужская</t>
        </is>
      </c>
      <c r="F906" s="2" t="inlineStr">
        <is>
          <t>всесезонный</t>
        </is>
      </c>
      <c r="G906" s="3" t="inlineStr">
        <is>
          <t>kari</t>
        </is>
      </c>
      <c r="H906" s="2" t="inlineStr">
        <is>
          <t>Зиннуров Ильнур</t>
        </is>
      </c>
      <c r="J906" s="3" t="inlineStr">
        <is>
          <t>2026SS</t>
        </is>
      </c>
      <c r="K906" s="3" t="n">
        <v>1634</v>
      </c>
      <c r="L906" s="3" t="n">
        <v>68</v>
      </c>
      <c r="M906" s="3" t="n">
        <v>0</v>
      </c>
      <c r="N906" s="4">
        <f>IFERROR(L906/K906,0)</f>
        <v/>
      </c>
      <c r="O906" s="4">
        <f>IFERROR(M906/L906,0)</f>
        <v/>
      </c>
      <c r="P906" t="n">
        <v>330</v>
      </c>
      <c r="Q906" s="5" t="n">
        <v>1</v>
      </c>
      <c r="R906" s="7" t="n">
        <v>1</v>
      </c>
      <c r="S906">
        <f>IF(OR(N906&lt;$T$1*0.5,O906&lt;$U$1*0.5),"код для проверки","нормальный код")</f>
        <v/>
      </c>
      <c r="T906">
        <f>IF(N906&lt;$T$1*0.5,"Низшая четверть",IF(N906&lt;$T$1,"Вторая четверть","Больше половины"))</f>
        <v/>
      </c>
      <c r="U906">
        <f>IF(O906&lt;$U$1*0.5,"Низшая четверть",IF(O906&lt;$U$1,"Вторая четверть","Больше половины"))</f>
        <v/>
      </c>
      <c r="V906">
        <f>IF(OR(N906&lt;SUMIFS(L:L,R:R,1,E:E,E906)/SUMIFS(K:K,R:R,1,E:E,E906)*0.5,O906&lt;SUMIFS(M:M,R:R,1,E:E,E906)/SUMIFS(L:L,R:R,1,E:E,E906)*0.5),"код для проверки","нормальный код")</f>
        <v/>
      </c>
      <c r="W906">
        <f>IF(N906&lt;SUMIFS(L:L,R:R,1,E:E,E906)/SUMIFS(K:K,R:R,1,E:E,E906)*0.5,"Низшая четверть",IF(N906&lt;SUMIFS(L:L,R:R,1,E:E,E906)/SUMIFS(K:K,R:R,1,E:E,E906),"Вторая четверть","Больше половины"))</f>
        <v/>
      </c>
      <c r="X906">
        <f>IF(O906&lt;SUMIFS(M:M,R:R,1,E:E,E906)/SUMIFS(L:L,R:R,1,E:E,E906)*0.5,"Низшая четверть",IF(O906&lt;SUMIFS(M:M,R:R,1,E:E,E906)/SUMIFS(L:L,R:R,1,E:E,E906),"Вторая четверть","Больше половины"))</f>
        <v/>
      </c>
      <c r="Y906" t="n">
        <v>21</v>
      </c>
    </row>
    <row r="907">
      <c r="A907" s="1" t="inlineStr">
        <is>
          <t>96500100</t>
        </is>
      </c>
      <c r="B907" s="2" t="inlineStr">
        <is>
          <t>863950550</t>
        </is>
      </c>
      <c r="C907" s="3" t="inlineStr">
        <is>
          <t>Одежда для детей</t>
        </is>
      </c>
      <c r="D907" s="2" t="inlineStr">
        <is>
          <t>Одежда для новорожденных</t>
        </is>
      </c>
      <c r="E907" s="3" t="inlineStr">
        <is>
          <t>965 Шорты для маленького мальчика</t>
        </is>
      </c>
      <c r="F907" s="2" t="inlineStr">
        <is>
          <t>лето</t>
        </is>
      </c>
      <c r="G907" s="3" t="inlineStr">
        <is>
          <t>Kari baby</t>
        </is>
      </c>
      <c r="H907" s="2" t="inlineStr">
        <is>
          <t>Зиннуров Ильнур</t>
        </is>
      </c>
      <c r="J907" s="3" t="inlineStr">
        <is>
          <t>2026SS</t>
        </is>
      </c>
      <c r="K907" s="3" t="n">
        <v>1630</v>
      </c>
      <c r="L907" s="3" t="n">
        <v>33</v>
      </c>
      <c r="M907" s="3" t="n">
        <v>0</v>
      </c>
      <c r="N907" s="4">
        <f>IFERROR(L907/K907,0)</f>
        <v/>
      </c>
      <c r="O907" s="4">
        <f>IFERROR(M907/L907,0)</f>
        <v/>
      </c>
      <c r="P907" t="n">
        <v>587</v>
      </c>
      <c r="Q907" s="5" t="n">
        <v>1</v>
      </c>
      <c r="R907" s="7" t="n">
        <v>1</v>
      </c>
      <c r="S907">
        <f>IF(OR(N907&lt;$T$1*0.5,O907&lt;$U$1*0.5),"код для проверки","нормальный код")</f>
        <v/>
      </c>
      <c r="T907">
        <f>IF(N907&lt;$T$1*0.5,"Низшая четверть",IF(N907&lt;$T$1,"Вторая четверть","Больше половины"))</f>
        <v/>
      </c>
      <c r="U907">
        <f>IF(O907&lt;$U$1*0.5,"Низшая четверть",IF(O907&lt;$U$1,"Вторая четверть","Больше половины"))</f>
        <v/>
      </c>
      <c r="V907">
        <f>IF(OR(N907&lt;SUMIFS(L:L,R:R,1,E:E,E907)/SUMIFS(K:K,R:R,1,E:E,E907)*0.5,O907&lt;SUMIFS(M:M,R:R,1,E:E,E907)/SUMIFS(L:L,R:R,1,E:E,E907)*0.5),"код для проверки","нормальный код")</f>
        <v/>
      </c>
      <c r="W907">
        <f>IF(N907&lt;SUMIFS(L:L,R:R,1,E:E,E907)/SUMIFS(K:K,R:R,1,E:E,E907)*0.5,"Низшая четверть",IF(N907&lt;SUMIFS(L:L,R:R,1,E:E,E907)/SUMIFS(K:K,R:R,1,E:E,E907),"Вторая четверть","Больше половины"))</f>
        <v/>
      </c>
      <c r="X907">
        <f>IF(O907&lt;SUMIFS(M:M,R:R,1,E:E,E907)/SUMIFS(L:L,R:R,1,E:E,E907)*0.5,"Низшая четверть",IF(O907&lt;SUMIFS(M:M,R:R,1,E:E,E907)/SUMIFS(L:L,R:R,1,E:E,E907),"Вторая четверть","Больше половины"))</f>
        <v/>
      </c>
      <c r="Y907" t="n">
        <v>10</v>
      </c>
    </row>
    <row r="908">
      <c r="A908" s="1" t="inlineStr">
        <is>
          <t>h1000400</t>
        </is>
      </c>
      <c r="B908" s="2" t="inlineStr">
        <is>
          <t>851029663</t>
        </is>
      </c>
      <c r="C908" s="3" t="inlineStr">
        <is>
          <t>Одежда и аксессуары</t>
        </is>
      </c>
      <c r="D908" s="2" t="inlineStr">
        <is>
          <t>Футболки, рубашки мужские</t>
        </is>
      </c>
      <c r="E908" s="3" t="inlineStr">
        <is>
          <t>h10 Футболка мужская</t>
        </is>
      </c>
      <c r="F908" s="2" t="inlineStr">
        <is>
          <t>всесезонный</t>
        </is>
      </c>
      <c r="G908" s="3" t="inlineStr">
        <is>
          <t>kari</t>
        </is>
      </c>
      <c r="H908" s="2" t="inlineStr">
        <is>
          <t>Зиннуров Ильнур</t>
        </is>
      </c>
      <c r="J908" s="3" t="inlineStr">
        <is>
          <t>2026SS</t>
        </is>
      </c>
      <c r="K908" s="3" t="n">
        <v>1628</v>
      </c>
      <c r="L908" s="3" t="n">
        <v>906</v>
      </c>
      <c r="M908" s="3" t="n">
        <v>10</v>
      </c>
      <c r="N908" s="4">
        <f>IFERROR(L908/K908,0)</f>
        <v/>
      </c>
      <c r="O908" s="4">
        <f>IFERROR(M908/L908,0)</f>
        <v/>
      </c>
      <c r="P908" t="n">
        <v>278</v>
      </c>
      <c r="Q908" s="5" t="n">
        <v>1</v>
      </c>
      <c r="R908" s="7" t="n">
        <v>1</v>
      </c>
      <c r="S908">
        <f>IF(OR(N908&lt;$T$1*0.5,O908&lt;$U$1*0.5),"код для проверки","нормальный код")</f>
        <v/>
      </c>
      <c r="T908">
        <f>IF(N908&lt;$T$1*0.5,"Низшая четверть",IF(N908&lt;$T$1,"Вторая четверть","Больше половины"))</f>
        <v/>
      </c>
      <c r="U908">
        <f>IF(O908&lt;$U$1*0.5,"Низшая четверть",IF(O908&lt;$U$1,"Вторая четверть","Больше половины"))</f>
        <v/>
      </c>
      <c r="V908">
        <f>IF(OR(N908&lt;SUMIFS(L:L,R:R,1,E:E,E908)/SUMIFS(K:K,R:R,1,E:E,E908)*0.5,O908&lt;SUMIFS(M:M,R:R,1,E:E,E908)/SUMIFS(L:L,R:R,1,E:E,E908)*0.5),"код для проверки","нормальный код")</f>
        <v/>
      </c>
      <c r="W908">
        <f>IF(N908&lt;SUMIFS(L:L,R:R,1,E:E,E908)/SUMIFS(K:K,R:R,1,E:E,E908)*0.5,"Низшая четверть",IF(N908&lt;SUMIFS(L:L,R:R,1,E:E,E908)/SUMIFS(K:K,R:R,1,E:E,E908),"Вторая четверть","Больше половины"))</f>
        <v/>
      </c>
      <c r="X908">
        <f>IF(O908&lt;SUMIFS(M:M,R:R,1,E:E,E908)/SUMIFS(L:L,R:R,1,E:E,E908)*0.5,"Низшая четверть",IF(O908&lt;SUMIFS(M:M,R:R,1,E:E,E908)/SUMIFS(L:L,R:R,1,E:E,E908),"Вторая четверть","Больше половины"))</f>
        <v/>
      </c>
      <c r="Y908" t="n">
        <v>23</v>
      </c>
    </row>
    <row r="909">
      <c r="A909" s="1" t="inlineStr">
        <is>
          <t>a6000940</t>
        </is>
      </c>
      <c r="B909" s="2" t="inlineStr">
        <is>
          <t>879308873</t>
        </is>
      </c>
      <c r="C909" s="3" t="inlineStr">
        <is>
          <t>Одежда для детей</t>
        </is>
      </c>
      <c r="D909" s="2" t="inlineStr">
        <is>
          <t>Платья, майки, футболки детские для девочек</t>
        </is>
      </c>
      <c r="E909" s="3" t="inlineStr">
        <is>
          <t>a60 Футболка детская для девочек</t>
        </is>
      </c>
      <c r="F909" s="2" t="inlineStr">
        <is>
          <t>всесезонный</t>
        </is>
      </c>
      <c r="G909" s="3" t="inlineStr">
        <is>
          <t>kari</t>
        </is>
      </c>
      <c r="H909" s="2" t="inlineStr">
        <is>
          <t>Зиннуров Ильнур</t>
        </is>
      </c>
      <c r="J909" s="3" t="inlineStr">
        <is>
          <t>2026SS</t>
        </is>
      </c>
      <c r="K909" s="3" t="n">
        <v>1626</v>
      </c>
      <c r="L909" s="3" t="n">
        <v>50</v>
      </c>
      <c r="M909" s="3" t="n">
        <v>3</v>
      </c>
      <c r="N909" s="4">
        <f>IFERROR(L909/K909,0)</f>
        <v/>
      </c>
      <c r="O909" s="4">
        <f>IFERROR(M909/L909,0)</f>
        <v/>
      </c>
      <c r="P909" t="n">
        <v>847</v>
      </c>
      <c r="Q909" s="5" t="n">
        <v>1</v>
      </c>
      <c r="R909" s="7" t="n">
        <v>1</v>
      </c>
      <c r="S909">
        <f>IF(OR(N909&lt;$T$1*0.5,O909&lt;$U$1*0.5),"код для проверки","нормальный код")</f>
        <v/>
      </c>
      <c r="T909">
        <f>IF(N909&lt;$T$1*0.5,"Низшая четверть",IF(N909&lt;$T$1,"Вторая четверть","Больше половины"))</f>
        <v/>
      </c>
      <c r="U909">
        <f>IF(O909&lt;$U$1*0.5,"Низшая четверть",IF(O909&lt;$U$1,"Вторая четверть","Больше половины"))</f>
        <v/>
      </c>
      <c r="V909">
        <f>IF(OR(N909&lt;SUMIFS(L:L,R:R,1,E:E,E909)/SUMIFS(K:K,R:R,1,E:E,E909)*0.5,O909&lt;SUMIFS(M:M,R:R,1,E:E,E909)/SUMIFS(L:L,R:R,1,E:E,E909)*0.5),"код для проверки","нормальный код")</f>
        <v/>
      </c>
      <c r="W909">
        <f>IF(N909&lt;SUMIFS(L:L,R:R,1,E:E,E909)/SUMIFS(K:K,R:R,1,E:E,E909)*0.5,"Низшая четверть",IF(N909&lt;SUMIFS(L:L,R:R,1,E:E,E909)/SUMIFS(K:K,R:R,1,E:E,E909),"Вторая четверть","Больше половины"))</f>
        <v/>
      </c>
      <c r="X909">
        <f>IF(O909&lt;SUMIFS(M:M,R:R,1,E:E,E909)/SUMIFS(L:L,R:R,1,E:E,E909)*0.5,"Низшая четверть",IF(O909&lt;SUMIFS(M:M,R:R,1,E:E,E909)/SUMIFS(L:L,R:R,1,E:E,E909),"Вторая четверть","Больше половины"))</f>
        <v/>
      </c>
      <c r="Y909" t="n">
        <v>9</v>
      </c>
    </row>
    <row r="910">
      <c r="A910" s="1" t="inlineStr">
        <is>
          <t>10900020</t>
        </is>
      </c>
      <c r="B910" s="2" t="inlineStr">
        <is>
          <t>692729256</t>
        </is>
      </c>
      <c r="C910" s="3" t="inlineStr">
        <is>
          <t>Одежда и аксессуары</t>
        </is>
      </c>
      <c r="D910" s="2" t="inlineStr">
        <is>
          <t>Шарфы женские</t>
        </is>
      </c>
      <c r="E910" s="3" t="inlineStr">
        <is>
          <t>109 Палантин женский</t>
        </is>
      </c>
      <c r="F910" s="2" t="inlineStr">
        <is>
          <t>весна, осень, зима</t>
        </is>
      </c>
      <c r="G910" s="3" t="inlineStr">
        <is>
          <t>kari</t>
        </is>
      </c>
      <c r="H910" s="2" t="inlineStr">
        <is>
          <t>Никонорова Алина</t>
        </is>
      </c>
      <c r="J910" s="3" t="inlineStr">
        <is>
          <t>2026SS</t>
        </is>
      </c>
      <c r="K910" s="3" t="n">
        <v>1622</v>
      </c>
      <c r="L910" s="3" t="n">
        <v>1173</v>
      </c>
      <c r="M910" s="3" t="n">
        <v>3</v>
      </c>
      <c r="N910" s="4">
        <f>IFERROR(L910/K910,0)</f>
        <v/>
      </c>
      <c r="O910" s="4">
        <f>IFERROR(M910/L910,0)</f>
        <v/>
      </c>
      <c r="P910" t="n">
        <v>31</v>
      </c>
      <c r="Q910" s="5" t="n">
        <v>1</v>
      </c>
      <c r="R910" s="7" t="n">
        <v>1</v>
      </c>
      <c r="S910">
        <f>IF(OR(N910&lt;$T$1*0.5,O910&lt;$U$1*0.5),"код для проверки","нормальный код")</f>
        <v/>
      </c>
      <c r="T910">
        <f>IF(N910&lt;$T$1*0.5,"Низшая четверть",IF(N910&lt;$T$1,"Вторая четверть","Больше половины"))</f>
        <v/>
      </c>
      <c r="U910">
        <f>IF(O910&lt;$U$1*0.5,"Низшая четверть",IF(O910&lt;$U$1,"Вторая четверть","Больше половины"))</f>
        <v/>
      </c>
      <c r="V910">
        <f>IF(OR(N910&lt;SUMIFS(L:L,R:R,1,E:E,E910)/SUMIFS(K:K,R:R,1,E:E,E910)*0.5,O910&lt;SUMIFS(M:M,R:R,1,E:E,E910)/SUMIFS(L:L,R:R,1,E:E,E910)*0.5),"код для проверки","нормальный код")</f>
        <v/>
      </c>
      <c r="W910">
        <f>IF(N910&lt;SUMIFS(L:L,R:R,1,E:E,E910)/SUMIFS(K:K,R:R,1,E:E,E910)*0.5,"Низшая четверть",IF(N910&lt;SUMIFS(L:L,R:R,1,E:E,E910)/SUMIFS(K:K,R:R,1,E:E,E910),"Вторая четверть","Больше половины"))</f>
        <v/>
      </c>
      <c r="X910">
        <f>IF(O910&lt;SUMIFS(M:M,R:R,1,E:E,E910)/SUMIFS(L:L,R:R,1,E:E,E910)*0.5,"Низшая четверть",IF(O910&lt;SUMIFS(M:M,R:R,1,E:E,E910)/SUMIFS(L:L,R:R,1,E:E,E910),"Вторая четверть","Больше половины"))</f>
        <v/>
      </c>
      <c r="Y910" t="n">
        <v>9</v>
      </c>
    </row>
    <row r="911">
      <c r="A911" s="1" t="inlineStr">
        <is>
          <t>20100180</t>
        </is>
      </c>
      <c r="B911" s="2" t="inlineStr">
        <is>
          <t>371244521</t>
        </is>
      </c>
      <c r="C911" s="3" t="inlineStr">
        <is>
          <t>Одежда для детей</t>
        </is>
      </c>
      <c r="D911" s="2" t="inlineStr">
        <is>
          <t>Головные детские уборы для девочек</t>
        </is>
      </c>
      <c r="E911" s="3" t="inlineStr">
        <is>
          <t>201 Бейсболка детская для девочек</t>
        </is>
      </c>
      <c r="F911" s="2" t="inlineStr">
        <is>
          <t>весна, лето</t>
        </is>
      </c>
      <c r="G911" s="3" t="inlineStr">
        <is>
          <t>kari</t>
        </is>
      </c>
      <c r="H911" s="2" t="inlineStr">
        <is>
          <t>Никонорова Алина</t>
        </is>
      </c>
      <c r="J911" s="3" t="inlineStr">
        <is>
          <t>2026SS</t>
        </is>
      </c>
      <c r="K911" s="3" t="n">
        <v>1610</v>
      </c>
      <c r="L911" s="3" t="n">
        <v>192</v>
      </c>
      <c r="M911" s="3" t="n">
        <v>8</v>
      </c>
      <c r="N911" s="4">
        <f>IFERROR(L911/K911,0)</f>
        <v/>
      </c>
      <c r="O911" s="4">
        <f>IFERROR(M911/L911,0)</f>
        <v/>
      </c>
      <c r="P911" t="n">
        <v>0</v>
      </c>
      <c r="Q911" s="5" t="n">
        <v>0</v>
      </c>
      <c r="R911" s="7" t="n">
        <v>0</v>
      </c>
      <c r="S911" t="inlineStr">
        <is>
          <t>Мало остатка</t>
        </is>
      </c>
      <c r="T911">
        <f>IF(N911&lt;$T$1*0.5,"Низшая четверть",IF(N911&lt;$T$1,"Вторая четверть","Больше половины"))</f>
        <v/>
      </c>
      <c r="U911">
        <f>IF(O911&lt;$U$1*0.5,"Низшая четверть",IF(O911&lt;$U$1,"Вторая четверть","Больше половины"))</f>
        <v/>
      </c>
      <c r="V911">
        <f>IF(OR(N911&lt;SUMIFS(L:L,R:R,1,E:E,E911)/SUMIFS(K:K,R:R,1,E:E,E911)*0.5,O911&lt;SUMIFS(M:M,R:R,1,E:E,E911)/SUMIFS(L:L,R:R,1,E:E,E911)*0.5),"код для проверки","нормальный код")</f>
        <v/>
      </c>
      <c r="W911">
        <f>IF(N911&lt;SUMIFS(L:L,R:R,1,E:E,E911)/SUMIFS(K:K,R:R,1,E:E,E911)*0.5,"Низшая четверть",IF(N911&lt;SUMIFS(L:L,R:R,1,E:E,E911)/SUMIFS(K:K,R:R,1,E:E,E911),"Вторая четверть","Больше половины"))</f>
        <v/>
      </c>
      <c r="X911">
        <f>IF(O911&lt;SUMIFS(M:M,R:R,1,E:E,E911)/SUMIFS(L:L,R:R,1,E:E,E911)*0.5,"Низшая четверть",IF(O911&lt;SUMIFS(M:M,R:R,1,E:E,E911)/SUMIFS(L:L,R:R,1,E:E,E911),"Вторая четверть","Больше половины"))</f>
        <v/>
      </c>
      <c r="Y911" t="n">
        <v>8</v>
      </c>
    </row>
    <row r="912">
      <c r="A912" s="1" t="inlineStr">
        <is>
          <t>h1300000</t>
        </is>
      </c>
      <c r="B912" s="2" t="inlineStr">
        <is>
          <t>732579233</t>
        </is>
      </c>
      <c r="C912" s="3" t="inlineStr">
        <is>
          <t>Одежда и аксессуары</t>
        </is>
      </c>
      <c r="D912" s="2" t="inlineStr">
        <is>
          <t>Брюки, шорты женские</t>
        </is>
      </c>
      <c r="E912" s="3" t="inlineStr">
        <is>
          <t>h13 Шорты женские</t>
        </is>
      </c>
      <c r="F912" s="2" t="inlineStr">
        <is>
          <t>весна, лето</t>
        </is>
      </c>
      <c r="G912" s="3" t="inlineStr">
        <is>
          <t>kari</t>
        </is>
      </c>
      <c r="H912" s="2" t="inlineStr">
        <is>
          <t>Зиннуров Ильнур</t>
        </is>
      </c>
      <c r="J912" s="3" t="inlineStr">
        <is>
          <t>2026SS</t>
        </is>
      </c>
      <c r="K912" s="3" t="n">
        <v>1607</v>
      </c>
      <c r="L912" s="3" t="n">
        <v>76</v>
      </c>
      <c r="M912" s="3" t="n">
        <v>2</v>
      </c>
      <c r="N912" s="4">
        <f>IFERROR(L912/K912,0)</f>
        <v/>
      </c>
      <c r="O912" s="4">
        <f>IFERROR(M912/L912,0)</f>
        <v/>
      </c>
      <c r="P912" t="n">
        <v>597</v>
      </c>
      <c r="Q912" s="5" t="n">
        <v>1</v>
      </c>
      <c r="R912" s="7" t="n">
        <v>1</v>
      </c>
      <c r="S912">
        <f>IF(OR(N912&lt;$T$1*0.5,O912&lt;$U$1*0.5),"код для проверки","нормальный код")</f>
        <v/>
      </c>
      <c r="T912">
        <f>IF(N912&lt;$T$1*0.5,"Низшая четверть",IF(N912&lt;$T$1,"Вторая четверть","Больше половины"))</f>
        <v/>
      </c>
      <c r="U912">
        <f>IF(O912&lt;$U$1*0.5,"Низшая четверть",IF(O912&lt;$U$1,"Вторая четверть","Больше половины"))</f>
        <v/>
      </c>
      <c r="V912">
        <f>IF(OR(N912&lt;SUMIFS(L:L,R:R,1,E:E,E912)/SUMIFS(K:K,R:R,1,E:E,E912)*0.5,O912&lt;SUMIFS(M:M,R:R,1,E:E,E912)/SUMIFS(L:L,R:R,1,E:E,E912)*0.5),"код для проверки","нормальный код")</f>
        <v/>
      </c>
      <c r="W912">
        <f>IF(N912&lt;SUMIFS(L:L,R:R,1,E:E,E912)/SUMIFS(K:K,R:R,1,E:E,E912)*0.5,"Низшая четверть",IF(N912&lt;SUMIFS(L:L,R:R,1,E:E,E912)/SUMIFS(K:K,R:R,1,E:E,E912),"Вторая четверть","Больше половины"))</f>
        <v/>
      </c>
      <c r="X912">
        <f>IF(O912&lt;SUMIFS(M:M,R:R,1,E:E,E912)/SUMIFS(L:L,R:R,1,E:E,E912)*0.5,"Низшая четверть",IF(O912&lt;SUMIFS(M:M,R:R,1,E:E,E912)/SUMIFS(L:L,R:R,1,E:E,E912),"Вторая четверть","Больше половины"))</f>
        <v/>
      </c>
      <c r="Y912" t="n">
        <v>28</v>
      </c>
    </row>
    <row r="913">
      <c r="A913" s="1" t="inlineStr">
        <is>
          <t>h1000280</t>
        </is>
      </c>
      <c r="B913" s="2" t="inlineStr">
        <is>
          <t>879308737</t>
        </is>
      </c>
      <c r="C913" s="3" t="inlineStr">
        <is>
          <t>Одежда и аксессуары</t>
        </is>
      </c>
      <c r="D913" s="2" t="inlineStr">
        <is>
          <t>Футболки, рубашки мужские</t>
        </is>
      </c>
      <c r="E913" s="3" t="inlineStr">
        <is>
          <t>h10 Футболка мужская</t>
        </is>
      </c>
      <c r="F913" s="2" t="inlineStr">
        <is>
          <t>всесезонный</t>
        </is>
      </c>
      <c r="G913" s="3" t="inlineStr">
        <is>
          <t>kari</t>
        </is>
      </c>
      <c r="H913" s="2" t="inlineStr">
        <is>
          <t>Зиннуров Ильнур</t>
        </is>
      </c>
      <c r="J913" s="3" t="inlineStr">
        <is>
          <t>2026SS</t>
        </is>
      </c>
      <c r="K913" s="3" t="n">
        <v>1606</v>
      </c>
      <c r="L913" s="3" t="n">
        <v>69</v>
      </c>
      <c r="M913" s="3" t="n">
        <v>0</v>
      </c>
      <c r="N913" s="4">
        <f>IFERROR(L913/K913,0)</f>
        <v/>
      </c>
      <c r="O913" s="4">
        <f>IFERROR(M913/L913,0)</f>
        <v/>
      </c>
      <c r="P913" t="n">
        <v>449</v>
      </c>
      <c r="Q913" s="5" t="n">
        <v>1</v>
      </c>
      <c r="R913" s="7" t="n">
        <v>1</v>
      </c>
      <c r="S913">
        <f>IF(OR(N913&lt;$T$1*0.5,O913&lt;$U$1*0.5),"код для проверки","нормальный код")</f>
        <v/>
      </c>
      <c r="T913">
        <f>IF(N913&lt;$T$1*0.5,"Низшая четверть",IF(N913&lt;$T$1,"Вторая четверть","Больше половины"))</f>
        <v/>
      </c>
      <c r="U913">
        <f>IF(O913&lt;$U$1*0.5,"Низшая четверть",IF(O913&lt;$U$1,"Вторая четверть","Больше половины"))</f>
        <v/>
      </c>
      <c r="V913">
        <f>IF(OR(N913&lt;SUMIFS(L:L,R:R,1,E:E,E913)/SUMIFS(K:K,R:R,1,E:E,E913)*0.5,O913&lt;SUMIFS(M:M,R:R,1,E:E,E913)/SUMIFS(L:L,R:R,1,E:E,E913)*0.5),"код для проверки","нормальный код")</f>
        <v/>
      </c>
      <c r="W913">
        <f>IF(N913&lt;SUMIFS(L:L,R:R,1,E:E,E913)/SUMIFS(K:K,R:R,1,E:E,E913)*0.5,"Низшая четверть",IF(N913&lt;SUMIFS(L:L,R:R,1,E:E,E913)/SUMIFS(K:K,R:R,1,E:E,E913),"Вторая четверть","Больше половины"))</f>
        <v/>
      </c>
      <c r="X913">
        <f>IF(O913&lt;SUMIFS(M:M,R:R,1,E:E,E913)/SUMIFS(L:L,R:R,1,E:E,E913)*0.5,"Низшая четверть",IF(O913&lt;SUMIFS(M:M,R:R,1,E:E,E913)/SUMIFS(L:L,R:R,1,E:E,E913),"Вторая четверть","Больше половины"))</f>
        <v/>
      </c>
      <c r="Y913" t="n">
        <v>12</v>
      </c>
    </row>
    <row r="914">
      <c r="A914" s="1" t="inlineStr">
        <is>
          <t>30900050</t>
        </is>
      </c>
      <c r="B914" s="2" t="inlineStr">
        <is>
          <t>732910136</t>
        </is>
      </c>
      <c r="C914" s="3" t="inlineStr">
        <is>
          <t>Одежда и аксессуары</t>
        </is>
      </c>
      <c r="D914" s="2" t="inlineStr">
        <is>
          <t>Брюки, шорты женские</t>
        </is>
      </c>
      <c r="E914" s="3" t="inlineStr">
        <is>
          <t>h81 Брюки летние женские</t>
        </is>
      </c>
      <c r="F914" s="2" t="inlineStr">
        <is>
          <t>лето</t>
        </is>
      </c>
      <c r="G914" s="3" t="inlineStr">
        <is>
          <t>kari</t>
        </is>
      </c>
      <c r="H914" s="2" t="n"/>
      <c r="J914" s="3" t="inlineStr">
        <is>
          <t>2026SS</t>
        </is>
      </c>
      <c r="K914" s="3" t="n">
        <v>1598</v>
      </c>
      <c r="L914" s="3" t="n">
        <v>186</v>
      </c>
      <c r="M914" s="3" t="n">
        <v>0</v>
      </c>
      <c r="N914" s="4">
        <f>IFERROR(L914/K914,0)</f>
        <v/>
      </c>
      <c r="O914" s="4">
        <f>IFERROR(M914/L914,0)</f>
        <v/>
      </c>
      <c r="P914" t="n">
        <v>299</v>
      </c>
      <c r="Q914" s="5" t="n">
        <v>1</v>
      </c>
      <c r="R914" s="7" t="n">
        <v>1</v>
      </c>
      <c r="S914">
        <f>IF(OR(N914&lt;$T$1*0.5,O914&lt;$U$1*0.5),"код для проверки","нормальный код")</f>
        <v/>
      </c>
      <c r="T914">
        <f>IF(N914&lt;$T$1*0.5,"Низшая четверть",IF(N914&lt;$T$1,"Вторая четверть","Больше половины"))</f>
        <v/>
      </c>
      <c r="U914">
        <f>IF(O914&lt;$U$1*0.5,"Низшая четверть",IF(O914&lt;$U$1,"Вторая четверть","Больше половины"))</f>
        <v/>
      </c>
      <c r="V914">
        <f>IF(OR(N914&lt;SUMIFS(L:L,R:R,1,E:E,E914)/SUMIFS(K:K,R:R,1,E:E,E914)*0.5,O914&lt;SUMIFS(M:M,R:R,1,E:E,E914)/SUMIFS(L:L,R:R,1,E:E,E914)*0.5),"код для проверки","нормальный код")</f>
        <v/>
      </c>
      <c r="W914">
        <f>IF(N914&lt;SUMIFS(L:L,R:R,1,E:E,E914)/SUMIFS(K:K,R:R,1,E:E,E914)*0.5,"Низшая четверть",IF(N914&lt;SUMIFS(L:L,R:R,1,E:E,E914)/SUMIFS(K:K,R:R,1,E:E,E914),"Вторая четверть","Больше половины"))</f>
        <v/>
      </c>
      <c r="X914">
        <f>IF(O914&lt;SUMIFS(M:M,R:R,1,E:E,E914)/SUMIFS(L:L,R:R,1,E:E,E914)*0.5,"Низшая четверть",IF(O914&lt;SUMIFS(M:M,R:R,1,E:E,E914)/SUMIFS(L:L,R:R,1,E:E,E914),"Вторая четверть","Больше половины"))</f>
        <v/>
      </c>
      <c r="Y914" t="n">
        <v>24</v>
      </c>
    </row>
    <row r="915">
      <c r="A915" s="1" t="inlineStr">
        <is>
          <t>23100050</t>
        </is>
      </c>
      <c r="B915" s="2" t="inlineStr">
        <is>
          <t>722494491</t>
        </is>
      </c>
      <c r="C915" s="3" t="inlineStr">
        <is>
          <t>Одежда для детей</t>
        </is>
      </c>
      <c r="D915" s="2" t="inlineStr">
        <is>
          <t>Нижнее белье детское для девочек</t>
        </is>
      </c>
      <c r="E915" s="3" t="inlineStr">
        <is>
          <t>231 Пижама детская для девочек</t>
        </is>
      </c>
      <c r="F915" s="2" t="inlineStr">
        <is>
          <t>всесезонный</t>
        </is>
      </c>
      <c r="G915" s="3" t="inlineStr">
        <is>
          <t>Kari KIDS</t>
        </is>
      </c>
      <c r="H915" s="2" t="inlineStr">
        <is>
          <t>Зиннуров Ильнур</t>
        </is>
      </c>
      <c r="J915" s="3" t="inlineStr">
        <is>
          <t>2026SS</t>
        </is>
      </c>
      <c r="K915" s="3" t="n">
        <v>1584</v>
      </c>
      <c r="L915" s="3" t="n">
        <v>254</v>
      </c>
      <c r="M915" s="3" t="n">
        <v>1</v>
      </c>
      <c r="N915" s="4">
        <f>IFERROR(L915/K915,0)</f>
        <v/>
      </c>
      <c r="O915" s="4">
        <f>IFERROR(M915/L915,0)</f>
        <v/>
      </c>
      <c r="P915" t="n">
        <v>455</v>
      </c>
      <c r="Q915" s="5" t="n">
        <v>1</v>
      </c>
      <c r="R915" s="7" t="n">
        <v>1</v>
      </c>
      <c r="S915">
        <f>IF(OR(N915&lt;$T$1*0.5,O915&lt;$U$1*0.5),"код для проверки","нормальный код")</f>
        <v/>
      </c>
      <c r="T915">
        <f>IF(N915&lt;$T$1*0.5,"Низшая четверть",IF(N915&lt;$T$1,"Вторая четверть","Больше половины"))</f>
        <v/>
      </c>
      <c r="U915">
        <f>IF(O915&lt;$U$1*0.5,"Низшая четверть",IF(O915&lt;$U$1,"Вторая четверть","Больше половины"))</f>
        <v/>
      </c>
      <c r="V915">
        <f>IF(OR(N915&lt;SUMIFS(L:L,R:R,1,E:E,E915)/SUMIFS(K:K,R:R,1,E:E,E915)*0.5,O915&lt;SUMIFS(M:M,R:R,1,E:E,E915)/SUMIFS(L:L,R:R,1,E:E,E915)*0.5),"код для проверки","нормальный код")</f>
        <v/>
      </c>
      <c r="W915">
        <f>IF(N915&lt;SUMIFS(L:L,R:R,1,E:E,E915)/SUMIFS(K:K,R:R,1,E:E,E915)*0.5,"Низшая четверть",IF(N915&lt;SUMIFS(L:L,R:R,1,E:E,E915)/SUMIFS(K:K,R:R,1,E:E,E915),"Вторая четверть","Больше половины"))</f>
        <v/>
      </c>
      <c r="X915">
        <f>IF(O915&lt;SUMIFS(M:M,R:R,1,E:E,E915)/SUMIFS(L:L,R:R,1,E:E,E915)*0.5,"Низшая четверть",IF(O915&lt;SUMIFS(M:M,R:R,1,E:E,E915)/SUMIFS(L:L,R:R,1,E:E,E915),"Вторая четверть","Больше половины"))</f>
        <v/>
      </c>
      <c r="Y915" t="n">
        <v>28</v>
      </c>
    </row>
    <row r="916">
      <c r="A916" s="1" t="inlineStr">
        <is>
          <t>19800030</t>
        </is>
      </c>
      <c r="B916" s="2" t="inlineStr">
        <is>
          <t>701479516</t>
        </is>
      </c>
      <c r="C916" s="3" t="inlineStr">
        <is>
          <t>Одежда и аксессуары</t>
        </is>
      </c>
      <c r="D916" s="2" t="inlineStr">
        <is>
          <t>Майки и платья женские</t>
        </is>
      </c>
      <c r="E916" s="3" t="inlineStr">
        <is>
          <t>198 Топ женский</t>
        </is>
      </c>
      <c r="F916" s="2" t="inlineStr">
        <is>
          <t>лето</t>
        </is>
      </c>
      <c r="G916" s="3" t="inlineStr">
        <is>
          <t>kari</t>
        </is>
      </c>
      <c r="H916" s="2" t="inlineStr">
        <is>
          <t>Зиннуров Ильнур</t>
        </is>
      </c>
      <c r="J916" s="3" t="inlineStr">
        <is>
          <t>2026SS</t>
        </is>
      </c>
      <c r="K916" s="3" t="n">
        <v>1583</v>
      </c>
      <c r="L916" s="3" t="n">
        <v>70</v>
      </c>
      <c r="M916" s="3" t="n">
        <v>0</v>
      </c>
      <c r="N916" s="4">
        <f>IFERROR(L916/K916,0)</f>
        <v/>
      </c>
      <c r="O916" s="4">
        <f>IFERROR(M916/L916,0)</f>
        <v/>
      </c>
      <c r="P916" t="n">
        <v>234</v>
      </c>
      <c r="Q916" s="5" t="n">
        <v>0.75</v>
      </c>
      <c r="R916" s="7" t="n">
        <v>1</v>
      </c>
      <c r="S916">
        <f>IF(OR(N916&lt;$T$1*0.5,O916&lt;$U$1*0.5),"код для проверки","нормальный код")</f>
        <v/>
      </c>
      <c r="T916">
        <f>IF(N916&lt;$T$1*0.5,"Низшая четверть",IF(N916&lt;$T$1,"Вторая четверть","Больше половины"))</f>
        <v/>
      </c>
      <c r="U916">
        <f>IF(O916&lt;$U$1*0.5,"Низшая четверть",IF(O916&lt;$U$1,"Вторая четверть","Больше половины"))</f>
        <v/>
      </c>
      <c r="V916">
        <f>IF(OR(N916&lt;SUMIFS(L:L,R:R,1,E:E,E916)/SUMIFS(K:K,R:R,1,E:E,E916)*0.5,O916&lt;SUMIFS(M:M,R:R,1,E:E,E916)/SUMIFS(L:L,R:R,1,E:E,E916)*0.5),"код для проверки","нормальный код")</f>
        <v/>
      </c>
      <c r="W916">
        <f>IF(N916&lt;SUMIFS(L:L,R:R,1,E:E,E916)/SUMIFS(K:K,R:R,1,E:E,E916)*0.5,"Низшая четверть",IF(N916&lt;SUMIFS(L:L,R:R,1,E:E,E916)/SUMIFS(K:K,R:R,1,E:E,E916),"Вторая четверть","Больше половины"))</f>
        <v/>
      </c>
      <c r="X916">
        <f>IF(O916&lt;SUMIFS(M:M,R:R,1,E:E,E916)/SUMIFS(L:L,R:R,1,E:E,E916)*0.5,"Низшая четверть",IF(O916&lt;SUMIFS(M:M,R:R,1,E:E,E916)/SUMIFS(L:L,R:R,1,E:E,E916),"Вторая четверть","Больше половины"))</f>
        <v/>
      </c>
      <c r="Y916" t="n">
        <v>26</v>
      </c>
    </row>
    <row r="917">
      <c r="A917" s="1" t="inlineStr">
        <is>
          <t>30900070</t>
        </is>
      </c>
      <c r="B917" s="2" t="inlineStr">
        <is>
          <t>732910124</t>
        </is>
      </c>
      <c r="C917" s="3" t="inlineStr">
        <is>
          <t>Одежда и аксессуары</t>
        </is>
      </c>
      <c r="D917" s="2" t="inlineStr">
        <is>
          <t>Брюки, шорты женские</t>
        </is>
      </c>
      <c r="E917" s="3" t="inlineStr">
        <is>
          <t>h81 Брюки летние женские</t>
        </is>
      </c>
      <c r="F917" s="2" t="inlineStr">
        <is>
          <t>лето</t>
        </is>
      </c>
      <c r="G917" s="3" t="inlineStr">
        <is>
          <t>kari</t>
        </is>
      </c>
      <c r="H917" s="2" t="n"/>
      <c r="J917" s="3" t="inlineStr">
        <is>
          <t>2026SS</t>
        </is>
      </c>
      <c r="K917" s="3" t="n">
        <v>1574</v>
      </c>
      <c r="L917" s="3" t="n">
        <v>193</v>
      </c>
      <c r="M917" s="3" t="n">
        <v>1</v>
      </c>
      <c r="N917" s="4">
        <f>IFERROR(L917/K917,0)</f>
        <v/>
      </c>
      <c r="O917" s="4">
        <f>IFERROR(M917/L917,0)</f>
        <v/>
      </c>
      <c r="P917" t="n">
        <v>377</v>
      </c>
      <c r="Q917" s="5" t="n">
        <v>1</v>
      </c>
      <c r="R917" s="7" t="n">
        <v>1</v>
      </c>
      <c r="S917">
        <f>IF(OR(N917&lt;$T$1*0.5,O917&lt;$U$1*0.5),"код для проверки","нормальный код")</f>
        <v/>
      </c>
      <c r="T917">
        <f>IF(N917&lt;$T$1*0.5,"Низшая четверть",IF(N917&lt;$T$1,"Вторая четверть","Больше половины"))</f>
        <v/>
      </c>
      <c r="U917">
        <f>IF(O917&lt;$U$1*0.5,"Низшая четверть",IF(O917&lt;$U$1,"Вторая четверть","Больше половины"))</f>
        <v/>
      </c>
      <c r="V917">
        <f>IF(OR(N917&lt;SUMIFS(L:L,R:R,1,E:E,E917)/SUMIFS(K:K,R:R,1,E:E,E917)*0.5,O917&lt;SUMIFS(M:M,R:R,1,E:E,E917)/SUMIFS(L:L,R:R,1,E:E,E917)*0.5),"код для проверки","нормальный код")</f>
        <v/>
      </c>
      <c r="W917">
        <f>IF(N917&lt;SUMIFS(L:L,R:R,1,E:E,E917)/SUMIFS(K:K,R:R,1,E:E,E917)*0.5,"Низшая четверть",IF(N917&lt;SUMIFS(L:L,R:R,1,E:E,E917)/SUMIFS(K:K,R:R,1,E:E,E917),"Вторая четверть","Больше половины"))</f>
        <v/>
      </c>
      <c r="X917">
        <f>IF(O917&lt;SUMIFS(M:M,R:R,1,E:E,E917)/SUMIFS(L:L,R:R,1,E:E,E917)*0.5,"Низшая четверть",IF(O917&lt;SUMIFS(M:M,R:R,1,E:E,E917)/SUMIFS(L:L,R:R,1,E:E,E917),"Вторая четверть","Больше половины"))</f>
        <v/>
      </c>
      <c r="Y917" t="n">
        <v>25</v>
      </c>
    </row>
    <row r="918">
      <c r="A918" s="1" t="inlineStr">
        <is>
          <t>17900100</t>
        </is>
      </c>
      <c r="B918" s="2" t="inlineStr">
        <is>
          <t>929518526</t>
        </is>
      </c>
      <c r="C918" s="3" t="inlineStr">
        <is>
          <t>Одежда и аксессуары</t>
        </is>
      </c>
      <c r="D918" s="2" t="inlineStr">
        <is>
          <t>Джинсы женские</t>
        </is>
      </c>
      <c r="E918" s="3" t="inlineStr">
        <is>
          <t>179 Джинсы женские</t>
        </is>
      </c>
      <c r="F918" s="2" t="inlineStr">
        <is>
          <t>всесезонный</t>
        </is>
      </c>
      <c r="G918" s="3" t="inlineStr">
        <is>
          <t>kari</t>
        </is>
      </c>
      <c r="H918" s="2" t="inlineStr">
        <is>
          <t>Зиннуров Ильнур</t>
        </is>
      </c>
      <c r="J918" s="3" t="inlineStr">
        <is>
          <t>2026SS</t>
        </is>
      </c>
      <c r="K918" s="3" t="n">
        <v>1564</v>
      </c>
      <c r="L918" s="3" t="n">
        <v>55</v>
      </c>
      <c r="M918" s="3" t="n">
        <v>1</v>
      </c>
      <c r="N918" s="4">
        <f>IFERROR(L918/K918,0)</f>
        <v/>
      </c>
      <c r="O918" s="4">
        <f>IFERROR(M918/L918,0)</f>
        <v/>
      </c>
      <c r="P918" t="n">
        <v>459</v>
      </c>
      <c r="Q918" s="5" t="n">
        <v>1</v>
      </c>
      <c r="R918" s="7" t="n">
        <v>1</v>
      </c>
      <c r="S918">
        <f>IF(OR(N918&lt;$T$1*0.5,O918&lt;$U$1*0.5),"код для проверки","нормальный код")</f>
        <v/>
      </c>
      <c r="T918">
        <f>IF(N918&lt;$T$1*0.5,"Низшая четверть",IF(N918&lt;$T$1,"Вторая четверть","Больше половины"))</f>
        <v/>
      </c>
      <c r="U918">
        <f>IF(O918&lt;$U$1*0.5,"Низшая четверть",IF(O918&lt;$U$1,"Вторая четверть","Больше половины"))</f>
        <v/>
      </c>
      <c r="V918">
        <f>IF(OR(N918&lt;SUMIFS(L:L,R:R,1,E:E,E918)/SUMIFS(K:K,R:R,1,E:E,E918)*0.5,O918&lt;SUMIFS(M:M,R:R,1,E:E,E918)/SUMIFS(L:L,R:R,1,E:E,E918)*0.5),"код для проверки","нормальный код")</f>
        <v/>
      </c>
      <c r="W918">
        <f>IF(N918&lt;SUMIFS(L:L,R:R,1,E:E,E918)/SUMIFS(K:K,R:R,1,E:E,E918)*0.5,"Низшая четверть",IF(N918&lt;SUMIFS(L:L,R:R,1,E:E,E918)/SUMIFS(K:K,R:R,1,E:E,E918),"Вторая четверть","Больше половины"))</f>
        <v/>
      </c>
      <c r="X918">
        <f>IF(O918&lt;SUMIFS(M:M,R:R,1,E:E,E918)/SUMIFS(L:L,R:R,1,E:E,E918)*0.5,"Низшая четверть",IF(O918&lt;SUMIFS(M:M,R:R,1,E:E,E918)/SUMIFS(L:L,R:R,1,E:E,E918),"Вторая четверть","Больше половины"))</f>
        <v/>
      </c>
      <c r="Y918" t="n">
        <v>23</v>
      </c>
    </row>
    <row r="919">
      <c r="A919" s="1" t="inlineStr">
        <is>
          <t>96200070</t>
        </is>
      </c>
      <c r="B919" s="2" t="inlineStr">
        <is>
          <t>915625071</t>
        </is>
      </c>
      <c r="C919" s="3" t="inlineStr">
        <is>
          <t>Одежда для детей</t>
        </is>
      </c>
      <c r="D919" s="2" t="inlineStr">
        <is>
          <t>Одежда для новорожденных</t>
        </is>
      </c>
      <c r="E919" s="3" t="inlineStr">
        <is>
          <t>962 Комплект летней одежды для маленького мальчика</t>
        </is>
      </c>
      <c r="F919" s="2" t="inlineStr">
        <is>
          <t>весна, лето</t>
        </is>
      </c>
      <c r="G919" s="3" t="inlineStr">
        <is>
          <t>Kari baby</t>
        </is>
      </c>
      <c r="H919" s="2" t="inlineStr">
        <is>
          <t>Зиннуров Ильнур</t>
        </is>
      </c>
      <c r="J919" s="3" t="inlineStr">
        <is>
          <t>2026SS</t>
        </is>
      </c>
      <c r="K919" s="3" t="n">
        <v>1563</v>
      </c>
      <c r="L919" s="3" t="n">
        <v>31</v>
      </c>
      <c r="M919" s="3" t="n">
        <v>1</v>
      </c>
      <c r="N919" s="4">
        <f>IFERROR(L919/K919,0)</f>
        <v/>
      </c>
      <c r="O919" s="4">
        <f>IFERROR(M919/L919,0)</f>
        <v/>
      </c>
      <c r="P919" t="n">
        <v>557</v>
      </c>
      <c r="Q919" s="5" t="n">
        <v>1</v>
      </c>
      <c r="R919" s="7" t="n">
        <v>1</v>
      </c>
      <c r="S919">
        <f>IF(OR(N919&lt;$T$1*0.5,O919&lt;$U$1*0.5),"код для проверки","нормальный код")</f>
        <v/>
      </c>
      <c r="T919">
        <f>IF(N919&lt;$T$1*0.5,"Низшая четверть",IF(N919&lt;$T$1,"Вторая четверть","Больше половины"))</f>
        <v/>
      </c>
      <c r="U919">
        <f>IF(O919&lt;$U$1*0.5,"Низшая четверть",IF(O919&lt;$U$1,"Вторая четверть","Больше половины"))</f>
        <v/>
      </c>
      <c r="V919">
        <f>IF(OR(N919&lt;SUMIFS(L:L,R:R,1,E:E,E919)/SUMIFS(K:K,R:R,1,E:E,E919)*0.5,O919&lt;SUMIFS(M:M,R:R,1,E:E,E919)/SUMIFS(L:L,R:R,1,E:E,E919)*0.5),"код для проверки","нормальный код")</f>
        <v/>
      </c>
      <c r="W919">
        <f>IF(N919&lt;SUMIFS(L:L,R:R,1,E:E,E919)/SUMIFS(K:K,R:R,1,E:E,E919)*0.5,"Низшая четверть",IF(N919&lt;SUMIFS(L:L,R:R,1,E:E,E919)/SUMIFS(K:K,R:R,1,E:E,E919),"Вторая четверть","Больше половины"))</f>
        <v/>
      </c>
      <c r="X919">
        <f>IF(O919&lt;SUMIFS(M:M,R:R,1,E:E,E919)/SUMIFS(L:L,R:R,1,E:E,E919)*0.5,"Низшая четверть",IF(O919&lt;SUMIFS(M:M,R:R,1,E:E,E919)/SUMIFS(L:L,R:R,1,E:E,E919),"Вторая четверть","Больше половины"))</f>
        <v/>
      </c>
      <c r="Y919" t="n">
        <v>16</v>
      </c>
    </row>
    <row r="920">
      <c r="A920" s="1" t="inlineStr">
        <is>
          <t>94600120</t>
        </is>
      </c>
      <c r="B920" s="2" t="inlineStr">
        <is>
          <t>925974809</t>
        </is>
      </c>
      <c r="C920" s="3" t="inlineStr">
        <is>
          <t>Одежда для детей</t>
        </is>
      </c>
      <c r="D920" s="2" t="inlineStr">
        <is>
          <t>Одежда для новорожденных</t>
        </is>
      </c>
      <c r="E920" s="3" t="inlineStr">
        <is>
          <t>946 Ромпер для мальчика</t>
        </is>
      </c>
      <c r="F920" s="2" t="inlineStr">
        <is>
          <t>лето</t>
        </is>
      </c>
      <c r="G920" s="3" t="inlineStr">
        <is>
          <t>Kari baby</t>
        </is>
      </c>
      <c r="H920" s="2" t="inlineStr">
        <is>
          <t>Зиннуров Ильнур</t>
        </is>
      </c>
      <c r="J920" s="3" t="inlineStr">
        <is>
          <t>2026SS</t>
        </is>
      </c>
      <c r="K920" s="3" t="n">
        <v>1561</v>
      </c>
      <c r="L920" s="3" t="n">
        <v>383</v>
      </c>
      <c r="M920" s="3" t="n">
        <v>3</v>
      </c>
      <c r="N920" s="4">
        <f>IFERROR(L920/K920,0)</f>
        <v/>
      </c>
      <c r="O920" s="4">
        <f>IFERROR(M920/L920,0)</f>
        <v/>
      </c>
      <c r="P920" t="n">
        <v>448</v>
      </c>
      <c r="Q920" s="5" t="n">
        <v>1</v>
      </c>
      <c r="R920" s="7" t="n">
        <v>1</v>
      </c>
      <c r="S920">
        <f>IF(OR(N920&lt;$T$1*0.5,O920&lt;$U$1*0.5),"код для проверки","нормальный код")</f>
        <v/>
      </c>
      <c r="T920">
        <f>IF(N920&lt;$T$1*0.5,"Низшая четверть",IF(N920&lt;$T$1,"Вторая четверть","Больше половины"))</f>
        <v/>
      </c>
      <c r="U920">
        <f>IF(O920&lt;$U$1*0.5,"Низшая четверть",IF(O920&lt;$U$1,"Вторая четверть","Больше половины"))</f>
        <v/>
      </c>
      <c r="V920">
        <f>IF(OR(N920&lt;SUMIFS(L:L,R:R,1,E:E,E920)/SUMIFS(K:K,R:R,1,E:E,E920)*0.5,O920&lt;SUMIFS(M:M,R:R,1,E:E,E920)/SUMIFS(L:L,R:R,1,E:E,E920)*0.5),"код для проверки","нормальный код")</f>
        <v/>
      </c>
      <c r="W920">
        <f>IF(N920&lt;SUMIFS(L:L,R:R,1,E:E,E920)/SUMIFS(K:K,R:R,1,E:E,E920)*0.5,"Низшая четверть",IF(N920&lt;SUMIFS(L:L,R:R,1,E:E,E920)/SUMIFS(K:K,R:R,1,E:E,E920),"Вторая четверть","Больше половины"))</f>
        <v/>
      </c>
      <c r="X920">
        <f>IF(O920&lt;SUMIFS(M:M,R:R,1,E:E,E920)/SUMIFS(L:L,R:R,1,E:E,E920)*0.5,"Низшая четверть",IF(O920&lt;SUMIFS(M:M,R:R,1,E:E,E920)/SUMIFS(L:L,R:R,1,E:E,E920),"Вторая четверть","Больше половины"))</f>
        <v/>
      </c>
      <c r="Y920" t="n">
        <v>15</v>
      </c>
    </row>
    <row r="921">
      <c r="A921" s="1" t="inlineStr">
        <is>
          <t>a7800010</t>
        </is>
      </c>
      <c r="B921" s="2" t="inlineStr">
        <is>
          <t>879308774</t>
        </is>
      </c>
      <c r="C921" s="3" t="inlineStr">
        <is>
          <t>Одежда для детей</t>
        </is>
      </c>
      <c r="D921" s="2" t="inlineStr">
        <is>
          <t>Свитера детские для мальчиков</t>
        </is>
      </c>
      <c r="E921" s="3" t="inlineStr">
        <is>
          <t>a78 Толстовка-худи для мальчиков</t>
        </is>
      </c>
      <c r="F921" s="2" t="inlineStr">
        <is>
          <t>весна, лето, осень</t>
        </is>
      </c>
      <c r="G921" s="3" t="inlineStr">
        <is>
          <t>kari</t>
        </is>
      </c>
      <c r="H921" s="2" t="inlineStr">
        <is>
          <t>Зиннуров Ильнур</t>
        </is>
      </c>
      <c r="J921" s="3" t="inlineStr">
        <is>
          <t>2026SS</t>
        </is>
      </c>
      <c r="K921" s="3" t="n">
        <v>1558</v>
      </c>
      <c r="L921" s="3" t="n">
        <v>38</v>
      </c>
      <c r="M921" s="3" t="n">
        <v>3</v>
      </c>
      <c r="N921" s="4">
        <f>IFERROR(L921/K921,0)</f>
        <v/>
      </c>
      <c r="O921" s="4">
        <f>IFERROR(M921/L921,0)</f>
        <v/>
      </c>
      <c r="P921" t="n">
        <v>213</v>
      </c>
      <c r="Q921" s="5" t="n">
        <v>0.8</v>
      </c>
      <c r="R921" s="7" t="n">
        <v>1</v>
      </c>
      <c r="S921">
        <f>IF(OR(N921&lt;$T$1*0.5,O921&lt;$U$1*0.5),"код для проверки","нормальный код")</f>
        <v/>
      </c>
      <c r="T921">
        <f>IF(N921&lt;$T$1*0.5,"Низшая четверть",IF(N921&lt;$T$1,"Вторая четверть","Больше половины"))</f>
        <v/>
      </c>
      <c r="U921">
        <f>IF(O921&lt;$U$1*0.5,"Низшая четверть",IF(O921&lt;$U$1,"Вторая четверть","Больше половины"))</f>
        <v/>
      </c>
      <c r="V921">
        <f>IF(OR(N921&lt;SUMIFS(L:L,R:R,1,E:E,E921)/SUMIFS(K:K,R:R,1,E:E,E921)*0.5,O921&lt;SUMIFS(M:M,R:R,1,E:E,E921)/SUMIFS(L:L,R:R,1,E:E,E921)*0.5),"код для проверки","нормальный код")</f>
        <v/>
      </c>
      <c r="W921">
        <f>IF(N921&lt;SUMIFS(L:L,R:R,1,E:E,E921)/SUMIFS(K:K,R:R,1,E:E,E921)*0.5,"Низшая четверть",IF(N921&lt;SUMIFS(L:L,R:R,1,E:E,E921)/SUMIFS(K:K,R:R,1,E:E,E921),"Вторая четверть","Больше половины"))</f>
        <v/>
      </c>
      <c r="X921">
        <f>IF(O921&lt;SUMIFS(M:M,R:R,1,E:E,E921)/SUMIFS(L:L,R:R,1,E:E,E921)*0.5,"Низшая четверть",IF(O921&lt;SUMIFS(M:M,R:R,1,E:E,E921)/SUMIFS(L:L,R:R,1,E:E,E921),"Вторая четверть","Больше половины"))</f>
        <v/>
      </c>
      <c r="Y921" t="n">
        <v>12</v>
      </c>
    </row>
    <row r="922">
      <c r="A922" s="1" t="inlineStr">
        <is>
          <t>94700090</t>
        </is>
      </c>
      <c r="B922" s="2" t="inlineStr">
        <is>
          <t>925974867</t>
        </is>
      </c>
      <c r="C922" s="3" t="inlineStr">
        <is>
          <t>Одежда для детей</t>
        </is>
      </c>
      <c r="D922" s="2" t="inlineStr">
        <is>
          <t>Одежда для новорожденных</t>
        </is>
      </c>
      <c r="E922" s="3" t="inlineStr">
        <is>
          <t>947 Ромпер для девочки</t>
        </is>
      </c>
      <c r="F922" s="2" t="inlineStr">
        <is>
          <t>лето</t>
        </is>
      </c>
      <c r="G922" s="3" t="inlineStr">
        <is>
          <t>Kari baby</t>
        </is>
      </c>
      <c r="H922" s="2" t="inlineStr">
        <is>
          <t>Зиннуров Ильнур</t>
        </is>
      </c>
      <c r="J922" s="3" t="inlineStr">
        <is>
          <t>2026SS</t>
        </is>
      </c>
      <c r="K922" s="3" t="n">
        <v>1556</v>
      </c>
      <c r="L922" s="3" t="n">
        <v>264</v>
      </c>
      <c r="M922" s="3" t="n">
        <v>1</v>
      </c>
      <c r="N922" s="4">
        <f>IFERROR(L922/K922,0)</f>
        <v/>
      </c>
      <c r="O922" s="4">
        <f>IFERROR(M922/L922,0)</f>
        <v/>
      </c>
      <c r="P922" t="n">
        <v>890</v>
      </c>
      <c r="Q922" s="5" t="n">
        <v>1</v>
      </c>
      <c r="R922" s="7" t="n">
        <v>1</v>
      </c>
      <c r="S922">
        <f>IF(OR(N922&lt;$T$1*0.5,O922&lt;$U$1*0.5),"код для проверки","нормальный код")</f>
        <v/>
      </c>
      <c r="T922">
        <f>IF(N922&lt;$T$1*0.5,"Низшая четверть",IF(N922&lt;$T$1,"Вторая четверть","Больше половины"))</f>
        <v/>
      </c>
      <c r="U922">
        <f>IF(O922&lt;$U$1*0.5,"Низшая четверть",IF(O922&lt;$U$1,"Вторая четверть","Больше половины"))</f>
        <v/>
      </c>
      <c r="V922">
        <f>IF(OR(N922&lt;SUMIFS(L:L,R:R,1,E:E,E922)/SUMIFS(K:K,R:R,1,E:E,E922)*0.5,O922&lt;SUMIFS(M:M,R:R,1,E:E,E922)/SUMIFS(L:L,R:R,1,E:E,E922)*0.5),"код для проверки","нормальный код")</f>
        <v/>
      </c>
      <c r="W922">
        <f>IF(N922&lt;SUMIFS(L:L,R:R,1,E:E,E922)/SUMIFS(K:K,R:R,1,E:E,E922)*0.5,"Низшая четверть",IF(N922&lt;SUMIFS(L:L,R:R,1,E:E,E922)/SUMIFS(K:K,R:R,1,E:E,E922),"Вторая четверть","Больше половины"))</f>
        <v/>
      </c>
      <c r="X922">
        <f>IF(O922&lt;SUMIFS(M:M,R:R,1,E:E,E922)/SUMIFS(L:L,R:R,1,E:E,E922)*0.5,"Низшая четверть",IF(O922&lt;SUMIFS(M:M,R:R,1,E:E,E922)/SUMIFS(L:L,R:R,1,E:E,E922),"Вторая четверть","Больше половины"))</f>
        <v/>
      </c>
      <c r="Y922" t="n">
        <v>15</v>
      </c>
    </row>
    <row r="923">
      <c r="A923" s="1" t="inlineStr">
        <is>
          <t>310001T0</t>
        </is>
      </c>
      <c r="B923" s="2" t="inlineStr">
        <is>
          <t>884287731</t>
        </is>
      </c>
      <c r="C923" s="3" t="inlineStr">
        <is>
          <t>Одежда для детей</t>
        </is>
      </c>
      <c r="D923" s="2" t="inlineStr">
        <is>
          <t>Футболки, майки, рубашки детские для мальчиков</t>
        </is>
      </c>
      <c r="E923" s="3" t="inlineStr">
        <is>
          <t>310 Футболка детская для мальчиков</t>
        </is>
      </c>
      <c r="F923" s="2" t="inlineStr">
        <is>
          <t>всесезонный</t>
        </is>
      </c>
      <c r="G923" s="3" t="inlineStr">
        <is>
          <t>kari</t>
        </is>
      </c>
      <c r="H923" s="2" t="inlineStr">
        <is>
          <t>Зиннуров Ильнур</t>
        </is>
      </c>
      <c r="J923" s="3" t="inlineStr">
        <is>
          <t>2026SS</t>
        </is>
      </c>
      <c r="K923" s="3" t="n">
        <v>1553</v>
      </c>
      <c r="L923" s="3" t="n">
        <v>66</v>
      </c>
      <c r="M923" s="3" t="n">
        <v>5</v>
      </c>
      <c r="N923" s="4">
        <f>IFERROR(L923/K923,0)</f>
        <v/>
      </c>
      <c r="O923" s="4">
        <f>IFERROR(M923/L923,0)</f>
        <v/>
      </c>
      <c r="P923" t="n">
        <v>293</v>
      </c>
      <c r="Q923" s="5" t="n">
        <v>0.5555555555555556</v>
      </c>
      <c r="R923" s="7" t="n">
        <v>1</v>
      </c>
      <c r="S923">
        <f>IF(OR(N923&lt;$T$1*0.5,O923&lt;$U$1*0.5),"код для проверки","нормальный код")</f>
        <v/>
      </c>
      <c r="T923">
        <f>IF(N923&lt;$T$1*0.5,"Низшая четверть",IF(N923&lt;$T$1,"Вторая четверть","Больше половины"))</f>
        <v/>
      </c>
      <c r="U923">
        <f>IF(O923&lt;$U$1*0.5,"Низшая четверть",IF(O923&lt;$U$1,"Вторая четверть","Больше половины"))</f>
        <v/>
      </c>
      <c r="V923">
        <f>IF(OR(N923&lt;SUMIFS(L:L,R:R,1,E:E,E923)/SUMIFS(K:K,R:R,1,E:E,E923)*0.5,O923&lt;SUMIFS(M:M,R:R,1,E:E,E923)/SUMIFS(L:L,R:R,1,E:E,E923)*0.5),"код для проверки","нормальный код")</f>
        <v/>
      </c>
      <c r="W923">
        <f>IF(N923&lt;SUMIFS(L:L,R:R,1,E:E,E923)/SUMIFS(K:K,R:R,1,E:E,E923)*0.5,"Низшая четверть",IF(N923&lt;SUMIFS(L:L,R:R,1,E:E,E923)/SUMIFS(K:K,R:R,1,E:E,E923),"Вторая четверть","Больше половины"))</f>
        <v/>
      </c>
      <c r="X923">
        <f>IF(O923&lt;SUMIFS(M:M,R:R,1,E:E,E923)/SUMIFS(L:L,R:R,1,E:E,E923)*0.5,"Низшая четверть",IF(O923&lt;SUMIFS(M:M,R:R,1,E:E,E923)/SUMIFS(L:L,R:R,1,E:E,E923),"Вторая четверть","Больше половины"))</f>
        <v/>
      </c>
      <c r="Y923" t="n">
        <v>13</v>
      </c>
    </row>
    <row r="924">
      <c r="A924" s="1" t="inlineStr">
        <is>
          <t>a6000580</t>
        </is>
      </c>
      <c r="B924" s="2" t="inlineStr">
        <is>
          <t>884287685</t>
        </is>
      </c>
      <c r="C924" s="3" t="inlineStr">
        <is>
          <t>Одежда для детей</t>
        </is>
      </c>
      <c r="D924" s="2" t="inlineStr">
        <is>
          <t>Платья, майки, футболки детские для девочек</t>
        </is>
      </c>
      <c r="E924" s="3" t="inlineStr">
        <is>
          <t>a60 Футболка детская для девочек</t>
        </is>
      </c>
      <c r="F924" s="2" t="inlineStr">
        <is>
          <t>всесезонный</t>
        </is>
      </c>
      <c r="G924" s="3" t="inlineStr">
        <is>
          <t>Kari KIDS</t>
        </is>
      </c>
      <c r="H924" s="2" t="inlineStr">
        <is>
          <t>Зиннуров Ильнур</t>
        </is>
      </c>
      <c r="J924" s="3" t="inlineStr">
        <is>
          <t>2026SS</t>
        </is>
      </c>
      <c r="K924" s="3" t="n">
        <v>1543</v>
      </c>
      <c r="L924" s="3" t="n">
        <v>33</v>
      </c>
      <c r="M924" s="3" t="n">
        <v>0</v>
      </c>
      <c r="N924" s="4">
        <f>IFERROR(L924/K924,0)</f>
        <v/>
      </c>
      <c r="O924" s="4">
        <f>IFERROR(M924/L924,0)</f>
        <v/>
      </c>
      <c r="P924" t="n">
        <v>690</v>
      </c>
      <c r="Q924" s="5" t="n">
        <v>1</v>
      </c>
      <c r="R924" s="7" t="n">
        <v>1</v>
      </c>
      <c r="S924">
        <f>IF(OR(N924&lt;$T$1*0.5,O924&lt;$U$1*0.5),"код для проверки","нормальный код")</f>
        <v/>
      </c>
      <c r="T924">
        <f>IF(N924&lt;$T$1*0.5,"Низшая четверть",IF(N924&lt;$T$1,"Вторая четверть","Больше половины"))</f>
        <v/>
      </c>
      <c r="U924">
        <f>IF(O924&lt;$U$1*0.5,"Низшая четверть",IF(O924&lt;$U$1,"Вторая четверть","Больше половины"))</f>
        <v/>
      </c>
      <c r="V924">
        <f>IF(OR(N924&lt;SUMIFS(L:L,R:R,1,E:E,E924)/SUMIFS(K:K,R:R,1,E:E,E924)*0.5,O924&lt;SUMIFS(M:M,R:R,1,E:E,E924)/SUMIFS(L:L,R:R,1,E:E,E924)*0.5),"код для проверки","нормальный код")</f>
        <v/>
      </c>
      <c r="W924">
        <f>IF(N924&lt;SUMIFS(L:L,R:R,1,E:E,E924)/SUMIFS(K:K,R:R,1,E:E,E924)*0.5,"Низшая четверть",IF(N924&lt;SUMIFS(L:L,R:R,1,E:E,E924)/SUMIFS(K:K,R:R,1,E:E,E924),"Вторая четверть","Больше половины"))</f>
        <v/>
      </c>
      <c r="X924">
        <f>IF(O924&lt;SUMIFS(M:M,R:R,1,E:E,E924)/SUMIFS(L:L,R:R,1,E:E,E924)*0.5,"Низшая четверть",IF(O924&lt;SUMIFS(M:M,R:R,1,E:E,E924)/SUMIFS(L:L,R:R,1,E:E,E924),"Вторая четверть","Больше половины"))</f>
        <v/>
      </c>
      <c r="Y924" t="n">
        <v>11</v>
      </c>
    </row>
    <row r="925">
      <c r="A925" s="1" t="inlineStr">
        <is>
          <t>19300300</t>
        </is>
      </c>
      <c r="B925" s="2" t="inlineStr">
        <is>
          <t>837332437</t>
        </is>
      </c>
      <c r="C925" s="3" t="inlineStr">
        <is>
          <t>Одежда для детей</t>
        </is>
      </c>
      <c r="D925" s="2" t="inlineStr">
        <is>
          <t>Брюки детские для мальчиков</t>
        </is>
      </c>
      <c r="E925" s="3" t="inlineStr">
        <is>
          <t>193 Шорты детские для мальчиков</t>
        </is>
      </c>
      <c r="F925" s="2" t="inlineStr">
        <is>
          <t>лето</t>
        </is>
      </c>
      <c r="G925" s="3" t="inlineStr">
        <is>
          <t>Kari KIDS</t>
        </is>
      </c>
      <c r="H925" s="2" t="inlineStr">
        <is>
          <t>Зиннуров Ильнур</t>
        </is>
      </c>
      <c r="J925" s="3" t="inlineStr">
        <is>
          <t>2026SS</t>
        </is>
      </c>
      <c r="K925" s="3" t="n">
        <v>1536</v>
      </c>
      <c r="L925" s="3" t="n">
        <v>382</v>
      </c>
      <c r="M925" s="3" t="n">
        <v>9</v>
      </c>
      <c r="N925" s="4">
        <f>IFERROR(L925/K925,0)</f>
        <v/>
      </c>
      <c r="O925" s="4">
        <f>IFERROR(M925/L925,0)</f>
        <v/>
      </c>
      <c r="P925" t="n">
        <v>31</v>
      </c>
      <c r="Q925" s="5" t="n">
        <v>0.4</v>
      </c>
      <c r="R925" s="7" t="n">
        <v>1</v>
      </c>
      <c r="S925">
        <f>IF(OR(N925&lt;$T$1*0.5,O925&lt;$U$1*0.5),"код для проверки","нормальный код")</f>
        <v/>
      </c>
      <c r="T925">
        <f>IF(N925&lt;$T$1*0.5,"Низшая четверть",IF(N925&lt;$T$1,"Вторая четверть","Больше половины"))</f>
        <v/>
      </c>
      <c r="U925">
        <f>IF(O925&lt;$U$1*0.5,"Низшая четверть",IF(O925&lt;$U$1,"Вторая четверть","Больше половины"))</f>
        <v/>
      </c>
      <c r="V925">
        <f>IF(OR(N925&lt;SUMIFS(L:L,R:R,1,E:E,E925)/SUMIFS(K:K,R:R,1,E:E,E925)*0.5,O925&lt;SUMIFS(M:M,R:R,1,E:E,E925)/SUMIFS(L:L,R:R,1,E:E,E925)*0.5),"код для проверки","нормальный код")</f>
        <v/>
      </c>
      <c r="W925">
        <f>IF(N925&lt;SUMIFS(L:L,R:R,1,E:E,E925)/SUMIFS(K:K,R:R,1,E:E,E925)*0.5,"Низшая четверть",IF(N925&lt;SUMIFS(L:L,R:R,1,E:E,E925)/SUMIFS(K:K,R:R,1,E:E,E925),"Вторая четверть","Больше половины"))</f>
        <v/>
      </c>
      <c r="X925">
        <f>IF(O925&lt;SUMIFS(M:M,R:R,1,E:E,E925)/SUMIFS(L:L,R:R,1,E:E,E925)*0.5,"Низшая четверть",IF(O925&lt;SUMIFS(M:M,R:R,1,E:E,E925)/SUMIFS(L:L,R:R,1,E:E,E925),"Вторая четверть","Больше половины"))</f>
        <v/>
      </c>
      <c r="Y925" t="n">
        <v>16</v>
      </c>
    </row>
    <row r="926">
      <c r="A926" s="1" t="inlineStr">
        <is>
          <t>a6200030</t>
        </is>
      </c>
      <c r="B926" s="2" t="inlineStr">
        <is>
          <t>879308870</t>
        </is>
      </c>
      <c r="C926" s="3" t="inlineStr">
        <is>
          <t>Одежда для детей</t>
        </is>
      </c>
      <c r="D926" s="2" t="inlineStr">
        <is>
          <t>Брюки детские для девочек</t>
        </is>
      </c>
      <c r="E926" s="3" t="inlineStr">
        <is>
          <t>a62 Треггинсы детские для девочек</t>
        </is>
      </c>
      <c r="F926" s="2" t="inlineStr">
        <is>
          <t>весна, осень, зима</t>
        </is>
      </c>
      <c r="G926" s="3" t="inlineStr">
        <is>
          <t>kari</t>
        </is>
      </c>
      <c r="H926" s="2" t="inlineStr">
        <is>
          <t>Зиннуров Ильнур</t>
        </is>
      </c>
      <c r="J926" s="3" t="inlineStr">
        <is>
          <t>2026SS</t>
        </is>
      </c>
      <c r="K926" s="3" t="n">
        <v>1535</v>
      </c>
      <c r="L926" s="3" t="n">
        <v>67</v>
      </c>
      <c r="M926" s="3" t="n">
        <v>1</v>
      </c>
      <c r="N926" s="4">
        <f>IFERROR(L926/K926,0)</f>
        <v/>
      </c>
      <c r="O926" s="4">
        <f>IFERROR(M926/L926,0)</f>
        <v/>
      </c>
      <c r="P926" t="n">
        <v>194</v>
      </c>
      <c r="Q926" s="5" t="n">
        <v>0.8</v>
      </c>
      <c r="R926" s="7" t="n">
        <v>1</v>
      </c>
      <c r="S926">
        <f>IF(OR(N926&lt;$T$1*0.5,O926&lt;$U$1*0.5),"код для проверки","нормальный код")</f>
        <v/>
      </c>
      <c r="T926">
        <f>IF(N926&lt;$T$1*0.5,"Низшая четверть",IF(N926&lt;$T$1,"Вторая четверть","Больше половины"))</f>
        <v/>
      </c>
      <c r="U926">
        <f>IF(O926&lt;$U$1*0.5,"Низшая четверть",IF(O926&lt;$U$1,"Вторая четверть","Больше половины"))</f>
        <v/>
      </c>
      <c r="V926">
        <f>IF(OR(N926&lt;SUMIFS(L:L,R:R,1,E:E,E926)/SUMIFS(K:K,R:R,1,E:E,E926)*0.5,O926&lt;SUMIFS(M:M,R:R,1,E:E,E926)/SUMIFS(L:L,R:R,1,E:E,E926)*0.5),"код для проверки","нормальный код")</f>
        <v/>
      </c>
      <c r="W926">
        <f>IF(N926&lt;SUMIFS(L:L,R:R,1,E:E,E926)/SUMIFS(K:K,R:R,1,E:E,E926)*0.5,"Низшая четверть",IF(N926&lt;SUMIFS(L:L,R:R,1,E:E,E926)/SUMIFS(K:K,R:R,1,E:E,E926),"Вторая четверть","Больше половины"))</f>
        <v/>
      </c>
      <c r="X926">
        <f>IF(O926&lt;SUMIFS(M:M,R:R,1,E:E,E926)/SUMIFS(L:L,R:R,1,E:E,E926)*0.5,"Низшая четверть",IF(O926&lt;SUMIFS(M:M,R:R,1,E:E,E926)/SUMIFS(L:L,R:R,1,E:E,E926),"Вторая четверть","Больше половины"))</f>
        <v/>
      </c>
      <c r="Y926" t="n">
        <v>15</v>
      </c>
    </row>
    <row r="927">
      <c r="A927" s="1" t="inlineStr">
        <is>
          <t>18200230</t>
        </is>
      </c>
      <c r="B927" s="2" t="inlineStr">
        <is>
          <t>879308758</t>
        </is>
      </c>
      <c r="C927" s="3" t="inlineStr">
        <is>
          <t>Одежда для детей</t>
        </is>
      </c>
      <c r="D927" s="2" t="inlineStr">
        <is>
          <t>Джинсы детские для мальчиков</t>
        </is>
      </c>
      <c r="E927" s="3" t="inlineStr">
        <is>
          <t>182 Джинсы детские для мальчиков</t>
        </is>
      </c>
      <c r="F927" s="2" t="inlineStr">
        <is>
          <t>всесезонный</t>
        </is>
      </c>
      <c r="G927" s="3" t="inlineStr">
        <is>
          <t>Kari KIDS</t>
        </is>
      </c>
      <c r="H927" s="2" t="inlineStr">
        <is>
          <t>Зиннуров Ильнур</t>
        </is>
      </c>
      <c r="J927" s="3" t="inlineStr">
        <is>
          <t>2026SS</t>
        </is>
      </c>
      <c r="K927" s="3" t="n">
        <v>1531</v>
      </c>
      <c r="L927" s="3" t="n">
        <v>774</v>
      </c>
      <c r="M927" s="3" t="n">
        <v>2</v>
      </c>
      <c r="N927" s="4">
        <f>IFERROR(L927/K927,0)</f>
        <v/>
      </c>
      <c r="O927" s="4">
        <f>IFERROR(M927/L927,0)</f>
        <v/>
      </c>
      <c r="P927" t="n">
        <v>269</v>
      </c>
      <c r="Q927" s="5" t="n">
        <v>0.8</v>
      </c>
      <c r="R927" s="7" t="n">
        <v>1</v>
      </c>
      <c r="S927">
        <f>IF(OR(N927&lt;$T$1*0.5,O927&lt;$U$1*0.5),"код для проверки","нормальный код")</f>
        <v/>
      </c>
      <c r="T927">
        <f>IF(N927&lt;$T$1*0.5,"Низшая четверть",IF(N927&lt;$T$1,"Вторая четверть","Больше половины"))</f>
        <v/>
      </c>
      <c r="U927">
        <f>IF(O927&lt;$U$1*0.5,"Низшая четверть",IF(O927&lt;$U$1,"Вторая четверть","Больше половины"))</f>
        <v/>
      </c>
      <c r="V927">
        <f>IF(OR(N927&lt;SUMIFS(L:L,R:R,1,E:E,E927)/SUMIFS(K:K,R:R,1,E:E,E927)*0.5,O927&lt;SUMIFS(M:M,R:R,1,E:E,E927)/SUMIFS(L:L,R:R,1,E:E,E927)*0.5),"код для проверки","нормальный код")</f>
        <v/>
      </c>
      <c r="W927">
        <f>IF(N927&lt;SUMIFS(L:L,R:R,1,E:E,E927)/SUMIFS(K:K,R:R,1,E:E,E927)*0.5,"Низшая четверть",IF(N927&lt;SUMIFS(L:L,R:R,1,E:E,E927)/SUMIFS(K:K,R:R,1,E:E,E927),"Вторая четверть","Больше половины"))</f>
        <v/>
      </c>
      <c r="X927">
        <f>IF(O927&lt;SUMIFS(M:M,R:R,1,E:E,E927)/SUMIFS(L:L,R:R,1,E:E,E927)*0.5,"Низшая четверть",IF(O927&lt;SUMIFS(M:M,R:R,1,E:E,E927)/SUMIFS(L:L,R:R,1,E:E,E927),"Вторая четверть","Больше половины"))</f>
        <v/>
      </c>
      <c r="Y927" t="n">
        <v>10</v>
      </c>
    </row>
    <row r="928">
      <c r="A928" s="1" t="inlineStr">
        <is>
          <t>y9808010</t>
        </is>
      </c>
      <c r="B928" s="2" t="inlineStr">
        <is>
          <t>378959433</t>
        </is>
      </c>
      <c r="C928" s="3" t="inlineStr">
        <is>
          <t>Одежда и аксессуары</t>
        </is>
      </c>
      <c r="D928" s="2" t="inlineStr">
        <is>
          <t>Спортивная одежда для мужчин</t>
        </is>
      </c>
      <c r="E928" s="3" t="inlineStr">
        <is>
          <t>y98 Шорты мужские</t>
        </is>
      </c>
      <c r="F928" s="2" t="inlineStr">
        <is>
          <t>всесезонный</t>
        </is>
      </c>
      <c r="G928" s="3" t="inlineStr">
        <is>
          <t>kari</t>
        </is>
      </c>
      <c r="H928" s="2" t="inlineStr">
        <is>
          <t>Зиннуров Ильнур</t>
        </is>
      </c>
      <c r="J928" s="3" t="inlineStr">
        <is>
          <t>2026SS</t>
        </is>
      </c>
      <c r="K928" s="3" t="n">
        <v>1515</v>
      </c>
      <c r="L928" s="3" t="n">
        <v>79</v>
      </c>
      <c r="M928" s="3" t="n">
        <v>0</v>
      </c>
      <c r="N928" s="4">
        <f>IFERROR(L928/K928,0)</f>
        <v/>
      </c>
      <c r="O928" s="4">
        <f>IFERROR(M928/L928,0)</f>
        <v/>
      </c>
      <c r="P928" t="n">
        <v>573</v>
      </c>
      <c r="Q928" s="5" t="n">
        <v>1</v>
      </c>
      <c r="R928" s="7" t="n">
        <v>1</v>
      </c>
      <c r="S928">
        <f>IF(OR(N928&lt;$T$1*0.5,O928&lt;$U$1*0.5),"код для проверки","нормальный код")</f>
        <v/>
      </c>
      <c r="T928">
        <f>IF(N928&lt;$T$1*0.5,"Низшая четверть",IF(N928&lt;$T$1,"Вторая четверть","Больше половины"))</f>
        <v/>
      </c>
      <c r="U928">
        <f>IF(O928&lt;$U$1*0.5,"Низшая четверть",IF(O928&lt;$U$1,"Вторая четверть","Больше половины"))</f>
        <v/>
      </c>
      <c r="V928">
        <f>IF(OR(N928&lt;SUMIFS(L:L,R:R,1,E:E,E928)/SUMIFS(K:K,R:R,1,E:E,E928)*0.5,O928&lt;SUMIFS(M:M,R:R,1,E:E,E928)/SUMIFS(L:L,R:R,1,E:E,E928)*0.5),"код для проверки","нормальный код")</f>
        <v/>
      </c>
      <c r="W928">
        <f>IF(N928&lt;SUMIFS(L:L,R:R,1,E:E,E928)/SUMIFS(K:K,R:R,1,E:E,E928)*0.5,"Низшая четверть",IF(N928&lt;SUMIFS(L:L,R:R,1,E:E,E928)/SUMIFS(K:K,R:R,1,E:E,E928),"Вторая четверть","Больше половины"))</f>
        <v/>
      </c>
      <c r="X928">
        <f>IF(O928&lt;SUMIFS(M:M,R:R,1,E:E,E928)/SUMIFS(L:L,R:R,1,E:E,E928)*0.5,"Низшая четверть",IF(O928&lt;SUMIFS(M:M,R:R,1,E:E,E928)/SUMIFS(L:L,R:R,1,E:E,E928),"Вторая четверть","Больше половины"))</f>
        <v/>
      </c>
      <c r="Y928" t="n">
        <v>4</v>
      </c>
    </row>
    <row r="929">
      <c r="A929" s="1" t="inlineStr">
        <is>
          <t>h7700070</t>
        </is>
      </c>
      <c r="B929" s="2" t="inlineStr">
        <is>
          <t>806627306</t>
        </is>
      </c>
      <c r="C929" s="3" t="inlineStr">
        <is>
          <t>Одежда и аксессуары</t>
        </is>
      </c>
      <c r="D929" s="2" t="inlineStr">
        <is>
          <t>Купальники женские</t>
        </is>
      </c>
      <c r="E929" s="3" t="inlineStr">
        <is>
          <t>h77 Одежда пляжная женская</t>
        </is>
      </c>
      <c r="F929" s="2" t="inlineStr">
        <is>
          <t>лето</t>
        </is>
      </c>
      <c r="G929" s="3" t="inlineStr">
        <is>
          <t>kari</t>
        </is>
      </c>
      <c r="H929" s="2" t="inlineStr">
        <is>
          <t>Зиннуров Ильнур</t>
        </is>
      </c>
      <c r="J929" s="3" t="inlineStr">
        <is>
          <t>2026SS</t>
        </is>
      </c>
      <c r="K929" s="3" t="n">
        <v>1511</v>
      </c>
      <c r="L929" s="3" t="n">
        <v>513</v>
      </c>
      <c r="M929" s="3" t="n">
        <v>0</v>
      </c>
      <c r="N929" s="4">
        <f>IFERROR(L929/K929,0)</f>
        <v/>
      </c>
      <c r="O929" s="4">
        <f>IFERROR(M929/L929,0)</f>
        <v/>
      </c>
      <c r="P929" t="n">
        <v>838</v>
      </c>
      <c r="Q929" s="5" t="n">
        <v>0.8</v>
      </c>
      <c r="R929" s="7" t="n">
        <v>1</v>
      </c>
      <c r="S929">
        <f>IF(OR(N929&lt;$T$1*0.5,O929&lt;$U$1*0.5),"код для проверки","нормальный код")</f>
        <v/>
      </c>
      <c r="T929">
        <f>IF(N929&lt;$T$1*0.5,"Низшая четверть",IF(N929&lt;$T$1,"Вторая четверть","Больше половины"))</f>
        <v/>
      </c>
      <c r="U929">
        <f>IF(O929&lt;$U$1*0.5,"Низшая четверть",IF(O929&lt;$U$1,"Вторая четверть","Больше половины"))</f>
        <v/>
      </c>
      <c r="V929">
        <f>IF(OR(N929&lt;SUMIFS(L:L,R:R,1,E:E,E929)/SUMIFS(K:K,R:R,1,E:E,E929)*0.5,O929&lt;SUMIFS(M:M,R:R,1,E:E,E929)/SUMIFS(L:L,R:R,1,E:E,E929)*0.5),"код для проверки","нормальный код")</f>
        <v/>
      </c>
      <c r="W929">
        <f>IF(N929&lt;SUMIFS(L:L,R:R,1,E:E,E929)/SUMIFS(K:K,R:R,1,E:E,E929)*0.5,"Низшая четверть",IF(N929&lt;SUMIFS(L:L,R:R,1,E:E,E929)/SUMIFS(K:K,R:R,1,E:E,E929),"Вторая четверть","Больше половины"))</f>
        <v/>
      </c>
      <c r="X929">
        <f>IF(O929&lt;SUMIFS(M:M,R:R,1,E:E,E929)/SUMIFS(L:L,R:R,1,E:E,E929)*0.5,"Низшая четверть",IF(O929&lt;SUMIFS(M:M,R:R,1,E:E,E929)/SUMIFS(L:L,R:R,1,E:E,E929),"Вторая четверть","Больше половины"))</f>
        <v/>
      </c>
      <c r="Y929" t="n">
        <v>6</v>
      </c>
    </row>
    <row r="930">
      <c r="A930" s="1" t="inlineStr">
        <is>
          <t>310003I0</t>
        </is>
      </c>
      <c r="B930" s="2" t="inlineStr">
        <is>
          <t>913192749</t>
        </is>
      </c>
      <c r="C930" s="3" t="inlineStr">
        <is>
          <t>Одежда для детей</t>
        </is>
      </c>
      <c r="D930" s="2" t="inlineStr">
        <is>
          <t>Футболки, майки, рубашки детские для мальчиков</t>
        </is>
      </c>
      <c r="E930" s="3" t="inlineStr">
        <is>
          <t>310 Футболка детская для мальчиков</t>
        </is>
      </c>
      <c r="F930" s="2" t="inlineStr">
        <is>
          <t>всесезонный</t>
        </is>
      </c>
      <c r="G930" s="3" t="inlineStr">
        <is>
          <t>kari</t>
        </is>
      </c>
      <c r="H930" s="2" t="inlineStr">
        <is>
          <t>Зиннуров Ильнур</t>
        </is>
      </c>
      <c r="J930" s="3" t="inlineStr">
        <is>
          <t>2026SS</t>
        </is>
      </c>
      <c r="K930" s="3" t="n">
        <v>1510</v>
      </c>
      <c r="L930" s="3" t="n">
        <v>52</v>
      </c>
      <c r="M930" s="3" t="n">
        <v>2</v>
      </c>
      <c r="N930" s="4">
        <f>IFERROR(L930/K930,0)</f>
        <v/>
      </c>
      <c r="O930" s="4">
        <f>IFERROR(M930/L930,0)</f>
        <v/>
      </c>
      <c r="P930" t="n">
        <v>924</v>
      </c>
      <c r="Q930" s="5" t="n">
        <v>1</v>
      </c>
      <c r="R930" s="7" t="n">
        <v>1</v>
      </c>
      <c r="S930">
        <f>IF(OR(N930&lt;$T$1*0.5,O930&lt;$U$1*0.5),"код для проверки","нормальный код")</f>
        <v/>
      </c>
      <c r="T930">
        <f>IF(N930&lt;$T$1*0.5,"Низшая четверть",IF(N930&lt;$T$1,"Вторая четверть","Больше половины"))</f>
        <v/>
      </c>
      <c r="U930">
        <f>IF(O930&lt;$U$1*0.5,"Низшая четверть",IF(O930&lt;$U$1,"Вторая четверть","Больше половины"))</f>
        <v/>
      </c>
      <c r="V930">
        <f>IF(OR(N930&lt;SUMIFS(L:L,R:R,1,E:E,E930)/SUMIFS(K:K,R:R,1,E:E,E930)*0.5,O930&lt;SUMIFS(M:M,R:R,1,E:E,E930)/SUMIFS(L:L,R:R,1,E:E,E930)*0.5),"код для проверки","нормальный код")</f>
        <v/>
      </c>
      <c r="W930">
        <f>IF(N930&lt;SUMIFS(L:L,R:R,1,E:E,E930)/SUMIFS(K:K,R:R,1,E:E,E930)*0.5,"Низшая четверть",IF(N930&lt;SUMIFS(L:L,R:R,1,E:E,E930)/SUMIFS(K:K,R:R,1,E:E,E930),"Вторая четверть","Больше половины"))</f>
        <v/>
      </c>
      <c r="X930">
        <f>IF(O930&lt;SUMIFS(M:M,R:R,1,E:E,E930)/SUMIFS(L:L,R:R,1,E:E,E930)*0.5,"Низшая четверть",IF(O930&lt;SUMIFS(M:M,R:R,1,E:E,E930)/SUMIFS(L:L,R:R,1,E:E,E930),"Вторая четверть","Больше половины"))</f>
        <v/>
      </c>
      <c r="Y930" t="n">
        <v>10</v>
      </c>
    </row>
    <row r="931">
      <c r="A931" s="1" t="inlineStr">
        <is>
          <t>a9200060</t>
        </is>
      </c>
      <c r="B931" s="2" t="inlineStr">
        <is>
          <t>711885804</t>
        </is>
      </c>
      <c r="C931" s="3" t="inlineStr">
        <is>
          <t>Одежда для детей</t>
        </is>
      </c>
      <c r="D931" s="2" t="inlineStr">
        <is>
          <t>Свитера детские для мальчиков</t>
        </is>
      </c>
      <c r="E931" s="3" t="inlineStr">
        <is>
          <t>a92 Свитшот  утепленный для мальчика</t>
        </is>
      </c>
      <c r="F931" s="2" t="inlineStr">
        <is>
          <t>весна, осень, зима</t>
        </is>
      </c>
      <c r="G931" s="3" t="inlineStr">
        <is>
          <t>Kari KIDS</t>
        </is>
      </c>
      <c r="H931" s="2" t="inlineStr">
        <is>
          <t>Зиннуров Ильнур</t>
        </is>
      </c>
      <c r="J931" s="3" t="inlineStr">
        <is>
          <t>2026SS</t>
        </is>
      </c>
      <c r="K931" s="3" t="n">
        <v>1496</v>
      </c>
      <c r="L931" s="3" t="n">
        <v>54</v>
      </c>
      <c r="M931" s="3" t="n">
        <v>0</v>
      </c>
      <c r="N931" s="4">
        <f>IFERROR(L931/K931,0)</f>
        <v/>
      </c>
      <c r="O931" s="4">
        <f>IFERROR(M931/L931,0)</f>
        <v/>
      </c>
      <c r="P931" t="n">
        <v>435</v>
      </c>
      <c r="Q931" s="5" t="n">
        <v>1</v>
      </c>
      <c r="R931" s="7" t="n">
        <v>1</v>
      </c>
      <c r="S931">
        <f>IF(OR(N931&lt;$T$1*0.5,O931&lt;$U$1*0.5),"код для проверки","нормальный код")</f>
        <v/>
      </c>
      <c r="T931">
        <f>IF(N931&lt;$T$1*0.5,"Низшая четверть",IF(N931&lt;$T$1,"Вторая четверть","Больше половины"))</f>
        <v/>
      </c>
      <c r="U931">
        <f>IF(O931&lt;$U$1*0.5,"Низшая четверть",IF(O931&lt;$U$1,"Вторая четверть","Больше половины"))</f>
        <v/>
      </c>
      <c r="V931">
        <f>IF(OR(N931&lt;SUMIFS(L:L,R:R,1,E:E,E931)/SUMIFS(K:K,R:R,1,E:E,E931)*0.5,O931&lt;SUMIFS(M:M,R:R,1,E:E,E931)/SUMIFS(L:L,R:R,1,E:E,E931)*0.5),"код для проверки","нормальный код")</f>
        <v/>
      </c>
      <c r="W931">
        <f>IF(N931&lt;SUMIFS(L:L,R:R,1,E:E,E931)/SUMIFS(K:K,R:R,1,E:E,E931)*0.5,"Низшая четверть",IF(N931&lt;SUMIFS(L:L,R:R,1,E:E,E931)/SUMIFS(K:K,R:R,1,E:E,E931),"Вторая четверть","Больше половины"))</f>
        <v/>
      </c>
      <c r="X931">
        <f>IF(O931&lt;SUMIFS(M:M,R:R,1,E:E,E931)/SUMIFS(L:L,R:R,1,E:E,E931)*0.5,"Низшая четверть",IF(O931&lt;SUMIFS(M:M,R:R,1,E:E,E931)/SUMIFS(L:L,R:R,1,E:E,E931),"Вторая четверть","Больше половины"))</f>
        <v/>
      </c>
      <c r="Y931" t="n">
        <v>17</v>
      </c>
    </row>
    <row r="932">
      <c r="A932" s="1" t="inlineStr">
        <is>
          <t>20200230</t>
        </is>
      </c>
      <c r="B932" s="2" t="inlineStr">
        <is>
          <t>371244615</t>
        </is>
      </c>
      <c r="C932" s="3" t="inlineStr">
        <is>
          <t>Одежда для детей</t>
        </is>
      </c>
      <c r="D932" s="2" t="inlineStr">
        <is>
          <t>Головные уборы детские для мальчиков</t>
        </is>
      </c>
      <c r="E932" s="3" t="inlineStr">
        <is>
          <t>202 Бейсболка детская для мальчиков</t>
        </is>
      </c>
      <c r="F932" s="2" t="inlineStr">
        <is>
          <t>весна, лето</t>
        </is>
      </c>
      <c r="G932" s="3" t="inlineStr">
        <is>
          <t>kari</t>
        </is>
      </c>
      <c r="H932" s="2" t="inlineStr">
        <is>
          <t>Никонорова Алина</t>
        </is>
      </c>
      <c r="J932" s="3" t="inlineStr">
        <is>
          <t>2026SS</t>
        </is>
      </c>
      <c r="K932" s="3" t="n">
        <v>1491</v>
      </c>
      <c r="L932" s="3" t="n">
        <v>177</v>
      </c>
      <c r="M932" s="3" t="n">
        <v>5</v>
      </c>
      <c r="N932" s="4">
        <f>IFERROR(L932/K932,0)</f>
        <v/>
      </c>
      <c r="O932" s="4">
        <f>IFERROR(M932/L932,0)</f>
        <v/>
      </c>
      <c r="P932" t="n">
        <v>0</v>
      </c>
      <c r="Q932" s="5" t="n">
        <v>0</v>
      </c>
      <c r="R932" s="7" t="n">
        <v>0</v>
      </c>
      <c r="S932" t="inlineStr">
        <is>
          <t>Мало остатка</t>
        </is>
      </c>
      <c r="T932">
        <f>IF(N932&lt;$T$1*0.5,"Низшая четверть",IF(N932&lt;$T$1,"Вторая четверть","Больше половины"))</f>
        <v/>
      </c>
      <c r="U932">
        <f>IF(O932&lt;$U$1*0.5,"Низшая четверть",IF(O932&lt;$U$1,"Вторая четверть","Больше половины"))</f>
        <v/>
      </c>
      <c r="V932">
        <f>IF(OR(N932&lt;SUMIFS(L:L,R:R,1,E:E,E932)/SUMIFS(K:K,R:R,1,E:E,E932)*0.5,O932&lt;SUMIFS(M:M,R:R,1,E:E,E932)/SUMIFS(L:L,R:R,1,E:E,E932)*0.5),"код для проверки","нормальный код")</f>
        <v/>
      </c>
      <c r="W932">
        <f>IF(N932&lt;SUMIFS(L:L,R:R,1,E:E,E932)/SUMIFS(K:K,R:R,1,E:E,E932)*0.5,"Низшая четверть",IF(N932&lt;SUMIFS(L:L,R:R,1,E:E,E932)/SUMIFS(K:K,R:R,1,E:E,E932),"Вторая четверть","Больше половины"))</f>
        <v/>
      </c>
      <c r="X932">
        <f>IF(O932&lt;SUMIFS(M:M,R:R,1,E:E,E932)/SUMIFS(L:L,R:R,1,E:E,E932)*0.5,"Низшая четверть",IF(O932&lt;SUMIFS(M:M,R:R,1,E:E,E932)/SUMIFS(L:L,R:R,1,E:E,E932),"Вторая четверть","Больше половины"))</f>
        <v/>
      </c>
      <c r="Y932" t="n">
        <v>8</v>
      </c>
    </row>
    <row r="933">
      <c r="A933" s="1" t="inlineStr">
        <is>
          <t>a7700060</t>
        </is>
      </c>
      <c r="B933" s="2" t="inlineStr">
        <is>
          <t>716597318</t>
        </is>
      </c>
      <c r="C933" s="3" t="inlineStr">
        <is>
          <t>Одежда для детей</t>
        </is>
      </c>
      <c r="D933" s="2" t="inlineStr">
        <is>
          <t>Свитера детские для мальчиков</t>
        </is>
      </c>
      <c r="E933" s="3" t="inlineStr">
        <is>
          <t>a77 Толстовка-худи утепленная для мальчиков</t>
        </is>
      </c>
      <c r="F933" s="2" t="inlineStr">
        <is>
          <t>весна, осень, зима</t>
        </is>
      </c>
      <c r="G933" s="3" t="inlineStr">
        <is>
          <t>Kari KIDS</t>
        </is>
      </c>
      <c r="H933" s="2" t="inlineStr">
        <is>
          <t>Зиннуров Ильнур</t>
        </is>
      </c>
      <c r="J933" s="3" t="inlineStr">
        <is>
          <t>2026SS</t>
        </is>
      </c>
      <c r="K933" s="3" t="n">
        <v>1470</v>
      </c>
      <c r="L933" s="3" t="n">
        <v>230</v>
      </c>
      <c r="M933" s="3" t="n">
        <v>0</v>
      </c>
      <c r="N933" s="4">
        <f>IFERROR(L933/K933,0)</f>
        <v/>
      </c>
      <c r="O933" s="4">
        <f>IFERROR(M933/L933,0)</f>
        <v/>
      </c>
      <c r="P933" t="n">
        <v>344</v>
      </c>
      <c r="Q933" s="5" t="n">
        <v>1</v>
      </c>
      <c r="R933" s="7" t="n">
        <v>1</v>
      </c>
      <c r="S933">
        <f>IF(OR(N933&lt;$T$1*0.5,O933&lt;$U$1*0.5),"код для проверки","нормальный код")</f>
        <v/>
      </c>
      <c r="T933">
        <f>IF(N933&lt;$T$1*0.5,"Низшая четверть",IF(N933&lt;$T$1,"Вторая четверть","Больше половины"))</f>
        <v/>
      </c>
      <c r="U933">
        <f>IF(O933&lt;$U$1*0.5,"Низшая четверть",IF(O933&lt;$U$1,"Вторая четверть","Больше половины"))</f>
        <v/>
      </c>
      <c r="V933">
        <f>IF(OR(N933&lt;SUMIFS(L:L,R:R,1,E:E,E933)/SUMIFS(K:K,R:R,1,E:E,E933)*0.5,O933&lt;SUMIFS(M:M,R:R,1,E:E,E933)/SUMIFS(L:L,R:R,1,E:E,E933)*0.5),"код для проверки","нормальный код")</f>
        <v/>
      </c>
      <c r="W933">
        <f>IF(N933&lt;SUMIFS(L:L,R:R,1,E:E,E933)/SUMIFS(K:K,R:R,1,E:E,E933)*0.5,"Низшая четверть",IF(N933&lt;SUMIFS(L:L,R:R,1,E:E,E933)/SUMIFS(K:K,R:R,1,E:E,E933),"Вторая четверть","Больше половины"))</f>
        <v/>
      </c>
      <c r="X933">
        <f>IF(O933&lt;SUMIFS(M:M,R:R,1,E:E,E933)/SUMIFS(L:L,R:R,1,E:E,E933)*0.5,"Низшая четверть",IF(O933&lt;SUMIFS(M:M,R:R,1,E:E,E933)/SUMIFS(L:L,R:R,1,E:E,E933),"Вторая четверть","Больше половины"))</f>
        <v/>
      </c>
      <c r="Y933" t="n">
        <v>25</v>
      </c>
    </row>
    <row r="934">
      <c r="A934" s="1" t="inlineStr">
        <is>
          <t>310003U0</t>
        </is>
      </c>
      <c r="B934" s="2" t="inlineStr">
        <is>
          <t>847884189</t>
        </is>
      </c>
      <c r="C934" s="3" t="inlineStr">
        <is>
          <t>Одежда для детей</t>
        </is>
      </c>
      <c r="D934" s="2" t="inlineStr">
        <is>
          <t>Футболки, майки, рубашки детские для мальчиков</t>
        </is>
      </c>
      <c r="E934" s="3" t="inlineStr">
        <is>
          <t>310 Футболка детская для мальчиков</t>
        </is>
      </c>
      <c r="F934" s="2" t="inlineStr">
        <is>
          <t>всесезонный</t>
        </is>
      </c>
      <c r="G934" s="3" t="inlineStr">
        <is>
          <t>Kari KIDS</t>
        </is>
      </c>
      <c r="H934" s="2" t="inlineStr">
        <is>
          <t>Зиннуров Ильнур</t>
        </is>
      </c>
      <c r="J934" s="3" t="inlineStr">
        <is>
          <t>2026SS</t>
        </is>
      </c>
      <c r="K934" s="3" t="n">
        <v>1468</v>
      </c>
      <c r="L934" s="3" t="n">
        <v>1286</v>
      </c>
      <c r="M934" s="3" t="n">
        <v>2</v>
      </c>
      <c r="N934" s="4">
        <f>IFERROR(L934/K934,0)</f>
        <v/>
      </c>
      <c r="O934" s="4">
        <f>IFERROR(M934/L934,0)</f>
        <v/>
      </c>
      <c r="P934" t="n">
        <v>456</v>
      </c>
      <c r="Q934" s="5" t="n">
        <v>1</v>
      </c>
      <c r="R934" s="7" t="n">
        <v>1</v>
      </c>
      <c r="S934">
        <f>IF(OR(N934&lt;$T$1*0.5,O934&lt;$U$1*0.5),"код для проверки","нормальный код")</f>
        <v/>
      </c>
      <c r="T934">
        <f>IF(N934&lt;$T$1*0.5,"Низшая четверть",IF(N934&lt;$T$1,"Вторая четверть","Больше половины"))</f>
        <v/>
      </c>
      <c r="U934">
        <f>IF(O934&lt;$U$1*0.5,"Низшая четверть",IF(O934&lt;$U$1,"Вторая четверть","Больше половины"))</f>
        <v/>
      </c>
      <c r="V934">
        <f>IF(OR(N934&lt;SUMIFS(L:L,R:R,1,E:E,E934)/SUMIFS(K:K,R:R,1,E:E,E934)*0.5,O934&lt;SUMIFS(M:M,R:R,1,E:E,E934)/SUMIFS(L:L,R:R,1,E:E,E934)*0.5),"код для проверки","нормальный код")</f>
        <v/>
      </c>
      <c r="W934">
        <f>IF(N934&lt;SUMIFS(L:L,R:R,1,E:E,E934)/SUMIFS(K:K,R:R,1,E:E,E934)*0.5,"Низшая четверть",IF(N934&lt;SUMIFS(L:L,R:R,1,E:E,E934)/SUMIFS(K:K,R:R,1,E:E,E934),"Вторая четверть","Больше половины"))</f>
        <v/>
      </c>
      <c r="X934">
        <f>IF(O934&lt;SUMIFS(M:M,R:R,1,E:E,E934)/SUMIFS(L:L,R:R,1,E:E,E934)*0.5,"Низшая четверть",IF(O934&lt;SUMIFS(M:M,R:R,1,E:E,E934)/SUMIFS(L:L,R:R,1,E:E,E934),"Вторая четверть","Больше половины"))</f>
        <v/>
      </c>
      <c r="Y934" t="n">
        <v>19</v>
      </c>
    </row>
    <row r="935">
      <c r="A935" s="1" t="inlineStr">
        <is>
          <t>a6000720</t>
        </is>
      </c>
      <c r="B935" s="2" t="inlineStr">
        <is>
          <t>932503695</t>
        </is>
      </c>
      <c r="C935" s="3" t="inlineStr">
        <is>
          <t>Одежда для детей</t>
        </is>
      </c>
      <c r="D935" s="2" t="inlineStr">
        <is>
          <t>Платья, майки, футболки детские для девочек</t>
        </is>
      </c>
      <c r="E935" s="3" t="inlineStr">
        <is>
          <t>a60 Футболка детская для девочек</t>
        </is>
      </c>
      <c r="F935" s="2" t="inlineStr">
        <is>
          <t>всесезонный</t>
        </is>
      </c>
      <c r="G935" s="3" t="inlineStr">
        <is>
          <t>Kari KIDS</t>
        </is>
      </c>
      <c r="H935" s="2" t="inlineStr">
        <is>
          <t>Зиннуров Ильнур</t>
        </is>
      </c>
      <c r="J935" s="3" t="inlineStr">
        <is>
          <t>2026SS</t>
        </is>
      </c>
      <c r="K935" s="3" t="n">
        <v>1466</v>
      </c>
      <c r="L935" s="3" t="n">
        <v>47</v>
      </c>
      <c r="M935" s="3" t="n">
        <v>1</v>
      </c>
      <c r="N935" s="4">
        <f>IFERROR(L935/K935,0)</f>
        <v/>
      </c>
      <c r="O935" s="4">
        <f>IFERROR(M935/L935,0)</f>
        <v/>
      </c>
      <c r="P935" t="n">
        <v>1697</v>
      </c>
      <c r="Q935" s="5" t="n">
        <v>1</v>
      </c>
      <c r="R935" s="7" t="n">
        <v>1</v>
      </c>
      <c r="S935">
        <f>IF(OR(N935&lt;$T$1*0.5,O935&lt;$U$1*0.5),"код для проверки","нормальный код")</f>
        <v/>
      </c>
      <c r="T935">
        <f>IF(N935&lt;$T$1*0.5,"Низшая четверть",IF(N935&lt;$T$1,"Вторая четверть","Больше половины"))</f>
        <v/>
      </c>
      <c r="U935">
        <f>IF(O935&lt;$U$1*0.5,"Низшая четверть",IF(O935&lt;$U$1,"Вторая четверть","Больше половины"))</f>
        <v/>
      </c>
      <c r="V935">
        <f>IF(OR(N935&lt;SUMIFS(L:L,R:R,1,E:E,E935)/SUMIFS(K:K,R:R,1,E:E,E935)*0.5,O935&lt;SUMIFS(M:M,R:R,1,E:E,E935)/SUMIFS(L:L,R:R,1,E:E,E935)*0.5),"код для проверки","нормальный код")</f>
        <v/>
      </c>
      <c r="W935">
        <f>IF(N935&lt;SUMIFS(L:L,R:R,1,E:E,E935)/SUMIFS(K:K,R:R,1,E:E,E935)*0.5,"Низшая четверть",IF(N935&lt;SUMIFS(L:L,R:R,1,E:E,E935)/SUMIFS(K:K,R:R,1,E:E,E935),"Вторая четверть","Больше половины"))</f>
        <v/>
      </c>
      <c r="X935">
        <f>IF(O935&lt;SUMIFS(M:M,R:R,1,E:E,E935)/SUMIFS(L:L,R:R,1,E:E,E935)*0.5,"Низшая четверть",IF(O935&lt;SUMIFS(M:M,R:R,1,E:E,E935)/SUMIFS(L:L,R:R,1,E:E,E935),"Вторая четверть","Больше половины"))</f>
        <v/>
      </c>
      <c r="Y935" t="n">
        <v>8</v>
      </c>
    </row>
    <row r="936">
      <c r="A936" s="1" t="inlineStr">
        <is>
          <t>h7700200</t>
        </is>
      </c>
      <c r="B936" s="2" t="inlineStr">
        <is>
          <t>933664643</t>
        </is>
      </c>
      <c r="C936" s="3" t="inlineStr">
        <is>
          <t>Одежда и аксессуары</t>
        </is>
      </c>
      <c r="D936" s="2" t="inlineStr">
        <is>
          <t>Купальники женские</t>
        </is>
      </c>
      <c r="E936" s="3" t="inlineStr">
        <is>
          <t>h77 Одежда пляжная женская</t>
        </is>
      </c>
      <c r="F936" s="2" t="inlineStr">
        <is>
          <t>лето</t>
        </is>
      </c>
      <c r="G936" s="3" t="inlineStr">
        <is>
          <t>kari</t>
        </is>
      </c>
      <c r="H936" s="2" t="inlineStr">
        <is>
          <t>Зиннуров Ильнур</t>
        </is>
      </c>
      <c r="J936" s="3" t="inlineStr">
        <is>
          <t>2026SS</t>
        </is>
      </c>
      <c r="K936" s="3" t="n">
        <v>1466</v>
      </c>
      <c r="L936" s="3" t="n">
        <v>38</v>
      </c>
      <c r="M936" s="3" t="n">
        <v>1</v>
      </c>
      <c r="N936" s="4">
        <f>IFERROR(L936/K936,0)</f>
        <v/>
      </c>
      <c r="O936" s="4">
        <f>IFERROR(M936/L936,0)</f>
        <v/>
      </c>
      <c r="P936" t="n">
        <v>1837</v>
      </c>
      <c r="Q936" s="5" t="n">
        <v>1</v>
      </c>
      <c r="R936" s="7" t="n">
        <v>1</v>
      </c>
      <c r="S936">
        <f>IF(OR(N936&lt;$T$1*0.5,O936&lt;$U$1*0.5),"код для проверки","нормальный код")</f>
        <v/>
      </c>
      <c r="T936">
        <f>IF(N936&lt;$T$1*0.5,"Низшая четверть",IF(N936&lt;$T$1,"Вторая четверть","Больше половины"))</f>
        <v/>
      </c>
      <c r="U936">
        <f>IF(O936&lt;$U$1*0.5,"Низшая четверть",IF(O936&lt;$U$1,"Вторая четверть","Больше половины"))</f>
        <v/>
      </c>
      <c r="V936">
        <f>IF(OR(N936&lt;SUMIFS(L:L,R:R,1,E:E,E936)/SUMIFS(K:K,R:R,1,E:E,E936)*0.5,O936&lt;SUMIFS(M:M,R:R,1,E:E,E936)/SUMIFS(L:L,R:R,1,E:E,E936)*0.5),"код для проверки","нормальный код")</f>
        <v/>
      </c>
      <c r="W936">
        <f>IF(N936&lt;SUMIFS(L:L,R:R,1,E:E,E936)/SUMIFS(K:K,R:R,1,E:E,E936)*0.5,"Низшая четверть",IF(N936&lt;SUMIFS(L:L,R:R,1,E:E,E936)/SUMIFS(K:K,R:R,1,E:E,E936),"Вторая четверть","Больше половины"))</f>
        <v/>
      </c>
      <c r="X936">
        <f>IF(O936&lt;SUMIFS(M:M,R:R,1,E:E,E936)/SUMIFS(L:L,R:R,1,E:E,E936)*0.5,"Низшая четверть",IF(O936&lt;SUMIFS(M:M,R:R,1,E:E,E936)/SUMIFS(L:L,R:R,1,E:E,E936),"Вторая четверть","Больше половины"))</f>
        <v/>
      </c>
      <c r="Y936" t="n">
        <v>15</v>
      </c>
    </row>
    <row r="937">
      <c r="A937" s="1" t="inlineStr">
        <is>
          <t>19400250</t>
        </is>
      </c>
      <c r="B937" s="2" t="inlineStr">
        <is>
          <t>837332234</t>
        </is>
      </c>
      <c r="C937" s="3" t="inlineStr">
        <is>
          <t>Одежда для детей</t>
        </is>
      </c>
      <c r="D937" s="2" t="inlineStr">
        <is>
          <t>Брюки детские для девочек</t>
        </is>
      </c>
      <c r="E937" s="3" t="inlineStr">
        <is>
          <t>194 Шорты детские для девочек</t>
        </is>
      </c>
      <c r="F937" s="2" t="inlineStr">
        <is>
          <t>лето</t>
        </is>
      </c>
      <c r="G937" s="3" t="inlineStr">
        <is>
          <t>kari</t>
        </is>
      </c>
      <c r="H937" s="2" t="inlineStr">
        <is>
          <t>Зиннуров Ильнур</t>
        </is>
      </c>
      <c r="J937" s="3" t="inlineStr">
        <is>
          <t>2026SS</t>
        </is>
      </c>
      <c r="K937" s="3" t="n">
        <v>1463</v>
      </c>
      <c r="L937" s="3" t="n">
        <v>62</v>
      </c>
      <c r="M937" s="3" t="n">
        <v>6</v>
      </c>
      <c r="N937" s="4">
        <f>IFERROR(L937/K937,0)</f>
        <v/>
      </c>
      <c r="O937" s="4">
        <f>IFERROR(M937/L937,0)</f>
        <v/>
      </c>
      <c r="P937" t="n">
        <v>1410</v>
      </c>
      <c r="Q937" s="5" t="n">
        <v>1</v>
      </c>
      <c r="R937" s="7" t="n">
        <v>1</v>
      </c>
      <c r="S937">
        <f>IF(OR(N937&lt;$T$1*0.5,O937&lt;$U$1*0.5),"код для проверки","нормальный код")</f>
        <v/>
      </c>
      <c r="T937">
        <f>IF(N937&lt;$T$1*0.5,"Низшая четверть",IF(N937&lt;$T$1,"Вторая четверть","Больше половины"))</f>
        <v/>
      </c>
      <c r="U937">
        <f>IF(O937&lt;$U$1*0.5,"Низшая четверть",IF(O937&lt;$U$1,"Вторая четверть","Больше половины"))</f>
        <v/>
      </c>
      <c r="V937">
        <f>IF(OR(N937&lt;SUMIFS(L:L,R:R,1,E:E,E937)/SUMIFS(K:K,R:R,1,E:E,E937)*0.5,O937&lt;SUMIFS(M:M,R:R,1,E:E,E937)/SUMIFS(L:L,R:R,1,E:E,E937)*0.5),"код для проверки","нормальный код")</f>
        <v/>
      </c>
      <c r="W937">
        <f>IF(N937&lt;SUMIFS(L:L,R:R,1,E:E,E937)/SUMIFS(K:K,R:R,1,E:E,E937)*0.5,"Низшая четверть",IF(N937&lt;SUMIFS(L:L,R:R,1,E:E,E937)/SUMIFS(K:K,R:R,1,E:E,E937),"Вторая четверть","Больше половины"))</f>
        <v/>
      </c>
      <c r="X937">
        <f>IF(O937&lt;SUMIFS(M:M,R:R,1,E:E,E937)/SUMIFS(L:L,R:R,1,E:E,E937)*0.5,"Низшая четверть",IF(O937&lt;SUMIFS(M:M,R:R,1,E:E,E937)/SUMIFS(L:L,R:R,1,E:E,E937),"Вторая четверть","Больше половины"))</f>
        <v/>
      </c>
      <c r="Y937" t="n">
        <v>12</v>
      </c>
    </row>
    <row r="938">
      <c r="A938" s="1" t="inlineStr">
        <is>
          <t>a8900120</t>
        </is>
      </c>
      <c r="B938" s="2" t="inlineStr">
        <is>
          <t>762346831</t>
        </is>
      </c>
      <c r="C938" s="3" t="inlineStr">
        <is>
          <t>Одежда для детей</t>
        </is>
      </c>
      <c r="D938" s="2" t="inlineStr">
        <is>
          <t>Свитера детские для девочек</t>
        </is>
      </c>
      <c r="E938" s="3" t="inlineStr">
        <is>
          <t>a89 Свитшот для девочки</t>
        </is>
      </c>
      <c r="F938" s="2" t="inlineStr">
        <is>
          <t>весна, лето, осень</t>
        </is>
      </c>
      <c r="G938" s="3" t="inlineStr">
        <is>
          <t>kari</t>
        </is>
      </c>
      <c r="H938" s="2" t="inlineStr">
        <is>
          <t>Зиннуров Ильнур</t>
        </is>
      </c>
      <c r="J938" s="3" t="inlineStr">
        <is>
          <t>2026SS</t>
        </is>
      </c>
      <c r="K938" s="3" t="n">
        <v>1458</v>
      </c>
      <c r="L938" s="3" t="n">
        <v>98</v>
      </c>
      <c r="M938" s="3" t="n">
        <v>2</v>
      </c>
      <c r="N938" s="4">
        <f>IFERROR(L938/K938,0)</f>
        <v/>
      </c>
      <c r="O938" s="4">
        <f>IFERROR(M938/L938,0)</f>
        <v/>
      </c>
      <c r="P938" t="n">
        <v>688</v>
      </c>
      <c r="Q938" s="5" t="n">
        <v>1</v>
      </c>
      <c r="R938" s="7" t="n">
        <v>1</v>
      </c>
      <c r="S938">
        <f>IF(OR(N938&lt;$T$1*0.5,O938&lt;$U$1*0.5),"код для проверки","нормальный код")</f>
        <v/>
      </c>
      <c r="T938">
        <f>IF(N938&lt;$T$1*0.5,"Низшая четверть",IF(N938&lt;$T$1,"Вторая четверть","Больше половины"))</f>
        <v/>
      </c>
      <c r="U938">
        <f>IF(O938&lt;$U$1*0.5,"Низшая четверть",IF(O938&lt;$U$1,"Вторая четверть","Больше половины"))</f>
        <v/>
      </c>
      <c r="V938">
        <f>IF(OR(N938&lt;SUMIFS(L:L,R:R,1,E:E,E938)/SUMIFS(K:K,R:R,1,E:E,E938)*0.5,O938&lt;SUMIFS(M:M,R:R,1,E:E,E938)/SUMIFS(L:L,R:R,1,E:E,E938)*0.5),"код для проверки","нормальный код")</f>
        <v/>
      </c>
      <c r="W938">
        <f>IF(N938&lt;SUMIFS(L:L,R:R,1,E:E,E938)/SUMIFS(K:K,R:R,1,E:E,E938)*0.5,"Низшая четверть",IF(N938&lt;SUMIFS(L:L,R:R,1,E:E,E938)/SUMIFS(K:K,R:R,1,E:E,E938),"Вторая четверть","Больше половины"))</f>
        <v/>
      </c>
      <c r="X938">
        <f>IF(O938&lt;SUMIFS(M:M,R:R,1,E:E,E938)/SUMIFS(L:L,R:R,1,E:E,E938)*0.5,"Низшая четверть",IF(O938&lt;SUMIFS(M:M,R:R,1,E:E,E938)/SUMIFS(L:L,R:R,1,E:E,E938),"Вторая четверть","Больше половины"))</f>
        <v/>
      </c>
      <c r="Y938" t="n">
        <v>17</v>
      </c>
    </row>
    <row r="939">
      <c r="A939" s="1" t="inlineStr">
        <is>
          <t>a8300030</t>
        </is>
      </c>
      <c r="B939" s="2" t="inlineStr">
        <is>
          <t>695216081</t>
        </is>
      </c>
      <c r="C939" s="3" t="inlineStr">
        <is>
          <t>Одежда для детей</t>
        </is>
      </c>
      <c r="D939" s="2" t="inlineStr">
        <is>
          <t>Свитера детские для девочек</t>
        </is>
      </c>
      <c r="E939" s="3" t="inlineStr">
        <is>
          <t>a83 Толстовка-худи утепленная для девочек</t>
        </is>
      </c>
      <c r="F939" s="2" t="inlineStr">
        <is>
          <t>весна, осень, зима</t>
        </is>
      </c>
      <c r="G939" s="3" t="inlineStr">
        <is>
          <t>Kari KIDS</t>
        </is>
      </c>
      <c r="H939" s="2" t="inlineStr">
        <is>
          <t>Зиннуров Ильнур</t>
        </is>
      </c>
      <c r="J939" s="3" t="inlineStr">
        <is>
          <t>2026SS</t>
        </is>
      </c>
      <c r="K939" s="3" t="n">
        <v>1451</v>
      </c>
      <c r="L939" s="3" t="n">
        <v>52</v>
      </c>
      <c r="M939" s="3" t="n">
        <v>2</v>
      </c>
      <c r="N939" s="4">
        <f>IFERROR(L939/K939,0)</f>
        <v/>
      </c>
      <c r="O939" s="4">
        <f>IFERROR(M939/L939,0)</f>
        <v/>
      </c>
      <c r="P939" t="n">
        <v>305</v>
      </c>
      <c r="Q939" s="5" t="n">
        <v>1</v>
      </c>
      <c r="R939" s="7" t="n">
        <v>1</v>
      </c>
      <c r="S939">
        <f>IF(OR(N939&lt;$T$1*0.5,O939&lt;$U$1*0.5),"код для проверки","нормальный код")</f>
        <v/>
      </c>
      <c r="T939">
        <f>IF(N939&lt;$T$1*0.5,"Низшая четверть",IF(N939&lt;$T$1,"Вторая четверть","Больше половины"))</f>
        <v/>
      </c>
      <c r="U939">
        <f>IF(O939&lt;$U$1*0.5,"Низшая четверть",IF(O939&lt;$U$1,"Вторая четверть","Больше половины"))</f>
        <v/>
      </c>
      <c r="V939">
        <f>IF(OR(N939&lt;SUMIFS(L:L,R:R,1,E:E,E939)/SUMIFS(K:K,R:R,1,E:E,E939)*0.5,O939&lt;SUMIFS(M:M,R:R,1,E:E,E939)/SUMIFS(L:L,R:R,1,E:E,E939)*0.5),"код для проверки","нормальный код")</f>
        <v/>
      </c>
      <c r="W939">
        <f>IF(N939&lt;SUMIFS(L:L,R:R,1,E:E,E939)/SUMIFS(K:K,R:R,1,E:E,E939)*0.5,"Низшая четверть",IF(N939&lt;SUMIFS(L:L,R:R,1,E:E,E939)/SUMIFS(K:K,R:R,1,E:E,E939),"Вторая четверть","Больше половины"))</f>
        <v/>
      </c>
      <c r="X939">
        <f>IF(O939&lt;SUMIFS(M:M,R:R,1,E:E,E939)/SUMIFS(L:L,R:R,1,E:E,E939)*0.5,"Низшая четверть",IF(O939&lt;SUMIFS(M:M,R:R,1,E:E,E939)/SUMIFS(L:L,R:R,1,E:E,E939),"Вторая четверть","Больше половины"))</f>
        <v/>
      </c>
      <c r="Y939" t="n">
        <v>12</v>
      </c>
    </row>
    <row r="940">
      <c r="A940" s="1" t="inlineStr">
        <is>
          <t>30500090</t>
        </is>
      </c>
      <c r="B940" s="2" t="inlineStr">
        <is>
          <t>879308842</t>
        </is>
      </c>
      <c r="C940" s="3" t="inlineStr">
        <is>
          <t>Одежда для детей</t>
        </is>
      </c>
      <c r="D940" s="2" t="inlineStr">
        <is>
          <t>Брюки детские для девочек</t>
        </is>
      </c>
      <c r="E940" s="3" t="inlineStr">
        <is>
          <t>305 Комбинезон летний детский для девочек</t>
        </is>
      </c>
      <c r="F940" s="2" t="inlineStr">
        <is>
          <t>лето</t>
        </is>
      </c>
      <c r="G940" s="3" t="inlineStr">
        <is>
          <t>Kari KIDS</t>
        </is>
      </c>
      <c r="H940" s="2" t="inlineStr">
        <is>
          <t>Зиннуров Ильнур</t>
        </is>
      </c>
      <c r="J940" s="3" t="inlineStr">
        <is>
          <t>2026SS</t>
        </is>
      </c>
      <c r="K940" s="3" t="n">
        <v>1451</v>
      </c>
      <c r="L940" s="3" t="n">
        <v>35</v>
      </c>
      <c r="M940" s="3" t="n">
        <v>0</v>
      </c>
      <c r="N940" s="4">
        <f>IFERROR(L940/K940,0)</f>
        <v/>
      </c>
      <c r="O940" s="4">
        <f>IFERROR(M940/L940,0)</f>
        <v/>
      </c>
      <c r="P940" t="n">
        <v>439</v>
      </c>
      <c r="Q940" s="5" t="n">
        <v>1</v>
      </c>
      <c r="R940" s="7" t="n">
        <v>1</v>
      </c>
      <c r="S940">
        <f>IF(OR(N940&lt;$T$1*0.5,O940&lt;$U$1*0.5),"код для проверки","нормальный код")</f>
        <v/>
      </c>
      <c r="T940">
        <f>IF(N940&lt;$T$1*0.5,"Низшая четверть",IF(N940&lt;$T$1,"Вторая четверть","Больше половины"))</f>
        <v/>
      </c>
      <c r="U940">
        <f>IF(O940&lt;$U$1*0.5,"Низшая четверть",IF(O940&lt;$U$1,"Вторая четверть","Больше половины"))</f>
        <v/>
      </c>
      <c r="V940">
        <f>IF(OR(N940&lt;SUMIFS(L:L,R:R,1,E:E,E940)/SUMIFS(K:K,R:R,1,E:E,E940)*0.5,O940&lt;SUMIFS(M:M,R:R,1,E:E,E940)/SUMIFS(L:L,R:R,1,E:E,E940)*0.5),"код для проверки","нормальный код")</f>
        <v/>
      </c>
      <c r="W940">
        <f>IF(N940&lt;SUMIFS(L:L,R:R,1,E:E,E940)/SUMIFS(K:K,R:R,1,E:E,E940)*0.5,"Низшая четверть",IF(N940&lt;SUMIFS(L:L,R:R,1,E:E,E940)/SUMIFS(K:K,R:R,1,E:E,E940),"Вторая четверть","Больше половины"))</f>
        <v/>
      </c>
      <c r="X940">
        <f>IF(O940&lt;SUMIFS(M:M,R:R,1,E:E,E940)/SUMIFS(L:L,R:R,1,E:E,E940)*0.5,"Низшая четверть",IF(O940&lt;SUMIFS(M:M,R:R,1,E:E,E940)/SUMIFS(L:L,R:R,1,E:E,E940),"Вторая четверть","Больше половины"))</f>
        <v/>
      </c>
      <c r="Y940" t="n">
        <v>7</v>
      </c>
    </row>
    <row r="941">
      <c r="A941" s="1" t="inlineStr">
        <is>
          <t>23100070</t>
        </is>
      </c>
      <c r="B941" s="2" t="inlineStr">
        <is>
          <t>879308879</t>
        </is>
      </c>
      <c r="C941" s="3" t="inlineStr">
        <is>
          <t>Одежда для детей</t>
        </is>
      </c>
      <c r="D941" s="2" t="inlineStr">
        <is>
          <t>Нижнее белье детское для девочек</t>
        </is>
      </c>
      <c r="E941" s="3" t="inlineStr">
        <is>
          <t>231 Пижама детская для девочек</t>
        </is>
      </c>
      <c r="F941" s="2" t="inlineStr">
        <is>
          <t>всесезонный</t>
        </is>
      </c>
      <c r="G941" s="3" t="inlineStr">
        <is>
          <t>Kari KIDS</t>
        </is>
      </c>
      <c r="H941" s="2" t="inlineStr">
        <is>
          <t>Зиннуров Ильнур</t>
        </is>
      </c>
      <c r="J941" s="3" t="inlineStr">
        <is>
          <t>2026SS</t>
        </is>
      </c>
      <c r="K941" s="3" t="n">
        <v>1446</v>
      </c>
      <c r="L941" s="3" t="n">
        <v>70</v>
      </c>
      <c r="M941" s="3" t="n">
        <v>1</v>
      </c>
      <c r="N941" s="4">
        <f>IFERROR(L941/K941,0)</f>
        <v/>
      </c>
      <c r="O941" s="4">
        <f>IFERROR(M941/L941,0)</f>
        <v/>
      </c>
      <c r="P941" t="n">
        <v>601</v>
      </c>
      <c r="Q941" s="5" t="n">
        <v>1</v>
      </c>
      <c r="R941" s="7" t="n">
        <v>1</v>
      </c>
      <c r="S941">
        <f>IF(OR(N941&lt;$T$1*0.5,O941&lt;$U$1*0.5),"код для проверки","нормальный код")</f>
        <v/>
      </c>
      <c r="T941">
        <f>IF(N941&lt;$T$1*0.5,"Низшая четверть",IF(N941&lt;$T$1,"Вторая четверть","Больше половины"))</f>
        <v/>
      </c>
      <c r="U941">
        <f>IF(O941&lt;$U$1*0.5,"Низшая четверть",IF(O941&lt;$U$1,"Вторая четверть","Больше половины"))</f>
        <v/>
      </c>
      <c r="V941">
        <f>IF(OR(N941&lt;SUMIFS(L:L,R:R,1,E:E,E941)/SUMIFS(K:K,R:R,1,E:E,E941)*0.5,O941&lt;SUMIFS(M:M,R:R,1,E:E,E941)/SUMIFS(L:L,R:R,1,E:E,E941)*0.5),"код для проверки","нормальный код")</f>
        <v/>
      </c>
      <c r="W941">
        <f>IF(N941&lt;SUMIFS(L:L,R:R,1,E:E,E941)/SUMIFS(K:K,R:R,1,E:E,E941)*0.5,"Низшая четверть",IF(N941&lt;SUMIFS(L:L,R:R,1,E:E,E941)/SUMIFS(K:K,R:R,1,E:E,E941),"Вторая четверть","Больше половины"))</f>
        <v/>
      </c>
      <c r="X941">
        <f>IF(O941&lt;SUMIFS(M:M,R:R,1,E:E,E941)/SUMIFS(L:L,R:R,1,E:E,E941)*0.5,"Низшая четверть",IF(O941&lt;SUMIFS(M:M,R:R,1,E:E,E941)/SUMIFS(L:L,R:R,1,E:E,E941),"Вторая четверть","Больше половины"))</f>
        <v/>
      </c>
      <c r="Y941" t="n">
        <v>9</v>
      </c>
    </row>
    <row r="942">
      <c r="A942" s="1" t="inlineStr">
        <is>
          <t>19900010</t>
        </is>
      </c>
      <c r="B942" s="2" t="inlineStr">
        <is>
          <t>799453774</t>
        </is>
      </c>
      <c r="C942" s="3" t="inlineStr">
        <is>
          <t>Одежда и аксессуары</t>
        </is>
      </c>
      <c r="D942" s="2" t="inlineStr">
        <is>
          <t>Пиджаки, жакеты женские</t>
        </is>
      </c>
      <c r="E942" s="3" t="inlineStr">
        <is>
          <t>199 Пиджак женский</t>
        </is>
      </c>
      <c r="F942" s="2" t="inlineStr">
        <is>
          <t>всесезонный</t>
        </is>
      </c>
      <c r="G942" s="3" t="inlineStr">
        <is>
          <t>kari</t>
        </is>
      </c>
      <c r="H942" s="2" t="inlineStr">
        <is>
          <t>Зиннуров Ильнур</t>
        </is>
      </c>
      <c r="J942" s="3" t="inlineStr">
        <is>
          <t>2026SS</t>
        </is>
      </c>
      <c r="K942" s="3" t="n">
        <v>1446</v>
      </c>
      <c r="L942" s="3" t="n">
        <v>123</v>
      </c>
      <c r="M942" s="3" t="n">
        <v>2</v>
      </c>
      <c r="N942" s="4">
        <f>IFERROR(L942/K942,0)</f>
        <v/>
      </c>
      <c r="O942" s="4">
        <f>IFERROR(M942/L942,0)</f>
        <v/>
      </c>
      <c r="P942" t="n">
        <v>117</v>
      </c>
      <c r="Q942" s="5" t="n">
        <v>1</v>
      </c>
      <c r="R942" s="7" t="n">
        <v>1</v>
      </c>
      <c r="S942">
        <f>IF(OR(N942&lt;$T$1*0.5,O942&lt;$U$1*0.5),"код для проверки","нормальный код")</f>
        <v/>
      </c>
      <c r="T942">
        <f>IF(N942&lt;$T$1*0.5,"Низшая четверть",IF(N942&lt;$T$1,"Вторая четверть","Больше половины"))</f>
        <v/>
      </c>
      <c r="U942">
        <f>IF(O942&lt;$U$1*0.5,"Низшая четверть",IF(O942&lt;$U$1,"Вторая четверть","Больше половины"))</f>
        <v/>
      </c>
      <c r="V942">
        <f>IF(OR(N942&lt;SUMIFS(L:L,R:R,1,E:E,E942)/SUMIFS(K:K,R:R,1,E:E,E942)*0.5,O942&lt;SUMIFS(M:M,R:R,1,E:E,E942)/SUMIFS(L:L,R:R,1,E:E,E942)*0.5),"код для проверки","нормальный код")</f>
        <v/>
      </c>
      <c r="W942">
        <f>IF(N942&lt;SUMIFS(L:L,R:R,1,E:E,E942)/SUMIFS(K:K,R:R,1,E:E,E942)*0.5,"Низшая четверть",IF(N942&lt;SUMIFS(L:L,R:R,1,E:E,E942)/SUMIFS(K:K,R:R,1,E:E,E942),"Вторая четверть","Больше половины"))</f>
        <v/>
      </c>
      <c r="X942">
        <f>IF(O942&lt;SUMIFS(M:M,R:R,1,E:E,E942)/SUMIFS(L:L,R:R,1,E:E,E942)*0.5,"Низшая четверть",IF(O942&lt;SUMIFS(M:M,R:R,1,E:E,E942)/SUMIFS(L:L,R:R,1,E:E,E942),"Вторая четверть","Больше половины"))</f>
        <v/>
      </c>
      <c r="Y942" t="n">
        <v>23</v>
      </c>
    </row>
    <row r="943">
      <c r="A943" s="1" t="inlineStr">
        <is>
          <t>y9508010</t>
        </is>
      </c>
      <c r="B943" s="2" t="inlineStr">
        <is>
          <t>360618265</t>
        </is>
      </c>
      <c r="C943" s="3" t="inlineStr">
        <is>
          <t>Одежда и аксессуары</t>
        </is>
      </c>
      <c r="D943" s="2" t="inlineStr">
        <is>
          <t>Свитера женские</t>
        </is>
      </c>
      <c r="E943" s="3" t="inlineStr">
        <is>
          <t>h12 Толстовка женская</t>
        </is>
      </c>
      <c r="F943" s="2" t="inlineStr">
        <is>
          <t>всесезонный</t>
        </is>
      </c>
      <c r="G943" s="3" t="inlineStr">
        <is>
          <t>kari</t>
        </is>
      </c>
      <c r="H943" s="2" t="inlineStr">
        <is>
          <t>Зиннуров Ильнур</t>
        </is>
      </c>
      <c r="J943" s="3" t="inlineStr">
        <is>
          <t>2026SS</t>
        </is>
      </c>
      <c r="K943" s="3" t="n">
        <v>1441</v>
      </c>
      <c r="L943" s="3" t="n">
        <v>73</v>
      </c>
      <c r="M943" s="3" t="n">
        <v>1</v>
      </c>
      <c r="N943" s="4">
        <f>IFERROR(L943/K943,0)</f>
        <v/>
      </c>
      <c r="O943" s="4">
        <f>IFERROR(M943/L943,0)</f>
        <v/>
      </c>
      <c r="P943" t="n">
        <v>58</v>
      </c>
      <c r="Q943" s="5" t="n">
        <v>0.4</v>
      </c>
      <c r="R943" s="7" t="n">
        <v>1</v>
      </c>
      <c r="S943">
        <f>IF(OR(N943&lt;$T$1*0.5,O943&lt;$U$1*0.5),"код для проверки","нормальный код")</f>
        <v/>
      </c>
      <c r="T943">
        <f>IF(N943&lt;$T$1*0.5,"Низшая четверть",IF(N943&lt;$T$1,"Вторая четверть","Больше половины"))</f>
        <v/>
      </c>
      <c r="U943">
        <f>IF(O943&lt;$U$1*0.5,"Низшая четверть",IF(O943&lt;$U$1,"Вторая четверть","Больше половины"))</f>
        <v/>
      </c>
      <c r="V943">
        <f>IF(OR(N943&lt;SUMIFS(L:L,R:R,1,E:E,E943)/SUMIFS(K:K,R:R,1,E:E,E943)*0.5,O943&lt;SUMIFS(M:M,R:R,1,E:E,E943)/SUMIFS(L:L,R:R,1,E:E,E943)*0.5),"код для проверки","нормальный код")</f>
        <v/>
      </c>
      <c r="W943">
        <f>IF(N943&lt;SUMIFS(L:L,R:R,1,E:E,E943)/SUMIFS(K:K,R:R,1,E:E,E943)*0.5,"Низшая четверть",IF(N943&lt;SUMIFS(L:L,R:R,1,E:E,E943)/SUMIFS(K:K,R:R,1,E:E,E943),"Вторая четверть","Больше половины"))</f>
        <v/>
      </c>
      <c r="X943">
        <f>IF(O943&lt;SUMIFS(M:M,R:R,1,E:E,E943)/SUMIFS(L:L,R:R,1,E:E,E943)*0.5,"Низшая четверть",IF(O943&lt;SUMIFS(M:M,R:R,1,E:E,E943)/SUMIFS(L:L,R:R,1,E:E,E943),"Вторая четверть","Больше половины"))</f>
        <v/>
      </c>
      <c r="Y943" t="n">
        <v>8</v>
      </c>
    </row>
    <row r="944">
      <c r="A944" s="1" t="inlineStr">
        <is>
          <t>19300470</t>
        </is>
      </c>
      <c r="B944" s="2" t="inlineStr">
        <is>
          <t>837332278</t>
        </is>
      </c>
      <c r="C944" s="3" t="inlineStr">
        <is>
          <t>Одежда для детей</t>
        </is>
      </c>
      <c r="D944" s="2" t="inlineStr">
        <is>
          <t>Брюки детские для мальчиков</t>
        </is>
      </c>
      <c r="E944" s="3" t="inlineStr">
        <is>
          <t>193 Шорты детские для мальчиков</t>
        </is>
      </c>
      <c r="F944" s="2" t="inlineStr">
        <is>
          <t>лето</t>
        </is>
      </c>
      <c r="G944" s="3" t="inlineStr">
        <is>
          <t>kari</t>
        </is>
      </c>
      <c r="H944" s="2" t="inlineStr">
        <is>
          <t>Зиннуров Ильнур</t>
        </is>
      </c>
      <c r="J944" s="3" t="inlineStr">
        <is>
          <t>2026SS</t>
        </is>
      </c>
      <c r="K944" s="3" t="n">
        <v>1441</v>
      </c>
      <c r="L944" s="3" t="n">
        <v>100</v>
      </c>
      <c r="M944" s="3" t="n">
        <v>8</v>
      </c>
      <c r="N944" s="4">
        <f>IFERROR(L944/K944,0)</f>
        <v/>
      </c>
      <c r="O944" s="4">
        <f>IFERROR(M944/L944,0)</f>
        <v/>
      </c>
      <c r="P944" t="n">
        <v>912</v>
      </c>
      <c r="Q944" s="5" t="n">
        <v>1</v>
      </c>
      <c r="R944" s="7" t="n">
        <v>1</v>
      </c>
      <c r="S944">
        <f>IF(OR(N944&lt;$T$1*0.5,O944&lt;$U$1*0.5),"код для проверки","нормальный код")</f>
        <v/>
      </c>
      <c r="T944">
        <f>IF(N944&lt;$T$1*0.5,"Низшая четверть",IF(N944&lt;$T$1,"Вторая четверть","Больше половины"))</f>
        <v/>
      </c>
      <c r="U944">
        <f>IF(O944&lt;$U$1*0.5,"Низшая четверть",IF(O944&lt;$U$1,"Вторая четверть","Больше половины"))</f>
        <v/>
      </c>
      <c r="V944">
        <f>IF(OR(N944&lt;SUMIFS(L:L,R:R,1,E:E,E944)/SUMIFS(K:K,R:R,1,E:E,E944)*0.5,O944&lt;SUMIFS(M:M,R:R,1,E:E,E944)/SUMIFS(L:L,R:R,1,E:E,E944)*0.5),"код для проверки","нормальный код")</f>
        <v/>
      </c>
      <c r="W944">
        <f>IF(N944&lt;SUMIFS(L:L,R:R,1,E:E,E944)/SUMIFS(K:K,R:R,1,E:E,E944)*0.5,"Низшая четверть",IF(N944&lt;SUMIFS(L:L,R:R,1,E:E,E944)/SUMIFS(K:K,R:R,1,E:E,E944),"Вторая четверть","Больше половины"))</f>
        <v/>
      </c>
      <c r="X944">
        <f>IF(O944&lt;SUMIFS(M:M,R:R,1,E:E,E944)/SUMIFS(L:L,R:R,1,E:E,E944)*0.5,"Низшая четверть",IF(O944&lt;SUMIFS(M:M,R:R,1,E:E,E944)/SUMIFS(L:L,R:R,1,E:E,E944),"Вторая четверть","Больше половины"))</f>
        <v/>
      </c>
      <c r="Y944" t="n">
        <v>17</v>
      </c>
    </row>
    <row r="945">
      <c r="A945" s="1" t="inlineStr">
        <is>
          <t>a7900010</t>
        </is>
      </c>
      <c r="B945" s="2" t="inlineStr">
        <is>
          <t>695348202</t>
        </is>
      </c>
      <c r="C945" s="3" t="inlineStr">
        <is>
          <t>Одежда для детей</t>
        </is>
      </c>
      <c r="D945" s="2" t="inlineStr">
        <is>
          <t>Свитера детские для мальчиков</t>
        </is>
      </c>
      <c r="E945" s="3" t="inlineStr">
        <is>
          <t>a79 Толстовка-бомбер утепленная для мальчиков</t>
        </is>
      </c>
      <c r="F945" s="2" t="inlineStr">
        <is>
          <t>весна, осень, зима</t>
        </is>
      </c>
      <c r="G945" s="3" t="inlineStr">
        <is>
          <t>Kari KIDS</t>
        </is>
      </c>
      <c r="H945" s="2" t="inlineStr">
        <is>
          <t>Зиннуров Ильнур</t>
        </is>
      </c>
      <c r="J945" s="3" t="inlineStr">
        <is>
          <t>2026SS</t>
        </is>
      </c>
      <c r="K945" s="3" t="n">
        <v>1440</v>
      </c>
      <c r="L945" s="3" t="n">
        <v>714</v>
      </c>
      <c r="M945" s="3" t="n">
        <v>0</v>
      </c>
      <c r="N945" s="4">
        <f>IFERROR(L945/K945,0)</f>
        <v/>
      </c>
      <c r="O945" s="4">
        <f>IFERROR(M945/L945,0)</f>
        <v/>
      </c>
      <c r="P945" t="n">
        <v>166</v>
      </c>
      <c r="Q945" s="5" t="n">
        <v>0.6</v>
      </c>
      <c r="R945" s="7" t="n">
        <v>1</v>
      </c>
      <c r="S945">
        <f>IF(OR(N945&lt;$T$1*0.5,O945&lt;$U$1*0.5),"код для проверки","нормальный код")</f>
        <v/>
      </c>
      <c r="T945">
        <f>IF(N945&lt;$T$1*0.5,"Низшая четверть",IF(N945&lt;$T$1,"Вторая четверть","Больше половины"))</f>
        <v/>
      </c>
      <c r="U945">
        <f>IF(O945&lt;$U$1*0.5,"Низшая четверть",IF(O945&lt;$U$1,"Вторая четверть","Больше половины"))</f>
        <v/>
      </c>
      <c r="V945">
        <f>IF(OR(N945&lt;SUMIFS(L:L,R:R,1,E:E,E945)/SUMIFS(K:K,R:R,1,E:E,E945)*0.5,O945&lt;SUMIFS(M:M,R:R,1,E:E,E945)/SUMIFS(L:L,R:R,1,E:E,E945)*0.5),"код для проверки","нормальный код")</f>
        <v/>
      </c>
      <c r="W945">
        <f>IF(N945&lt;SUMIFS(L:L,R:R,1,E:E,E945)/SUMIFS(K:K,R:R,1,E:E,E945)*0.5,"Низшая четверть",IF(N945&lt;SUMIFS(L:L,R:R,1,E:E,E945)/SUMIFS(K:K,R:R,1,E:E,E945),"Вторая четверть","Больше половины"))</f>
        <v/>
      </c>
      <c r="X945">
        <f>IF(O945&lt;SUMIFS(M:M,R:R,1,E:E,E945)/SUMIFS(L:L,R:R,1,E:E,E945)*0.5,"Низшая четверть",IF(O945&lt;SUMIFS(M:M,R:R,1,E:E,E945)/SUMIFS(L:L,R:R,1,E:E,E945),"Вторая четверть","Больше половины"))</f>
        <v/>
      </c>
      <c r="Y945" t="n">
        <v>14</v>
      </c>
    </row>
    <row r="946">
      <c r="A946" s="1" t="inlineStr">
        <is>
          <t>55300150</t>
        </is>
      </c>
      <c r="B946" s="2" t="inlineStr">
        <is>
          <t>850546574</t>
        </is>
      </c>
      <c r="C946" s="3" t="inlineStr">
        <is>
          <t>Одежда для детей</t>
        </is>
      </c>
      <c r="D946" s="2" t="inlineStr">
        <is>
          <t>Брюки детские для мальчиков</t>
        </is>
      </c>
      <c r="E946" s="3" t="inlineStr">
        <is>
          <t>553 Брюки детские для мальчиков</t>
        </is>
      </c>
      <c r="F946" s="2" t="inlineStr">
        <is>
          <t>всесезонный</t>
        </is>
      </c>
      <c r="G946" s="3" t="inlineStr">
        <is>
          <t>kari</t>
        </is>
      </c>
      <c r="H946" s="2" t="inlineStr">
        <is>
          <t>Зиннуров Ильнур</t>
        </is>
      </c>
      <c r="J946" s="3" t="inlineStr">
        <is>
          <t>2026SS</t>
        </is>
      </c>
      <c r="K946" s="3" t="n">
        <v>1435</v>
      </c>
      <c r="L946" s="3" t="n">
        <v>39</v>
      </c>
      <c r="M946" s="3" t="n">
        <v>2</v>
      </c>
      <c r="N946" s="4">
        <f>IFERROR(L946/K946,0)</f>
        <v/>
      </c>
      <c r="O946" s="4">
        <f>IFERROR(M946/L946,0)</f>
        <v/>
      </c>
      <c r="P946" t="n">
        <v>513</v>
      </c>
      <c r="Q946" s="5" t="n">
        <v>1</v>
      </c>
      <c r="R946" s="7" t="n">
        <v>1</v>
      </c>
      <c r="S946">
        <f>IF(OR(N946&lt;$T$1*0.5,O946&lt;$U$1*0.5),"код для проверки","нормальный код")</f>
        <v/>
      </c>
      <c r="T946">
        <f>IF(N946&lt;$T$1*0.5,"Низшая четверть",IF(N946&lt;$T$1,"Вторая четверть","Больше половины"))</f>
        <v/>
      </c>
      <c r="U946">
        <f>IF(O946&lt;$U$1*0.5,"Низшая четверть",IF(O946&lt;$U$1,"Вторая четверть","Больше половины"))</f>
        <v/>
      </c>
      <c r="V946">
        <f>IF(OR(N946&lt;SUMIFS(L:L,R:R,1,E:E,E946)/SUMIFS(K:K,R:R,1,E:E,E946)*0.5,O946&lt;SUMIFS(M:M,R:R,1,E:E,E946)/SUMIFS(L:L,R:R,1,E:E,E946)*0.5),"код для проверки","нормальный код")</f>
        <v/>
      </c>
      <c r="W946">
        <f>IF(N946&lt;SUMIFS(L:L,R:R,1,E:E,E946)/SUMIFS(K:K,R:R,1,E:E,E946)*0.5,"Низшая четверть",IF(N946&lt;SUMIFS(L:L,R:R,1,E:E,E946)/SUMIFS(K:K,R:R,1,E:E,E946),"Вторая четверть","Больше половины"))</f>
        <v/>
      </c>
      <c r="X946">
        <f>IF(O946&lt;SUMIFS(M:M,R:R,1,E:E,E946)/SUMIFS(L:L,R:R,1,E:E,E946)*0.5,"Низшая четверть",IF(O946&lt;SUMIFS(M:M,R:R,1,E:E,E946)/SUMIFS(L:L,R:R,1,E:E,E946),"Вторая четверть","Больше половины"))</f>
        <v/>
      </c>
      <c r="Y946" t="n">
        <v>10</v>
      </c>
    </row>
    <row r="947">
      <c r="A947" s="1" t="inlineStr">
        <is>
          <t>30400080</t>
        </is>
      </c>
      <c r="B947" s="2" t="inlineStr">
        <is>
          <t>734171230</t>
        </is>
      </c>
      <c r="C947" s="3" t="inlineStr">
        <is>
          <t>Одежда и аксессуары</t>
        </is>
      </c>
      <c r="D947" s="2" t="inlineStr">
        <is>
          <t>Майки и платья женские</t>
        </is>
      </c>
      <c r="E947" s="3" t="inlineStr">
        <is>
          <t>304 Юбка женская</t>
        </is>
      </c>
      <c r="F947" s="2" t="inlineStr">
        <is>
          <t>всесезонный</t>
        </is>
      </c>
      <c r="G947" s="3" t="inlineStr">
        <is>
          <t>kari</t>
        </is>
      </c>
      <c r="H947" s="2" t="inlineStr">
        <is>
          <t>Зиннуров Ильнур</t>
        </is>
      </c>
      <c r="J947" s="3" t="inlineStr">
        <is>
          <t>2026SS</t>
        </is>
      </c>
      <c r="K947" s="3" t="n">
        <v>1428</v>
      </c>
      <c r="L947" s="3" t="n">
        <v>110</v>
      </c>
      <c r="M947" s="3" t="n">
        <v>9</v>
      </c>
      <c r="N947" s="4">
        <f>IFERROR(L947/K947,0)</f>
        <v/>
      </c>
      <c r="O947" s="4">
        <f>IFERROR(M947/L947,0)</f>
        <v/>
      </c>
      <c r="P947" t="n">
        <v>200</v>
      </c>
      <c r="Q947" s="5" t="n">
        <v>1</v>
      </c>
      <c r="R947" s="7" t="n">
        <v>1</v>
      </c>
      <c r="S947">
        <f>IF(OR(N947&lt;$T$1*0.5,O947&lt;$U$1*0.5),"код для проверки","нормальный код")</f>
        <v/>
      </c>
      <c r="T947">
        <f>IF(N947&lt;$T$1*0.5,"Низшая четверть",IF(N947&lt;$T$1,"Вторая четверть","Больше половины"))</f>
        <v/>
      </c>
      <c r="U947">
        <f>IF(O947&lt;$U$1*0.5,"Низшая четверть",IF(O947&lt;$U$1,"Вторая четверть","Больше половины"))</f>
        <v/>
      </c>
      <c r="V947">
        <f>IF(OR(N947&lt;SUMIFS(L:L,R:R,1,E:E,E947)/SUMIFS(K:K,R:R,1,E:E,E947)*0.5,O947&lt;SUMIFS(M:M,R:R,1,E:E,E947)/SUMIFS(L:L,R:R,1,E:E,E947)*0.5),"код для проверки","нормальный код")</f>
        <v/>
      </c>
      <c r="W947">
        <f>IF(N947&lt;SUMIFS(L:L,R:R,1,E:E,E947)/SUMIFS(K:K,R:R,1,E:E,E947)*0.5,"Низшая четверть",IF(N947&lt;SUMIFS(L:L,R:R,1,E:E,E947)/SUMIFS(K:K,R:R,1,E:E,E947),"Вторая четверть","Больше половины"))</f>
        <v/>
      </c>
      <c r="X947">
        <f>IF(O947&lt;SUMIFS(M:M,R:R,1,E:E,E947)/SUMIFS(L:L,R:R,1,E:E,E947)*0.5,"Низшая четверть",IF(O947&lt;SUMIFS(M:M,R:R,1,E:E,E947)/SUMIFS(L:L,R:R,1,E:E,E947),"Вторая четверть","Больше половины"))</f>
        <v/>
      </c>
      <c r="Y947" t="n">
        <v>18</v>
      </c>
    </row>
    <row r="948">
      <c r="A948" s="1" t="inlineStr">
        <is>
          <t>94700100</t>
        </is>
      </c>
      <c r="B948" s="2" t="inlineStr">
        <is>
          <t>925974925</t>
        </is>
      </c>
      <c r="C948" s="3" t="inlineStr">
        <is>
          <t>Одежда для детей</t>
        </is>
      </c>
      <c r="D948" s="2" t="inlineStr">
        <is>
          <t>Одежда для новорожденных</t>
        </is>
      </c>
      <c r="E948" s="3" t="inlineStr">
        <is>
          <t>947 Ромпер для девочки</t>
        </is>
      </c>
      <c r="F948" s="2" t="inlineStr">
        <is>
          <t>лето</t>
        </is>
      </c>
      <c r="G948" s="3" t="inlineStr">
        <is>
          <t>Kari baby</t>
        </is>
      </c>
      <c r="H948" s="2" t="inlineStr">
        <is>
          <t>Зиннуров Ильнур</t>
        </is>
      </c>
      <c r="J948" s="3" t="inlineStr">
        <is>
          <t>2026SS</t>
        </is>
      </c>
      <c r="K948" s="3" t="n">
        <v>1425</v>
      </c>
      <c r="L948" s="3" t="n">
        <v>302</v>
      </c>
      <c r="M948" s="3" t="n">
        <v>0</v>
      </c>
      <c r="N948" s="4">
        <f>IFERROR(L948/K948,0)</f>
        <v/>
      </c>
      <c r="O948" s="4">
        <f>IFERROR(M948/L948,0)</f>
        <v/>
      </c>
      <c r="P948" t="n">
        <v>389</v>
      </c>
      <c r="Q948" s="5" t="n">
        <v>1</v>
      </c>
      <c r="R948" s="7" t="n">
        <v>1</v>
      </c>
      <c r="S948">
        <f>IF(OR(N948&lt;$T$1*0.5,O948&lt;$U$1*0.5),"код для проверки","нормальный код")</f>
        <v/>
      </c>
      <c r="T948">
        <f>IF(N948&lt;$T$1*0.5,"Низшая четверть",IF(N948&lt;$T$1,"Вторая четверть","Больше половины"))</f>
        <v/>
      </c>
      <c r="U948">
        <f>IF(O948&lt;$U$1*0.5,"Низшая четверть",IF(O948&lt;$U$1,"Вторая четверть","Больше половины"))</f>
        <v/>
      </c>
      <c r="V948">
        <f>IF(OR(N948&lt;SUMIFS(L:L,R:R,1,E:E,E948)/SUMIFS(K:K,R:R,1,E:E,E948)*0.5,O948&lt;SUMIFS(M:M,R:R,1,E:E,E948)/SUMIFS(L:L,R:R,1,E:E,E948)*0.5),"код для проверки","нормальный код")</f>
        <v/>
      </c>
      <c r="W948">
        <f>IF(N948&lt;SUMIFS(L:L,R:R,1,E:E,E948)/SUMIFS(K:K,R:R,1,E:E,E948)*0.5,"Низшая четверть",IF(N948&lt;SUMIFS(L:L,R:R,1,E:E,E948)/SUMIFS(K:K,R:R,1,E:E,E948),"Вторая четверть","Больше половины"))</f>
        <v/>
      </c>
      <c r="X948">
        <f>IF(O948&lt;SUMIFS(M:M,R:R,1,E:E,E948)/SUMIFS(L:L,R:R,1,E:E,E948)*0.5,"Низшая четверть",IF(O948&lt;SUMIFS(M:M,R:R,1,E:E,E948)/SUMIFS(L:L,R:R,1,E:E,E948),"Вторая четверть","Больше половины"))</f>
        <v/>
      </c>
      <c r="Y948" t="n">
        <v>16</v>
      </c>
    </row>
    <row r="949">
      <c r="A949" s="1" t="inlineStr">
        <is>
          <t>h1300070</t>
        </is>
      </c>
      <c r="B949" s="2" t="inlineStr">
        <is>
          <t>732579197</t>
        </is>
      </c>
      <c r="C949" s="3" t="inlineStr">
        <is>
          <t>Одежда и аксессуары</t>
        </is>
      </c>
      <c r="D949" s="2" t="inlineStr">
        <is>
          <t>Брюки, шорты женские</t>
        </is>
      </c>
      <c r="E949" s="3" t="inlineStr">
        <is>
          <t>h13 Шорты женские</t>
        </is>
      </c>
      <c r="F949" s="2" t="inlineStr">
        <is>
          <t>весна, лето</t>
        </is>
      </c>
      <c r="G949" s="3" t="inlineStr">
        <is>
          <t>kari</t>
        </is>
      </c>
      <c r="H949" s="2" t="inlineStr">
        <is>
          <t>Зиннуров Ильнур</t>
        </is>
      </c>
      <c r="J949" s="3" t="inlineStr">
        <is>
          <t>2026SS</t>
        </is>
      </c>
      <c r="K949" s="3" t="n">
        <v>1423</v>
      </c>
      <c r="L949" s="3" t="n">
        <v>90</v>
      </c>
      <c r="M949" s="3" t="n">
        <v>2</v>
      </c>
      <c r="N949" s="4">
        <f>IFERROR(L949/K949,0)</f>
        <v/>
      </c>
      <c r="O949" s="4">
        <f>IFERROR(M949/L949,0)</f>
        <v/>
      </c>
      <c r="P949" t="n">
        <v>676</v>
      </c>
      <c r="Q949" s="5" t="n">
        <v>1</v>
      </c>
      <c r="R949" s="7" t="n">
        <v>1</v>
      </c>
      <c r="S949">
        <f>IF(OR(N949&lt;$T$1*0.5,O949&lt;$U$1*0.5),"код для проверки","нормальный код")</f>
        <v/>
      </c>
      <c r="T949">
        <f>IF(N949&lt;$T$1*0.5,"Низшая четверть",IF(N949&lt;$T$1,"Вторая четверть","Больше половины"))</f>
        <v/>
      </c>
      <c r="U949">
        <f>IF(O949&lt;$U$1*0.5,"Низшая четверть",IF(O949&lt;$U$1,"Вторая четверть","Больше половины"))</f>
        <v/>
      </c>
      <c r="V949">
        <f>IF(OR(N949&lt;SUMIFS(L:L,R:R,1,E:E,E949)/SUMIFS(K:K,R:R,1,E:E,E949)*0.5,O949&lt;SUMIFS(M:M,R:R,1,E:E,E949)/SUMIFS(L:L,R:R,1,E:E,E949)*0.5),"код для проверки","нормальный код")</f>
        <v/>
      </c>
      <c r="W949">
        <f>IF(N949&lt;SUMIFS(L:L,R:R,1,E:E,E949)/SUMIFS(K:K,R:R,1,E:E,E949)*0.5,"Низшая четверть",IF(N949&lt;SUMIFS(L:L,R:R,1,E:E,E949)/SUMIFS(K:K,R:R,1,E:E,E949),"Вторая четверть","Больше половины"))</f>
        <v/>
      </c>
      <c r="X949">
        <f>IF(O949&lt;SUMIFS(M:M,R:R,1,E:E,E949)/SUMIFS(L:L,R:R,1,E:E,E949)*0.5,"Низшая четверть",IF(O949&lt;SUMIFS(M:M,R:R,1,E:E,E949)/SUMIFS(L:L,R:R,1,E:E,E949),"Вторая четверть","Больше половины"))</f>
        <v/>
      </c>
      <c r="Y949" t="n">
        <v>21</v>
      </c>
    </row>
    <row r="950">
      <c r="A950" s="1" t="inlineStr">
        <is>
          <t>20200310</t>
        </is>
      </c>
      <c r="B950" s="2" t="inlineStr">
        <is>
          <t>760592148</t>
        </is>
      </c>
      <c r="C950" s="3" t="inlineStr">
        <is>
          <t>Одежда для детей</t>
        </is>
      </c>
      <c r="D950" s="2" t="inlineStr">
        <is>
          <t>Головные уборы детские для мальчиков</t>
        </is>
      </c>
      <c r="E950" s="3" t="inlineStr">
        <is>
          <t>202 Бейсболка детская для мальчиков</t>
        </is>
      </c>
      <c r="F950" s="2" t="inlineStr">
        <is>
          <t>весна, лето</t>
        </is>
      </c>
      <c r="G950" s="3" t="inlineStr">
        <is>
          <t>kari</t>
        </is>
      </c>
      <c r="H950" s="2" t="inlineStr">
        <is>
          <t>Никонорова Алина</t>
        </is>
      </c>
      <c r="J950" s="3" t="inlineStr">
        <is>
          <t>2026SS</t>
        </is>
      </c>
      <c r="K950" s="3" t="n">
        <v>1414</v>
      </c>
      <c r="L950" s="3" t="n">
        <v>270</v>
      </c>
      <c r="M950" s="3" t="n">
        <v>3</v>
      </c>
      <c r="N950" s="4">
        <f>IFERROR(L950/K950,0)</f>
        <v/>
      </c>
      <c r="O950" s="4">
        <f>IFERROR(M950/L950,0)</f>
        <v/>
      </c>
      <c r="P950" t="n">
        <v>494</v>
      </c>
      <c r="Q950" s="5" t="n">
        <v>1</v>
      </c>
      <c r="R950" s="7" t="n">
        <v>1</v>
      </c>
      <c r="S950">
        <f>IF(OR(N950&lt;$T$1*0.5,O950&lt;$U$1*0.5),"код для проверки","нормальный код")</f>
        <v/>
      </c>
      <c r="T950">
        <f>IF(N950&lt;$T$1*0.5,"Низшая четверть",IF(N950&lt;$T$1,"Вторая четверть","Больше половины"))</f>
        <v/>
      </c>
      <c r="U950">
        <f>IF(O950&lt;$U$1*0.5,"Низшая четверть",IF(O950&lt;$U$1,"Вторая четверть","Больше половины"))</f>
        <v/>
      </c>
      <c r="V950">
        <f>IF(OR(N950&lt;SUMIFS(L:L,R:R,1,E:E,E950)/SUMIFS(K:K,R:R,1,E:E,E950)*0.5,O950&lt;SUMIFS(M:M,R:R,1,E:E,E950)/SUMIFS(L:L,R:R,1,E:E,E950)*0.5),"код для проверки","нормальный код")</f>
        <v/>
      </c>
      <c r="W950">
        <f>IF(N950&lt;SUMIFS(L:L,R:R,1,E:E,E950)/SUMIFS(K:K,R:R,1,E:E,E950)*0.5,"Низшая четверть",IF(N950&lt;SUMIFS(L:L,R:R,1,E:E,E950)/SUMIFS(K:K,R:R,1,E:E,E950),"Вторая четверть","Больше половины"))</f>
        <v/>
      </c>
      <c r="X950">
        <f>IF(O950&lt;SUMIFS(M:M,R:R,1,E:E,E950)/SUMIFS(L:L,R:R,1,E:E,E950)*0.5,"Низшая четверть",IF(O950&lt;SUMIFS(M:M,R:R,1,E:E,E950)/SUMIFS(L:L,R:R,1,E:E,E950),"Вторая четверть","Больше половины"))</f>
        <v/>
      </c>
      <c r="Y950" t="n">
        <v>9</v>
      </c>
    </row>
    <row r="951">
      <c r="A951" s="1" t="inlineStr">
        <is>
          <t>20100170</t>
        </is>
      </c>
      <c r="B951" s="2" t="inlineStr">
        <is>
          <t>371244718</t>
        </is>
      </c>
      <c r="C951" s="3" t="inlineStr">
        <is>
          <t>Одежда для детей</t>
        </is>
      </c>
      <c r="D951" s="2" t="inlineStr">
        <is>
          <t>Головные детские уборы для девочек</t>
        </is>
      </c>
      <c r="E951" s="3" t="inlineStr">
        <is>
          <t>201 Бейсболка детская для девочек</t>
        </is>
      </c>
      <c r="F951" s="2" t="inlineStr">
        <is>
          <t>весна, лето</t>
        </is>
      </c>
      <c r="G951" s="3" t="inlineStr">
        <is>
          <t>kari</t>
        </is>
      </c>
      <c r="H951" s="2" t="inlineStr">
        <is>
          <t>Никонорова Алина</t>
        </is>
      </c>
      <c r="J951" s="3" t="inlineStr">
        <is>
          <t>2026SS</t>
        </is>
      </c>
      <c r="K951" s="3" t="n">
        <v>1414</v>
      </c>
      <c r="L951" s="3" t="n">
        <v>265</v>
      </c>
      <c r="M951" s="3" t="n">
        <v>14</v>
      </c>
      <c r="N951" s="4">
        <f>IFERROR(L951/K951,0)</f>
        <v/>
      </c>
      <c r="O951" s="4">
        <f>IFERROR(M951/L951,0)</f>
        <v/>
      </c>
      <c r="P951" t="n">
        <v>0</v>
      </c>
      <c r="Q951" s="5" t="n">
        <v>0</v>
      </c>
      <c r="R951" s="7" t="n">
        <v>0</v>
      </c>
      <c r="S951" t="inlineStr">
        <is>
          <t>Мало остатка</t>
        </is>
      </c>
      <c r="T951">
        <f>IF(N951&lt;$T$1*0.5,"Низшая четверть",IF(N951&lt;$T$1,"Вторая четверть","Больше половины"))</f>
        <v/>
      </c>
      <c r="U951">
        <f>IF(O951&lt;$U$1*0.5,"Низшая четверть",IF(O951&lt;$U$1,"Вторая четверть","Больше половины"))</f>
        <v/>
      </c>
      <c r="V951">
        <f>IF(OR(N951&lt;SUMIFS(L:L,R:R,1,E:E,E951)/SUMIFS(K:K,R:R,1,E:E,E951)*0.5,O951&lt;SUMIFS(M:M,R:R,1,E:E,E951)/SUMIFS(L:L,R:R,1,E:E,E951)*0.5),"код для проверки","нормальный код")</f>
        <v/>
      </c>
      <c r="W951">
        <f>IF(N951&lt;SUMIFS(L:L,R:R,1,E:E,E951)/SUMIFS(K:K,R:R,1,E:E,E951)*0.5,"Низшая четверть",IF(N951&lt;SUMIFS(L:L,R:R,1,E:E,E951)/SUMIFS(K:K,R:R,1,E:E,E951),"Вторая четверть","Больше половины"))</f>
        <v/>
      </c>
      <c r="X951">
        <f>IF(O951&lt;SUMIFS(M:M,R:R,1,E:E,E951)/SUMIFS(L:L,R:R,1,E:E,E951)*0.5,"Низшая четверть",IF(O951&lt;SUMIFS(M:M,R:R,1,E:E,E951)/SUMIFS(L:L,R:R,1,E:E,E951),"Вторая четверть","Больше половины"))</f>
        <v/>
      </c>
      <c r="Y951" t="n">
        <v>8</v>
      </c>
    </row>
    <row r="952">
      <c r="A952" s="1" t="inlineStr">
        <is>
          <t>20200260</t>
        </is>
      </c>
      <c r="B952" s="2" t="inlineStr">
        <is>
          <t>820479783</t>
        </is>
      </c>
      <c r="C952" s="3" t="inlineStr">
        <is>
          <t>Одежда для детей</t>
        </is>
      </c>
      <c r="D952" s="2" t="inlineStr">
        <is>
          <t>Головные уборы детские для мальчиков</t>
        </is>
      </c>
      <c r="E952" s="3" t="inlineStr">
        <is>
          <t>202 Бейсболка детская для мальчиков</t>
        </is>
      </c>
      <c r="F952" s="2" t="inlineStr">
        <is>
          <t>весна, лето</t>
        </is>
      </c>
      <c r="G952" s="3" t="inlineStr">
        <is>
          <t>kari</t>
        </is>
      </c>
      <c r="H952" s="2" t="inlineStr">
        <is>
          <t>Никонорова Алина</t>
        </is>
      </c>
      <c r="J952" s="3" t="inlineStr">
        <is>
          <t>2026SS</t>
        </is>
      </c>
      <c r="K952" s="3" t="n">
        <v>1403</v>
      </c>
      <c r="L952" s="3" t="n">
        <v>320</v>
      </c>
      <c r="M952" s="3" t="n">
        <v>2</v>
      </c>
      <c r="N952" s="4">
        <f>IFERROR(L952/K952,0)</f>
        <v/>
      </c>
      <c r="O952" s="4">
        <f>IFERROR(M952/L952,0)</f>
        <v/>
      </c>
      <c r="P952" t="n">
        <v>496</v>
      </c>
      <c r="Q952" s="5" t="n">
        <v>1</v>
      </c>
      <c r="R952" s="7" t="n">
        <v>1</v>
      </c>
      <c r="S952">
        <f>IF(OR(N952&lt;$T$1*0.5,O952&lt;$U$1*0.5),"код для проверки","нормальный код")</f>
        <v/>
      </c>
      <c r="T952">
        <f>IF(N952&lt;$T$1*0.5,"Низшая четверть",IF(N952&lt;$T$1,"Вторая четверть","Больше половины"))</f>
        <v/>
      </c>
      <c r="U952">
        <f>IF(O952&lt;$U$1*0.5,"Низшая четверть",IF(O952&lt;$U$1,"Вторая четверть","Больше половины"))</f>
        <v/>
      </c>
      <c r="V952">
        <f>IF(OR(N952&lt;SUMIFS(L:L,R:R,1,E:E,E952)/SUMIFS(K:K,R:R,1,E:E,E952)*0.5,O952&lt;SUMIFS(M:M,R:R,1,E:E,E952)/SUMIFS(L:L,R:R,1,E:E,E952)*0.5),"код для проверки","нормальный код")</f>
        <v/>
      </c>
      <c r="W952">
        <f>IF(N952&lt;SUMIFS(L:L,R:R,1,E:E,E952)/SUMIFS(K:K,R:R,1,E:E,E952)*0.5,"Низшая четверть",IF(N952&lt;SUMIFS(L:L,R:R,1,E:E,E952)/SUMIFS(K:K,R:R,1,E:E,E952),"Вторая четверть","Больше половины"))</f>
        <v/>
      </c>
      <c r="X952">
        <f>IF(O952&lt;SUMIFS(M:M,R:R,1,E:E,E952)/SUMIFS(L:L,R:R,1,E:E,E952)*0.5,"Низшая четверть",IF(O952&lt;SUMIFS(M:M,R:R,1,E:E,E952)/SUMIFS(L:L,R:R,1,E:E,E952),"Вторая четверть","Больше половины"))</f>
        <v/>
      </c>
      <c r="Y952" t="n">
        <v>10</v>
      </c>
    </row>
    <row r="953">
      <c r="A953" s="1" t="inlineStr">
        <is>
          <t>a6000180</t>
        </is>
      </c>
      <c r="B953" s="2" t="inlineStr">
        <is>
          <t>715352805</t>
        </is>
      </c>
      <c r="C953" s="3" t="inlineStr">
        <is>
          <t>Одежда для детей</t>
        </is>
      </c>
      <c r="D953" s="2" t="inlineStr">
        <is>
          <t>Платья, майки, футболки детские для девочек</t>
        </is>
      </c>
      <c r="E953" s="3" t="inlineStr">
        <is>
          <t>a60 Футболка детская для девочек</t>
        </is>
      </c>
      <c r="F953" s="2" t="inlineStr">
        <is>
          <t>всесезонный</t>
        </is>
      </c>
      <c r="G953" s="3" t="inlineStr">
        <is>
          <t>kari</t>
        </is>
      </c>
      <c r="H953" s="2" t="inlineStr">
        <is>
          <t>Зиннуров Ильнур</t>
        </is>
      </c>
      <c r="J953" s="3" t="inlineStr">
        <is>
          <t>2026SS</t>
        </is>
      </c>
      <c r="K953" s="3" t="n">
        <v>1397</v>
      </c>
      <c r="L953" s="3" t="n">
        <v>82</v>
      </c>
      <c r="M953" s="3" t="n">
        <v>1</v>
      </c>
      <c r="N953" s="4">
        <f>IFERROR(L953/K953,0)</f>
        <v/>
      </c>
      <c r="O953" s="4">
        <f>IFERROR(M953/L953,0)</f>
        <v/>
      </c>
      <c r="P953" t="n">
        <v>515</v>
      </c>
      <c r="Q953" s="5" t="n">
        <v>1</v>
      </c>
      <c r="R953" s="7" t="n">
        <v>1</v>
      </c>
      <c r="S953">
        <f>IF(OR(N953&lt;$T$1*0.5,O953&lt;$U$1*0.5),"код для проверки","нормальный код")</f>
        <v/>
      </c>
      <c r="T953">
        <f>IF(N953&lt;$T$1*0.5,"Низшая четверть",IF(N953&lt;$T$1,"Вторая четверть","Больше половины"))</f>
        <v/>
      </c>
      <c r="U953">
        <f>IF(O953&lt;$U$1*0.5,"Низшая четверть",IF(O953&lt;$U$1,"Вторая четверть","Больше половины"))</f>
        <v/>
      </c>
      <c r="V953">
        <f>IF(OR(N953&lt;SUMIFS(L:L,R:R,1,E:E,E953)/SUMIFS(K:K,R:R,1,E:E,E953)*0.5,O953&lt;SUMIFS(M:M,R:R,1,E:E,E953)/SUMIFS(L:L,R:R,1,E:E,E953)*0.5),"код для проверки","нормальный код")</f>
        <v/>
      </c>
      <c r="W953">
        <f>IF(N953&lt;SUMIFS(L:L,R:R,1,E:E,E953)/SUMIFS(K:K,R:R,1,E:E,E953)*0.5,"Низшая четверть",IF(N953&lt;SUMIFS(L:L,R:R,1,E:E,E953)/SUMIFS(K:K,R:R,1,E:E,E953),"Вторая четверть","Больше половины"))</f>
        <v/>
      </c>
      <c r="X953">
        <f>IF(O953&lt;SUMIFS(M:M,R:R,1,E:E,E953)/SUMIFS(L:L,R:R,1,E:E,E953)*0.5,"Низшая четверть",IF(O953&lt;SUMIFS(M:M,R:R,1,E:E,E953)/SUMIFS(L:L,R:R,1,E:E,E953),"Вторая четверть","Больше половины"))</f>
        <v/>
      </c>
      <c r="Y953" t="n">
        <v>16</v>
      </c>
    </row>
    <row r="954">
      <c r="A954" s="1" t="inlineStr">
        <is>
          <t>95500380</t>
        </is>
      </c>
      <c r="B954" s="2" t="inlineStr">
        <is>
          <t>852386805</t>
        </is>
      </c>
      <c r="C954" s="3" t="inlineStr">
        <is>
          <t>Одежда для детей</t>
        </is>
      </c>
      <c r="D954" s="2" t="inlineStr">
        <is>
          <t>Платья, майки, футболки детские для девочек</t>
        </is>
      </c>
      <c r="E954" s="3" t="inlineStr">
        <is>
          <t>955 Топ детский для девочек</t>
        </is>
      </c>
      <c r="F954" s="2" t="inlineStr">
        <is>
          <t>лето</t>
        </is>
      </c>
      <c r="G954" s="3" t="inlineStr">
        <is>
          <t>Kari KIDS</t>
        </is>
      </c>
      <c r="H954" s="2" t="inlineStr">
        <is>
          <t>Зиннуров Ильнур</t>
        </is>
      </c>
      <c r="J954" s="3" t="inlineStr">
        <is>
          <t>2026SS</t>
        </is>
      </c>
      <c r="K954" s="3" t="n">
        <v>1387</v>
      </c>
      <c r="L954" s="3" t="n">
        <v>35</v>
      </c>
      <c r="M954" s="3" t="n">
        <v>0</v>
      </c>
      <c r="N954" s="4">
        <f>IFERROR(L954/K954,0)</f>
        <v/>
      </c>
      <c r="O954" s="4">
        <f>IFERROR(M954/L954,0)</f>
        <v/>
      </c>
      <c r="P954" t="n">
        <v>477</v>
      </c>
      <c r="Q954" s="5" t="n">
        <v>1</v>
      </c>
      <c r="R954" s="7" t="n">
        <v>1</v>
      </c>
      <c r="S954">
        <f>IF(OR(N954&lt;$T$1*0.5,O954&lt;$U$1*0.5),"код для проверки","нормальный код")</f>
        <v/>
      </c>
      <c r="T954">
        <f>IF(N954&lt;$T$1*0.5,"Низшая четверть",IF(N954&lt;$T$1,"Вторая четверть","Больше половины"))</f>
        <v/>
      </c>
      <c r="U954">
        <f>IF(O954&lt;$U$1*0.5,"Низшая четверть",IF(O954&lt;$U$1,"Вторая четверть","Больше половины"))</f>
        <v/>
      </c>
      <c r="V954">
        <f>IF(OR(N954&lt;SUMIFS(L:L,R:R,1,E:E,E954)/SUMIFS(K:K,R:R,1,E:E,E954)*0.5,O954&lt;SUMIFS(M:M,R:R,1,E:E,E954)/SUMIFS(L:L,R:R,1,E:E,E954)*0.5),"код для проверки","нормальный код")</f>
        <v/>
      </c>
      <c r="W954">
        <f>IF(N954&lt;SUMIFS(L:L,R:R,1,E:E,E954)/SUMIFS(K:K,R:R,1,E:E,E954)*0.5,"Низшая четверть",IF(N954&lt;SUMIFS(L:L,R:R,1,E:E,E954)/SUMIFS(K:K,R:R,1,E:E,E954),"Вторая четверть","Больше половины"))</f>
        <v/>
      </c>
      <c r="X954">
        <f>IF(O954&lt;SUMIFS(M:M,R:R,1,E:E,E954)/SUMIFS(L:L,R:R,1,E:E,E954)*0.5,"Низшая четверть",IF(O954&lt;SUMIFS(M:M,R:R,1,E:E,E954)/SUMIFS(L:L,R:R,1,E:E,E954),"Вторая четверть","Больше половины"))</f>
        <v/>
      </c>
      <c r="Y954" t="n">
        <v>14</v>
      </c>
    </row>
    <row r="955">
      <c r="A955" s="1" t="inlineStr">
        <is>
          <t>95500370</t>
        </is>
      </c>
      <c r="B955" s="2" t="inlineStr">
        <is>
          <t>852386801</t>
        </is>
      </c>
      <c r="C955" s="3" t="inlineStr">
        <is>
          <t>Одежда для детей</t>
        </is>
      </c>
      <c r="D955" s="2" t="inlineStr">
        <is>
          <t>Платья, майки, футболки детские для девочек</t>
        </is>
      </c>
      <c r="E955" s="3" t="inlineStr">
        <is>
          <t>955 Топ детский для девочек</t>
        </is>
      </c>
      <c r="F955" s="2" t="inlineStr">
        <is>
          <t>лето</t>
        </is>
      </c>
      <c r="G955" s="3" t="inlineStr">
        <is>
          <t>Kari KIDS</t>
        </is>
      </c>
      <c r="H955" s="2" t="inlineStr">
        <is>
          <t>Зиннуров Ильнур</t>
        </is>
      </c>
      <c r="J955" s="3" t="inlineStr">
        <is>
          <t>2026SS</t>
        </is>
      </c>
      <c r="K955" s="3" t="n">
        <v>1386</v>
      </c>
      <c r="L955" s="3" t="n">
        <v>71</v>
      </c>
      <c r="M955" s="3" t="n">
        <v>3</v>
      </c>
      <c r="N955" s="4">
        <f>IFERROR(L955/K955,0)</f>
        <v/>
      </c>
      <c r="O955" s="4">
        <f>IFERROR(M955/L955,0)</f>
        <v/>
      </c>
      <c r="P955" t="n">
        <v>477</v>
      </c>
      <c r="Q955" s="5" t="n">
        <v>1</v>
      </c>
      <c r="R955" s="7" t="n">
        <v>1</v>
      </c>
      <c r="S955">
        <f>IF(OR(N955&lt;$T$1*0.5,O955&lt;$U$1*0.5),"код для проверки","нормальный код")</f>
        <v/>
      </c>
      <c r="T955">
        <f>IF(N955&lt;$T$1*0.5,"Низшая четверть",IF(N955&lt;$T$1,"Вторая четверть","Больше половины"))</f>
        <v/>
      </c>
      <c r="U955">
        <f>IF(O955&lt;$U$1*0.5,"Низшая четверть",IF(O955&lt;$U$1,"Вторая четверть","Больше половины"))</f>
        <v/>
      </c>
      <c r="V955">
        <f>IF(OR(N955&lt;SUMIFS(L:L,R:R,1,E:E,E955)/SUMIFS(K:K,R:R,1,E:E,E955)*0.5,O955&lt;SUMIFS(M:M,R:R,1,E:E,E955)/SUMIFS(L:L,R:R,1,E:E,E955)*0.5),"код для проверки","нормальный код")</f>
        <v/>
      </c>
      <c r="W955">
        <f>IF(N955&lt;SUMIFS(L:L,R:R,1,E:E,E955)/SUMIFS(K:K,R:R,1,E:E,E955)*0.5,"Низшая четверть",IF(N955&lt;SUMIFS(L:L,R:R,1,E:E,E955)/SUMIFS(K:K,R:R,1,E:E,E955),"Вторая четверть","Больше половины"))</f>
        <v/>
      </c>
      <c r="X955">
        <f>IF(O955&lt;SUMIFS(M:M,R:R,1,E:E,E955)/SUMIFS(L:L,R:R,1,E:E,E955)*0.5,"Низшая четверть",IF(O955&lt;SUMIFS(M:M,R:R,1,E:E,E955)/SUMIFS(L:L,R:R,1,E:E,E955),"Вторая четверть","Больше половины"))</f>
        <v/>
      </c>
      <c r="Y955" t="n">
        <v>15</v>
      </c>
    </row>
    <row r="956">
      <c r="A956" s="1" t="inlineStr">
        <is>
          <t>55300120</t>
        </is>
      </c>
      <c r="B956" s="2" t="inlineStr">
        <is>
          <t>907723264</t>
        </is>
      </c>
      <c r="C956" s="3" t="inlineStr">
        <is>
          <t>Одежда для детей</t>
        </is>
      </c>
      <c r="D956" s="2" t="inlineStr">
        <is>
          <t>Брюки детские для мальчиков</t>
        </is>
      </c>
      <c r="E956" s="3" t="inlineStr">
        <is>
          <t>553 Брюки детские для мальчиков</t>
        </is>
      </c>
      <c r="F956" s="2" t="inlineStr">
        <is>
          <t>всесезонный</t>
        </is>
      </c>
      <c r="G956" s="3" t="inlineStr">
        <is>
          <t>kari</t>
        </is>
      </c>
      <c r="H956" s="2" t="inlineStr">
        <is>
          <t>Зиннуров Ильнур</t>
        </is>
      </c>
      <c r="J956" s="3" t="inlineStr">
        <is>
          <t>2026SS</t>
        </is>
      </c>
      <c r="K956" s="3" t="n">
        <v>1380</v>
      </c>
      <c r="L956" s="3" t="n">
        <v>64</v>
      </c>
      <c r="M956" s="3" t="n">
        <v>1</v>
      </c>
      <c r="N956" s="4">
        <f>IFERROR(L956/K956,0)</f>
        <v/>
      </c>
      <c r="O956" s="4">
        <f>IFERROR(M956/L956,0)</f>
        <v/>
      </c>
      <c r="P956" t="n">
        <v>417</v>
      </c>
      <c r="Q956" s="5" t="n">
        <v>1</v>
      </c>
      <c r="R956" s="7" t="n">
        <v>1</v>
      </c>
      <c r="S956">
        <f>IF(OR(N956&lt;$T$1*0.5,O956&lt;$U$1*0.5),"код для проверки","нормальный код")</f>
        <v/>
      </c>
      <c r="T956">
        <f>IF(N956&lt;$T$1*0.5,"Низшая четверть",IF(N956&lt;$T$1,"Вторая четверть","Больше половины"))</f>
        <v/>
      </c>
      <c r="U956">
        <f>IF(O956&lt;$U$1*0.5,"Низшая четверть",IF(O956&lt;$U$1,"Вторая четверть","Больше половины"))</f>
        <v/>
      </c>
      <c r="V956">
        <f>IF(OR(N956&lt;SUMIFS(L:L,R:R,1,E:E,E956)/SUMIFS(K:K,R:R,1,E:E,E956)*0.5,O956&lt;SUMIFS(M:M,R:R,1,E:E,E956)/SUMIFS(L:L,R:R,1,E:E,E956)*0.5),"код для проверки","нормальный код")</f>
        <v/>
      </c>
      <c r="W956">
        <f>IF(N956&lt;SUMIFS(L:L,R:R,1,E:E,E956)/SUMIFS(K:K,R:R,1,E:E,E956)*0.5,"Низшая четверть",IF(N956&lt;SUMIFS(L:L,R:R,1,E:E,E956)/SUMIFS(K:K,R:R,1,E:E,E956),"Вторая четверть","Больше половины"))</f>
        <v/>
      </c>
      <c r="X956">
        <f>IF(O956&lt;SUMIFS(M:M,R:R,1,E:E,E956)/SUMIFS(L:L,R:R,1,E:E,E956)*0.5,"Низшая четверть",IF(O956&lt;SUMIFS(M:M,R:R,1,E:E,E956)/SUMIFS(L:L,R:R,1,E:E,E956),"Вторая четверть","Больше половины"))</f>
        <v/>
      </c>
      <c r="Y956" t="n">
        <v>25</v>
      </c>
    </row>
    <row r="957">
      <c r="A957" s="1" t="inlineStr">
        <is>
          <t>h1300080</t>
        </is>
      </c>
      <c r="B957" s="2" t="inlineStr">
        <is>
          <t>732579201</t>
        </is>
      </c>
      <c r="C957" s="3" t="inlineStr">
        <is>
          <t>Одежда и аксессуары</t>
        </is>
      </c>
      <c r="D957" s="2" t="inlineStr">
        <is>
          <t>Брюки, шорты женские</t>
        </is>
      </c>
      <c r="E957" s="3" t="inlineStr">
        <is>
          <t>h13 Шорты женские</t>
        </is>
      </c>
      <c r="F957" s="2" t="inlineStr">
        <is>
          <t>весна, лето</t>
        </is>
      </c>
      <c r="G957" s="3" t="inlineStr">
        <is>
          <t>kari</t>
        </is>
      </c>
      <c r="H957" s="2" t="inlineStr">
        <is>
          <t>Зиннуров Ильнур</t>
        </is>
      </c>
      <c r="J957" s="3" t="inlineStr">
        <is>
          <t>2026SS</t>
        </is>
      </c>
      <c r="K957" s="3" t="n">
        <v>1376</v>
      </c>
      <c r="L957" s="3" t="n">
        <v>95</v>
      </c>
      <c r="M957" s="3" t="n">
        <v>3</v>
      </c>
      <c r="N957" s="4">
        <f>IFERROR(L957/K957,0)</f>
        <v/>
      </c>
      <c r="O957" s="4">
        <f>IFERROR(M957/L957,0)</f>
        <v/>
      </c>
      <c r="P957" t="n">
        <v>357</v>
      </c>
      <c r="Q957" s="5" t="n">
        <v>1</v>
      </c>
      <c r="R957" s="7" t="n">
        <v>1</v>
      </c>
      <c r="S957">
        <f>IF(OR(N957&lt;$T$1*0.5,O957&lt;$U$1*0.5),"код для проверки","нормальный код")</f>
        <v/>
      </c>
      <c r="T957">
        <f>IF(N957&lt;$T$1*0.5,"Низшая четверть",IF(N957&lt;$T$1,"Вторая четверть","Больше половины"))</f>
        <v/>
      </c>
      <c r="U957">
        <f>IF(O957&lt;$U$1*0.5,"Низшая четверть",IF(O957&lt;$U$1,"Вторая четверть","Больше половины"))</f>
        <v/>
      </c>
      <c r="V957">
        <f>IF(OR(N957&lt;SUMIFS(L:L,R:R,1,E:E,E957)/SUMIFS(K:K,R:R,1,E:E,E957)*0.5,O957&lt;SUMIFS(M:M,R:R,1,E:E,E957)/SUMIFS(L:L,R:R,1,E:E,E957)*0.5),"код для проверки","нормальный код")</f>
        <v/>
      </c>
      <c r="W957">
        <f>IF(N957&lt;SUMIFS(L:L,R:R,1,E:E,E957)/SUMIFS(K:K,R:R,1,E:E,E957)*0.5,"Низшая четверть",IF(N957&lt;SUMIFS(L:L,R:R,1,E:E,E957)/SUMIFS(K:K,R:R,1,E:E,E957),"Вторая четверть","Больше половины"))</f>
        <v/>
      </c>
      <c r="X957">
        <f>IF(O957&lt;SUMIFS(M:M,R:R,1,E:E,E957)/SUMIFS(L:L,R:R,1,E:E,E957)*0.5,"Низшая четверть",IF(O957&lt;SUMIFS(M:M,R:R,1,E:E,E957)/SUMIFS(L:L,R:R,1,E:E,E957),"Вторая четверть","Больше половины"))</f>
        <v/>
      </c>
      <c r="Y957" t="n">
        <v>19</v>
      </c>
    </row>
    <row r="958">
      <c r="A958" s="1" t="inlineStr">
        <is>
          <t>29900210</t>
        </is>
      </c>
      <c r="B958" s="2" t="inlineStr">
        <is>
          <t>879308771</t>
        </is>
      </c>
      <c r="C958" s="3" t="inlineStr">
        <is>
          <t>Одежда для детей</t>
        </is>
      </c>
      <c r="D958" s="2" t="inlineStr">
        <is>
          <t>Платья, майки, футболки детские для девочек</t>
        </is>
      </c>
      <c r="E958" s="3" t="inlineStr">
        <is>
          <t>299 Платье длинный рукав детское для девочек</t>
        </is>
      </c>
      <c r="F958" s="2" t="inlineStr">
        <is>
          <t>весна, осень, зима</t>
        </is>
      </c>
      <c r="G958" s="3" t="inlineStr">
        <is>
          <t>kari</t>
        </is>
      </c>
      <c r="H958" s="2" t="inlineStr">
        <is>
          <t>Зиннуров Ильнур</t>
        </is>
      </c>
      <c r="J958" s="3" t="inlineStr">
        <is>
          <t>2026SS</t>
        </is>
      </c>
      <c r="K958" s="3" t="n">
        <v>1367</v>
      </c>
      <c r="L958" s="3" t="n">
        <v>38</v>
      </c>
      <c r="M958" s="3" t="n">
        <v>0</v>
      </c>
      <c r="N958" s="4">
        <f>IFERROR(L958/K958,0)</f>
        <v/>
      </c>
      <c r="O958" s="4">
        <f>IFERROR(M958/L958,0)</f>
        <v/>
      </c>
      <c r="P958" t="n">
        <v>254</v>
      </c>
      <c r="Q958" s="5" t="n">
        <v>0.6</v>
      </c>
      <c r="R958" s="7" t="n">
        <v>1</v>
      </c>
      <c r="S958">
        <f>IF(OR(N958&lt;$T$1*0.5,O958&lt;$U$1*0.5),"код для проверки","нормальный код")</f>
        <v/>
      </c>
      <c r="T958">
        <f>IF(N958&lt;$T$1*0.5,"Низшая четверть",IF(N958&lt;$T$1,"Вторая четверть","Больше половины"))</f>
        <v/>
      </c>
      <c r="U958">
        <f>IF(O958&lt;$U$1*0.5,"Низшая четверть",IF(O958&lt;$U$1,"Вторая четверть","Больше половины"))</f>
        <v/>
      </c>
      <c r="V958">
        <f>IF(OR(N958&lt;SUMIFS(L:L,R:R,1,E:E,E958)/SUMIFS(K:K,R:R,1,E:E,E958)*0.5,O958&lt;SUMIFS(M:M,R:R,1,E:E,E958)/SUMIFS(L:L,R:R,1,E:E,E958)*0.5),"код для проверки","нормальный код")</f>
        <v/>
      </c>
      <c r="W958">
        <f>IF(N958&lt;SUMIFS(L:L,R:R,1,E:E,E958)/SUMIFS(K:K,R:R,1,E:E,E958)*0.5,"Низшая четверть",IF(N958&lt;SUMIFS(L:L,R:R,1,E:E,E958)/SUMIFS(K:K,R:R,1,E:E,E958),"Вторая четверть","Больше половины"))</f>
        <v/>
      </c>
      <c r="X958">
        <f>IF(O958&lt;SUMIFS(M:M,R:R,1,E:E,E958)/SUMIFS(L:L,R:R,1,E:E,E958)*0.5,"Низшая четверть",IF(O958&lt;SUMIFS(M:M,R:R,1,E:E,E958)/SUMIFS(L:L,R:R,1,E:E,E958),"Вторая четверть","Больше половины"))</f>
        <v/>
      </c>
      <c r="Y958" t="n">
        <v>8</v>
      </c>
    </row>
    <row r="959">
      <c r="A959" s="1" t="inlineStr">
        <is>
          <t>h7700140</t>
        </is>
      </c>
      <c r="B959" s="2" t="inlineStr">
        <is>
          <t>835902586</t>
        </is>
      </c>
      <c r="C959" s="3" t="inlineStr">
        <is>
          <t>Одежда и аксессуары</t>
        </is>
      </c>
      <c r="D959" s="2" t="inlineStr">
        <is>
          <t>Купальники женские</t>
        </is>
      </c>
      <c r="E959" s="3" t="inlineStr">
        <is>
          <t>h77 Одежда пляжная женская</t>
        </is>
      </c>
      <c r="F959" s="2" t="inlineStr">
        <is>
          <t>лето</t>
        </is>
      </c>
      <c r="G959" s="3" t="inlineStr">
        <is>
          <t>kari</t>
        </is>
      </c>
      <c r="H959" s="2" t="inlineStr">
        <is>
          <t>Зиннуров Ильнур</t>
        </is>
      </c>
      <c r="J959" s="3" t="inlineStr">
        <is>
          <t>2026SS</t>
        </is>
      </c>
      <c r="K959" s="3" t="n">
        <v>1363</v>
      </c>
      <c r="L959" s="3" t="n">
        <v>145</v>
      </c>
      <c r="M959" s="3" t="n">
        <v>0</v>
      </c>
      <c r="N959" s="4">
        <f>IFERROR(L959/K959,0)</f>
        <v/>
      </c>
      <c r="O959" s="4">
        <f>IFERROR(M959/L959,0)</f>
        <v/>
      </c>
      <c r="P959" t="n">
        <v>2177</v>
      </c>
      <c r="Q959" s="5" t="n">
        <v>1</v>
      </c>
      <c r="R959" s="7" t="n">
        <v>1</v>
      </c>
      <c r="S959">
        <f>IF(OR(N959&lt;$T$1*0.5,O959&lt;$U$1*0.5),"код для проверки","нормальный код")</f>
        <v/>
      </c>
      <c r="T959">
        <f>IF(N959&lt;$T$1*0.5,"Низшая четверть",IF(N959&lt;$T$1,"Вторая четверть","Больше половины"))</f>
        <v/>
      </c>
      <c r="U959">
        <f>IF(O959&lt;$U$1*0.5,"Низшая четверть",IF(O959&lt;$U$1,"Вторая четверть","Больше половины"))</f>
        <v/>
      </c>
      <c r="V959">
        <f>IF(OR(N959&lt;SUMIFS(L:L,R:R,1,E:E,E959)/SUMIFS(K:K,R:R,1,E:E,E959)*0.5,O959&lt;SUMIFS(M:M,R:R,1,E:E,E959)/SUMIFS(L:L,R:R,1,E:E,E959)*0.5),"код для проверки","нормальный код")</f>
        <v/>
      </c>
      <c r="W959">
        <f>IF(N959&lt;SUMIFS(L:L,R:R,1,E:E,E959)/SUMIFS(K:K,R:R,1,E:E,E959)*0.5,"Низшая четверть",IF(N959&lt;SUMIFS(L:L,R:R,1,E:E,E959)/SUMIFS(K:K,R:R,1,E:E,E959),"Вторая четверть","Больше половины"))</f>
        <v/>
      </c>
      <c r="X959">
        <f>IF(O959&lt;SUMIFS(M:M,R:R,1,E:E,E959)/SUMIFS(L:L,R:R,1,E:E,E959)*0.5,"Низшая четверть",IF(O959&lt;SUMIFS(M:M,R:R,1,E:E,E959)/SUMIFS(L:L,R:R,1,E:E,E959),"Вторая четверть","Больше половины"))</f>
        <v/>
      </c>
      <c r="Y959" t="n">
        <v>8</v>
      </c>
    </row>
    <row r="960">
      <c r="A960" s="1" t="inlineStr">
        <is>
          <t>19300450</t>
        </is>
      </c>
      <c r="B960" s="2" t="inlineStr">
        <is>
          <t>837332181</t>
        </is>
      </c>
      <c r="C960" s="3" t="inlineStr">
        <is>
          <t>Одежда для детей</t>
        </is>
      </c>
      <c r="D960" s="2" t="inlineStr">
        <is>
          <t>Брюки детские для мальчиков</t>
        </is>
      </c>
      <c r="E960" s="3" t="inlineStr">
        <is>
          <t>193 Шорты детские для мальчиков</t>
        </is>
      </c>
      <c r="F960" s="2" t="inlineStr">
        <is>
          <t>лето</t>
        </is>
      </c>
      <c r="G960" s="3" t="inlineStr">
        <is>
          <t>Kari KIDS</t>
        </is>
      </c>
      <c r="H960" s="2" t="inlineStr">
        <is>
          <t>Зиннуров Ильнур</t>
        </is>
      </c>
      <c r="J960" s="3" t="inlineStr">
        <is>
          <t>2026SS</t>
        </is>
      </c>
      <c r="K960" s="3" t="n">
        <v>1357</v>
      </c>
      <c r="L960" s="3" t="n">
        <v>270</v>
      </c>
      <c r="M960" s="3" t="n">
        <v>3</v>
      </c>
      <c r="N960" s="4">
        <f>IFERROR(L960/K960,0)</f>
        <v/>
      </c>
      <c r="O960" s="4">
        <f>IFERROR(M960/L960,0)</f>
        <v/>
      </c>
      <c r="P960" t="n">
        <v>417</v>
      </c>
      <c r="Q960" s="5" t="n">
        <v>1</v>
      </c>
      <c r="R960" s="7" t="n">
        <v>1</v>
      </c>
      <c r="S960">
        <f>IF(OR(N960&lt;$T$1*0.5,O960&lt;$U$1*0.5),"код для проверки","нормальный код")</f>
        <v/>
      </c>
      <c r="T960">
        <f>IF(N960&lt;$T$1*0.5,"Низшая четверть",IF(N960&lt;$T$1,"Вторая четверть","Больше половины"))</f>
        <v/>
      </c>
      <c r="U960">
        <f>IF(O960&lt;$U$1*0.5,"Низшая четверть",IF(O960&lt;$U$1,"Вторая четверть","Больше половины"))</f>
        <v/>
      </c>
      <c r="V960">
        <f>IF(OR(N960&lt;SUMIFS(L:L,R:R,1,E:E,E960)/SUMIFS(K:K,R:R,1,E:E,E960)*0.5,O960&lt;SUMIFS(M:M,R:R,1,E:E,E960)/SUMIFS(L:L,R:R,1,E:E,E960)*0.5),"код для проверки","нормальный код")</f>
        <v/>
      </c>
      <c r="W960">
        <f>IF(N960&lt;SUMIFS(L:L,R:R,1,E:E,E960)/SUMIFS(K:K,R:R,1,E:E,E960)*0.5,"Низшая четверть",IF(N960&lt;SUMIFS(L:L,R:R,1,E:E,E960)/SUMIFS(K:K,R:R,1,E:E,E960),"Вторая четверть","Больше половины"))</f>
        <v/>
      </c>
      <c r="X960">
        <f>IF(O960&lt;SUMIFS(M:M,R:R,1,E:E,E960)/SUMIFS(L:L,R:R,1,E:E,E960)*0.5,"Низшая четверть",IF(O960&lt;SUMIFS(M:M,R:R,1,E:E,E960)/SUMIFS(L:L,R:R,1,E:E,E960),"Вторая четверть","Больше половины"))</f>
        <v/>
      </c>
      <c r="Y960" t="n">
        <v>11</v>
      </c>
    </row>
    <row r="961">
      <c r="A961" s="1" t="inlineStr">
        <is>
          <t>19800040</t>
        </is>
      </c>
      <c r="B961" s="2" t="inlineStr">
        <is>
          <t>701479520</t>
        </is>
      </c>
      <c r="C961" s="3" t="inlineStr">
        <is>
          <t>Одежда и аксессуары</t>
        </is>
      </c>
      <c r="D961" s="2" t="inlineStr">
        <is>
          <t>Майки и платья женские</t>
        </is>
      </c>
      <c r="E961" s="3" t="inlineStr">
        <is>
          <t>198 Топ женский</t>
        </is>
      </c>
      <c r="F961" s="2" t="inlineStr">
        <is>
          <t>лето</t>
        </is>
      </c>
      <c r="G961" s="3" t="inlineStr">
        <is>
          <t>kari</t>
        </is>
      </c>
      <c r="H961" s="2" t="inlineStr">
        <is>
          <t>Зиннуров Ильнур</t>
        </is>
      </c>
      <c r="J961" s="3" t="inlineStr">
        <is>
          <t>2026SS</t>
        </is>
      </c>
      <c r="K961" s="3" t="n">
        <v>1356</v>
      </c>
      <c r="L961" s="3" t="n">
        <v>54</v>
      </c>
      <c r="M961" s="3" t="n">
        <v>2</v>
      </c>
      <c r="N961" s="4">
        <f>IFERROR(L961/K961,0)</f>
        <v/>
      </c>
      <c r="O961" s="4">
        <f>IFERROR(M961/L961,0)</f>
        <v/>
      </c>
      <c r="P961" t="n">
        <v>748</v>
      </c>
      <c r="Q961" s="5" t="n">
        <v>1</v>
      </c>
      <c r="R961" s="7" t="n">
        <v>1</v>
      </c>
      <c r="S961">
        <f>IF(OR(N961&lt;$T$1*0.5,O961&lt;$U$1*0.5),"код для проверки","нормальный код")</f>
        <v/>
      </c>
      <c r="T961">
        <f>IF(N961&lt;$T$1*0.5,"Низшая четверть",IF(N961&lt;$T$1,"Вторая четверть","Больше половины"))</f>
        <v/>
      </c>
      <c r="U961">
        <f>IF(O961&lt;$U$1*0.5,"Низшая четверть",IF(O961&lt;$U$1,"Вторая четверть","Больше половины"))</f>
        <v/>
      </c>
      <c r="V961">
        <f>IF(OR(N961&lt;SUMIFS(L:L,R:R,1,E:E,E961)/SUMIFS(K:K,R:R,1,E:E,E961)*0.5,O961&lt;SUMIFS(M:M,R:R,1,E:E,E961)/SUMIFS(L:L,R:R,1,E:E,E961)*0.5),"код для проверки","нормальный код")</f>
        <v/>
      </c>
      <c r="W961">
        <f>IF(N961&lt;SUMIFS(L:L,R:R,1,E:E,E961)/SUMIFS(K:K,R:R,1,E:E,E961)*0.5,"Низшая четверть",IF(N961&lt;SUMIFS(L:L,R:R,1,E:E,E961)/SUMIFS(K:K,R:R,1,E:E,E961),"Вторая четверть","Больше половины"))</f>
        <v/>
      </c>
      <c r="X961">
        <f>IF(O961&lt;SUMIFS(M:M,R:R,1,E:E,E961)/SUMIFS(L:L,R:R,1,E:E,E961)*0.5,"Низшая четверть",IF(O961&lt;SUMIFS(M:M,R:R,1,E:E,E961)/SUMIFS(L:L,R:R,1,E:E,E961),"Вторая четверть","Больше половины"))</f>
        <v/>
      </c>
      <c r="Y961" t="n">
        <v>22</v>
      </c>
    </row>
    <row r="962">
      <c r="A962" s="1" t="inlineStr">
        <is>
          <t>19400230</t>
        </is>
      </c>
      <c r="B962" s="2" t="inlineStr">
        <is>
          <t>901505490</t>
        </is>
      </c>
      <c r="C962" s="3" t="inlineStr">
        <is>
          <t>Одежда для детей</t>
        </is>
      </c>
      <c r="D962" s="2" t="inlineStr">
        <is>
          <t>Брюки детские для девочек</t>
        </is>
      </c>
      <c r="E962" s="3" t="inlineStr">
        <is>
          <t>194 Шорты детские для девочек</t>
        </is>
      </c>
      <c r="F962" s="2" t="inlineStr">
        <is>
          <t>лето</t>
        </is>
      </c>
      <c r="G962" s="3" t="inlineStr">
        <is>
          <t>kari</t>
        </is>
      </c>
      <c r="H962" s="2" t="inlineStr">
        <is>
          <t>Зиннуров Ильнур</t>
        </is>
      </c>
      <c r="J962" s="3" t="inlineStr">
        <is>
          <t>2026SS</t>
        </is>
      </c>
      <c r="K962" s="3" t="n">
        <v>1351</v>
      </c>
      <c r="L962" s="3" t="n">
        <v>87</v>
      </c>
      <c r="M962" s="3" t="n">
        <v>2</v>
      </c>
      <c r="N962" s="4">
        <f>IFERROR(L962/K962,0)</f>
        <v/>
      </c>
      <c r="O962" s="4">
        <f>IFERROR(M962/L962,0)</f>
        <v/>
      </c>
      <c r="P962" t="n">
        <v>338</v>
      </c>
      <c r="Q962" s="5" t="n">
        <v>0.875</v>
      </c>
      <c r="R962" s="7" t="n">
        <v>1</v>
      </c>
      <c r="S962">
        <f>IF(OR(N962&lt;$T$1*0.5,O962&lt;$U$1*0.5),"код для проверки","нормальный код")</f>
        <v/>
      </c>
      <c r="T962">
        <f>IF(N962&lt;$T$1*0.5,"Низшая четверть",IF(N962&lt;$T$1,"Вторая четверть","Больше половины"))</f>
        <v/>
      </c>
      <c r="U962">
        <f>IF(O962&lt;$U$1*0.5,"Низшая четверть",IF(O962&lt;$U$1,"Вторая четверть","Больше половины"))</f>
        <v/>
      </c>
      <c r="V962">
        <f>IF(OR(N962&lt;SUMIFS(L:L,R:R,1,E:E,E962)/SUMIFS(K:K,R:R,1,E:E,E962)*0.5,O962&lt;SUMIFS(M:M,R:R,1,E:E,E962)/SUMIFS(L:L,R:R,1,E:E,E962)*0.5),"код для проверки","нормальный код")</f>
        <v/>
      </c>
      <c r="W962">
        <f>IF(N962&lt;SUMIFS(L:L,R:R,1,E:E,E962)/SUMIFS(K:K,R:R,1,E:E,E962)*0.5,"Низшая четверть",IF(N962&lt;SUMIFS(L:L,R:R,1,E:E,E962)/SUMIFS(K:K,R:R,1,E:E,E962),"Вторая четверть","Больше половины"))</f>
        <v/>
      </c>
      <c r="X962">
        <f>IF(O962&lt;SUMIFS(M:M,R:R,1,E:E,E962)/SUMIFS(L:L,R:R,1,E:E,E962)*0.5,"Низшая четверть",IF(O962&lt;SUMIFS(M:M,R:R,1,E:E,E962)/SUMIFS(L:L,R:R,1,E:E,E962),"Вторая четверть","Больше половины"))</f>
        <v/>
      </c>
      <c r="Y962" t="n">
        <v>22</v>
      </c>
    </row>
    <row r="963">
      <c r="A963" s="1" t="inlineStr">
        <is>
          <t>a7800030</t>
        </is>
      </c>
      <c r="B963" s="2" t="inlineStr">
        <is>
          <t>784002045</t>
        </is>
      </c>
      <c r="C963" s="3" t="inlineStr">
        <is>
          <t>Одежда для детей</t>
        </is>
      </c>
      <c r="D963" s="2" t="inlineStr">
        <is>
          <t>Свитера детские для мальчиков</t>
        </is>
      </c>
      <c r="E963" s="3" t="inlineStr">
        <is>
          <t>a78 Толстовка-худи для мальчиков</t>
        </is>
      </c>
      <c r="F963" s="2" t="inlineStr">
        <is>
          <t>весна, лето, осень</t>
        </is>
      </c>
      <c r="G963" s="3" t="inlineStr">
        <is>
          <t>kari</t>
        </is>
      </c>
      <c r="H963" s="2" t="inlineStr">
        <is>
          <t>Зиннуров Ильнур</t>
        </is>
      </c>
      <c r="J963" s="3" t="inlineStr">
        <is>
          <t>2026SS</t>
        </is>
      </c>
      <c r="K963" s="3" t="n">
        <v>1336</v>
      </c>
      <c r="L963" s="3" t="n">
        <v>65</v>
      </c>
      <c r="M963" s="3" t="n">
        <v>4</v>
      </c>
      <c r="N963" s="4">
        <f>IFERROR(L963/K963,0)</f>
        <v/>
      </c>
      <c r="O963" s="4">
        <f>IFERROR(M963/L963,0)</f>
        <v/>
      </c>
      <c r="P963" t="n">
        <v>255</v>
      </c>
      <c r="Q963" s="5" t="n">
        <v>1</v>
      </c>
      <c r="R963" s="7" t="n">
        <v>1</v>
      </c>
      <c r="S963">
        <f>IF(OR(N963&lt;$T$1*0.5,O963&lt;$U$1*0.5),"код для проверки","нормальный код")</f>
        <v/>
      </c>
      <c r="T963">
        <f>IF(N963&lt;$T$1*0.5,"Низшая четверть",IF(N963&lt;$T$1,"Вторая четверть","Больше половины"))</f>
        <v/>
      </c>
      <c r="U963">
        <f>IF(O963&lt;$U$1*0.5,"Низшая четверть",IF(O963&lt;$U$1,"Вторая четверть","Больше половины"))</f>
        <v/>
      </c>
      <c r="V963">
        <f>IF(OR(N963&lt;SUMIFS(L:L,R:R,1,E:E,E963)/SUMIFS(K:K,R:R,1,E:E,E963)*0.5,O963&lt;SUMIFS(M:M,R:R,1,E:E,E963)/SUMIFS(L:L,R:R,1,E:E,E963)*0.5),"код для проверки","нормальный код")</f>
        <v/>
      </c>
      <c r="W963">
        <f>IF(N963&lt;SUMIFS(L:L,R:R,1,E:E,E963)/SUMIFS(K:K,R:R,1,E:E,E963)*0.5,"Низшая четверть",IF(N963&lt;SUMIFS(L:L,R:R,1,E:E,E963)/SUMIFS(K:K,R:R,1,E:E,E963),"Вторая четверть","Больше половины"))</f>
        <v/>
      </c>
      <c r="X963">
        <f>IF(O963&lt;SUMIFS(M:M,R:R,1,E:E,E963)/SUMIFS(L:L,R:R,1,E:E,E963)*0.5,"Низшая четверть",IF(O963&lt;SUMIFS(M:M,R:R,1,E:E,E963)/SUMIFS(L:L,R:R,1,E:E,E963),"Вторая четверть","Больше половины"))</f>
        <v/>
      </c>
      <c r="Y963" t="n">
        <v>22</v>
      </c>
    </row>
    <row r="964">
      <c r="A964" s="1" t="inlineStr">
        <is>
          <t>h7700300</t>
        </is>
      </c>
      <c r="B964" s="2" t="inlineStr">
        <is>
          <t>924611680</t>
        </is>
      </c>
      <c r="C964" s="3" t="inlineStr">
        <is>
          <t>Одежда и аксессуары</t>
        </is>
      </c>
      <c r="D964" s="2" t="inlineStr">
        <is>
          <t>Купальники женские</t>
        </is>
      </c>
      <c r="E964" s="3" t="inlineStr">
        <is>
          <t>h77 Одежда пляжная женская</t>
        </is>
      </c>
      <c r="F964" s="2" t="inlineStr">
        <is>
          <t>лето</t>
        </is>
      </c>
      <c r="G964" s="3" t="inlineStr">
        <is>
          <t>kari</t>
        </is>
      </c>
      <c r="H964" s="2" t="inlineStr">
        <is>
          <t>Зиннуров Ильнур</t>
        </is>
      </c>
      <c r="J964" s="3" t="inlineStr">
        <is>
          <t>2026SS</t>
        </is>
      </c>
      <c r="K964" s="3" t="n">
        <v>1330</v>
      </c>
      <c r="L964" s="3" t="n">
        <v>233</v>
      </c>
      <c r="M964" s="3" t="n">
        <v>1</v>
      </c>
      <c r="N964" s="4">
        <f>IFERROR(L964/K964,0)</f>
        <v/>
      </c>
      <c r="O964" s="4">
        <f>IFERROR(M964/L964,0)</f>
        <v/>
      </c>
      <c r="P964" t="n">
        <v>1258</v>
      </c>
      <c r="Q964" s="5" t="n">
        <v>1</v>
      </c>
      <c r="R964" s="7" t="n">
        <v>1</v>
      </c>
      <c r="S964">
        <f>IF(OR(N964&lt;$T$1*0.5,O964&lt;$U$1*0.5),"код для проверки","нормальный код")</f>
        <v/>
      </c>
      <c r="T964">
        <f>IF(N964&lt;$T$1*0.5,"Низшая четверть",IF(N964&lt;$T$1,"Вторая четверть","Больше половины"))</f>
        <v/>
      </c>
      <c r="U964">
        <f>IF(O964&lt;$U$1*0.5,"Низшая четверть",IF(O964&lt;$U$1,"Вторая четверть","Больше половины"))</f>
        <v/>
      </c>
      <c r="V964">
        <f>IF(OR(N964&lt;SUMIFS(L:L,R:R,1,E:E,E964)/SUMIFS(K:K,R:R,1,E:E,E964)*0.5,O964&lt;SUMIFS(M:M,R:R,1,E:E,E964)/SUMIFS(L:L,R:R,1,E:E,E964)*0.5),"код для проверки","нормальный код")</f>
        <v/>
      </c>
      <c r="W964">
        <f>IF(N964&lt;SUMIFS(L:L,R:R,1,E:E,E964)/SUMIFS(K:K,R:R,1,E:E,E964)*0.5,"Низшая четверть",IF(N964&lt;SUMIFS(L:L,R:R,1,E:E,E964)/SUMIFS(K:K,R:R,1,E:E,E964),"Вторая четверть","Больше половины"))</f>
        <v/>
      </c>
      <c r="X964">
        <f>IF(O964&lt;SUMIFS(M:M,R:R,1,E:E,E964)/SUMIFS(L:L,R:R,1,E:E,E964)*0.5,"Низшая четверть",IF(O964&lt;SUMIFS(M:M,R:R,1,E:E,E964)/SUMIFS(L:L,R:R,1,E:E,E964),"Вторая четверть","Больше половины"))</f>
        <v/>
      </c>
      <c r="Y964" t="n">
        <v>6</v>
      </c>
    </row>
    <row r="965">
      <c r="A965" s="1" t="inlineStr">
        <is>
          <t>h1000300</t>
        </is>
      </c>
      <c r="B965" s="2" t="inlineStr">
        <is>
          <t>879308778</t>
        </is>
      </c>
      <c r="C965" s="3" t="inlineStr">
        <is>
          <t>Одежда и аксессуары</t>
        </is>
      </c>
      <c r="D965" s="2" t="inlineStr">
        <is>
          <t>Футболки, рубашки мужские</t>
        </is>
      </c>
      <c r="E965" s="3" t="inlineStr">
        <is>
          <t>h10 Футболка мужская</t>
        </is>
      </c>
      <c r="F965" s="2" t="inlineStr">
        <is>
          <t>всесезонный</t>
        </is>
      </c>
      <c r="G965" s="3" t="inlineStr">
        <is>
          <t>kari</t>
        </is>
      </c>
      <c r="H965" s="2" t="inlineStr">
        <is>
          <t>Зиннуров Ильнур</t>
        </is>
      </c>
      <c r="J965" s="3" t="inlineStr">
        <is>
          <t>2026SS</t>
        </is>
      </c>
      <c r="K965" s="3" t="n">
        <v>1320</v>
      </c>
      <c r="L965" s="3" t="n">
        <v>32</v>
      </c>
      <c r="M965" s="3" t="n">
        <v>0</v>
      </c>
      <c r="N965" s="4">
        <f>IFERROR(L965/K965,0)</f>
        <v/>
      </c>
      <c r="O965" s="4">
        <f>IFERROR(M965/L965,0)</f>
        <v/>
      </c>
      <c r="P965" t="n">
        <v>690</v>
      </c>
      <c r="Q965" s="5" t="n">
        <v>1</v>
      </c>
      <c r="R965" s="7" t="n">
        <v>1</v>
      </c>
      <c r="S965">
        <f>IF(OR(N965&lt;$T$1*0.5,O965&lt;$U$1*0.5),"код для проверки","нормальный код")</f>
        <v/>
      </c>
      <c r="T965">
        <f>IF(N965&lt;$T$1*0.5,"Низшая четверть",IF(N965&lt;$T$1,"Вторая четверть","Больше половины"))</f>
        <v/>
      </c>
      <c r="U965">
        <f>IF(O965&lt;$U$1*0.5,"Низшая четверть",IF(O965&lt;$U$1,"Вторая четверть","Больше половины"))</f>
        <v/>
      </c>
      <c r="V965">
        <f>IF(OR(N965&lt;SUMIFS(L:L,R:R,1,E:E,E965)/SUMIFS(K:K,R:R,1,E:E,E965)*0.5,O965&lt;SUMIFS(M:M,R:R,1,E:E,E965)/SUMIFS(L:L,R:R,1,E:E,E965)*0.5),"код для проверки","нормальный код")</f>
        <v/>
      </c>
      <c r="W965">
        <f>IF(N965&lt;SUMIFS(L:L,R:R,1,E:E,E965)/SUMIFS(K:K,R:R,1,E:E,E965)*0.5,"Низшая четверть",IF(N965&lt;SUMIFS(L:L,R:R,1,E:E,E965)/SUMIFS(K:K,R:R,1,E:E,E965),"Вторая четверть","Больше половины"))</f>
        <v/>
      </c>
      <c r="X965">
        <f>IF(O965&lt;SUMIFS(M:M,R:R,1,E:E,E965)/SUMIFS(L:L,R:R,1,E:E,E965)*0.5,"Низшая четверть",IF(O965&lt;SUMIFS(M:M,R:R,1,E:E,E965)/SUMIFS(L:L,R:R,1,E:E,E965),"Вторая четверть","Больше половины"))</f>
        <v/>
      </c>
      <c r="Y965" t="n">
        <v>13</v>
      </c>
    </row>
    <row r="966">
      <c r="A966" s="1" t="inlineStr">
        <is>
          <t>h1300090</t>
        </is>
      </c>
      <c r="B966" s="2" t="inlineStr">
        <is>
          <t>732579203</t>
        </is>
      </c>
      <c r="C966" s="3" t="inlineStr">
        <is>
          <t>Одежда и аксессуары</t>
        </is>
      </c>
      <c r="D966" s="2" t="inlineStr">
        <is>
          <t>Брюки, шорты женские</t>
        </is>
      </c>
      <c r="E966" s="3" t="inlineStr">
        <is>
          <t>h13 Шорты женские</t>
        </is>
      </c>
      <c r="F966" s="2" t="inlineStr">
        <is>
          <t>весна, лето</t>
        </is>
      </c>
      <c r="G966" s="3" t="inlineStr">
        <is>
          <t>kari</t>
        </is>
      </c>
      <c r="H966" s="2" t="inlineStr">
        <is>
          <t>Зиннуров Ильнур</t>
        </is>
      </c>
      <c r="J966" s="3" t="inlineStr">
        <is>
          <t>2026SS</t>
        </is>
      </c>
      <c r="K966" s="3" t="n">
        <v>1310</v>
      </c>
      <c r="L966" s="3" t="n">
        <v>77</v>
      </c>
      <c r="M966" s="3" t="n">
        <v>2</v>
      </c>
      <c r="N966" s="4">
        <f>IFERROR(L966/K966,0)</f>
        <v/>
      </c>
      <c r="O966" s="4">
        <f>IFERROR(M966/L966,0)</f>
        <v/>
      </c>
      <c r="P966" t="n">
        <v>937</v>
      </c>
      <c r="Q966" s="5" t="n">
        <v>1</v>
      </c>
      <c r="R966" s="7" t="n">
        <v>1</v>
      </c>
      <c r="S966">
        <f>IF(OR(N966&lt;$T$1*0.5,O966&lt;$U$1*0.5),"код для проверки","нормальный код")</f>
        <v/>
      </c>
      <c r="T966">
        <f>IF(N966&lt;$T$1*0.5,"Низшая четверть",IF(N966&lt;$T$1,"Вторая четверть","Больше половины"))</f>
        <v/>
      </c>
      <c r="U966">
        <f>IF(O966&lt;$U$1*0.5,"Низшая четверть",IF(O966&lt;$U$1,"Вторая четверть","Больше половины"))</f>
        <v/>
      </c>
      <c r="V966">
        <f>IF(OR(N966&lt;SUMIFS(L:L,R:R,1,E:E,E966)/SUMIFS(K:K,R:R,1,E:E,E966)*0.5,O966&lt;SUMIFS(M:M,R:R,1,E:E,E966)/SUMIFS(L:L,R:R,1,E:E,E966)*0.5),"код для проверки","нормальный код")</f>
        <v/>
      </c>
      <c r="W966">
        <f>IF(N966&lt;SUMIFS(L:L,R:R,1,E:E,E966)/SUMIFS(K:K,R:R,1,E:E,E966)*0.5,"Низшая четверть",IF(N966&lt;SUMIFS(L:L,R:R,1,E:E,E966)/SUMIFS(K:K,R:R,1,E:E,E966),"Вторая четверть","Больше половины"))</f>
        <v/>
      </c>
      <c r="X966">
        <f>IF(O966&lt;SUMIFS(M:M,R:R,1,E:E,E966)/SUMIFS(L:L,R:R,1,E:E,E966)*0.5,"Низшая четверть",IF(O966&lt;SUMIFS(M:M,R:R,1,E:E,E966)/SUMIFS(L:L,R:R,1,E:E,E966),"Вторая четверть","Больше половины"))</f>
        <v/>
      </c>
      <c r="Y966" t="n">
        <v>19</v>
      </c>
    </row>
    <row r="967">
      <c r="A967" s="1" t="inlineStr">
        <is>
          <t>h7700180</t>
        </is>
      </c>
      <c r="B967" s="2" t="inlineStr">
        <is>
          <t>782181011</t>
        </is>
      </c>
      <c r="C967" s="3" t="inlineStr">
        <is>
          <t>Одежда и аксессуары</t>
        </is>
      </c>
      <c r="D967" s="2" t="inlineStr">
        <is>
          <t>Купальники женские</t>
        </is>
      </c>
      <c r="E967" s="3" t="inlineStr">
        <is>
          <t>h77 Одежда пляжная женская</t>
        </is>
      </c>
      <c r="F967" s="2" t="inlineStr">
        <is>
          <t>лето</t>
        </is>
      </c>
      <c r="G967" s="3" t="inlineStr">
        <is>
          <t>kari</t>
        </is>
      </c>
      <c r="H967" s="2" t="inlineStr">
        <is>
          <t>Зиннуров Ильнур</t>
        </is>
      </c>
      <c r="J967" s="3" t="inlineStr">
        <is>
          <t>2026SS</t>
        </is>
      </c>
      <c r="K967" s="3" t="n">
        <v>1306</v>
      </c>
      <c r="L967" s="3" t="n">
        <v>198</v>
      </c>
      <c r="M967" s="3" t="n">
        <v>0</v>
      </c>
      <c r="N967" s="4">
        <f>IFERROR(L967/K967,0)</f>
        <v/>
      </c>
      <c r="O967" s="4">
        <f>IFERROR(M967/L967,0)</f>
        <v/>
      </c>
      <c r="P967" t="n">
        <v>1555</v>
      </c>
      <c r="Q967" s="5" t="n">
        <v>1</v>
      </c>
      <c r="R967" s="7" t="n">
        <v>1</v>
      </c>
      <c r="S967">
        <f>IF(OR(N967&lt;$T$1*0.5,O967&lt;$U$1*0.5),"код для проверки","нормальный код")</f>
        <v/>
      </c>
      <c r="T967">
        <f>IF(N967&lt;$T$1*0.5,"Низшая четверть",IF(N967&lt;$T$1,"Вторая четверть","Больше половины"))</f>
        <v/>
      </c>
      <c r="U967">
        <f>IF(O967&lt;$U$1*0.5,"Низшая четверть",IF(O967&lt;$U$1,"Вторая четверть","Больше половины"))</f>
        <v/>
      </c>
      <c r="V967">
        <f>IF(OR(N967&lt;SUMIFS(L:L,R:R,1,E:E,E967)/SUMIFS(K:K,R:R,1,E:E,E967)*0.5,O967&lt;SUMIFS(M:M,R:R,1,E:E,E967)/SUMIFS(L:L,R:R,1,E:E,E967)*0.5),"код для проверки","нормальный код")</f>
        <v/>
      </c>
      <c r="W967">
        <f>IF(N967&lt;SUMIFS(L:L,R:R,1,E:E,E967)/SUMIFS(K:K,R:R,1,E:E,E967)*0.5,"Низшая четверть",IF(N967&lt;SUMIFS(L:L,R:R,1,E:E,E967)/SUMIFS(K:K,R:R,1,E:E,E967),"Вторая четверть","Больше половины"))</f>
        <v/>
      </c>
      <c r="X967">
        <f>IF(O967&lt;SUMIFS(M:M,R:R,1,E:E,E967)/SUMIFS(L:L,R:R,1,E:E,E967)*0.5,"Низшая четверть",IF(O967&lt;SUMIFS(M:M,R:R,1,E:E,E967)/SUMIFS(L:L,R:R,1,E:E,E967),"Вторая четверть","Больше половины"))</f>
        <v/>
      </c>
      <c r="Y967" t="n">
        <v>8</v>
      </c>
    </row>
    <row r="968">
      <c r="A968" s="1" t="inlineStr">
        <is>
          <t>a6000050</t>
        </is>
      </c>
      <c r="B968" s="2" t="inlineStr">
        <is>
          <t>760543960</t>
        </is>
      </c>
      <c r="C968" s="3" t="inlineStr">
        <is>
          <t>Одежда для детей</t>
        </is>
      </c>
      <c r="D968" s="2" t="inlineStr">
        <is>
          <t>Платья, майки, футболки детские для девочек</t>
        </is>
      </c>
      <c r="E968" s="3" t="inlineStr">
        <is>
          <t>a60 Футболка детская для девочек</t>
        </is>
      </c>
      <c r="F968" s="2" t="inlineStr">
        <is>
          <t>всесезонный</t>
        </is>
      </c>
      <c r="G968" s="3" t="inlineStr">
        <is>
          <t>kari</t>
        </is>
      </c>
      <c r="H968" s="2" t="inlineStr">
        <is>
          <t>Зиннуров Ильнур</t>
        </is>
      </c>
      <c r="J968" s="3" t="inlineStr">
        <is>
          <t>2026SS</t>
        </is>
      </c>
      <c r="K968" s="3" t="n">
        <v>1305</v>
      </c>
      <c r="L968" s="3" t="n">
        <v>447</v>
      </c>
      <c r="M968" s="3" t="n">
        <v>0</v>
      </c>
      <c r="N968" s="4">
        <f>IFERROR(L968/K968,0)</f>
        <v/>
      </c>
      <c r="O968" s="4">
        <f>IFERROR(M968/L968,0)</f>
        <v/>
      </c>
      <c r="P968" t="n">
        <v>4</v>
      </c>
      <c r="Q968" s="5" t="n">
        <v>0.6</v>
      </c>
      <c r="R968" s="7" t="n">
        <v>0</v>
      </c>
      <c r="S968" t="inlineStr">
        <is>
          <t>Мало остатка</t>
        </is>
      </c>
      <c r="T968">
        <f>IF(N968&lt;$T$1*0.5,"Низшая четверть",IF(N968&lt;$T$1,"Вторая четверть","Больше половины"))</f>
        <v/>
      </c>
      <c r="U968">
        <f>IF(O968&lt;$U$1*0.5,"Низшая четверть",IF(O968&lt;$U$1,"Вторая четверть","Больше половины"))</f>
        <v/>
      </c>
      <c r="V968">
        <f>IF(OR(N968&lt;SUMIFS(L:L,R:R,1,E:E,E968)/SUMIFS(K:K,R:R,1,E:E,E968)*0.5,O968&lt;SUMIFS(M:M,R:R,1,E:E,E968)/SUMIFS(L:L,R:R,1,E:E,E968)*0.5),"код для проверки","нормальный код")</f>
        <v/>
      </c>
      <c r="W968">
        <f>IF(N968&lt;SUMIFS(L:L,R:R,1,E:E,E968)/SUMIFS(K:K,R:R,1,E:E,E968)*0.5,"Низшая четверть",IF(N968&lt;SUMIFS(L:L,R:R,1,E:E,E968)/SUMIFS(K:K,R:R,1,E:E,E968),"Вторая четверть","Больше половины"))</f>
        <v/>
      </c>
      <c r="X968">
        <f>IF(O968&lt;SUMIFS(M:M,R:R,1,E:E,E968)/SUMIFS(L:L,R:R,1,E:E,E968)*0.5,"Низшая четверть",IF(O968&lt;SUMIFS(M:M,R:R,1,E:E,E968)/SUMIFS(L:L,R:R,1,E:E,E968),"Вторая четверть","Больше половины"))</f>
        <v/>
      </c>
      <c r="Y968" t="n">
        <v>13</v>
      </c>
    </row>
    <row r="969">
      <c r="A969" s="1" t="inlineStr">
        <is>
          <t>55300160</t>
        </is>
      </c>
      <c r="B969" s="2" t="inlineStr">
        <is>
          <t>850546600</t>
        </is>
      </c>
      <c r="C969" s="3" t="inlineStr">
        <is>
          <t>Одежда для детей</t>
        </is>
      </c>
      <c r="D969" s="2" t="inlineStr">
        <is>
          <t>Брюки детские для мальчиков</t>
        </is>
      </c>
      <c r="E969" s="3" t="inlineStr">
        <is>
          <t>553 Брюки детские для мальчиков</t>
        </is>
      </c>
      <c r="F969" s="2" t="inlineStr">
        <is>
          <t>всесезонный</t>
        </is>
      </c>
      <c r="G969" s="3" t="inlineStr">
        <is>
          <t>kari</t>
        </is>
      </c>
      <c r="H969" s="2" t="inlineStr">
        <is>
          <t>Зиннуров Ильнур</t>
        </is>
      </c>
      <c r="J969" s="3" t="inlineStr">
        <is>
          <t>2026SS</t>
        </is>
      </c>
      <c r="K969" s="3" t="n">
        <v>1305</v>
      </c>
      <c r="L969" s="3" t="n">
        <v>37</v>
      </c>
      <c r="M969" s="3" t="n">
        <v>1</v>
      </c>
      <c r="N969" s="4">
        <f>IFERROR(L969/K969,0)</f>
        <v/>
      </c>
      <c r="O969" s="4">
        <f>IFERROR(M969/L969,0)</f>
        <v/>
      </c>
      <c r="P969" t="n">
        <v>802</v>
      </c>
      <c r="Q969" s="5" t="n">
        <v>1</v>
      </c>
      <c r="R969" s="7" t="n">
        <v>1</v>
      </c>
      <c r="S969">
        <f>IF(OR(N969&lt;$T$1*0.5,O969&lt;$U$1*0.5),"код для проверки","нормальный код")</f>
        <v/>
      </c>
      <c r="T969">
        <f>IF(N969&lt;$T$1*0.5,"Низшая четверть",IF(N969&lt;$T$1,"Вторая четверть","Больше половины"))</f>
        <v/>
      </c>
      <c r="U969">
        <f>IF(O969&lt;$U$1*0.5,"Низшая четверть",IF(O969&lt;$U$1,"Вторая четверть","Больше половины"))</f>
        <v/>
      </c>
      <c r="V969">
        <f>IF(OR(N969&lt;SUMIFS(L:L,R:R,1,E:E,E969)/SUMIFS(K:K,R:R,1,E:E,E969)*0.5,O969&lt;SUMIFS(M:M,R:R,1,E:E,E969)/SUMIFS(L:L,R:R,1,E:E,E969)*0.5),"код для проверки","нормальный код")</f>
        <v/>
      </c>
      <c r="W969">
        <f>IF(N969&lt;SUMIFS(L:L,R:R,1,E:E,E969)/SUMIFS(K:K,R:R,1,E:E,E969)*0.5,"Низшая четверть",IF(N969&lt;SUMIFS(L:L,R:R,1,E:E,E969)/SUMIFS(K:K,R:R,1,E:E,E969),"Вторая четверть","Больше половины"))</f>
        <v/>
      </c>
      <c r="X969">
        <f>IF(O969&lt;SUMIFS(M:M,R:R,1,E:E,E969)/SUMIFS(L:L,R:R,1,E:E,E969)*0.5,"Низшая четверть",IF(O969&lt;SUMIFS(M:M,R:R,1,E:E,E969)/SUMIFS(L:L,R:R,1,E:E,E969),"Вторая четверть","Больше половины"))</f>
        <v/>
      </c>
      <c r="Y969" t="n">
        <v>11</v>
      </c>
    </row>
    <row r="970">
      <c r="A970" s="1" t="inlineStr">
        <is>
          <t>19900030</t>
        </is>
      </c>
      <c r="B970" s="2" t="inlineStr">
        <is>
          <t>799453801</t>
        </is>
      </c>
      <c r="C970" s="3" t="inlineStr">
        <is>
          <t>Одежда и аксессуары</t>
        </is>
      </c>
      <c r="D970" s="2" t="inlineStr">
        <is>
          <t>Пиджаки, жакеты женские</t>
        </is>
      </c>
      <c r="E970" s="3" t="inlineStr">
        <is>
          <t>199 Пиджак женский</t>
        </is>
      </c>
      <c r="F970" s="2" t="inlineStr">
        <is>
          <t>всесезонный</t>
        </is>
      </c>
      <c r="G970" s="3" t="inlineStr">
        <is>
          <t>kari</t>
        </is>
      </c>
      <c r="H970" s="2" t="inlineStr">
        <is>
          <t>Зиннуров Ильнур</t>
        </is>
      </c>
      <c r="J970" s="3" t="inlineStr">
        <is>
          <t>2026SS</t>
        </is>
      </c>
      <c r="K970" s="3" t="n">
        <v>1303</v>
      </c>
      <c r="L970" s="3" t="n">
        <v>71</v>
      </c>
      <c r="M970" s="3" t="n">
        <v>1</v>
      </c>
      <c r="N970" s="4">
        <f>IFERROR(L970/K970,0)</f>
        <v/>
      </c>
      <c r="O970" s="4">
        <f>IFERROR(M970/L970,0)</f>
        <v/>
      </c>
      <c r="P970" t="n">
        <v>479</v>
      </c>
      <c r="Q970" s="5" t="n">
        <v>1</v>
      </c>
      <c r="R970" s="7" t="n">
        <v>1</v>
      </c>
      <c r="S970">
        <f>IF(OR(N970&lt;$T$1*0.5,O970&lt;$U$1*0.5),"код для проверки","нормальный код")</f>
        <v/>
      </c>
      <c r="T970">
        <f>IF(N970&lt;$T$1*0.5,"Низшая четверть",IF(N970&lt;$T$1,"Вторая четверть","Больше половины"))</f>
        <v/>
      </c>
      <c r="U970">
        <f>IF(O970&lt;$U$1*0.5,"Низшая четверть",IF(O970&lt;$U$1,"Вторая четверть","Больше половины"))</f>
        <v/>
      </c>
      <c r="V970">
        <f>IF(OR(N970&lt;SUMIFS(L:L,R:R,1,E:E,E970)/SUMIFS(K:K,R:R,1,E:E,E970)*0.5,O970&lt;SUMIFS(M:M,R:R,1,E:E,E970)/SUMIFS(L:L,R:R,1,E:E,E970)*0.5),"код для проверки","нормальный код")</f>
        <v/>
      </c>
      <c r="W970">
        <f>IF(N970&lt;SUMIFS(L:L,R:R,1,E:E,E970)/SUMIFS(K:K,R:R,1,E:E,E970)*0.5,"Низшая четверть",IF(N970&lt;SUMIFS(L:L,R:R,1,E:E,E970)/SUMIFS(K:K,R:R,1,E:E,E970),"Вторая четверть","Больше половины"))</f>
        <v/>
      </c>
      <c r="X970">
        <f>IF(O970&lt;SUMIFS(M:M,R:R,1,E:E,E970)/SUMIFS(L:L,R:R,1,E:E,E970)*0.5,"Низшая четверть",IF(O970&lt;SUMIFS(M:M,R:R,1,E:E,E970)/SUMIFS(L:L,R:R,1,E:E,E970),"Вторая четверть","Больше половины"))</f>
        <v/>
      </c>
      <c r="Y970" t="n">
        <v>20</v>
      </c>
    </row>
    <row r="971">
      <c r="A971" s="1" t="inlineStr">
        <is>
          <t>30400130</t>
        </is>
      </c>
      <c r="B971" s="2" t="inlineStr">
        <is>
          <t>768031870</t>
        </is>
      </c>
      <c r="C971" s="3" t="inlineStr">
        <is>
          <t>Одежда и аксессуары</t>
        </is>
      </c>
      <c r="D971" s="2" t="inlineStr">
        <is>
          <t>Майки и платья женские</t>
        </is>
      </c>
      <c r="E971" s="3" t="inlineStr">
        <is>
          <t>304 Юбка женская</t>
        </is>
      </c>
      <c r="F971" s="2" t="inlineStr">
        <is>
          <t>всесезонный</t>
        </is>
      </c>
      <c r="G971" s="3" t="inlineStr">
        <is>
          <t>kari</t>
        </is>
      </c>
      <c r="H971" s="2" t="inlineStr">
        <is>
          <t>Зиннуров Ильнур</t>
        </is>
      </c>
      <c r="J971" s="3" t="inlineStr">
        <is>
          <t>2026SS</t>
        </is>
      </c>
      <c r="K971" s="3" t="n">
        <v>1302</v>
      </c>
      <c r="L971" s="3" t="n">
        <v>229</v>
      </c>
      <c r="M971" s="3" t="n">
        <v>5</v>
      </c>
      <c r="N971" s="4">
        <f>IFERROR(L971/K971,0)</f>
        <v/>
      </c>
      <c r="O971" s="4">
        <f>IFERROR(M971/L971,0)</f>
        <v/>
      </c>
      <c r="P971" t="n">
        <v>205</v>
      </c>
      <c r="Q971" s="5" t="n">
        <v>0.6</v>
      </c>
      <c r="R971" s="7" t="n">
        <v>1</v>
      </c>
      <c r="S971">
        <f>IF(OR(N971&lt;$T$1*0.5,O971&lt;$U$1*0.5),"код для проверки","нормальный код")</f>
        <v/>
      </c>
      <c r="T971">
        <f>IF(N971&lt;$T$1*0.5,"Низшая четверть",IF(N971&lt;$T$1,"Вторая четверть","Больше половины"))</f>
        <v/>
      </c>
      <c r="U971">
        <f>IF(O971&lt;$U$1*0.5,"Низшая четверть",IF(O971&lt;$U$1,"Вторая четверть","Больше половины"))</f>
        <v/>
      </c>
      <c r="V971">
        <f>IF(OR(N971&lt;SUMIFS(L:L,R:R,1,E:E,E971)/SUMIFS(K:K,R:R,1,E:E,E971)*0.5,O971&lt;SUMIFS(M:M,R:R,1,E:E,E971)/SUMIFS(L:L,R:R,1,E:E,E971)*0.5),"код для проверки","нормальный код")</f>
        <v/>
      </c>
      <c r="W971">
        <f>IF(N971&lt;SUMIFS(L:L,R:R,1,E:E,E971)/SUMIFS(K:K,R:R,1,E:E,E971)*0.5,"Низшая четверть",IF(N971&lt;SUMIFS(L:L,R:R,1,E:E,E971)/SUMIFS(K:K,R:R,1,E:E,E971),"Вторая четверть","Больше половины"))</f>
        <v/>
      </c>
      <c r="X971">
        <f>IF(O971&lt;SUMIFS(M:M,R:R,1,E:E,E971)/SUMIFS(L:L,R:R,1,E:E,E971)*0.5,"Низшая четверть",IF(O971&lt;SUMIFS(M:M,R:R,1,E:E,E971)/SUMIFS(L:L,R:R,1,E:E,E971),"Вторая четверть","Больше половины"))</f>
        <v/>
      </c>
      <c r="Y971" t="n">
        <v>22</v>
      </c>
    </row>
    <row r="972">
      <c r="A972" s="1" t="inlineStr">
        <is>
          <t>94000360</t>
        </is>
      </c>
      <c r="B972" s="2" t="inlineStr">
        <is>
          <t>839629840</t>
        </is>
      </c>
      <c r="C972" s="3" t="inlineStr">
        <is>
          <t>Одежда для детей</t>
        </is>
      </c>
      <c r="D972" s="2" t="inlineStr">
        <is>
          <t>Одежда для новорожденных</t>
        </is>
      </c>
      <c r="E972" s="3" t="inlineStr">
        <is>
          <t>940 Футболка для маленького мальчика</t>
        </is>
      </c>
      <c r="F972" s="2" t="inlineStr">
        <is>
          <t>всесезонный</t>
        </is>
      </c>
      <c r="G972" s="3" t="inlineStr">
        <is>
          <t>Kari baby</t>
        </is>
      </c>
      <c r="H972" s="2" t="inlineStr">
        <is>
          <t>Зиннуров Ильнур</t>
        </is>
      </c>
      <c r="J972" s="3" t="inlineStr">
        <is>
          <t>2026SS</t>
        </is>
      </c>
      <c r="K972" s="3" t="n">
        <v>1300</v>
      </c>
      <c r="L972" s="3" t="n">
        <v>1182</v>
      </c>
      <c r="M972" s="3" t="n">
        <v>98</v>
      </c>
      <c r="N972" s="4">
        <f>IFERROR(L972/K972,0)</f>
        <v/>
      </c>
      <c r="O972" s="4">
        <f>IFERROR(M972/L972,0)</f>
        <v/>
      </c>
      <c r="P972" t="n">
        <v>535</v>
      </c>
      <c r="Q972" s="5" t="n">
        <v>1</v>
      </c>
      <c r="R972" s="7" t="n">
        <v>1</v>
      </c>
      <c r="S972">
        <f>IF(OR(N972&lt;$T$1*0.5,O972&lt;$U$1*0.5),"код для проверки","нормальный код")</f>
        <v/>
      </c>
      <c r="T972">
        <f>IF(N972&lt;$T$1*0.5,"Низшая четверть",IF(N972&lt;$T$1,"Вторая четверть","Больше половины"))</f>
        <v/>
      </c>
      <c r="U972">
        <f>IF(O972&lt;$U$1*0.5,"Низшая четверть",IF(O972&lt;$U$1,"Вторая четверть","Больше половины"))</f>
        <v/>
      </c>
      <c r="V972">
        <f>IF(OR(N972&lt;SUMIFS(L:L,R:R,1,E:E,E972)/SUMIFS(K:K,R:R,1,E:E,E972)*0.5,O972&lt;SUMIFS(M:M,R:R,1,E:E,E972)/SUMIFS(L:L,R:R,1,E:E,E972)*0.5),"код для проверки","нормальный код")</f>
        <v/>
      </c>
      <c r="W972">
        <f>IF(N972&lt;SUMIFS(L:L,R:R,1,E:E,E972)/SUMIFS(K:K,R:R,1,E:E,E972)*0.5,"Низшая четверть",IF(N972&lt;SUMIFS(L:L,R:R,1,E:E,E972)/SUMIFS(K:K,R:R,1,E:E,E972),"Вторая четверть","Больше половины"))</f>
        <v/>
      </c>
      <c r="X972">
        <f>IF(O972&lt;SUMIFS(M:M,R:R,1,E:E,E972)/SUMIFS(L:L,R:R,1,E:E,E972)*0.5,"Низшая четверть",IF(O972&lt;SUMIFS(M:M,R:R,1,E:E,E972)/SUMIFS(L:L,R:R,1,E:E,E972),"Вторая четверть","Больше половины"))</f>
        <v/>
      </c>
      <c r="Y972" t="n">
        <v>14</v>
      </c>
    </row>
    <row r="973">
      <c r="A973" s="1" t="inlineStr">
        <is>
          <t>310001X0</t>
        </is>
      </c>
      <c r="B973" s="2" t="inlineStr">
        <is>
          <t>932503762</t>
        </is>
      </c>
      <c r="C973" s="3" t="inlineStr">
        <is>
          <t>Одежда для детей</t>
        </is>
      </c>
      <c r="D973" s="2" t="inlineStr">
        <is>
          <t>Футболки, майки, рубашки детские для мальчиков</t>
        </is>
      </c>
      <c r="E973" s="3" t="inlineStr">
        <is>
          <t>310 Футболка детская для мальчиков</t>
        </is>
      </c>
      <c r="F973" s="2" t="inlineStr">
        <is>
          <t>всесезонный</t>
        </is>
      </c>
      <c r="G973" s="3" t="inlineStr">
        <is>
          <t>Kari KIDS</t>
        </is>
      </c>
      <c r="H973" s="2" t="inlineStr">
        <is>
          <t>Зиннуров Ильнур</t>
        </is>
      </c>
      <c r="J973" s="3" t="inlineStr">
        <is>
          <t>2026SS</t>
        </is>
      </c>
      <c r="K973" s="3" t="n">
        <v>1294</v>
      </c>
      <c r="L973" s="3" t="n">
        <v>20</v>
      </c>
      <c r="M973" s="3" t="n">
        <v>0</v>
      </c>
      <c r="N973" s="4">
        <f>IFERROR(L973/K973,0)</f>
        <v/>
      </c>
      <c r="O973" s="4">
        <f>IFERROR(M973/L973,0)</f>
        <v/>
      </c>
      <c r="P973" t="n">
        <v>1997</v>
      </c>
      <c r="Q973" s="5" t="n">
        <v>1</v>
      </c>
      <c r="R973" s="7" t="n">
        <v>1</v>
      </c>
      <c r="S973">
        <f>IF(OR(N973&lt;$T$1*0.5,O973&lt;$U$1*0.5),"код для проверки","нормальный код")</f>
        <v/>
      </c>
      <c r="T973">
        <f>IF(N973&lt;$T$1*0.5,"Низшая четверть",IF(N973&lt;$T$1,"Вторая четверть","Больше половины"))</f>
        <v/>
      </c>
      <c r="U973">
        <f>IF(O973&lt;$U$1*0.5,"Низшая четверть",IF(O973&lt;$U$1,"Вторая четверть","Больше половины"))</f>
        <v/>
      </c>
      <c r="V973">
        <f>IF(OR(N973&lt;SUMIFS(L:L,R:R,1,E:E,E973)/SUMIFS(K:K,R:R,1,E:E,E973)*0.5,O973&lt;SUMIFS(M:M,R:R,1,E:E,E973)/SUMIFS(L:L,R:R,1,E:E,E973)*0.5),"код для проверки","нормальный код")</f>
        <v/>
      </c>
      <c r="W973">
        <f>IF(N973&lt;SUMIFS(L:L,R:R,1,E:E,E973)/SUMIFS(K:K,R:R,1,E:E,E973)*0.5,"Низшая четверть",IF(N973&lt;SUMIFS(L:L,R:R,1,E:E,E973)/SUMIFS(K:K,R:R,1,E:E,E973),"Вторая четверть","Больше половины"))</f>
        <v/>
      </c>
      <c r="X973">
        <f>IF(O973&lt;SUMIFS(M:M,R:R,1,E:E,E973)/SUMIFS(L:L,R:R,1,E:E,E973)*0.5,"Низшая четверть",IF(O973&lt;SUMIFS(M:M,R:R,1,E:E,E973)/SUMIFS(L:L,R:R,1,E:E,E973),"Вторая четверть","Больше половины"))</f>
        <v/>
      </c>
      <c r="Y973" t="n">
        <v>7</v>
      </c>
    </row>
    <row r="974">
      <c r="A974" s="1" t="inlineStr">
        <is>
          <t>30400020</t>
        </is>
      </c>
      <c r="B974" s="2" t="inlineStr">
        <is>
          <t>803292929</t>
        </is>
      </c>
      <c r="C974" s="3" t="inlineStr">
        <is>
          <t>Одежда и аксессуары</t>
        </is>
      </c>
      <c r="D974" s="2" t="inlineStr">
        <is>
          <t>Майки и платья женские</t>
        </is>
      </c>
      <c r="E974" s="3" t="inlineStr">
        <is>
          <t>304 Юбка женская</t>
        </is>
      </c>
      <c r="F974" s="2" t="inlineStr">
        <is>
          <t>всесезонный</t>
        </is>
      </c>
      <c r="G974" s="3" t="inlineStr">
        <is>
          <t>kari</t>
        </is>
      </c>
      <c r="H974" s="2" t="inlineStr">
        <is>
          <t>Зиннуров Ильнур</t>
        </is>
      </c>
      <c r="J974" s="3" t="inlineStr">
        <is>
          <t>2026SS</t>
        </is>
      </c>
      <c r="K974" s="3" t="n">
        <v>1290</v>
      </c>
      <c r="L974" s="3" t="n">
        <v>75</v>
      </c>
      <c r="M974" s="3" t="n">
        <v>5</v>
      </c>
      <c r="N974" s="4">
        <f>IFERROR(L974/K974,0)</f>
        <v/>
      </c>
      <c r="O974" s="4">
        <f>IFERROR(M974/L974,0)</f>
        <v/>
      </c>
      <c r="P974" t="n">
        <v>195</v>
      </c>
      <c r="Q974" s="5" t="n">
        <v>1</v>
      </c>
      <c r="R974" s="7" t="n">
        <v>1</v>
      </c>
      <c r="S974">
        <f>IF(OR(N974&lt;$T$1*0.5,O974&lt;$U$1*0.5),"код для проверки","нормальный код")</f>
        <v/>
      </c>
      <c r="T974">
        <f>IF(N974&lt;$T$1*0.5,"Низшая четверть",IF(N974&lt;$T$1,"Вторая четверть","Больше половины"))</f>
        <v/>
      </c>
      <c r="U974">
        <f>IF(O974&lt;$U$1*0.5,"Низшая четверть",IF(O974&lt;$U$1,"Вторая четверть","Больше половины"))</f>
        <v/>
      </c>
      <c r="V974">
        <f>IF(OR(N974&lt;SUMIFS(L:L,R:R,1,E:E,E974)/SUMIFS(K:K,R:R,1,E:E,E974)*0.5,O974&lt;SUMIFS(M:M,R:R,1,E:E,E974)/SUMIFS(L:L,R:R,1,E:E,E974)*0.5),"код для проверки","нормальный код")</f>
        <v/>
      </c>
      <c r="W974">
        <f>IF(N974&lt;SUMIFS(L:L,R:R,1,E:E,E974)/SUMIFS(K:K,R:R,1,E:E,E974)*0.5,"Низшая четверть",IF(N974&lt;SUMIFS(L:L,R:R,1,E:E,E974)/SUMIFS(K:K,R:R,1,E:E,E974),"Вторая четверть","Больше половины"))</f>
        <v/>
      </c>
      <c r="X974">
        <f>IF(O974&lt;SUMIFS(M:M,R:R,1,E:E,E974)/SUMIFS(L:L,R:R,1,E:E,E974)*0.5,"Низшая четверть",IF(O974&lt;SUMIFS(M:M,R:R,1,E:E,E974)/SUMIFS(L:L,R:R,1,E:E,E974),"Вторая четверть","Больше половины"))</f>
        <v/>
      </c>
      <c r="Y974" t="n">
        <v>15</v>
      </c>
    </row>
    <row r="975">
      <c r="A975" s="1" t="inlineStr">
        <is>
          <t>19900000</t>
        </is>
      </c>
      <c r="B975" s="2" t="inlineStr">
        <is>
          <t>799453820</t>
        </is>
      </c>
      <c r="C975" s="3" t="inlineStr">
        <is>
          <t>Одежда и аксессуары</t>
        </is>
      </c>
      <c r="D975" s="2" t="inlineStr">
        <is>
          <t>Пиджаки, жакеты женские</t>
        </is>
      </c>
      <c r="E975" s="3" t="inlineStr">
        <is>
          <t>199 Пиджак женский</t>
        </is>
      </c>
      <c r="F975" s="2" t="inlineStr">
        <is>
          <t>всесезонный</t>
        </is>
      </c>
      <c r="G975" s="3" t="inlineStr">
        <is>
          <t>kari</t>
        </is>
      </c>
      <c r="H975" s="2" t="inlineStr">
        <is>
          <t>Зиннуров Ильнур</t>
        </is>
      </c>
      <c r="J975" s="3" t="inlineStr">
        <is>
          <t>2026SS</t>
        </is>
      </c>
      <c r="K975" s="3" t="n">
        <v>1284</v>
      </c>
      <c r="L975" s="3" t="n">
        <v>42</v>
      </c>
      <c r="M975" s="3" t="n">
        <v>0</v>
      </c>
      <c r="N975" s="4">
        <f>IFERROR(L975/K975,0)</f>
        <v/>
      </c>
      <c r="O975" s="4">
        <f>IFERROR(M975/L975,0)</f>
        <v/>
      </c>
      <c r="P975" t="n">
        <v>237</v>
      </c>
      <c r="Q975" s="5" t="n">
        <v>1</v>
      </c>
      <c r="R975" s="7" t="n">
        <v>1</v>
      </c>
      <c r="S975">
        <f>IF(OR(N975&lt;$T$1*0.5,O975&lt;$U$1*0.5),"код для проверки","нормальный код")</f>
        <v/>
      </c>
      <c r="T975">
        <f>IF(N975&lt;$T$1*0.5,"Низшая четверть",IF(N975&lt;$T$1,"Вторая четверть","Больше половины"))</f>
        <v/>
      </c>
      <c r="U975">
        <f>IF(O975&lt;$U$1*0.5,"Низшая четверть",IF(O975&lt;$U$1,"Вторая четверть","Больше половины"))</f>
        <v/>
      </c>
      <c r="V975">
        <f>IF(OR(N975&lt;SUMIFS(L:L,R:R,1,E:E,E975)/SUMIFS(K:K,R:R,1,E:E,E975)*0.5,O975&lt;SUMIFS(M:M,R:R,1,E:E,E975)/SUMIFS(L:L,R:R,1,E:E,E975)*0.5),"код для проверки","нормальный код")</f>
        <v/>
      </c>
      <c r="W975">
        <f>IF(N975&lt;SUMIFS(L:L,R:R,1,E:E,E975)/SUMIFS(K:K,R:R,1,E:E,E975)*0.5,"Низшая четверть",IF(N975&lt;SUMIFS(L:L,R:R,1,E:E,E975)/SUMIFS(K:K,R:R,1,E:E,E975),"Вторая четверть","Больше половины"))</f>
        <v/>
      </c>
      <c r="X975">
        <f>IF(O975&lt;SUMIFS(M:M,R:R,1,E:E,E975)/SUMIFS(L:L,R:R,1,E:E,E975)*0.5,"Низшая четверть",IF(O975&lt;SUMIFS(M:M,R:R,1,E:E,E975)/SUMIFS(L:L,R:R,1,E:E,E975),"Вторая четверть","Больше половины"))</f>
        <v/>
      </c>
      <c r="Y975" t="n">
        <v>23</v>
      </c>
    </row>
    <row r="976">
      <c r="A976" s="1" t="inlineStr">
        <is>
          <t>94400060</t>
        </is>
      </c>
      <c r="B976" s="2" t="inlineStr">
        <is>
          <t>936625611</t>
        </is>
      </c>
      <c r="C976" s="3" t="inlineStr">
        <is>
          <t>Одежда для детей</t>
        </is>
      </c>
      <c r="D976" s="2" t="inlineStr">
        <is>
          <t>Одежда для новорожденных</t>
        </is>
      </c>
      <c r="E976" s="3" t="inlineStr">
        <is>
          <t>944 Комплект одежды для маленькой девочки</t>
        </is>
      </c>
      <c r="F976" s="2" t="inlineStr">
        <is>
          <t>всесезонный</t>
        </is>
      </c>
      <c r="G976" s="3" t="inlineStr">
        <is>
          <t>Kari baby</t>
        </is>
      </c>
      <c r="H976" s="2" t="inlineStr">
        <is>
          <t>Зиннуров Ильнур</t>
        </is>
      </c>
      <c r="J976" s="3" t="inlineStr">
        <is>
          <t>2026SS</t>
        </is>
      </c>
      <c r="K976" s="3" t="n">
        <v>1281</v>
      </c>
      <c r="L976" s="3" t="n">
        <v>49</v>
      </c>
      <c r="M976" s="3" t="n">
        <v>2</v>
      </c>
      <c r="N976" s="4">
        <f>IFERROR(L976/K976,0)</f>
        <v/>
      </c>
      <c r="O976" s="4">
        <f>IFERROR(M976/L976,0)</f>
        <v/>
      </c>
      <c r="P976" t="n">
        <v>338</v>
      </c>
      <c r="Q976" s="5" t="n">
        <v>0.75</v>
      </c>
      <c r="R976" s="7" t="n">
        <v>1</v>
      </c>
      <c r="S976">
        <f>IF(OR(N976&lt;$T$1*0.5,O976&lt;$U$1*0.5),"код для проверки","нормальный код")</f>
        <v/>
      </c>
      <c r="T976">
        <f>IF(N976&lt;$T$1*0.5,"Низшая четверть",IF(N976&lt;$T$1,"Вторая четверть","Больше половины"))</f>
        <v/>
      </c>
      <c r="U976">
        <f>IF(O976&lt;$U$1*0.5,"Низшая четверть",IF(O976&lt;$U$1,"Вторая четверть","Больше половины"))</f>
        <v/>
      </c>
      <c r="V976">
        <f>IF(OR(N976&lt;SUMIFS(L:L,R:R,1,E:E,E976)/SUMIFS(K:K,R:R,1,E:E,E976)*0.5,O976&lt;SUMIFS(M:M,R:R,1,E:E,E976)/SUMIFS(L:L,R:R,1,E:E,E976)*0.5),"код для проверки","нормальный код")</f>
        <v/>
      </c>
      <c r="W976">
        <f>IF(N976&lt;SUMIFS(L:L,R:R,1,E:E,E976)/SUMIFS(K:K,R:R,1,E:E,E976)*0.5,"Низшая четверть",IF(N976&lt;SUMIFS(L:L,R:R,1,E:E,E976)/SUMIFS(K:K,R:R,1,E:E,E976),"Вторая четверть","Больше половины"))</f>
        <v/>
      </c>
      <c r="X976">
        <f>IF(O976&lt;SUMIFS(M:M,R:R,1,E:E,E976)/SUMIFS(L:L,R:R,1,E:E,E976)*0.5,"Низшая четверть",IF(O976&lt;SUMIFS(M:M,R:R,1,E:E,E976)/SUMIFS(L:L,R:R,1,E:E,E976),"Вторая четверть","Больше половины"))</f>
        <v/>
      </c>
      <c r="Y976" t="n">
        <v>19</v>
      </c>
    </row>
    <row r="977">
      <c r="A977" s="1" t="inlineStr">
        <is>
          <t>92600040</t>
        </is>
      </c>
      <c r="B977" s="2" t="inlineStr">
        <is>
          <t>913192754</t>
        </is>
      </c>
      <c r="C977" s="3" t="inlineStr">
        <is>
          <t>Одежда для детей</t>
        </is>
      </c>
      <c r="D977" s="2" t="inlineStr">
        <is>
          <t>Одежда для новорожденных</t>
        </is>
      </c>
      <c r="E977" s="3" t="inlineStr">
        <is>
          <t>926 Полукомбинезон для маленькой девочки</t>
        </is>
      </c>
      <c r="F977" s="2" t="inlineStr">
        <is>
          <t>весна, лето</t>
        </is>
      </c>
      <c r="G977" s="3" t="inlineStr">
        <is>
          <t>Kari baby</t>
        </is>
      </c>
      <c r="H977" s="2" t="inlineStr">
        <is>
          <t>Зиннуров Ильнур</t>
        </is>
      </c>
      <c r="J977" s="3" t="inlineStr">
        <is>
          <t>2026SS</t>
        </is>
      </c>
      <c r="K977" s="3" t="n">
        <v>1280</v>
      </c>
      <c r="L977" s="3" t="n">
        <v>52</v>
      </c>
      <c r="M977" s="3" t="n">
        <v>0</v>
      </c>
      <c r="N977" s="4">
        <f>IFERROR(L977/K977,0)</f>
        <v/>
      </c>
      <c r="O977" s="4">
        <f>IFERROR(M977/L977,0)</f>
        <v/>
      </c>
      <c r="P977" t="n">
        <v>465</v>
      </c>
      <c r="Q977" s="5" t="n">
        <v>1</v>
      </c>
      <c r="R977" s="7" t="n">
        <v>1</v>
      </c>
      <c r="S977">
        <f>IF(OR(N977&lt;$T$1*0.5,O977&lt;$U$1*0.5),"код для проверки","нормальный код")</f>
        <v/>
      </c>
      <c r="T977">
        <f>IF(N977&lt;$T$1*0.5,"Низшая четверть",IF(N977&lt;$T$1,"Вторая четверть","Больше половины"))</f>
        <v/>
      </c>
      <c r="U977">
        <f>IF(O977&lt;$U$1*0.5,"Низшая четверть",IF(O977&lt;$U$1,"Вторая четверть","Больше половины"))</f>
        <v/>
      </c>
      <c r="V977">
        <f>IF(OR(N977&lt;SUMIFS(L:L,R:R,1,E:E,E977)/SUMIFS(K:K,R:R,1,E:E,E977)*0.5,O977&lt;SUMIFS(M:M,R:R,1,E:E,E977)/SUMIFS(L:L,R:R,1,E:E,E977)*0.5),"код для проверки","нормальный код")</f>
        <v/>
      </c>
      <c r="W977">
        <f>IF(N977&lt;SUMIFS(L:L,R:R,1,E:E,E977)/SUMIFS(K:K,R:R,1,E:E,E977)*0.5,"Низшая четверть",IF(N977&lt;SUMIFS(L:L,R:R,1,E:E,E977)/SUMIFS(K:K,R:R,1,E:E,E977),"Вторая четверть","Больше половины"))</f>
        <v/>
      </c>
      <c r="X977">
        <f>IF(O977&lt;SUMIFS(M:M,R:R,1,E:E,E977)/SUMIFS(L:L,R:R,1,E:E,E977)*0.5,"Низшая четверть",IF(O977&lt;SUMIFS(M:M,R:R,1,E:E,E977)/SUMIFS(L:L,R:R,1,E:E,E977),"Вторая четверть","Больше половины"))</f>
        <v/>
      </c>
      <c r="Y977" t="n">
        <v>7</v>
      </c>
    </row>
    <row r="978">
      <c r="A978" s="1" t="inlineStr">
        <is>
          <t>94700110</t>
        </is>
      </c>
      <c r="B978" s="2" t="inlineStr">
        <is>
          <t>925974974</t>
        </is>
      </c>
      <c r="C978" s="3" t="inlineStr">
        <is>
          <t>Одежда для детей</t>
        </is>
      </c>
      <c r="D978" s="2" t="inlineStr">
        <is>
          <t>Одежда для новорожденных</t>
        </is>
      </c>
      <c r="E978" s="3" t="inlineStr">
        <is>
          <t>947 Ромпер для девочки</t>
        </is>
      </c>
      <c r="F978" s="2" t="inlineStr">
        <is>
          <t>лето</t>
        </is>
      </c>
      <c r="G978" s="3" t="inlineStr">
        <is>
          <t>Kari baby</t>
        </is>
      </c>
      <c r="H978" s="2" t="inlineStr">
        <is>
          <t>Зиннуров Ильнур</t>
        </is>
      </c>
      <c r="J978" s="3" t="inlineStr">
        <is>
          <t>2026SS</t>
        </is>
      </c>
      <c r="K978" s="3" t="n">
        <v>1265</v>
      </c>
      <c r="L978" s="3" t="n">
        <v>320</v>
      </c>
      <c r="M978" s="3" t="n">
        <v>4</v>
      </c>
      <c r="N978" s="4">
        <f>IFERROR(L978/K978,0)</f>
        <v/>
      </c>
      <c r="O978" s="4">
        <f>IFERROR(M978/L978,0)</f>
        <v/>
      </c>
      <c r="P978" t="n">
        <v>386</v>
      </c>
      <c r="Q978" s="5" t="n">
        <v>1</v>
      </c>
      <c r="R978" s="7" t="n">
        <v>1</v>
      </c>
      <c r="S978">
        <f>IF(OR(N978&lt;$T$1*0.5,O978&lt;$U$1*0.5),"код для проверки","нормальный код")</f>
        <v/>
      </c>
      <c r="T978">
        <f>IF(N978&lt;$T$1*0.5,"Низшая четверть",IF(N978&lt;$T$1,"Вторая четверть","Больше половины"))</f>
        <v/>
      </c>
      <c r="U978">
        <f>IF(O978&lt;$U$1*0.5,"Низшая четверть",IF(O978&lt;$U$1,"Вторая четверть","Больше половины"))</f>
        <v/>
      </c>
      <c r="V978">
        <f>IF(OR(N978&lt;SUMIFS(L:L,R:R,1,E:E,E978)/SUMIFS(K:K,R:R,1,E:E,E978)*0.5,O978&lt;SUMIFS(M:M,R:R,1,E:E,E978)/SUMIFS(L:L,R:R,1,E:E,E978)*0.5),"код для проверки","нормальный код")</f>
        <v/>
      </c>
      <c r="W978">
        <f>IF(N978&lt;SUMIFS(L:L,R:R,1,E:E,E978)/SUMIFS(K:K,R:R,1,E:E,E978)*0.5,"Низшая четверть",IF(N978&lt;SUMIFS(L:L,R:R,1,E:E,E978)/SUMIFS(K:K,R:R,1,E:E,E978),"Вторая четверть","Больше половины"))</f>
        <v/>
      </c>
      <c r="X978">
        <f>IF(O978&lt;SUMIFS(M:M,R:R,1,E:E,E978)/SUMIFS(L:L,R:R,1,E:E,E978)*0.5,"Низшая четверть",IF(O978&lt;SUMIFS(M:M,R:R,1,E:E,E978)/SUMIFS(L:L,R:R,1,E:E,E978),"Вторая четверть","Больше половины"))</f>
        <v/>
      </c>
      <c r="Y978" t="n">
        <v>15</v>
      </c>
    </row>
    <row r="979">
      <c r="A979" s="1" t="inlineStr">
        <is>
          <t>55400120</t>
        </is>
      </c>
      <c r="B979" s="2" t="inlineStr">
        <is>
          <t>820574359</t>
        </is>
      </c>
      <c r="C979" s="3" t="inlineStr">
        <is>
          <t>Одежда для детей</t>
        </is>
      </c>
      <c r="D979" s="2" t="inlineStr">
        <is>
          <t>Головные уборы детские для мальчиков</t>
        </is>
      </c>
      <c r="E979" s="3" t="inlineStr">
        <is>
          <t>554 Панама детская для мальчиков</t>
        </is>
      </c>
      <c r="F979" s="2" t="inlineStr">
        <is>
          <t>весна, лето</t>
        </is>
      </c>
      <c r="G979" s="3" t="inlineStr">
        <is>
          <t>kari</t>
        </is>
      </c>
      <c r="H979" s="2" t="inlineStr">
        <is>
          <t>Никонорова Алина</t>
        </is>
      </c>
      <c r="J979" s="3" t="inlineStr">
        <is>
          <t>2026SS</t>
        </is>
      </c>
      <c r="K979" s="3" t="n">
        <v>1260</v>
      </c>
      <c r="L979" s="3" t="n">
        <v>136</v>
      </c>
      <c r="M979" s="3" t="n">
        <v>1</v>
      </c>
      <c r="N979" s="4">
        <f>IFERROR(L979/K979,0)</f>
        <v/>
      </c>
      <c r="O979" s="4">
        <f>IFERROR(M979/L979,0)</f>
        <v/>
      </c>
      <c r="P979" t="n">
        <v>848</v>
      </c>
      <c r="Q979" s="5" t="n">
        <v>0.75</v>
      </c>
      <c r="R979" s="7" t="n">
        <v>1</v>
      </c>
      <c r="S979">
        <f>IF(OR(N979&lt;$T$1*0.5,O979&lt;$U$1*0.5),"код для проверки","нормальный код")</f>
        <v/>
      </c>
      <c r="T979">
        <f>IF(N979&lt;$T$1*0.5,"Низшая четверть",IF(N979&lt;$T$1,"Вторая четверть","Больше половины"))</f>
        <v/>
      </c>
      <c r="U979">
        <f>IF(O979&lt;$U$1*0.5,"Низшая четверть",IF(O979&lt;$U$1,"Вторая четверть","Больше половины"))</f>
        <v/>
      </c>
      <c r="V979">
        <f>IF(OR(N979&lt;SUMIFS(L:L,R:R,1,E:E,E979)/SUMIFS(K:K,R:R,1,E:E,E979)*0.5,O979&lt;SUMIFS(M:M,R:R,1,E:E,E979)/SUMIFS(L:L,R:R,1,E:E,E979)*0.5),"код для проверки","нормальный код")</f>
        <v/>
      </c>
      <c r="W979">
        <f>IF(N979&lt;SUMIFS(L:L,R:R,1,E:E,E979)/SUMIFS(K:K,R:R,1,E:E,E979)*0.5,"Низшая четверть",IF(N979&lt;SUMIFS(L:L,R:R,1,E:E,E979)/SUMIFS(K:K,R:R,1,E:E,E979),"Вторая четверть","Больше половины"))</f>
        <v/>
      </c>
      <c r="X979">
        <f>IF(O979&lt;SUMIFS(M:M,R:R,1,E:E,E979)/SUMIFS(L:L,R:R,1,E:E,E979)*0.5,"Низшая четверть",IF(O979&lt;SUMIFS(M:M,R:R,1,E:E,E979)/SUMIFS(L:L,R:R,1,E:E,E979),"Вторая четверть","Больше половины"))</f>
        <v/>
      </c>
      <c r="Y979" t="n">
        <v>7</v>
      </c>
    </row>
    <row r="980">
      <c r="A980" s="1" t="inlineStr">
        <is>
          <t>310002D0</t>
        </is>
      </c>
      <c r="B980" s="2" t="inlineStr">
        <is>
          <t>932503544</t>
        </is>
      </c>
      <c r="C980" s="3" t="inlineStr">
        <is>
          <t>Одежда для детей</t>
        </is>
      </c>
      <c r="D980" s="2" t="inlineStr">
        <is>
          <t>Футболки, майки, рубашки детские для мальчиков</t>
        </is>
      </c>
      <c r="E980" s="3" t="inlineStr">
        <is>
          <t>310 Футболка детская для мальчиков</t>
        </is>
      </c>
      <c r="F980" s="2" t="inlineStr">
        <is>
          <t>всесезонный</t>
        </is>
      </c>
      <c r="G980" s="3" t="inlineStr">
        <is>
          <t>Kari KIDS</t>
        </is>
      </c>
      <c r="H980" s="2" t="inlineStr">
        <is>
          <t>Зиннуров Ильнур</t>
        </is>
      </c>
      <c r="J980" s="3" t="inlineStr">
        <is>
          <t>2026SS</t>
        </is>
      </c>
      <c r="K980" s="3" t="n">
        <v>1256</v>
      </c>
      <c r="L980" s="3" t="n">
        <v>29</v>
      </c>
      <c r="M980" s="3" t="n">
        <v>2</v>
      </c>
      <c r="N980" s="4">
        <f>IFERROR(L980/K980,0)</f>
        <v/>
      </c>
      <c r="O980" s="4">
        <f>IFERROR(M980/L980,0)</f>
        <v/>
      </c>
      <c r="P980" t="n">
        <v>2000</v>
      </c>
      <c r="Q980" s="5" t="n">
        <v>1</v>
      </c>
      <c r="R980" s="7" t="n">
        <v>1</v>
      </c>
      <c r="S980">
        <f>IF(OR(N980&lt;$T$1*0.5,O980&lt;$U$1*0.5),"код для проверки","нормальный код")</f>
        <v/>
      </c>
      <c r="T980">
        <f>IF(N980&lt;$T$1*0.5,"Низшая четверть",IF(N980&lt;$T$1,"Вторая четверть","Больше половины"))</f>
        <v/>
      </c>
      <c r="U980">
        <f>IF(O980&lt;$U$1*0.5,"Низшая четверть",IF(O980&lt;$U$1,"Вторая четверть","Больше половины"))</f>
        <v/>
      </c>
      <c r="V980">
        <f>IF(OR(N980&lt;SUMIFS(L:L,R:R,1,E:E,E980)/SUMIFS(K:K,R:R,1,E:E,E980)*0.5,O980&lt;SUMIFS(M:M,R:R,1,E:E,E980)/SUMIFS(L:L,R:R,1,E:E,E980)*0.5),"код для проверки","нормальный код")</f>
        <v/>
      </c>
      <c r="W980">
        <f>IF(N980&lt;SUMIFS(L:L,R:R,1,E:E,E980)/SUMIFS(K:K,R:R,1,E:E,E980)*0.5,"Низшая четверть",IF(N980&lt;SUMIFS(L:L,R:R,1,E:E,E980)/SUMIFS(K:K,R:R,1,E:E,E980),"Вторая четверть","Больше половины"))</f>
        <v/>
      </c>
      <c r="X980">
        <f>IF(O980&lt;SUMIFS(M:M,R:R,1,E:E,E980)/SUMIFS(L:L,R:R,1,E:E,E980)*0.5,"Низшая четверть",IF(O980&lt;SUMIFS(M:M,R:R,1,E:E,E980)/SUMIFS(L:L,R:R,1,E:E,E980),"Вторая четверть","Больше половины"))</f>
        <v/>
      </c>
      <c r="Y980" t="n">
        <v>6</v>
      </c>
    </row>
    <row r="981">
      <c r="A981" s="1" t="inlineStr">
        <is>
          <t>43600080</t>
        </is>
      </c>
      <c r="B981" s="2" t="inlineStr">
        <is>
          <t>879308728</t>
        </is>
      </c>
      <c r="C981" s="3" t="inlineStr">
        <is>
          <t>Одежда для детей</t>
        </is>
      </c>
      <c r="D981" s="2" t="inlineStr">
        <is>
          <t>Одежда для новорожденных</t>
        </is>
      </c>
      <c r="E981" s="3" t="inlineStr">
        <is>
          <t>436 Брюки спортивные утепленные для маленьких мальчиков</t>
        </is>
      </c>
      <c r="F981" s="2" t="inlineStr">
        <is>
          <t>весна, осень, зима</t>
        </is>
      </c>
      <c r="G981" s="3" t="inlineStr">
        <is>
          <t>Kari baby</t>
        </is>
      </c>
      <c r="H981" s="2" t="inlineStr">
        <is>
          <t>Зиннуров Ильнур</t>
        </is>
      </c>
      <c r="J981" s="3" t="inlineStr">
        <is>
          <t>2026SS</t>
        </is>
      </c>
      <c r="K981" s="3" t="n">
        <v>1254</v>
      </c>
      <c r="L981" s="3" t="n">
        <v>71</v>
      </c>
      <c r="M981" s="3" t="n">
        <v>3</v>
      </c>
      <c r="N981" s="4">
        <f>IFERROR(L981/K981,0)</f>
        <v/>
      </c>
      <c r="O981" s="4">
        <f>IFERROR(M981/L981,0)</f>
        <v/>
      </c>
      <c r="P981" t="n">
        <v>138</v>
      </c>
      <c r="Q981" s="5" t="n">
        <v>0.5</v>
      </c>
      <c r="R981" s="7" t="n">
        <v>1</v>
      </c>
      <c r="S981">
        <f>IF(OR(N981&lt;$T$1*0.5,O981&lt;$U$1*0.5),"код для проверки","нормальный код")</f>
        <v/>
      </c>
      <c r="T981">
        <f>IF(N981&lt;$T$1*0.5,"Низшая четверть",IF(N981&lt;$T$1,"Вторая четверть","Больше половины"))</f>
        <v/>
      </c>
      <c r="U981">
        <f>IF(O981&lt;$U$1*0.5,"Низшая четверть",IF(O981&lt;$U$1,"Вторая четверть","Больше половины"))</f>
        <v/>
      </c>
      <c r="V981">
        <f>IF(OR(N981&lt;SUMIFS(L:L,R:R,1,E:E,E981)/SUMIFS(K:K,R:R,1,E:E,E981)*0.5,O981&lt;SUMIFS(M:M,R:R,1,E:E,E981)/SUMIFS(L:L,R:R,1,E:E,E981)*0.5),"код для проверки","нормальный код")</f>
        <v/>
      </c>
      <c r="W981">
        <f>IF(N981&lt;SUMIFS(L:L,R:R,1,E:E,E981)/SUMIFS(K:K,R:R,1,E:E,E981)*0.5,"Низшая четверть",IF(N981&lt;SUMIFS(L:L,R:R,1,E:E,E981)/SUMIFS(K:K,R:R,1,E:E,E981),"Вторая четверть","Больше половины"))</f>
        <v/>
      </c>
      <c r="X981">
        <f>IF(O981&lt;SUMIFS(M:M,R:R,1,E:E,E981)/SUMIFS(L:L,R:R,1,E:E,E981)*0.5,"Низшая четверть",IF(O981&lt;SUMIFS(M:M,R:R,1,E:E,E981)/SUMIFS(L:L,R:R,1,E:E,E981),"Вторая четверть","Больше половины"))</f>
        <v/>
      </c>
      <c r="Y981" t="n">
        <v>13</v>
      </c>
    </row>
    <row r="982">
      <c r="A982" s="1" t="inlineStr">
        <is>
          <t>310001W0</t>
        </is>
      </c>
      <c r="B982" s="2" t="inlineStr">
        <is>
          <t>932503596</t>
        </is>
      </c>
      <c r="C982" s="3" t="inlineStr">
        <is>
          <t>Одежда для детей</t>
        </is>
      </c>
      <c r="D982" s="2" t="inlineStr">
        <is>
          <t>Футболки, майки, рубашки детские для мальчиков</t>
        </is>
      </c>
      <c r="E982" s="3" t="inlineStr">
        <is>
          <t>310 Футболка детская для мальчиков</t>
        </is>
      </c>
      <c r="F982" s="2" t="inlineStr">
        <is>
          <t>всесезонный</t>
        </is>
      </c>
      <c r="G982" s="3" t="inlineStr">
        <is>
          <t>Kari KIDS</t>
        </is>
      </c>
      <c r="H982" s="2" t="inlineStr">
        <is>
          <t>Зиннуров Ильнур</t>
        </is>
      </c>
      <c r="J982" s="3" t="inlineStr">
        <is>
          <t>2026SS</t>
        </is>
      </c>
      <c r="K982" s="3" t="n">
        <v>1251</v>
      </c>
      <c r="L982" s="3" t="n">
        <v>11</v>
      </c>
      <c r="M982" s="3" t="n">
        <v>0</v>
      </c>
      <c r="N982" s="4">
        <f>IFERROR(L982/K982,0)</f>
        <v/>
      </c>
      <c r="O982" s="4">
        <f>IFERROR(M982/L982,0)</f>
        <v/>
      </c>
      <c r="P982" t="n">
        <v>2397</v>
      </c>
      <c r="Q982" s="5" t="n">
        <v>1</v>
      </c>
      <c r="R982" s="7" t="n">
        <v>1</v>
      </c>
      <c r="S982">
        <f>IF(OR(N982&lt;$T$1*0.5,O982&lt;$U$1*0.5),"код для проверки","нормальный код")</f>
        <v/>
      </c>
      <c r="T982">
        <f>IF(N982&lt;$T$1*0.5,"Низшая четверть",IF(N982&lt;$T$1,"Вторая четверть","Больше половины"))</f>
        <v/>
      </c>
      <c r="U982">
        <f>IF(O982&lt;$U$1*0.5,"Низшая четверть",IF(O982&lt;$U$1,"Вторая четверть","Больше половины"))</f>
        <v/>
      </c>
      <c r="V982">
        <f>IF(OR(N982&lt;SUMIFS(L:L,R:R,1,E:E,E982)/SUMIFS(K:K,R:R,1,E:E,E982)*0.5,O982&lt;SUMIFS(M:M,R:R,1,E:E,E982)/SUMIFS(L:L,R:R,1,E:E,E982)*0.5),"код для проверки","нормальный код")</f>
        <v/>
      </c>
      <c r="W982">
        <f>IF(N982&lt;SUMIFS(L:L,R:R,1,E:E,E982)/SUMIFS(K:K,R:R,1,E:E,E982)*0.5,"Низшая четверть",IF(N982&lt;SUMIFS(L:L,R:R,1,E:E,E982)/SUMIFS(K:K,R:R,1,E:E,E982),"Вторая четверть","Больше половины"))</f>
        <v/>
      </c>
      <c r="X982">
        <f>IF(O982&lt;SUMIFS(M:M,R:R,1,E:E,E982)/SUMIFS(L:L,R:R,1,E:E,E982)*0.5,"Низшая четверть",IF(O982&lt;SUMIFS(M:M,R:R,1,E:E,E982)/SUMIFS(L:L,R:R,1,E:E,E982),"Вторая четверть","Больше половины"))</f>
        <v/>
      </c>
      <c r="Y982" t="n">
        <v>8</v>
      </c>
    </row>
    <row r="983">
      <c r="A983" s="1" t="inlineStr">
        <is>
          <t>93800150</t>
        </is>
      </c>
      <c r="B983" s="2" t="inlineStr">
        <is>
          <t>866258015</t>
        </is>
      </c>
      <c r="C983" s="3" t="inlineStr">
        <is>
          <t>Одежда для детей</t>
        </is>
      </c>
      <c r="D983" s="2" t="inlineStr">
        <is>
          <t>Одежда для новорожденных</t>
        </is>
      </c>
      <c r="E983" s="3" t="inlineStr">
        <is>
          <t>938 Комбинезон для маленького мальчика</t>
        </is>
      </c>
      <c r="F983" s="2" t="inlineStr">
        <is>
          <t>всесезонный</t>
        </is>
      </c>
      <c r="G983" s="3" t="inlineStr">
        <is>
          <t>Kari baby</t>
        </is>
      </c>
      <c r="H983" s="2" t="inlineStr">
        <is>
          <t>Зиннуров Ильнур</t>
        </is>
      </c>
      <c r="J983" s="3" t="inlineStr">
        <is>
          <t>2026SS</t>
        </is>
      </c>
      <c r="K983" s="3" t="n">
        <v>1245</v>
      </c>
      <c r="L983" s="3" t="n">
        <v>33</v>
      </c>
      <c r="M983" s="3" t="n">
        <v>0</v>
      </c>
      <c r="N983" s="4">
        <f>IFERROR(L983/K983,0)</f>
        <v/>
      </c>
      <c r="O983" s="4">
        <f>IFERROR(M983/L983,0)</f>
        <v/>
      </c>
      <c r="P983" t="n">
        <v>339</v>
      </c>
      <c r="Q983" s="5" t="n">
        <v>1</v>
      </c>
      <c r="R983" s="7" t="n">
        <v>1</v>
      </c>
      <c r="S983">
        <f>IF(OR(N983&lt;$T$1*0.5,O983&lt;$U$1*0.5),"код для проверки","нормальный код")</f>
        <v/>
      </c>
      <c r="T983">
        <f>IF(N983&lt;$T$1*0.5,"Низшая четверть",IF(N983&lt;$T$1,"Вторая четверть","Больше половины"))</f>
        <v/>
      </c>
      <c r="U983">
        <f>IF(O983&lt;$U$1*0.5,"Низшая четверть",IF(O983&lt;$U$1,"Вторая четверть","Больше половины"))</f>
        <v/>
      </c>
      <c r="V983">
        <f>IF(OR(N983&lt;SUMIFS(L:L,R:R,1,E:E,E983)/SUMIFS(K:K,R:R,1,E:E,E983)*0.5,O983&lt;SUMIFS(M:M,R:R,1,E:E,E983)/SUMIFS(L:L,R:R,1,E:E,E983)*0.5),"код для проверки","нормальный код")</f>
        <v/>
      </c>
      <c r="W983">
        <f>IF(N983&lt;SUMIFS(L:L,R:R,1,E:E,E983)/SUMIFS(K:K,R:R,1,E:E,E983)*0.5,"Низшая четверть",IF(N983&lt;SUMIFS(L:L,R:R,1,E:E,E983)/SUMIFS(K:K,R:R,1,E:E,E983),"Вторая четверть","Больше половины"))</f>
        <v/>
      </c>
      <c r="X983">
        <f>IF(O983&lt;SUMIFS(M:M,R:R,1,E:E,E983)/SUMIFS(L:L,R:R,1,E:E,E983)*0.5,"Низшая четверть",IF(O983&lt;SUMIFS(M:M,R:R,1,E:E,E983)/SUMIFS(L:L,R:R,1,E:E,E983),"Вторая четверть","Больше половины"))</f>
        <v/>
      </c>
      <c r="Y983" t="n">
        <v>15</v>
      </c>
    </row>
    <row r="984">
      <c r="A984" s="1" t="inlineStr">
        <is>
          <t>a6000970</t>
        </is>
      </c>
      <c r="B984" s="2" t="inlineStr">
        <is>
          <t>847892180</t>
        </is>
      </c>
      <c r="C984" s="3" t="inlineStr">
        <is>
          <t>Одежда для детей</t>
        </is>
      </c>
      <c r="D984" s="2" t="inlineStr">
        <is>
          <t>Платья, майки, футболки детские для девочек</t>
        </is>
      </c>
      <c r="E984" s="3" t="inlineStr">
        <is>
          <t>a60 Футболка детская для девочек</t>
        </is>
      </c>
      <c r="F984" s="2" t="inlineStr">
        <is>
          <t>всесезонный</t>
        </is>
      </c>
      <c r="G984" s="3" t="inlineStr">
        <is>
          <t>kari</t>
        </is>
      </c>
      <c r="H984" s="2" t="inlineStr">
        <is>
          <t>Зиннуров Ильнур</t>
        </is>
      </c>
      <c r="J984" s="3" t="inlineStr">
        <is>
          <t>2026SS</t>
        </is>
      </c>
      <c r="K984" s="3" t="n">
        <v>1243</v>
      </c>
      <c r="L984" s="3" t="n">
        <v>16</v>
      </c>
      <c r="M984" s="3" t="n">
        <v>0</v>
      </c>
      <c r="N984" s="4">
        <f>IFERROR(L984/K984,0)</f>
        <v/>
      </c>
      <c r="O984" s="4">
        <f>IFERROR(M984/L984,0)</f>
        <v/>
      </c>
      <c r="P984" t="n">
        <v>239</v>
      </c>
      <c r="Q984" s="5" t="n">
        <v>1</v>
      </c>
      <c r="R984" s="7" t="n">
        <v>1</v>
      </c>
      <c r="S984">
        <f>IF(OR(N984&lt;$T$1*0.5,O984&lt;$U$1*0.5),"код для проверки","нормальный код")</f>
        <v/>
      </c>
      <c r="T984">
        <f>IF(N984&lt;$T$1*0.5,"Низшая четверть",IF(N984&lt;$T$1,"Вторая четверть","Больше половины"))</f>
        <v/>
      </c>
      <c r="U984">
        <f>IF(O984&lt;$U$1*0.5,"Низшая четверть",IF(O984&lt;$U$1,"Вторая четверть","Больше половины"))</f>
        <v/>
      </c>
      <c r="V984">
        <f>IF(OR(N984&lt;SUMIFS(L:L,R:R,1,E:E,E984)/SUMIFS(K:K,R:R,1,E:E,E984)*0.5,O984&lt;SUMIFS(M:M,R:R,1,E:E,E984)/SUMIFS(L:L,R:R,1,E:E,E984)*0.5),"код для проверки","нормальный код")</f>
        <v/>
      </c>
      <c r="W984">
        <f>IF(N984&lt;SUMIFS(L:L,R:R,1,E:E,E984)/SUMIFS(K:K,R:R,1,E:E,E984)*0.5,"Низшая четверть",IF(N984&lt;SUMIFS(L:L,R:R,1,E:E,E984)/SUMIFS(K:K,R:R,1,E:E,E984),"Вторая четверть","Больше половины"))</f>
        <v/>
      </c>
      <c r="X984">
        <f>IF(O984&lt;SUMIFS(M:M,R:R,1,E:E,E984)/SUMIFS(L:L,R:R,1,E:E,E984)*0.5,"Низшая четверть",IF(O984&lt;SUMIFS(M:M,R:R,1,E:E,E984)/SUMIFS(L:L,R:R,1,E:E,E984),"Вторая четверть","Больше половины"))</f>
        <v/>
      </c>
      <c r="Y984" t="n">
        <v>12</v>
      </c>
    </row>
    <row r="985">
      <c r="A985" s="1" t="inlineStr">
        <is>
          <t>b5000010</t>
        </is>
      </c>
      <c r="B985" s="2" t="inlineStr">
        <is>
          <t>932503750</t>
        </is>
      </c>
      <c r="C985" s="3" t="inlineStr">
        <is>
          <t>Одежда и аксессуары</t>
        </is>
      </c>
      <c r="D985" s="2" t="inlineStr">
        <is>
          <t>Майки и платья женские</t>
        </is>
      </c>
      <c r="E985" s="3" t="inlineStr">
        <is>
          <t>b50 Футболка женская для активного отдыха</t>
        </is>
      </c>
      <c r="F985" s="2" t="inlineStr">
        <is>
          <t>всесезонный</t>
        </is>
      </c>
      <c r="G985" s="3" t="inlineStr">
        <is>
          <t>kari</t>
        </is>
      </c>
      <c r="H985" s="2" t="inlineStr">
        <is>
          <t>Зиннуров Ильнур</t>
        </is>
      </c>
      <c r="J985" s="3" t="inlineStr">
        <is>
          <t>2026SS</t>
        </is>
      </c>
      <c r="K985" s="3" t="n">
        <v>1237</v>
      </c>
      <c r="L985" s="3" t="n">
        <v>15</v>
      </c>
      <c r="M985" s="3" t="n">
        <v>0</v>
      </c>
      <c r="N985" s="4">
        <f>IFERROR(L985/K985,0)</f>
        <v/>
      </c>
      <c r="O985" s="4">
        <f>IFERROR(M985/L985,0)</f>
        <v/>
      </c>
      <c r="P985" t="n">
        <v>30</v>
      </c>
      <c r="Q985" s="5" t="n">
        <v>0.25</v>
      </c>
      <c r="R985" s="7" t="n">
        <v>1</v>
      </c>
      <c r="S985">
        <f>IF(OR(N985&lt;$T$1*0.5,O985&lt;$U$1*0.5),"код для проверки","нормальный код")</f>
        <v/>
      </c>
      <c r="T985">
        <f>IF(N985&lt;$T$1*0.5,"Низшая четверть",IF(N985&lt;$T$1,"Вторая четверть","Больше половины"))</f>
        <v/>
      </c>
      <c r="U985">
        <f>IF(O985&lt;$U$1*0.5,"Низшая четверть",IF(O985&lt;$U$1,"Вторая четверть","Больше половины"))</f>
        <v/>
      </c>
      <c r="V985">
        <f>IF(OR(N985&lt;SUMIFS(L:L,R:R,1,E:E,E985)/SUMIFS(K:K,R:R,1,E:E,E985)*0.5,O985&lt;SUMIFS(M:M,R:R,1,E:E,E985)/SUMIFS(L:L,R:R,1,E:E,E985)*0.5),"код для проверки","нормальный код")</f>
        <v/>
      </c>
      <c r="W985">
        <f>IF(N985&lt;SUMIFS(L:L,R:R,1,E:E,E985)/SUMIFS(K:K,R:R,1,E:E,E985)*0.5,"Низшая четверть",IF(N985&lt;SUMIFS(L:L,R:R,1,E:E,E985)/SUMIFS(K:K,R:R,1,E:E,E985),"Вторая четверть","Больше половины"))</f>
        <v/>
      </c>
      <c r="X985">
        <f>IF(O985&lt;SUMIFS(M:M,R:R,1,E:E,E985)/SUMIFS(L:L,R:R,1,E:E,E985)*0.5,"Низшая четверть",IF(O985&lt;SUMIFS(M:M,R:R,1,E:E,E985)/SUMIFS(L:L,R:R,1,E:E,E985),"Вторая четверть","Больше половины"))</f>
        <v/>
      </c>
      <c r="Y985" t="n">
        <v>16</v>
      </c>
    </row>
    <row r="986">
      <c r="A986" s="1" t="inlineStr">
        <is>
          <t>19800050</t>
        </is>
      </c>
      <c r="B986" s="2" t="inlineStr">
        <is>
          <t>770830710</t>
        </is>
      </c>
      <c r="C986" s="3" t="inlineStr">
        <is>
          <t>Одежда и аксессуары</t>
        </is>
      </c>
      <c r="D986" s="2" t="inlineStr">
        <is>
          <t>Майки и платья женские</t>
        </is>
      </c>
      <c r="E986" s="3" t="inlineStr">
        <is>
          <t>198 Топ женский</t>
        </is>
      </c>
      <c r="F986" s="2" t="inlineStr">
        <is>
          <t>лето</t>
        </is>
      </c>
      <c r="G986" s="3" t="inlineStr">
        <is>
          <t>kari</t>
        </is>
      </c>
      <c r="H986" s="2" t="inlineStr">
        <is>
          <t>Зиннуров Ильнур</t>
        </is>
      </c>
      <c r="J986" s="3" t="inlineStr">
        <is>
          <t>2026SS</t>
        </is>
      </c>
      <c r="K986" s="3" t="n">
        <v>1234</v>
      </c>
      <c r="L986" s="3" t="n">
        <v>70</v>
      </c>
      <c r="M986" s="3" t="n">
        <v>0</v>
      </c>
      <c r="N986" s="4">
        <f>IFERROR(L986/K986,0)</f>
        <v/>
      </c>
      <c r="O986" s="4">
        <f>IFERROR(M986/L986,0)</f>
        <v/>
      </c>
      <c r="P986" t="n">
        <v>394</v>
      </c>
      <c r="Q986" s="5" t="n">
        <v>1</v>
      </c>
      <c r="R986" s="7" t="n">
        <v>1</v>
      </c>
      <c r="S986">
        <f>IF(OR(N986&lt;$T$1*0.5,O986&lt;$U$1*0.5),"код для проверки","нормальный код")</f>
        <v/>
      </c>
      <c r="T986">
        <f>IF(N986&lt;$T$1*0.5,"Низшая четверть",IF(N986&lt;$T$1,"Вторая четверть","Больше половины"))</f>
        <v/>
      </c>
      <c r="U986">
        <f>IF(O986&lt;$U$1*0.5,"Низшая четверть",IF(O986&lt;$U$1,"Вторая четверть","Больше половины"))</f>
        <v/>
      </c>
      <c r="V986">
        <f>IF(OR(N986&lt;SUMIFS(L:L,R:R,1,E:E,E986)/SUMIFS(K:K,R:R,1,E:E,E986)*0.5,O986&lt;SUMIFS(M:M,R:R,1,E:E,E986)/SUMIFS(L:L,R:R,1,E:E,E986)*0.5),"код для проверки","нормальный код")</f>
        <v/>
      </c>
      <c r="W986">
        <f>IF(N986&lt;SUMIFS(L:L,R:R,1,E:E,E986)/SUMIFS(K:K,R:R,1,E:E,E986)*0.5,"Низшая четверть",IF(N986&lt;SUMIFS(L:L,R:R,1,E:E,E986)/SUMIFS(K:K,R:R,1,E:E,E986),"Вторая четверть","Больше половины"))</f>
        <v/>
      </c>
      <c r="X986">
        <f>IF(O986&lt;SUMIFS(M:M,R:R,1,E:E,E986)/SUMIFS(L:L,R:R,1,E:E,E986)*0.5,"Низшая четверть",IF(O986&lt;SUMIFS(M:M,R:R,1,E:E,E986)/SUMIFS(L:L,R:R,1,E:E,E986),"Вторая четверть","Больше половины"))</f>
        <v/>
      </c>
      <c r="Y986" t="n">
        <v>16</v>
      </c>
    </row>
    <row r="987">
      <c r="A987" s="1" t="inlineStr">
        <is>
          <t>20200350</t>
        </is>
      </c>
      <c r="B987" s="2" t="inlineStr">
        <is>
          <t>760592155</t>
        </is>
      </c>
      <c r="C987" s="3" t="inlineStr">
        <is>
          <t>Одежда для детей</t>
        </is>
      </c>
      <c r="D987" s="2" t="inlineStr">
        <is>
          <t>Головные уборы детские для мальчиков</t>
        </is>
      </c>
      <c r="E987" s="3" t="inlineStr">
        <is>
          <t>202 Бейсболка детская для мальчиков</t>
        </is>
      </c>
      <c r="F987" s="2" t="inlineStr">
        <is>
          <t>весна, лето</t>
        </is>
      </c>
      <c r="G987" s="3" t="inlineStr">
        <is>
          <t>kari</t>
        </is>
      </c>
      <c r="H987" s="2" t="inlineStr">
        <is>
          <t>Никонорова Алина</t>
        </is>
      </c>
      <c r="J987" s="3" t="inlineStr">
        <is>
          <t>2026SS</t>
        </is>
      </c>
      <c r="K987" s="3" t="n">
        <v>1224</v>
      </c>
      <c r="L987" s="3" t="n">
        <v>219</v>
      </c>
      <c r="M987" s="3" t="n">
        <v>2</v>
      </c>
      <c r="N987" s="4">
        <f>IFERROR(L987/K987,0)</f>
        <v/>
      </c>
      <c r="O987" s="4">
        <f>IFERROR(M987/L987,0)</f>
        <v/>
      </c>
      <c r="P987" t="n">
        <v>396</v>
      </c>
      <c r="Q987" s="5" t="n">
        <v>1</v>
      </c>
      <c r="R987" s="7" t="n">
        <v>1</v>
      </c>
      <c r="S987">
        <f>IF(OR(N987&lt;$T$1*0.5,O987&lt;$U$1*0.5),"код для проверки","нормальный код")</f>
        <v/>
      </c>
      <c r="T987">
        <f>IF(N987&lt;$T$1*0.5,"Низшая четверть",IF(N987&lt;$T$1,"Вторая четверть","Больше половины"))</f>
        <v/>
      </c>
      <c r="U987">
        <f>IF(O987&lt;$U$1*0.5,"Низшая четверть",IF(O987&lt;$U$1,"Вторая четверть","Больше половины"))</f>
        <v/>
      </c>
      <c r="V987">
        <f>IF(OR(N987&lt;SUMIFS(L:L,R:R,1,E:E,E987)/SUMIFS(K:K,R:R,1,E:E,E987)*0.5,O987&lt;SUMIFS(M:M,R:R,1,E:E,E987)/SUMIFS(L:L,R:R,1,E:E,E987)*0.5),"код для проверки","нормальный код")</f>
        <v/>
      </c>
      <c r="W987">
        <f>IF(N987&lt;SUMIFS(L:L,R:R,1,E:E,E987)/SUMIFS(K:K,R:R,1,E:E,E987)*0.5,"Низшая четверть",IF(N987&lt;SUMIFS(L:L,R:R,1,E:E,E987)/SUMIFS(K:K,R:R,1,E:E,E987),"Вторая четверть","Больше половины"))</f>
        <v/>
      </c>
      <c r="X987">
        <f>IF(O987&lt;SUMIFS(M:M,R:R,1,E:E,E987)/SUMIFS(L:L,R:R,1,E:E,E987)*0.5,"Низшая четверть",IF(O987&lt;SUMIFS(M:M,R:R,1,E:E,E987)/SUMIFS(L:L,R:R,1,E:E,E987),"Вторая четверть","Больше половины"))</f>
        <v/>
      </c>
      <c r="Y987" t="n">
        <v>9</v>
      </c>
    </row>
    <row r="988">
      <c r="A988" s="1" t="inlineStr">
        <is>
          <t>95500250</t>
        </is>
      </c>
      <c r="B988" s="2" t="inlineStr">
        <is>
          <t>879308795</t>
        </is>
      </c>
      <c r="C988" s="3" t="inlineStr">
        <is>
          <t>Одежда для детей</t>
        </is>
      </c>
      <c r="D988" s="2" t="inlineStr">
        <is>
          <t>Платья, майки, футболки детские для девочек</t>
        </is>
      </c>
      <c r="E988" s="3" t="inlineStr">
        <is>
          <t>955 Топ детский для девочек</t>
        </is>
      </c>
      <c r="F988" s="2" t="inlineStr">
        <is>
          <t>лето</t>
        </is>
      </c>
      <c r="G988" s="3" t="inlineStr">
        <is>
          <t>kari</t>
        </is>
      </c>
      <c r="H988" s="2" t="inlineStr">
        <is>
          <t>Зиннуров Ильнур</t>
        </is>
      </c>
      <c r="J988" s="3" t="inlineStr">
        <is>
          <t>2026SS</t>
        </is>
      </c>
      <c r="K988" s="3" t="n">
        <v>1223</v>
      </c>
      <c r="L988" s="3" t="n">
        <v>117</v>
      </c>
      <c r="M988" s="3" t="n">
        <v>2</v>
      </c>
      <c r="N988" s="4">
        <f>IFERROR(L988/K988,0)</f>
        <v/>
      </c>
      <c r="O988" s="4">
        <f>IFERROR(M988/L988,0)</f>
        <v/>
      </c>
      <c r="P988" t="n">
        <v>870</v>
      </c>
      <c r="Q988" s="5" t="n">
        <v>1</v>
      </c>
      <c r="R988" s="7" t="n">
        <v>1</v>
      </c>
      <c r="S988">
        <f>IF(OR(N988&lt;$T$1*0.5,O988&lt;$U$1*0.5),"код для проверки","нормальный код")</f>
        <v/>
      </c>
      <c r="T988">
        <f>IF(N988&lt;$T$1*0.5,"Низшая четверть",IF(N988&lt;$T$1,"Вторая четверть","Больше половины"))</f>
        <v/>
      </c>
      <c r="U988">
        <f>IF(O988&lt;$U$1*0.5,"Низшая четверть",IF(O988&lt;$U$1,"Вторая четверть","Больше половины"))</f>
        <v/>
      </c>
      <c r="V988">
        <f>IF(OR(N988&lt;SUMIFS(L:L,R:R,1,E:E,E988)/SUMIFS(K:K,R:R,1,E:E,E988)*0.5,O988&lt;SUMIFS(M:M,R:R,1,E:E,E988)/SUMIFS(L:L,R:R,1,E:E,E988)*0.5),"код для проверки","нормальный код")</f>
        <v/>
      </c>
      <c r="W988">
        <f>IF(N988&lt;SUMIFS(L:L,R:R,1,E:E,E988)/SUMIFS(K:K,R:R,1,E:E,E988)*0.5,"Низшая четверть",IF(N988&lt;SUMIFS(L:L,R:R,1,E:E,E988)/SUMIFS(K:K,R:R,1,E:E,E988),"Вторая четверть","Больше половины"))</f>
        <v/>
      </c>
      <c r="X988">
        <f>IF(O988&lt;SUMIFS(M:M,R:R,1,E:E,E988)/SUMIFS(L:L,R:R,1,E:E,E988)*0.5,"Низшая четверть",IF(O988&lt;SUMIFS(M:M,R:R,1,E:E,E988)/SUMIFS(L:L,R:R,1,E:E,E988),"Вторая четверть","Больше половины"))</f>
        <v/>
      </c>
      <c r="Y988" t="n">
        <v>8</v>
      </c>
    </row>
    <row r="989">
      <c r="A989" s="1" t="inlineStr">
        <is>
          <t>310003K0</t>
        </is>
      </c>
      <c r="B989" s="2" t="inlineStr">
        <is>
          <t>788320451</t>
        </is>
      </c>
      <c r="C989" s="3" t="inlineStr">
        <is>
          <t>Одежда для детей</t>
        </is>
      </c>
      <c r="D989" s="2" t="inlineStr">
        <is>
          <t>Футболки, майки, рубашки детские для мальчиков</t>
        </is>
      </c>
      <c r="E989" s="3" t="inlineStr">
        <is>
          <t>310 Футболка детская для мальчиков</t>
        </is>
      </c>
      <c r="F989" s="2" t="inlineStr">
        <is>
          <t>всесезонный</t>
        </is>
      </c>
      <c r="G989" s="3" t="inlineStr">
        <is>
          <t>kari</t>
        </is>
      </c>
      <c r="H989" s="2" t="inlineStr">
        <is>
          <t>Зиннуров Ильнур</t>
        </is>
      </c>
      <c r="J989" s="3" t="inlineStr">
        <is>
          <t>2026SS</t>
        </is>
      </c>
      <c r="K989" s="3" t="n">
        <v>1221</v>
      </c>
      <c r="L989" s="3" t="n">
        <v>216</v>
      </c>
      <c r="M989" s="3" t="n">
        <v>6</v>
      </c>
      <c r="N989" s="4">
        <f>IFERROR(L989/K989,0)</f>
        <v/>
      </c>
      <c r="O989" s="4">
        <f>IFERROR(M989/L989,0)</f>
        <v/>
      </c>
      <c r="P989" t="n">
        <v>135</v>
      </c>
      <c r="Q989" s="5" t="n">
        <v>1</v>
      </c>
      <c r="R989" s="7" t="n">
        <v>1</v>
      </c>
      <c r="S989">
        <f>IF(OR(N989&lt;$T$1*0.5,O989&lt;$U$1*0.5),"код для проверки","нормальный код")</f>
        <v/>
      </c>
      <c r="T989">
        <f>IF(N989&lt;$T$1*0.5,"Низшая четверть",IF(N989&lt;$T$1,"Вторая четверть","Больше половины"))</f>
        <v/>
      </c>
      <c r="U989">
        <f>IF(O989&lt;$U$1*0.5,"Низшая четверть",IF(O989&lt;$U$1,"Вторая четверть","Больше половины"))</f>
        <v/>
      </c>
      <c r="V989">
        <f>IF(OR(N989&lt;SUMIFS(L:L,R:R,1,E:E,E989)/SUMIFS(K:K,R:R,1,E:E,E989)*0.5,O989&lt;SUMIFS(M:M,R:R,1,E:E,E989)/SUMIFS(L:L,R:R,1,E:E,E989)*0.5),"код для проверки","нормальный код")</f>
        <v/>
      </c>
      <c r="W989">
        <f>IF(N989&lt;SUMIFS(L:L,R:R,1,E:E,E989)/SUMIFS(K:K,R:R,1,E:E,E989)*0.5,"Низшая четверть",IF(N989&lt;SUMIFS(L:L,R:R,1,E:E,E989)/SUMIFS(K:K,R:R,1,E:E,E989),"Вторая четверть","Больше половины"))</f>
        <v/>
      </c>
      <c r="X989">
        <f>IF(O989&lt;SUMIFS(M:M,R:R,1,E:E,E989)/SUMIFS(L:L,R:R,1,E:E,E989)*0.5,"Низшая четверть",IF(O989&lt;SUMIFS(M:M,R:R,1,E:E,E989)/SUMIFS(L:L,R:R,1,E:E,E989),"Вторая четверть","Больше половины"))</f>
        <v/>
      </c>
      <c r="Y989" t="n">
        <v>18</v>
      </c>
    </row>
    <row r="990">
      <c r="A990" s="1" t="inlineStr">
        <is>
          <t>53600350</t>
        </is>
      </c>
      <c r="B990" s="2" t="inlineStr">
        <is>
          <t>879308739</t>
        </is>
      </c>
      <c r="C990" s="3" t="inlineStr">
        <is>
          <t>Одежда для детей</t>
        </is>
      </c>
      <c r="D990" s="2" t="inlineStr">
        <is>
          <t>Платья, майки, футболки детские для девочек</t>
        </is>
      </c>
      <c r="E990" s="3" t="inlineStr">
        <is>
          <t>536 Платье летнее детское</t>
        </is>
      </c>
      <c r="F990" s="2" t="inlineStr">
        <is>
          <t>лето</t>
        </is>
      </c>
      <c r="G990" s="3" t="inlineStr">
        <is>
          <t>Kari KIDS</t>
        </is>
      </c>
      <c r="H990" s="2" t="inlineStr">
        <is>
          <t>Зиннуров Ильнур</t>
        </is>
      </c>
      <c r="J990" s="3" t="inlineStr">
        <is>
          <t>2026SS</t>
        </is>
      </c>
      <c r="K990" s="3" t="n">
        <v>1217</v>
      </c>
      <c r="L990" s="3" t="n">
        <v>38</v>
      </c>
      <c r="M990" s="3" t="n">
        <v>1</v>
      </c>
      <c r="N990" s="4">
        <f>IFERROR(L990/K990,0)</f>
        <v/>
      </c>
      <c r="O990" s="4">
        <f>IFERROR(M990/L990,0)</f>
        <v/>
      </c>
      <c r="P990" t="n">
        <v>289</v>
      </c>
      <c r="Q990" s="5" t="n">
        <v>1</v>
      </c>
      <c r="R990" s="7" t="n">
        <v>1</v>
      </c>
      <c r="S990">
        <f>IF(OR(N990&lt;$T$1*0.5,O990&lt;$U$1*0.5),"код для проверки","нормальный код")</f>
        <v/>
      </c>
      <c r="T990">
        <f>IF(N990&lt;$T$1*0.5,"Низшая четверть",IF(N990&lt;$T$1,"Вторая четверть","Больше половины"))</f>
        <v/>
      </c>
      <c r="U990">
        <f>IF(O990&lt;$U$1*0.5,"Низшая четверть",IF(O990&lt;$U$1,"Вторая четверть","Больше половины"))</f>
        <v/>
      </c>
      <c r="V990">
        <f>IF(OR(N990&lt;SUMIFS(L:L,R:R,1,E:E,E990)/SUMIFS(K:K,R:R,1,E:E,E990)*0.5,O990&lt;SUMIFS(M:M,R:R,1,E:E,E990)/SUMIFS(L:L,R:R,1,E:E,E990)*0.5),"код для проверки","нормальный код")</f>
        <v/>
      </c>
      <c r="W990">
        <f>IF(N990&lt;SUMIFS(L:L,R:R,1,E:E,E990)/SUMIFS(K:K,R:R,1,E:E,E990)*0.5,"Низшая четверть",IF(N990&lt;SUMIFS(L:L,R:R,1,E:E,E990)/SUMIFS(K:K,R:R,1,E:E,E990),"Вторая четверть","Больше половины"))</f>
        <v/>
      </c>
      <c r="X990">
        <f>IF(O990&lt;SUMIFS(M:M,R:R,1,E:E,E990)/SUMIFS(L:L,R:R,1,E:E,E990)*0.5,"Низшая четверть",IF(O990&lt;SUMIFS(M:M,R:R,1,E:E,E990)/SUMIFS(L:L,R:R,1,E:E,E990),"Вторая четверть","Больше половины"))</f>
        <v/>
      </c>
      <c r="Y990" t="n">
        <v>9</v>
      </c>
    </row>
    <row r="991">
      <c r="A991" s="1" t="inlineStr">
        <is>
          <t>19300390</t>
        </is>
      </c>
      <c r="B991" s="2" t="inlineStr">
        <is>
          <t>837332136</t>
        </is>
      </c>
      <c r="C991" s="3" t="inlineStr">
        <is>
          <t>Одежда для детей</t>
        </is>
      </c>
      <c r="D991" s="2" t="inlineStr">
        <is>
          <t>Брюки детские для мальчиков</t>
        </is>
      </c>
      <c r="E991" s="3" t="inlineStr">
        <is>
          <t>193 Шорты детские для мальчиков</t>
        </is>
      </c>
      <c r="F991" s="2" t="inlineStr">
        <is>
          <t>лето</t>
        </is>
      </c>
      <c r="G991" s="3" t="inlineStr">
        <is>
          <t>kari</t>
        </is>
      </c>
      <c r="H991" s="2" t="inlineStr">
        <is>
          <t>Зиннуров Ильнур</t>
        </is>
      </c>
      <c r="J991" s="3" t="inlineStr">
        <is>
          <t>2026SS</t>
        </is>
      </c>
      <c r="K991" s="3" t="n">
        <v>1212</v>
      </c>
      <c r="L991" s="3" t="n">
        <v>39</v>
      </c>
      <c r="M991" s="3" t="n">
        <v>1</v>
      </c>
      <c r="N991" s="4">
        <f>IFERROR(L991/K991,0)</f>
        <v/>
      </c>
      <c r="O991" s="4">
        <f>IFERROR(M991/L991,0)</f>
        <v/>
      </c>
      <c r="P991" t="n">
        <v>738</v>
      </c>
      <c r="Q991" s="5" t="n">
        <v>1</v>
      </c>
      <c r="R991" s="7" t="n">
        <v>1</v>
      </c>
      <c r="S991">
        <f>IF(OR(N991&lt;$T$1*0.5,O991&lt;$U$1*0.5),"код для проверки","нормальный код")</f>
        <v/>
      </c>
      <c r="T991">
        <f>IF(N991&lt;$T$1*0.5,"Низшая четверть",IF(N991&lt;$T$1,"Вторая четверть","Больше половины"))</f>
        <v/>
      </c>
      <c r="U991">
        <f>IF(O991&lt;$U$1*0.5,"Низшая четверть",IF(O991&lt;$U$1,"Вторая четверть","Больше половины"))</f>
        <v/>
      </c>
      <c r="V991">
        <f>IF(OR(N991&lt;SUMIFS(L:L,R:R,1,E:E,E991)/SUMIFS(K:K,R:R,1,E:E,E991)*0.5,O991&lt;SUMIFS(M:M,R:R,1,E:E,E991)/SUMIFS(L:L,R:R,1,E:E,E991)*0.5),"код для проверки","нормальный код")</f>
        <v/>
      </c>
      <c r="W991">
        <f>IF(N991&lt;SUMIFS(L:L,R:R,1,E:E,E991)/SUMIFS(K:K,R:R,1,E:E,E991)*0.5,"Низшая четверть",IF(N991&lt;SUMIFS(L:L,R:R,1,E:E,E991)/SUMIFS(K:K,R:R,1,E:E,E991),"Вторая четверть","Больше половины"))</f>
        <v/>
      </c>
      <c r="X991">
        <f>IF(O991&lt;SUMIFS(M:M,R:R,1,E:E,E991)/SUMIFS(L:L,R:R,1,E:E,E991)*0.5,"Низшая четверть",IF(O991&lt;SUMIFS(M:M,R:R,1,E:E,E991)/SUMIFS(L:L,R:R,1,E:E,E991),"Вторая четверть","Больше половины"))</f>
        <v/>
      </c>
      <c r="Y991" t="n">
        <v>14</v>
      </c>
    </row>
    <row r="992">
      <c r="A992" s="1" t="inlineStr">
        <is>
          <t>a7800050</t>
        </is>
      </c>
      <c r="B992" s="2" t="inlineStr">
        <is>
          <t>716597435</t>
        </is>
      </c>
      <c r="C992" s="3" t="inlineStr">
        <is>
          <t>Одежда для детей</t>
        </is>
      </c>
      <c r="D992" s="2" t="inlineStr">
        <is>
          <t>Свитера детские для мальчиков</t>
        </is>
      </c>
      <c r="E992" s="3" t="inlineStr">
        <is>
          <t>a78 Толстовка-худи для мальчиков</t>
        </is>
      </c>
      <c r="F992" s="2" t="inlineStr">
        <is>
          <t>весна, лето, осень</t>
        </is>
      </c>
      <c r="G992" s="3" t="inlineStr">
        <is>
          <t>Kari KIDS</t>
        </is>
      </c>
      <c r="H992" s="2" t="inlineStr">
        <is>
          <t>Зиннуров Ильнур</t>
        </is>
      </c>
      <c r="J992" s="3" t="inlineStr">
        <is>
          <t>2026SS</t>
        </is>
      </c>
      <c r="K992" s="3" t="n">
        <v>1209</v>
      </c>
      <c r="L992" s="3" t="n">
        <v>45</v>
      </c>
      <c r="M992" s="3" t="n">
        <v>0</v>
      </c>
      <c r="N992" s="4">
        <f>IFERROR(L992/K992,0)</f>
        <v/>
      </c>
      <c r="O992" s="4">
        <f>IFERROR(M992/L992,0)</f>
        <v/>
      </c>
      <c r="P992" t="n">
        <v>336</v>
      </c>
      <c r="Q992" s="5" t="n">
        <v>1</v>
      </c>
      <c r="R992" s="7" t="n">
        <v>1</v>
      </c>
      <c r="S992">
        <f>IF(OR(N992&lt;$T$1*0.5,O992&lt;$U$1*0.5),"код для проверки","нормальный код")</f>
        <v/>
      </c>
      <c r="T992">
        <f>IF(N992&lt;$T$1*0.5,"Низшая четверть",IF(N992&lt;$T$1,"Вторая четверть","Больше половины"))</f>
        <v/>
      </c>
      <c r="U992">
        <f>IF(O992&lt;$U$1*0.5,"Низшая четверть",IF(O992&lt;$U$1,"Вторая четверть","Больше половины"))</f>
        <v/>
      </c>
      <c r="V992">
        <f>IF(OR(N992&lt;SUMIFS(L:L,R:R,1,E:E,E992)/SUMIFS(K:K,R:R,1,E:E,E992)*0.5,O992&lt;SUMIFS(M:M,R:R,1,E:E,E992)/SUMIFS(L:L,R:R,1,E:E,E992)*0.5),"код для проверки","нормальный код")</f>
        <v/>
      </c>
      <c r="W992">
        <f>IF(N992&lt;SUMIFS(L:L,R:R,1,E:E,E992)/SUMIFS(K:K,R:R,1,E:E,E992)*0.5,"Низшая четверть",IF(N992&lt;SUMIFS(L:L,R:R,1,E:E,E992)/SUMIFS(K:K,R:R,1,E:E,E992),"Вторая четверть","Больше половины"))</f>
        <v/>
      </c>
      <c r="X992">
        <f>IF(O992&lt;SUMIFS(M:M,R:R,1,E:E,E992)/SUMIFS(L:L,R:R,1,E:E,E992)*0.5,"Низшая четверть",IF(O992&lt;SUMIFS(M:M,R:R,1,E:E,E992)/SUMIFS(L:L,R:R,1,E:E,E992),"Вторая четверть","Больше половины"))</f>
        <v/>
      </c>
      <c r="Y992" t="n">
        <v>19</v>
      </c>
    </row>
    <row r="993">
      <c r="A993" s="1" t="inlineStr">
        <is>
          <t>19400210</t>
        </is>
      </c>
      <c r="B993" s="2" t="inlineStr">
        <is>
          <t>901505655</t>
        </is>
      </c>
      <c r="C993" s="3" t="inlineStr">
        <is>
          <t>Одежда для детей</t>
        </is>
      </c>
      <c r="D993" s="2" t="inlineStr">
        <is>
          <t>Брюки детские для девочек</t>
        </is>
      </c>
      <c r="E993" s="3" t="inlineStr">
        <is>
          <t>194 Шорты детские для девочек</t>
        </is>
      </c>
      <c r="F993" s="2" t="inlineStr">
        <is>
          <t>лето</t>
        </is>
      </c>
      <c r="G993" s="3" t="inlineStr">
        <is>
          <t>kari</t>
        </is>
      </c>
      <c r="H993" s="2" t="inlineStr">
        <is>
          <t>Зиннуров Ильнур</t>
        </is>
      </c>
      <c r="J993" s="3" t="inlineStr">
        <is>
          <t>2026SS</t>
        </is>
      </c>
      <c r="K993" s="3" t="n">
        <v>1205</v>
      </c>
      <c r="L993" s="3" t="n">
        <v>91</v>
      </c>
      <c r="M993" s="3" t="n">
        <v>3</v>
      </c>
      <c r="N993" s="4">
        <f>IFERROR(L993/K993,0)</f>
        <v/>
      </c>
      <c r="O993" s="4">
        <f>IFERROR(M993/L993,0)</f>
        <v/>
      </c>
      <c r="P993" t="n">
        <v>378</v>
      </c>
      <c r="Q993" s="5" t="n">
        <v>0.875</v>
      </c>
      <c r="R993" s="7" t="n">
        <v>1</v>
      </c>
      <c r="S993">
        <f>IF(OR(N993&lt;$T$1*0.5,O993&lt;$U$1*0.5),"код для проверки","нормальный код")</f>
        <v/>
      </c>
      <c r="T993">
        <f>IF(N993&lt;$T$1*0.5,"Низшая четверть",IF(N993&lt;$T$1,"Вторая четверть","Больше половины"))</f>
        <v/>
      </c>
      <c r="U993">
        <f>IF(O993&lt;$U$1*0.5,"Низшая четверть",IF(O993&lt;$U$1,"Вторая четверть","Больше половины"))</f>
        <v/>
      </c>
      <c r="V993">
        <f>IF(OR(N993&lt;SUMIFS(L:L,R:R,1,E:E,E993)/SUMIFS(K:K,R:R,1,E:E,E993)*0.5,O993&lt;SUMIFS(M:M,R:R,1,E:E,E993)/SUMIFS(L:L,R:R,1,E:E,E993)*0.5),"код для проверки","нормальный код")</f>
        <v/>
      </c>
      <c r="W993">
        <f>IF(N993&lt;SUMIFS(L:L,R:R,1,E:E,E993)/SUMIFS(K:K,R:R,1,E:E,E993)*0.5,"Низшая четверть",IF(N993&lt;SUMIFS(L:L,R:R,1,E:E,E993)/SUMIFS(K:K,R:R,1,E:E,E993),"Вторая четверть","Больше половины"))</f>
        <v/>
      </c>
      <c r="X993">
        <f>IF(O993&lt;SUMIFS(M:M,R:R,1,E:E,E993)/SUMIFS(L:L,R:R,1,E:E,E993)*0.5,"Низшая четверть",IF(O993&lt;SUMIFS(M:M,R:R,1,E:E,E993)/SUMIFS(L:L,R:R,1,E:E,E993),"Вторая четверть","Больше половины"))</f>
        <v/>
      </c>
      <c r="Y993" t="n">
        <v>19</v>
      </c>
    </row>
    <row r="994">
      <c r="A994" s="1" t="inlineStr">
        <is>
          <t>19900040</t>
        </is>
      </c>
      <c r="B994" s="2" t="inlineStr">
        <is>
          <t>755313404</t>
        </is>
      </c>
      <c r="C994" s="3" t="inlineStr">
        <is>
          <t>Одежда и аксессуары</t>
        </is>
      </c>
      <c r="D994" s="2" t="inlineStr">
        <is>
          <t>Пиджаки, жакеты женские</t>
        </is>
      </c>
      <c r="E994" s="3" t="inlineStr">
        <is>
          <t>199 Пиджак женский</t>
        </is>
      </c>
      <c r="F994" s="2" t="inlineStr">
        <is>
          <t>всесезонный</t>
        </is>
      </c>
      <c r="G994" s="3" t="inlineStr">
        <is>
          <t>kari</t>
        </is>
      </c>
      <c r="H994" s="2" t="inlineStr">
        <is>
          <t>Зиннуров Ильнур</t>
        </is>
      </c>
      <c r="J994" s="3" t="inlineStr">
        <is>
          <t>2026SS</t>
        </is>
      </c>
      <c r="K994" s="3" t="n">
        <v>1204</v>
      </c>
      <c r="L994" s="3" t="n">
        <v>61</v>
      </c>
      <c r="M994" s="3" t="n">
        <v>1</v>
      </c>
      <c r="N994" s="4">
        <f>IFERROR(L994/K994,0)</f>
        <v/>
      </c>
      <c r="O994" s="4">
        <f>IFERROR(M994/L994,0)</f>
        <v/>
      </c>
      <c r="P994" t="n">
        <v>314</v>
      </c>
      <c r="Q994" s="5" t="n">
        <v>1</v>
      </c>
      <c r="R994" s="7" t="n">
        <v>1</v>
      </c>
      <c r="S994">
        <f>IF(OR(N994&lt;$T$1*0.5,O994&lt;$U$1*0.5),"код для проверки","нормальный код")</f>
        <v/>
      </c>
      <c r="T994">
        <f>IF(N994&lt;$T$1*0.5,"Низшая четверть",IF(N994&lt;$T$1,"Вторая четверть","Больше половины"))</f>
        <v/>
      </c>
      <c r="U994">
        <f>IF(O994&lt;$U$1*0.5,"Низшая четверть",IF(O994&lt;$U$1,"Вторая четверть","Больше половины"))</f>
        <v/>
      </c>
      <c r="V994">
        <f>IF(OR(N994&lt;SUMIFS(L:L,R:R,1,E:E,E994)/SUMIFS(K:K,R:R,1,E:E,E994)*0.5,O994&lt;SUMIFS(M:M,R:R,1,E:E,E994)/SUMIFS(L:L,R:R,1,E:E,E994)*0.5),"код для проверки","нормальный код")</f>
        <v/>
      </c>
      <c r="W994">
        <f>IF(N994&lt;SUMIFS(L:L,R:R,1,E:E,E994)/SUMIFS(K:K,R:R,1,E:E,E994)*0.5,"Низшая четверть",IF(N994&lt;SUMIFS(L:L,R:R,1,E:E,E994)/SUMIFS(K:K,R:R,1,E:E,E994),"Вторая четверть","Больше половины"))</f>
        <v/>
      </c>
      <c r="X994">
        <f>IF(O994&lt;SUMIFS(M:M,R:R,1,E:E,E994)/SUMIFS(L:L,R:R,1,E:E,E994)*0.5,"Низшая четверть",IF(O994&lt;SUMIFS(M:M,R:R,1,E:E,E994)/SUMIFS(L:L,R:R,1,E:E,E994),"Вторая четверть","Больше половины"))</f>
        <v/>
      </c>
      <c r="Y994" t="n">
        <v>22</v>
      </c>
    </row>
    <row r="995">
      <c r="A995" s="1" t="inlineStr">
        <is>
          <t>96200090</t>
        </is>
      </c>
      <c r="B995" s="2" t="inlineStr">
        <is>
          <t>915625074</t>
        </is>
      </c>
      <c r="C995" s="3" t="inlineStr">
        <is>
          <t>Одежда для детей</t>
        </is>
      </c>
      <c r="D995" s="2" t="inlineStr">
        <is>
          <t>Одежда для новорожденных</t>
        </is>
      </c>
      <c r="E995" s="3" t="inlineStr">
        <is>
          <t>962 Комплект летней одежды для маленького мальчика</t>
        </is>
      </c>
      <c r="F995" s="2" t="inlineStr">
        <is>
          <t>весна, лето</t>
        </is>
      </c>
      <c r="G995" s="3" t="inlineStr">
        <is>
          <t>Kari baby</t>
        </is>
      </c>
      <c r="H995" s="2" t="inlineStr">
        <is>
          <t>Зиннуров Ильнур</t>
        </is>
      </c>
      <c r="J995" s="3" t="inlineStr">
        <is>
          <t>2026SS</t>
        </is>
      </c>
      <c r="K995" s="3" t="n">
        <v>1203</v>
      </c>
      <c r="L995" s="3" t="n">
        <v>62</v>
      </c>
      <c r="M995" s="3" t="n">
        <v>0</v>
      </c>
      <c r="N995" s="4">
        <f>IFERROR(L995/K995,0)</f>
        <v/>
      </c>
      <c r="O995" s="4">
        <f>IFERROR(M995/L995,0)</f>
        <v/>
      </c>
      <c r="P995" t="n">
        <v>539</v>
      </c>
      <c r="Q995" s="5" t="n">
        <v>1</v>
      </c>
      <c r="R995" s="7" t="n">
        <v>1</v>
      </c>
      <c r="S995">
        <f>IF(OR(N995&lt;$T$1*0.5,O995&lt;$U$1*0.5),"код для проверки","нормальный код")</f>
        <v/>
      </c>
      <c r="T995">
        <f>IF(N995&lt;$T$1*0.5,"Низшая четверть",IF(N995&lt;$T$1,"Вторая четверть","Больше половины"))</f>
        <v/>
      </c>
      <c r="U995">
        <f>IF(O995&lt;$U$1*0.5,"Низшая четверть",IF(O995&lt;$U$1,"Вторая четверть","Больше половины"))</f>
        <v/>
      </c>
      <c r="V995">
        <f>IF(OR(N995&lt;SUMIFS(L:L,R:R,1,E:E,E995)/SUMIFS(K:K,R:R,1,E:E,E995)*0.5,O995&lt;SUMIFS(M:M,R:R,1,E:E,E995)/SUMIFS(L:L,R:R,1,E:E,E995)*0.5),"код для проверки","нормальный код")</f>
        <v/>
      </c>
      <c r="W995">
        <f>IF(N995&lt;SUMIFS(L:L,R:R,1,E:E,E995)/SUMIFS(K:K,R:R,1,E:E,E995)*0.5,"Низшая четверть",IF(N995&lt;SUMIFS(L:L,R:R,1,E:E,E995)/SUMIFS(K:K,R:R,1,E:E,E995),"Вторая четверть","Больше половины"))</f>
        <v/>
      </c>
      <c r="X995">
        <f>IF(O995&lt;SUMIFS(M:M,R:R,1,E:E,E995)/SUMIFS(L:L,R:R,1,E:E,E995)*0.5,"Низшая четверть",IF(O995&lt;SUMIFS(M:M,R:R,1,E:E,E995)/SUMIFS(L:L,R:R,1,E:E,E995),"Вторая четверть","Больше половины"))</f>
        <v/>
      </c>
      <c r="Y995" t="n">
        <v>14</v>
      </c>
    </row>
    <row r="996">
      <c r="A996" s="1" t="inlineStr">
        <is>
          <t>y5000030</t>
        </is>
      </c>
      <c r="B996" s="2" t="inlineStr">
        <is>
          <t>879308850</t>
        </is>
      </c>
      <c r="C996" s="3" t="inlineStr">
        <is>
          <t>Одежда для детей</t>
        </is>
      </c>
      <c r="D996" s="2" t="inlineStr">
        <is>
          <t>Спортивная детская одежда для мальчиков</t>
        </is>
      </c>
      <c r="E996" s="3" t="inlineStr">
        <is>
          <t>y50 Комплект летней одежды для мальчиков</t>
        </is>
      </c>
      <c r="F996" s="2" t="inlineStr">
        <is>
          <t>весна, лето</t>
        </is>
      </c>
      <c r="G996" s="3" t="inlineStr">
        <is>
          <t>Kari KIDS</t>
        </is>
      </c>
      <c r="H996" s="2" t="inlineStr">
        <is>
          <t>Зиннуров Ильнур</t>
        </is>
      </c>
      <c r="J996" s="3" t="inlineStr">
        <is>
          <t>2026SS</t>
        </is>
      </c>
      <c r="K996" s="3" t="n">
        <v>1197</v>
      </c>
      <c r="L996" s="3" t="n">
        <v>212</v>
      </c>
      <c r="M996" s="3" t="n">
        <v>1</v>
      </c>
      <c r="N996" s="4">
        <f>IFERROR(L996/K996,0)</f>
        <v/>
      </c>
      <c r="O996" s="4">
        <f>IFERROR(M996/L996,0)</f>
        <v/>
      </c>
      <c r="P996" t="n">
        <v>387</v>
      </c>
      <c r="Q996" s="5" t="n">
        <v>1</v>
      </c>
      <c r="R996" s="7" t="n">
        <v>0</v>
      </c>
      <c r="S996" t="inlineStr">
        <is>
          <t>Мало показов</t>
        </is>
      </c>
      <c r="T996">
        <f>IF(N996&lt;$T$1*0.5,"Низшая четверть",IF(N996&lt;$T$1,"Вторая четверть","Больше половины"))</f>
        <v/>
      </c>
      <c r="U996">
        <f>IF(O996&lt;$U$1*0.5,"Низшая четверть",IF(O996&lt;$U$1,"Вторая четверть","Больше половины"))</f>
        <v/>
      </c>
      <c r="V996">
        <f>IF(OR(N996&lt;SUMIFS(L:L,R:R,1,E:E,E996)/SUMIFS(K:K,R:R,1,E:E,E996)*0.5,O996&lt;SUMIFS(M:M,R:R,1,E:E,E996)/SUMIFS(L:L,R:R,1,E:E,E996)*0.5),"код для проверки","нормальный код")</f>
        <v/>
      </c>
      <c r="W996">
        <f>IF(N996&lt;SUMIFS(L:L,R:R,1,E:E,E996)/SUMIFS(K:K,R:R,1,E:E,E996)*0.5,"Низшая четверть",IF(N996&lt;SUMIFS(L:L,R:R,1,E:E,E996)/SUMIFS(K:K,R:R,1,E:E,E996),"Вторая четверть","Больше половины"))</f>
        <v/>
      </c>
      <c r="X996">
        <f>IF(O996&lt;SUMIFS(M:M,R:R,1,E:E,E996)/SUMIFS(L:L,R:R,1,E:E,E996)*0.5,"Низшая четверть",IF(O996&lt;SUMIFS(M:M,R:R,1,E:E,E996)/SUMIFS(L:L,R:R,1,E:E,E996),"Вторая четверть","Больше половины"))</f>
        <v/>
      </c>
      <c r="Y996" t="n">
        <v>20</v>
      </c>
    </row>
    <row r="997">
      <c r="A997" s="1" t="inlineStr">
        <is>
          <t>19200060</t>
        </is>
      </c>
      <c r="B997" s="2" t="inlineStr">
        <is>
          <t>858780591</t>
        </is>
      </c>
      <c r="C997" s="3" t="inlineStr">
        <is>
          <t>Одежда для детей</t>
        </is>
      </c>
      <c r="D997" s="2" t="inlineStr">
        <is>
          <t>Футболки, майки, рубашки детские для мальчиков</t>
        </is>
      </c>
      <c r="E997" s="3" t="inlineStr">
        <is>
          <t>192 Рубашка детская для мальчиков</t>
        </is>
      </c>
      <c r="F997" s="2" t="inlineStr">
        <is>
          <t>весна, лето</t>
        </is>
      </c>
      <c r="G997" s="3" t="inlineStr">
        <is>
          <t>kari</t>
        </is>
      </c>
      <c r="H997" s="2" t="inlineStr">
        <is>
          <t>Зиннуров Ильнур</t>
        </is>
      </c>
      <c r="J997" s="3" t="inlineStr">
        <is>
          <t>2026SS</t>
        </is>
      </c>
      <c r="K997" s="3" t="n">
        <v>1189</v>
      </c>
      <c r="L997" s="3" t="n">
        <v>18</v>
      </c>
      <c r="M997" s="3" t="n">
        <v>0</v>
      </c>
      <c r="N997" s="4">
        <f>IFERROR(L997/K997,0)</f>
        <v/>
      </c>
      <c r="O997" s="4">
        <f>IFERROR(M997/L997,0)</f>
        <v/>
      </c>
      <c r="P997" t="n">
        <v>539</v>
      </c>
      <c r="Q997" s="5" t="n">
        <v>1</v>
      </c>
      <c r="R997" s="7" t="n">
        <v>0</v>
      </c>
      <c r="S997" t="inlineStr">
        <is>
          <t>Мало показов</t>
        </is>
      </c>
      <c r="T997">
        <f>IF(N997&lt;$T$1*0.5,"Низшая четверть",IF(N997&lt;$T$1,"Вторая четверть","Больше половины"))</f>
        <v/>
      </c>
      <c r="U997">
        <f>IF(O997&lt;$U$1*0.5,"Низшая четверть",IF(O997&lt;$U$1,"Вторая четверть","Больше половины"))</f>
        <v/>
      </c>
      <c r="V997">
        <f>IF(OR(N997&lt;SUMIFS(L:L,R:R,1,E:E,E997)/SUMIFS(K:K,R:R,1,E:E,E997)*0.5,O997&lt;SUMIFS(M:M,R:R,1,E:E,E997)/SUMIFS(L:L,R:R,1,E:E,E997)*0.5),"код для проверки","нормальный код")</f>
        <v/>
      </c>
      <c r="W997">
        <f>IF(N997&lt;SUMIFS(L:L,R:R,1,E:E,E997)/SUMIFS(K:K,R:R,1,E:E,E997)*0.5,"Низшая четверть",IF(N997&lt;SUMIFS(L:L,R:R,1,E:E,E997)/SUMIFS(K:K,R:R,1,E:E,E997),"Вторая четверть","Больше половины"))</f>
        <v/>
      </c>
      <c r="X997">
        <f>IF(O997&lt;SUMIFS(M:M,R:R,1,E:E,E997)/SUMIFS(L:L,R:R,1,E:E,E997)*0.5,"Низшая четверть",IF(O997&lt;SUMIFS(M:M,R:R,1,E:E,E997)/SUMIFS(L:L,R:R,1,E:E,E997),"Вторая четверть","Больше половины"))</f>
        <v/>
      </c>
      <c r="Y997" t="n">
        <v>19</v>
      </c>
    </row>
    <row r="998">
      <c r="A998" s="1" t="inlineStr">
        <is>
          <t>a6000600</t>
        </is>
      </c>
      <c r="B998" s="2" t="inlineStr">
        <is>
          <t>884287745</t>
        </is>
      </c>
      <c r="C998" s="3" t="inlineStr">
        <is>
          <t>Одежда для детей</t>
        </is>
      </c>
      <c r="D998" s="2" t="inlineStr">
        <is>
          <t>Платья, майки, футболки детские для девочек</t>
        </is>
      </c>
      <c r="E998" s="3" t="inlineStr">
        <is>
          <t>a60 Футболка детская для девочек</t>
        </is>
      </c>
      <c r="F998" s="2" t="inlineStr">
        <is>
          <t>всесезонный</t>
        </is>
      </c>
      <c r="G998" s="3" t="inlineStr">
        <is>
          <t>Kari KIDS</t>
        </is>
      </c>
      <c r="H998" s="2" t="inlineStr">
        <is>
          <t>Зиннуров Ильнур</t>
        </is>
      </c>
      <c r="J998" s="3" t="inlineStr">
        <is>
          <t>2026SS</t>
        </is>
      </c>
      <c r="K998" s="3" t="n">
        <v>1188</v>
      </c>
      <c r="L998" s="3" t="n">
        <v>20</v>
      </c>
      <c r="M998" s="3" t="n">
        <v>0</v>
      </c>
      <c r="N998" s="4">
        <f>IFERROR(L998/K998,0)</f>
        <v/>
      </c>
      <c r="O998" s="4">
        <f>IFERROR(M998/L998,0)</f>
        <v/>
      </c>
      <c r="P998" t="n">
        <v>449</v>
      </c>
      <c r="Q998" s="5" t="n">
        <v>1</v>
      </c>
      <c r="R998" s="7" t="n">
        <v>0</v>
      </c>
      <c r="S998" t="inlineStr">
        <is>
          <t>Мало показов</t>
        </is>
      </c>
      <c r="T998">
        <f>IF(N998&lt;$T$1*0.5,"Низшая четверть",IF(N998&lt;$T$1,"Вторая четверть","Больше половины"))</f>
        <v/>
      </c>
      <c r="U998">
        <f>IF(O998&lt;$U$1*0.5,"Низшая четверть",IF(O998&lt;$U$1,"Вторая четверть","Больше половины"))</f>
        <v/>
      </c>
      <c r="V998">
        <f>IF(OR(N998&lt;SUMIFS(L:L,R:R,1,E:E,E998)/SUMIFS(K:K,R:R,1,E:E,E998)*0.5,O998&lt;SUMIFS(M:M,R:R,1,E:E,E998)/SUMIFS(L:L,R:R,1,E:E,E998)*0.5),"код для проверки","нормальный код")</f>
        <v/>
      </c>
      <c r="W998">
        <f>IF(N998&lt;SUMIFS(L:L,R:R,1,E:E,E998)/SUMIFS(K:K,R:R,1,E:E,E998)*0.5,"Низшая четверть",IF(N998&lt;SUMIFS(L:L,R:R,1,E:E,E998)/SUMIFS(K:K,R:R,1,E:E,E998),"Вторая четверть","Больше половины"))</f>
        <v/>
      </c>
      <c r="X998">
        <f>IF(O998&lt;SUMIFS(M:M,R:R,1,E:E,E998)/SUMIFS(L:L,R:R,1,E:E,E998)*0.5,"Низшая четверть",IF(O998&lt;SUMIFS(M:M,R:R,1,E:E,E998)/SUMIFS(L:L,R:R,1,E:E,E998),"Вторая четверть","Больше половины"))</f>
        <v/>
      </c>
      <c r="Y998" t="n">
        <v>10</v>
      </c>
    </row>
    <row r="999">
      <c r="A999" s="1" t="inlineStr">
        <is>
          <t>h1000070</t>
        </is>
      </c>
      <c r="B999" s="2" t="inlineStr">
        <is>
          <t>851029717</t>
        </is>
      </c>
      <c r="C999" s="3" t="inlineStr">
        <is>
          <t>Одежда и аксессуары</t>
        </is>
      </c>
      <c r="D999" s="2" t="inlineStr">
        <is>
          <t>Футболки, рубашки мужские</t>
        </is>
      </c>
      <c r="E999" s="3" t="inlineStr">
        <is>
          <t>h10 Футболка мужская</t>
        </is>
      </c>
      <c r="F999" s="2" t="inlineStr">
        <is>
          <t>всесезонный</t>
        </is>
      </c>
      <c r="G999" s="3" t="inlineStr">
        <is>
          <t>kari</t>
        </is>
      </c>
      <c r="H999" s="2" t="inlineStr">
        <is>
          <t>Зиннуров Ильнур</t>
        </is>
      </c>
      <c r="J999" s="3" t="inlineStr">
        <is>
          <t>2026SS</t>
        </is>
      </c>
      <c r="K999" s="3" t="n">
        <v>1188</v>
      </c>
      <c r="L999" s="3" t="n">
        <v>1062</v>
      </c>
      <c r="M999" s="3" t="n">
        <v>12</v>
      </c>
      <c r="N999" s="4">
        <f>IFERROR(L999/K999,0)</f>
        <v/>
      </c>
      <c r="O999" s="4">
        <f>IFERROR(M999/L999,0)</f>
        <v/>
      </c>
      <c r="P999" t="n">
        <v>427</v>
      </c>
      <c r="Q999" s="5" t="n">
        <v>0.8333333333333334</v>
      </c>
      <c r="R999" s="7" t="n">
        <v>0</v>
      </c>
      <c r="S999" t="inlineStr">
        <is>
          <t>Мало показов</t>
        </is>
      </c>
      <c r="T999">
        <f>IF(N999&lt;$T$1*0.5,"Низшая четверть",IF(N999&lt;$T$1,"Вторая четверть","Больше половины"))</f>
        <v/>
      </c>
      <c r="U999">
        <f>IF(O999&lt;$U$1*0.5,"Низшая четверть",IF(O999&lt;$U$1,"Вторая четверть","Больше половины"))</f>
        <v/>
      </c>
      <c r="V999">
        <f>IF(OR(N999&lt;SUMIFS(L:L,R:R,1,E:E,E999)/SUMIFS(K:K,R:R,1,E:E,E999)*0.5,O999&lt;SUMIFS(M:M,R:R,1,E:E,E999)/SUMIFS(L:L,R:R,1,E:E,E999)*0.5),"код для проверки","нормальный код")</f>
        <v/>
      </c>
      <c r="W999">
        <f>IF(N999&lt;SUMIFS(L:L,R:R,1,E:E,E999)/SUMIFS(K:K,R:R,1,E:E,E999)*0.5,"Низшая четверть",IF(N999&lt;SUMIFS(L:L,R:R,1,E:E,E999)/SUMIFS(K:K,R:R,1,E:E,E999),"Вторая четверть","Больше половины"))</f>
        <v/>
      </c>
      <c r="X999">
        <f>IF(O999&lt;SUMIFS(M:M,R:R,1,E:E,E999)/SUMIFS(L:L,R:R,1,E:E,E999)*0.5,"Низшая четверть",IF(O999&lt;SUMIFS(M:M,R:R,1,E:E,E999)/SUMIFS(L:L,R:R,1,E:E,E999),"Вторая четверть","Больше половины"))</f>
        <v/>
      </c>
      <c r="Y999" t="n">
        <v>23</v>
      </c>
    </row>
    <row r="1000">
      <c r="A1000" s="1" t="inlineStr">
        <is>
          <t>310000R0</t>
        </is>
      </c>
      <c r="B1000" s="2" t="inlineStr">
        <is>
          <t>790169115</t>
        </is>
      </c>
      <c r="C1000" s="3" t="inlineStr">
        <is>
          <t>Одежда для детей</t>
        </is>
      </c>
      <c r="D1000" s="2" t="inlineStr">
        <is>
          <t>Футболки, майки, рубашки детские для мальчиков</t>
        </is>
      </c>
      <c r="E1000" s="3" t="inlineStr">
        <is>
          <t>310 Футболка детская для мальчиков</t>
        </is>
      </c>
      <c r="F1000" s="2" t="inlineStr">
        <is>
          <t>всесезонный</t>
        </is>
      </c>
      <c r="G1000" s="3" t="inlineStr">
        <is>
          <t>kari</t>
        </is>
      </c>
      <c r="H1000" s="2" t="inlineStr">
        <is>
          <t>Зиннуров Ильнур</t>
        </is>
      </c>
      <c r="J1000" s="3" t="inlineStr">
        <is>
          <t>2026SS</t>
        </is>
      </c>
      <c r="K1000" s="3" t="n">
        <v>1176</v>
      </c>
      <c r="L1000" s="3" t="n">
        <v>354</v>
      </c>
      <c r="M1000" s="3" t="n">
        <v>2</v>
      </c>
      <c r="N1000" s="4">
        <f>IFERROR(L1000/K1000,0)</f>
        <v/>
      </c>
      <c r="O1000" s="4">
        <f>IFERROR(M1000/L1000,0)</f>
        <v/>
      </c>
      <c r="P1000" t="n">
        <v>628</v>
      </c>
      <c r="Q1000" s="5" t="n">
        <v>1</v>
      </c>
      <c r="R1000" s="7" t="n">
        <v>0</v>
      </c>
      <c r="S1000" t="inlineStr">
        <is>
          <t>Мало показов</t>
        </is>
      </c>
      <c r="T1000">
        <f>IF(N1000&lt;$T$1*0.5,"Низшая четверть",IF(N1000&lt;$T$1,"Вторая четверть","Больше половины"))</f>
        <v/>
      </c>
      <c r="U1000">
        <f>IF(O1000&lt;$U$1*0.5,"Низшая четверть",IF(O1000&lt;$U$1,"Вторая четверть","Больше половины"))</f>
        <v/>
      </c>
      <c r="V1000">
        <f>IF(OR(N1000&lt;SUMIFS(L:L,R:R,1,E:E,E1000)/SUMIFS(K:K,R:R,1,E:E,E1000)*0.5,O1000&lt;SUMIFS(M:M,R:R,1,E:E,E1000)/SUMIFS(L:L,R:R,1,E:E,E1000)*0.5),"код для проверки","нормальный код")</f>
        <v/>
      </c>
      <c r="W1000">
        <f>IF(N1000&lt;SUMIFS(L:L,R:R,1,E:E,E1000)/SUMIFS(K:K,R:R,1,E:E,E1000)*0.5,"Низшая четверть",IF(N1000&lt;SUMIFS(L:L,R:R,1,E:E,E1000)/SUMIFS(K:K,R:R,1,E:E,E1000),"Вторая четверть","Больше половины"))</f>
        <v/>
      </c>
      <c r="X1000">
        <f>IF(O1000&lt;SUMIFS(M:M,R:R,1,E:E,E1000)/SUMIFS(L:L,R:R,1,E:E,E1000)*0.5,"Низшая четверть",IF(O1000&lt;SUMIFS(M:M,R:R,1,E:E,E1000)/SUMIFS(L:L,R:R,1,E:E,E1000),"Вторая четверть","Больше половины"))</f>
        <v/>
      </c>
      <c r="Y1000" t="n">
        <v>21</v>
      </c>
    </row>
    <row r="1001">
      <c r="A1001" s="1" t="inlineStr">
        <is>
          <t>h1000080</t>
        </is>
      </c>
      <c r="B1001" s="2" t="inlineStr">
        <is>
          <t>797520145</t>
        </is>
      </c>
      <c r="C1001" s="3" t="inlineStr">
        <is>
          <t>Одежда и аксессуары</t>
        </is>
      </c>
      <c r="D1001" s="2" t="inlineStr">
        <is>
          <t>Футболки, рубашки мужские</t>
        </is>
      </c>
      <c r="E1001" s="3" t="inlineStr">
        <is>
          <t>h10 Футболка мужская</t>
        </is>
      </c>
      <c r="F1001" s="2" t="inlineStr">
        <is>
          <t>всесезонный</t>
        </is>
      </c>
      <c r="G1001" s="3" t="inlineStr">
        <is>
          <t>kari</t>
        </is>
      </c>
      <c r="H1001" s="2" t="inlineStr">
        <is>
          <t>Зиннуров Ильнур</t>
        </is>
      </c>
      <c r="J1001" s="3" t="inlineStr">
        <is>
          <t>2026SS</t>
        </is>
      </c>
      <c r="K1001" s="3" t="n">
        <v>1171</v>
      </c>
      <c r="L1001" s="3" t="n">
        <v>1630</v>
      </c>
      <c r="M1001" s="3" t="n">
        <v>3</v>
      </c>
      <c r="N1001" s="4">
        <f>IFERROR(L1001/K1001,0)</f>
        <v/>
      </c>
      <c r="O1001" s="4">
        <f>IFERROR(M1001/L1001,0)</f>
        <v/>
      </c>
      <c r="P1001" t="n">
        <v>416</v>
      </c>
      <c r="Q1001" s="5" t="n">
        <v>1</v>
      </c>
      <c r="R1001" s="7" t="n">
        <v>0</v>
      </c>
      <c r="S1001" t="inlineStr">
        <is>
          <t>Мало показов</t>
        </is>
      </c>
      <c r="T1001">
        <f>IF(N1001&lt;$T$1*0.5,"Низшая четверть",IF(N1001&lt;$T$1,"Вторая четверть","Больше половины"))</f>
        <v/>
      </c>
      <c r="U1001">
        <f>IF(O1001&lt;$U$1*0.5,"Низшая четверть",IF(O1001&lt;$U$1,"Вторая четверть","Больше половины"))</f>
        <v/>
      </c>
      <c r="V1001">
        <f>IF(OR(N1001&lt;SUMIFS(L:L,R:R,1,E:E,E1001)/SUMIFS(K:K,R:R,1,E:E,E1001)*0.5,O1001&lt;SUMIFS(M:M,R:R,1,E:E,E1001)/SUMIFS(L:L,R:R,1,E:E,E1001)*0.5),"код для проверки","нормальный код")</f>
        <v/>
      </c>
      <c r="W1001">
        <f>IF(N1001&lt;SUMIFS(L:L,R:R,1,E:E,E1001)/SUMIFS(K:K,R:R,1,E:E,E1001)*0.5,"Низшая четверть",IF(N1001&lt;SUMIFS(L:L,R:R,1,E:E,E1001)/SUMIFS(K:K,R:R,1,E:E,E1001),"Вторая четверть","Больше половины"))</f>
        <v/>
      </c>
      <c r="X1001">
        <f>IF(O1001&lt;SUMIFS(M:M,R:R,1,E:E,E1001)/SUMIFS(L:L,R:R,1,E:E,E1001)*0.5,"Низшая четверть",IF(O1001&lt;SUMIFS(M:M,R:R,1,E:E,E1001)/SUMIFS(L:L,R:R,1,E:E,E1001),"Вторая четверть","Больше половины"))</f>
        <v/>
      </c>
      <c r="Y1001" t="n">
        <v>22</v>
      </c>
    </row>
    <row r="1002">
      <c r="A1002" s="1" t="inlineStr">
        <is>
          <t>29200250</t>
        </is>
      </c>
      <c r="B1002" s="2" t="inlineStr">
        <is>
          <t>879308868</t>
        </is>
      </c>
      <c r="C1002" s="3" t="inlineStr">
        <is>
          <t>Одежда для детей</t>
        </is>
      </c>
      <c r="D1002" s="2" t="inlineStr">
        <is>
          <t>Платья, майки, футболки детские для девочек</t>
        </is>
      </c>
      <c r="E1002" s="3" t="inlineStr">
        <is>
          <t>292 Сарафан детский для девочек</t>
        </is>
      </c>
      <c r="F1002" s="2" t="inlineStr">
        <is>
          <t>лето</t>
        </is>
      </c>
      <c r="G1002" s="3" t="inlineStr">
        <is>
          <t>Kari KIDS</t>
        </is>
      </c>
      <c r="H1002" s="2" t="inlineStr">
        <is>
          <t>Зиннуров Ильнур</t>
        </is>
      </c>
      <c r="J1002" s="3" t="inlineStr">
        <is>
          <t>2026SS</t>
        </is>
      </c>
      <c r="K1002" s="3" t="n">
        <v>1164</v>
      </c>
      <c r="L1002" s="3" t="n">
        <v>18</v>
      </c>
      <c r="M1002" s="3" t="n">
        <v>0</v>
      </c>
      <c r="N1002" s="4">
        <f>IFERROR(L1002/K1002,0)</f>
        <v/>
      </c>
      <c r="O1002" s="4">
        <f>IFERROR(M1002/L1002,0)</f>
        <v/>
      </c>
      <c r="P1002" t="n">
        <v>469</v>
      </c>
      <c r="Q1002" s="5" t="n">
        <v>1</v>
      </c>
      <c r="R1002" s="7" t="n">
        <v>0</v>
      </c>
      <c r="S1002" t="inlineStr">
        <is>
          <t>Мало показов</t>
        </is>
      </c>
      <c r="T1002">
        <f>IF(N1002&lt;$T$1*0.5,"Низшая четверть",IF(N1002&lt;$T$1,"Вторая четверть","Больше половины"))</f>
        <v/>
      </c>
      <c r="U1002">
        <f>IF(O1002&lt;$U$1*0.5,"Низшая четверть",IF(O1002&lt;$U$1,"Вторая четверть","Больше половины"))</f>
        <v/>
      </c>
      <c r="V1002">
        <f>IF(OR(N1002&lt;SUMIFS(L:L,R:R,1,E:E,E1002)/SUMIFS(K:K,R:R,1,E:E,E1002)*0.5,O1002&lt;SUMIFS(M:M,R:R,1,E:E,E1002)/SUMIFS(L:L,R:R,1,E:E,E1002)*0.5),"код для проверки","нормальный код")</f>
        <v/>
      </c>
      <c r="W1002">
        <f>IF(N1002&lt;SUMIFS(L:L,R:R,1,E:E,E1002)/SUMIFS(K:K,R:R,1,E:E,E1002)*0.5,"Низшая четверть",IF(N1002&lt;SUMIFS(L:L,R:R,1,E:E,E1002)/SUMIFS(K:K,R:R,1,E:E,E1002),"Вторая четверть","Больше половины"))</f>
        <v/>
      </c>
      <c r="X1002">
        <f>IF(O1002&lt;SUMIFS(M:M,R:R,1,E:E,E1002)/SUMIFS(L:L,R:R,1,E:E,E1002)*0.5,"Низшая четверть",IF(O1002&lt;SUMIFS(M:M,R:R,1,E:E,E1002)/SUMIFS(L:L,R:R,1,E:E,E1002),"Вторая четверть","Больше половины"))</f>
        <v/>
      </c>
      <c r="Y1002" t="n">
        <v>9</v>
      </c>
    </row>
    <row r="1003">
      <c r="A1003" s="1" t="inlineStr">
        <is>
          <t>19900020</t>
        </is>
      </c>
      <c r="B1003" s="2" t="inlineStr">
        <is>
          <t>799453789</t>
        </is>
      </c>
      <c r="C1003" s="3" t="inlineStr">
        <is>
          <t>Одежда и аксессуары</t>
        </is>
      </c>
      <c r="D1003" s="2" t="inlineStr">
        <is>
          <t>Пиджаки, жакеты женские</t>
        </is>
      </c>
      <c r="E1003" s="3" t="inlineStr">
        <is>
          <t>199 Пиджак женский</t>
        </is>
      </c>
      <c r="F1003" s="2" t="inlineStr">
        <is>
          <t>всесезонный</t>
        </is>
      </c>
      <c r="G1003" s="3" t="inlineStr">
        <is>
          <t>kari</t>
        </is>
      </c>
      <c r="H1003" s="2" t="inlineStr">
        <is>
          <t>Зиннуров Ильнур</t>
        </is>
      </c>
      <c r="J1003" s="3" t="inlineStr">
        <is>
          <t>2026SS</t>
        </is>
      </c>
      <c r="K1003" s="3" t="n">
        <v>1161</v>
      </c>
      <c r="L1003" s="3" t="n">
        <v>45</v>
      </c>
      <c r="M1003" s="3" t="n">
        <v>0</v>
      </c>
      <c r="N1003" s="4">
        <f>IFERROR(L1003/K1003,0)</f>
        <v/>
      </c>
      <c r="O1003" s="4">
        <f>IFERROR(M1003/L1003,0)</f>
        <v/>
      </c>
      <c r="P1003" t="n">
        <v>165</v>
      </c>
      <c r="Q1003" s="5" t="n">
        <v>1</v>
      </c>
      <c r="R1003" s="7" t="n">
        <v>0</v>
      </c>
      <c r="S1003" t="inlineStr">
        <is>
          <t>Мало показов</t>
        </is>
      </c>
      <c r="T1003">
        <f>IF(N1003&lt;$T$1*0.5,"Низшая четверть",IF(N1003&lt;$T$1,"Вторая четверть","Больше половины"))</f>
        <v/>
      </c>
      <c r="U1003">
        <f>IF(O1003&lt;$U$1*0.5,"Низшая четверть",IF(O1003&lt;$U$1,"Вторая четверть","Больше половины"))</f>
        <v/>
      </c>
      <c r="V1003">
        <f>IF(OR(N1003&lt;SUMIFS(L:L,R:R,1,E:E,E1003)/SUMIFS(K:K,R:R,1,E:E,E1003)*0.5,O1003&lt;SUMIFS(M:M,R:R,1,E:E,E1003)/SUMIFS(L:L,R:R,1,E:E,E1003)*0.5),"код для проверки","нормальный код")</f>
        <v/>
      </c>
      <c r="W1003">
        <f>IF(N1003&lt;SUMIFS(L:L,R:R,1,E:E,E1003)/SUMIFS(K:K,R:R,1,E:E,E1003)*0.5,"Низшая четверть",IF(N1003&lt;SUMIFS(L:L,R:R,1,E:E,E1003)/SUMIFS(K:K,R:R,1,E:E,E1003),"Вторая четверть","Больше половины"))</f>
        <v/>
      </c>
      <c r="X1003">
        <f>IF(O1003&lt;SUMIFS(M:M,R:R,1,E:E,E1003)/SUMIFS(L:L,R:R,1,E:E,E1003)*0.5,"Низшая четверть",IF(O1003&lt;SUMIFS(M:M,R:R,1,E:E,E1003)/SUMIFS(L:L,R:R,1,E:E,E1003),"Вторая четверть","Больше половины"))</f>
        <v/>
      </c>
      <c r="Y1003" t="n">
        <v>19</v>
      </c>
    </row>
    <row r="1004">
      <c r="A1004" s="1" t="inlineStr">
        <is>
          <t>b5000030</t>
        </is>
      </c>
      <c r="B1004" s="2" t="inlineStr">
        <is>
          <t>932503674</t>
        </is>
      </c>
      <c r="C1004" s="3" t="inlineStr">
        <is>
          <t>Одежда и аксессуары</t>
        </is>
      </c>
      <c r="D1004" s="2" t="inlineStr">
        <is>
          <t>Майки и платья женские</t>
        </is>
      </c>
      <c r="E1004" s="3" t="inlineStr">
        <is>
          <t>b50 Футболка женская для активного отдыха</t>
        </is>
      </c>
      <c r="F1004" s="2" t="inlineStr">
        <is>
          <t>всесезонный</t>
        </is>
      </c>
      <c r="G1004" s="3" t="inlineStr">
        <is>
          <t>kari</t>
        </is>
      </c>
      <c r="H1004" s="2" t="inlineStr">
        <is>
          <t>Зиннуров Ильнур</t>
        </is>
      </c>
      <c r="J1004" s="3" t="inlineStr">
        <is>
          <t>2026SS</t>
        </is>
      </c>
      <c r="K1004" s="3" t="n">
        <v>1160</v>
      </c>
      <c r="L1004" s="3" t="n">
        <v>37</v>
      </c>
      <c r="M1004" s="3" t="n">
        <v>0</v>
      </c>
      <c r="N1004" s="4">
        <f>IFERROR(L1004/K1004,0)</f>
        <v/>
      </c>
      <c r="O1004" s="4">
        <f>IFERROR(M1004/L1004,0)</f>
        <v/>
      </c>
      <c r="P1004" t="n">
        <v>209</v>
      </c>
      <c r="Q1004" s="5" t="n">
        <v>0.5</v>
      </c>
      <c r="R1004" s="7" t="n">
        <v>0</v>
      </c>
      <c r="S1004" t="inlineStr">
        <is>
          <t>Мало показов</t>
        </is>
      </c>
      <c r="T1004">
        <f>IF(N1004&lt;$T$1*0.5,"Низшая четверть",IF(N1004&lt;$T$1,"Вторая четверть","Больше половины"))</f>
        <v/>
      </c>
      <c r="U1004">
        <f>IF(O1004&lt;$U$1*0.5,"Низшая четверть",IF(O1004&lt;$U$1,"Вторая четверть","Больше половины"))</f>
        <v/>
      </c>
      <c r="V1004">
        <f>IF(OR(N1004&lt;SUMIFS(L:L,R:R,1,E:E,E1004)/SUMIFS(K:K,R:R,1,E:E,E1004)*0.5,O1004&lt;SUMIFS(M:M,R:R,1,E:E,E1004)/SUMIFS(L:L,R:R,1,E:E,E1004)*0.5),"код для проверки","нормальный код")</f>
        <v/>
      </c>
      <c r="W1004">
        <f>IF(N1004&lt;SUMIFS(L:L,R:R,1,E:E,E1004)/SUMIFS(K:K,R:R,1,E:E,E1004)*0.5,"Низшая четверть",IF(N1004&lt;SUMIFS(L:L,R:R,1,E:E,E1004)/SUMIFS(K:K,R:R,1,E:E,E1004),"Вторая четверть","Больше половины"))</f>
        <v/>
      </c>
      <c r="X1004">
        <f>IF(O1004&lt;SUMIFS(M:M,R:R,1,E:E,E1004)/SUMIFS(L:L,R:R,1,E:E,E1004)*0.5,"Низшая четверть",IF(O1004&lt;SUMIFS(M:M,R:R,1,E:E,E1004)/SUMIFS(L:L,R:R,1,E:E,E1004),"Вторая четверть","Больше половины"))</f>
        <v/>
      </c>
      <c r="Y1004" t="n">
        <v>17</v>
      </c>
    </row>
    <row r="1005">
      <c r="A1005" s="1" t="inlineStr">
        <is>
          <t>88300210</t>
        </is>
      </c>
      <c r="B1005" s="2" t="inlineStr">
        <is>
          <t>697438071</t>
        </is>
      </c>
      <c r="C1005" s="3" t="inlineStr">
        <is>
          <t>Одежда для детей</t>
        </is>
      </c>
      <c r="D1005" s="2" t="inlineStr">
        <is>
          <t>Платья, майки, футболки детские для девочек</t>
        </is>
      </c>
      <c r="E1005" s="3" t="inlineStr">
        <is>
          <t>883 Футболка длинный рукав детская для девочек</t>
        </is>
      </c>
      <c r="F1005" s="2" t="inlineStr">
        <is>
          <t>всесезонный</t>
        </is>
      </c>
      <c r="G1005" s="3" t="inlineStr">
        <is>
          <t>kari</t>
        </is>
      </c>
      <c r="H1005" s="2" t="inlineStr">
        <is>
          <t>Зиннуров Ильнур</t>
        </is>
      </c>
      <c r="J1005" s="3" t="inlineStr">
        <is>
          <t>2026SS</t>
        </is>
      </c>
      <c r="K1005" s="3" t="n">
        <v>1155</v>
      </c>
      <c r="L1005" s="3" t="n">
        <v>430</v>
      </c>
      <c r="M1005" s="3" t="n">
        <v>2</v>
      </c>
      <c r="N1005" s="4">
        <f>IFERROR(L1005/K1005,0)</f>
        <v/>
      </c>
      <c r="O1005" s="4">
        <f>IFERROR(M1005/L1005,0)</f>
        <v/>
      </c>
      <c r="P1005" t="n">
        <v>77</v>
      </c>
      <c r="Q1005" s="5" t="n">
        <v>0.6</v>
      </c>
      <c r="R1005" s="7" t="n">
        <v>0</v>
      </c>
      <c r="S1005" t="inlineStr">
        <is>
          <t>Мало показов</t>
        </is>
      </c>
      <c r="T1005">
        <f>IF(N1005&lt;$T$1*0.5,"Низшая четверть",IF(N1005&lt;$T$1,"Вторая четверть","Больше половины"))</f>
        <v/>
      </c>
      <c r="U1005">
        <f>IF(O1005&lt;$U$1*0.5,"Низшая четверть",IF(O1005&lt;$U$1,"Вторая четверть","Больше половины"))</f>
        <v/>
      </c>
      <c r="V1005">
        <f>IF(OR(N1005&lt;SUMIFS(L:L,R:R,1,E:E,E1005)/SUMIFS(K:K,R:R,1,E:E,E1005)*0.5,O1005&lt;SUMIFS(M:M,R:R,1,E:E,E1005)/SUMIFS(L:L,R:R,1,E:E,E1005)*0.5),"код для проверки","нормальный код")</f>
        <v/>
      </c>
      <c r="W1005">
        <f>IF(N1005&lt;SUMIFS(L:L,R:R,1,E:E,E1005)/SUMIFS(K:K,R:R,1,E:E,E1005)*0.5,"Низшая четверть",IF(N1005&lt;SUMIFS(L:L,R:R,1,E:E,E1005)/SUMIFS(K:K,R:R,1,E:E,E1005),"Вторая четверть","Больше половины"))</f>
        <v/>
      </c>
      <c r="X1005">
        <f>IF(O1005&lt;SUMIFS(M:M,R:R,1,E:E,E1005)/SUMIFS(L:L,R:R,1,E:E,E1005)*0.5,"Низшая четверть",IF(O1005&lt;SUMIFS(M:M,R:R,1,E:E,E1005)/SUMIFS(L:L,R:R,1,E:E,E1005),"Вторая четверть","Больше половины"))</f>
        <v/>
      </c>
      <c r="Y1005" t="n">
        <v>19</v>
      </c>
    </row>
    <row r="1006">
      <c r="A1006" s="1" t="inlineStr">
        <is>
          <t>a5200140</t>
        </is>
      </c>
      <c r="B1006" s="2" t="inlineStr">
        <is>
          <t>850546480</t>
        </is>
      </c>
      <c r="C1006" s="3" t="inlineStr">
        <is>
          <t>Одежда для детей</t>
        </is>
      </c>
      <c r="D1006" s="2" t="inlineStr">
        <is>
          <t>Брюки детские для девочек</t>
        </is>
      </c>
      <c r="E1006" s="3" t="inlineStr">
        <is>
          <t>a52 Брюки летние для девочек</t>
        </is>
      </c>
      <c r="F1006" s="2" t="inlineStr">
        <is>
          <t>весна, лето</t>
        </is>
      </c>
      <c r="G1006" s="3" t="inlineStr">
        <is>
          <t>kari</t>
        </is>
      </c>
      <c r="H1006" s="2" t="inlineStr">
        <is>
          <t>Зиннуров Ильнур</t>
        </is>
      </c>
      <c r="J1006" s="3" t="inlineStr">
        <is>
          <t>2026SS</t>
        </is>
      </c>
      <c r="K1006" s="3" t="n">
        <v>1149</v>
      </c>
      <c r="L1006" s="3" t="n">
        <v>34</v>
      </c>
      <c r="M1006" s="3" t="n">
        <v>0</v>
      </c>
      <c r="N1006" s="4">
        <f>IFERROR(L1006/K1006,0)</f>
        <v/>
      </c>
      <c r="O1006" s="4">
        <f>IFERROR(M1006/L1006,0)</f>
        <v/>
      </c>
      <c r="P1006" t="n">
        <v>380</v>
      </c>
      <c r="Q1006" s="5" t="n">
        <v>1</v>
      </c>
      <c r="R1006" s="7" t="n">
        <v>0</v>
      </c>
      <c r="S1006" t="inlineStr">
        <is>
          <t>Мало показов</t>
        </is>
      </c>
      <c r="T1006">
        <f>IF(N1006&lt;$T$1*0.5,"Низшая четверть",IF(N1006&lt;$T$1,"Вторая четверть","Больше половины"))</f>
        <v/>
      </c>
      <c r="U1006">
        <f>IF(O1006&lt;$U$1*0.5,"Низшая четверть",IF(O1006&lt;$U$1,"Вторая четверть","Больше половины"))</f>
        <v/>
      </c>
      <c r="V1006">
        <f>IF(OR(N1006&lt;SUMIFS(L:L,R:R,1,E:E,E1006)/SUMIFS(K:K,R:R,1,E:E,E1006)*0.5,O1006&lt;SUMIFS(M:M,R:R,1,E:E,E1006)/SUMIFS(L:L,R:R,1,E:E,E1006)*0.5),"код для проверки","нормальный код")</f>
        <v/>
      </c>
      <c r="W1006">
        <f>IF(N1006&lt;SUMIFS(L:L,R:R,1,E:E,E1006)/SUMIFS(K:K,R:R,1,E:E,E1006)*0.5,"Низшая четверть",IF(N1006&lt;SUMIFS(L:L,R:R,1,E:E,E1006)/SUMIFS(K:K,R:R,1,E:E,E1006),"Вторая четверть","Больше половины"))</f>
        <v/>
      </c>
      <c r="X1006">
        <f>IF(O1006&lt;SUMIFS(M:M,R:R,1,E:E,E1006)/SUMIFS(L:L,R:R,1,E:E,E1006)*0.5,"Низшая четверть",IF(O1006&lt;SUMIFS(M:M,R:R,1,E:E,E1006)/SUMIFS(L:L,R:R,1,E:E,E1006),"Вторая четверть","Больше половины"))</f>
        <v/>
      </c>
      <c r="Y1006" t="n">
        <v>20</v>
      </c>
    </row>
    <row r="1007">
      <c r="A1007" s="1" t="inlineStr">
        <is>
          <t>h7700230</t>
        </is>
      </c>
      <c r="B1007" s="2" t="inlineStr">
        <is>
          <t>788918762</t>
        </is>
      </c>
      <c r="C1007" s="3" t="inlineStr">
        <is>
          <t>Одежда и аксессуары</t>
        </is>
      </c>
      <c r="D1007" s="2" t="inlineStr">
        <is>
          <t>Купальники женские</t>
        </is>
      </c>
      <c r="E1007" s="3" t="inlineStr">
        <is>
          <t>h77 Одежда пляжная женская</t>
        </is>
      </c>
      <c r="F1007" s="2" t="inlineStr">
        <is>
          <t>лето</t>
        </is>
      </c>
      <c r="G1007" s="3" t="inlineStr">
        <is>
          <t>kari</t>
        </is>
      </c>
      <c r="H1007" s="2" t="inlineStr">
        <is>
          <t>Зиннуров Ильнур</t>
        </is>
      </c>
      <c r="J1007" s="3" t="inlineStr">
        <is>
          <t>2026SS</t>
        </is>
      </c>
      <c r="K1007" s="3" t="n">
        <v>1145</v>
      </c>
      <c r="L1007" s="3" t="n">
        <v>229</v>
      </c>
      <c r="M1007" s="3" t="n">
        <v>1</v>
      </c>
      <c r="N1007" s="4">
        <f>IFERROR(L1007/K1007,0)</f>
        <v/>
      </c>
      <c r="O1007" s="4">
        <f>IFERROR(M1007/L1007,0)</f>
        <v/>
      </c>
      <c r="P1007" t="n">
        <v>1299</v>
      </c>
      <c r="Q1007" s="5" t="n">
        <v>1</v>
      </c>
      <c r="R1007" s="7" t="n">
        <v>0</v>
      </c>
      <c r="S1007" t="inlineStr">
        <is>
          <t>Мало показов</t>
        </is>
      </c>
      <c r="T1007">
        <f>IF(N1007&lt;$T$1*0.5,"Низшая четверть",IF(N1007&lt;$T$1,"Вторая четверть","Больше половины"))</f>
        <v/>
      </c>
      <c r="U1007">
        <f>IF(O1007&lt;$U$1*0.5,"Низшая четверть",IF(O1007&lt;$U$1,"Вторая четверть","Больше половины"))</f>
        <v/>
      </c>
      <c r="V1007">
        <f>IF(OR(N1007&lt;SUMIFS(L:L,R:R,1,E:E,E1007)/SUMIFS(K:K,R:R,1,E:E,E1007)*0.5,O1007&lt;SUMIFS(M:M,R:R,1,E:E,E1007)/SUMIFS(L:L,R:R,1,E:E,E1007)*0.5),"код для проверки","нормальный код")</f>
        <v/>
      </c>
      <c r="W1007">
        <f>IF(N1007&lt;SUMIFS(L:L,R:R,1,E:E,E1007)/SUMIFS(K:K,R:R,1,E:E,E1007)*0.5,"Низшая четверть",IF(N1007&lt;SUMIFS(L:L,R:R,1,E:E,E1007)/SUMIFS(K:K,R:R,1,E:E,E1007),"Вторая четверть","Больше половины"))</f>
        <v/>
      </c>
      <c r="X1007">
        <f>IF(O1007&lt;SUMIFS(M:M,R:R,1,E:E,E1007)/SUMIFS(L:L,R:R,1,E:E,E1007)*0.5,"Низшая четверть",IF(O1007&lt;SUMIFS(M:M,R:R,1,E:E,E1007)/SUMIFS(L:L,R:R,1,E:E,E1007),"Вторая четверть","Больше половины"))</f>
        <v/>
      </c>
      <c r="Y1007" t="n">
        <v>11</v>
      </c>
    </row>
    <row r="1008">
      <c r="A1008" s="1" t="inlineStr">
        <is>
          <t>b5000050</t>
        </is>
      </c>
      <c r="B1008" s="2" t="inlineStr">
        <is>
          <t>932503760</t>
        </is>
      </c>
      <c r="C1008" s="3" t="inlineStr">
        <is>
          <t>Одежда и аксессуары</t>
        </is>
      </c>
      <c r="D1008" s="2" t="inlineStr">
        <is>
          <t>Майки и платья женские</t>
        </is>
      </c>
      <c r="E1008" s="3" t="inlineStr">
        <is>
          <t>b50 Футболка женская для активного отдыха</t>
        </is>
      </c>
      <c r="F1008" s="2" t="inlineStr">
        <is>
          <t>всесезонный</t>
        </is>
      </c>
      <c r="G1008" s="3" t="inlineStr">
        <is>
          <t>kari</t>
        </is>
      </c>
      <c r="H1008" s="2" t="inlineStr">
        <is>
          <t>Зиннуров Ильнур</t>
        </is>
      </c>
      <c r="J1008" s="3" t="inlineStr">
        <is>
          <t>2026SS</t>
        </is>
      </c>
      <c r="K1008" s="3" t="n">
        <v>1140</v>
      </c>
      <c r="L1008" s="3" t="n">
        <v>41</v>
      </c>
      <c r="M1008" s="3" t="n">
        <v>0</v>
      </c>
      <c r="N1008" s="4">
        <f>IFERROR(L1008/K1008,0)</f>
        <v/>
      </c>
      <c r="O1008" s="4">
        <f>IFERROR(M1008/L1008,0)</f>
        <v/>
      </c>
      <c r="P1008" t="n">
        <v>120</v>
      </c>
      <c r="Q1008" s="5" t="n">
        <v>0.5</v>
      </c>
      <c r="R1008" s="7" t="n">
        <v>0</v>
      </c>
      <c r="S1008" t="inlineStr">
        <is>
          <t>Мало показов</t>
        </is>
      </c>
      <c r="T1008">
        <f>IF(N1008&lt;$T$1*0.5,"Низшая четверть",IF(N1008&lt;$T$1,"Вторая четверть","Больше половины"))</f>
        <v/>
      </c>
      <c r="U1008">
        <f>IF(O1008&lt;$U$1*0.5,"Низшая четверть",IF(O1008&lt;$U$1,"Вторая четверть","Больше половины"))</f>
        <v/>
      </c>
      <c r="V1008">
        <f>IF(OR(N1008&lt;SUMIFS(L:L,R:R,1,E:E,E1008)/SUMIFS(K:K,R:R,1,E:E,E1008)*0.5,O1008&lt;SUMIFS(M:M,R:R,1,E:E,E1008)/SUMIFS(L:L,R:R,1,E:E,E1008)*0.5),"код для проверки","нормальный код")</f>
        <v/>
      </c>
      <c r="W1008">
        <f>IF(N1008&lt;SUMIFS(L:L,R:R,1,E:E,E1008)/SUMIFS(K:K,R:R,1,E:E,E1008)*0.5,"Низшая четверть",IF(N1008&lt;SUMIFS(L:L,R:R,1,E:E,E1008)/SUMIFS(K:K,R:R,1,E:E,E1008),"Вторая четверть","Больше половины"))</f>
        <v/>
      </c>
      <c r="X1008">
        <f>IF(O1008&lt;SUMIFS(M:M,R:R,1,E:E,E1008)/SUMIFS(L:L,R:R,1,E:E,E1008)*0.5,"Низшая четверть",IF(O1008&lt;SUMIFS(M:M,R:R,1,E:E,E1008)/SUMIFS(L:L,R:R,1,E:E,E1008),"Вторая четверть","Больше половины"))</f>
        <v/>
      </c>
      <c r="Y1008" t="n">
        <v>16</v>
      </c>
    </row>
    <row r="1009">
      <c r="A1009" s="1" t="inlineStr">
        <is>
          <t>a6000680</t>
        </is>
      </c>
      <c r="B1009" s="2" t="inlineStr">
        <is>
          <t>884287737</t>
        </is>
      </c>
      <c r="C1009" s="3" t="inlineStr">
        <is>
          <t>Одежда для детей</t>
        </is>
      </c>
      <c r="D1009" s="2" t="inlineStr">
        <is>
          <t>Платья, майки, футболки детские для девочек</t>
        </is>
      </c>
      <c r="E1009" s="3" t="inlineStr">
        <is>
          <t>a60 Футболка детская для девочек</t>
        </is>
      </c>
      <c r="F1009" s="2" t="inlineStr">
        <is>
          <t>всесезонный</t>
        </is>
      </c>
      <c r="G1009" s="3" t="inlineStr">
        <is>
          <t>kari</t>
        </is>
      </c>
      <c r="H1009" s="2" t="inlineStr">
        <is>
          <t>Зиннуров Ильнур</t>
        </is>
      </c>
      <c r="J1009" s="3" t="inlineStr">
        <is>
          <t>2026SS</t>
        </is>
      </c>
      <c r="K1009" s="3" t="n">
        <v>1127</v>
      </c>
      <c r="L1009" s="3" t="n">
        <v>71</v>
      </c>
      <c r="M1009" s="3" t="n">
        <v>1</v>
      </c>
      <c r="N1009" s="4">
        <f>IFERROR(L1009/K1009,0)</f>
        <v/>
      </c>
      <c r="O1009" s="4">
        <f>IFERROR(M1009/L1009,0)</f>
        <v/>
      </c>
      <c r="P1009" t="n">
        <v>629</v>
      </c>
      <c r="Q1009" s="5" t="n">
        <v>0.5555555555555556</v>
      </c>
      <c r="R1009" s="7" t="n">
        <v>0</v>
      </c>
      <c r="S1009" t="inlineStr">
        <is>
          <t>Мало показов</t>
        </is>
      </c>
      <c r="T1009">
        <f>IF(N1009&lt;$T$1*0.5,"Низшая четверть",IF(N1009&lt;$T$1,"Вторая четверть","Больше половины"))</f>
        <v/>
      </c>
      <c r="U1009">
        <f>IF(O1009&lt;$U$1*0.5,"Низшая четверть",IF(O1009&lt;$U$1,"Вторая четверть","Больше половины"))</f>
        <v/>
      </c>
      <c r="V1009">
        <f>IF(OR(N1009&lt;SUMIFS(L:L,R:R,1,E:E,E1009)/SUMIFS(K:K,R:R,1,E:E,E1009)*0.5,O1009&lt;SUMIFS(M:M,R:R,1,E:E,E1009)/SUMIFS(L:L,R:R,1,E:E,E1009)*0.5),"код для проверки","нормальный код")</f>
        <v/>
      </c>
      <c r="W1009">
        <f>IF(N1009&lt;SUMIFS(L:L,R:R,1,E:E,E1009)/SUMIFS(K:K,R:R,1,E:E,E1009)*0.5,"Низшая четверть",IF(N1009&lt;SUMIFS(L:L,R:R,1,E:E,E1009)/SUMIFS(K:K,R:R,1,E:E,E1009),"Вторая четверть","Больше половины"))</f>
        <v/>
      </c>
      <c r="X1009">
        <f>IF(O1009&lt;SUMIFS(M:M,R:R,1,E:E,E1009)/SUMIFS(L:L,R:R,1,E:E,E1009)*0.5,"Низшая четверть",IF(O1009&lt;SUMIFS(M:M,R:R,1,E:E,E1009)/SUMIFS(L:L,R:R,1,E:E,E1009),"Вторая четверть","Больше половины"))</f>
        <v/>
      </c>
      <c r="Y1009" t="n">
        <v>13</v>
      </c>
    </row>
    <row r="1010">
      <c r="A1010" s="1" t="inlineStr">
        <is>
          <t>y5000070</t>
        </is>
      </c>
      <c r="B1010" s="2" t="inlineStr">
        <is>
          <t>913194188</t>
        </is>
      </c>
      <c r="C1010" s="3" t="inlineStr">
        <is>
          <t>Одежда для детей</t>
        </is>
      </c>
      <c r="D1010" s="2" t="inlineStr">
        <is>
          <t>Спортивная детская одежда для мальчиков</t>
        </is>
      </c>
      <c r="E1010" s="3" t="inlineStr">
        <is>
          <t>y50 Комплект летней одежды для мальчиков</t>
        </is>
      </c>
      <c r="F1010" s="2" t="inlineStr">
        <is>
          <t>весна, лето</t>
        </is>
      </c>
      <c r="G1010" s="3" t="inlineStr">
        <is>
          <t>Kari KIDS</t>
        </is>
      </c>
      <c r="H1010" s="2" t="inlineStr">
        <is>
          <t>Зиннуров Ильнур</t>
        </is>
      </c>
      <c r="J1010" s="3" t="inlineStr">
        <is>
          <t>2026SS</t>
        </is>
      </c>
      <c r="K1010" s="3" t="n">
        <v>1123</v>
      </c>
      <c r="L1010" s="3" t="n">
        <v>86</v>
      </c>
      <c r="M1010" s="3" t="n">
        <v>0</v>
      </c>
      <c r="N1010" s="4">
        <f>IFERROR(L1010/K1010,0)</f>
        <v/>
      </c>
      <c r="O1010" s="4">
        <f>IFERROR(M1010/L1010,0)</f>
        <v/>
      </c>
      <c r="P1010" t="n">
        <v>490</v>
      </c>
      <c r="Q1010" s="5" t="n">
        <v>1</v>
      </c>
      <c r="R1010" s="7" t="n">
        <v>0</v>
      </c>
      <c r="S1010" t="inlineStr">
        <is>
          <t>Мало показов</t>
        </is>
      </c>
      <c r="T1010">
        <f>IF(N1010&lt;$T$1*0.5,"Низшая четверть",IF(N1010&lt;$T$1,"Вторая четверть","Больше половины"))</f>
        <v/>
      </c>
      <c r="U1010">
        <f>IF(O1010&lt;$U$1*0.5,"Низшая четверть",IF(O1010&lt;$U$1,"Вторая четверть","Больше половины"))</f>
        <v/>
      </c>
      <c r="V1010">
        <f>IF(OR(N1010&lt;SUMIFS(L:L,R:R,1,E:E,E1010)/SUMIFS(K:K,R:R,1,E:E,E1010)*0.5,O1010&lt;SUMIFS(M:M,R:R,1,E:E,E1010)/SUMIFS(L:L,R:R,1,E:E,E1010)*0.5),"код для проверки","нормальный код")</f>
        <v/>
      </c>
      <c r="W1010">
        <f>IF(N1010&lt;SUMIFS(L:L,R:R,1,E:E,E1010)/SUMIFS(K:K,R:R,1,E:E,E1010)*0.5,"Низшая четверть",IF(N1010&lt;SUMIFS(L:L,R:R,1,E:E,E1010)/SUMIFS(K:K,R:R,1,E:E,E1010),"Вторая четверть","Больше половины"))</f>
        <v/>
      </c>
      <c r="X1010">
        <f>IF(O1010&lt;SUMIFS(M:M,R:R,1,E:E,E1010)/SUMIFS(L:L,R:R,1,E:E,E1010)*0.5,"Низшая четверть",IF(O1010&lt;SUMIFS(M:M,R:R,1,E:E,E1010)/SUMIFS(L:L,R:R,1,E:E,E1010),"Вторая четверть","Больше половины"))</f>
        <v/>
      </c>
      <c r="Y1010" t="n">
        <v>18</v>
      </c>
    </row>
    <row r="1011">
      <c r="A1011" s="1" t="inlineStr">
        <is>
          <t>53600340</t>
        </is>
      </c>
      <c r="B1011" s="2" t="inlineStr">
        <is>
          <t>879308777</t>
        </is>
      </c>
      <c r="C1011" s="3" t="inlineStr">
        <is>
          <t>Одежда для детей</t>
        </is>
      </c>
      <c r="D1011" s="2" t="inlineStr">
        <is>
          <t>Платья, майки, футболки детские для девочек</t>
        </is>
      </c>
      <c r="E1011" s="3" t="inlineStr">
        <is>
          <t>536 Платье летнее детское</t>
        </is>
      </c>
      <c r="F1011" s="2" t="inlineStr">
        <is>
          <t>лето</t>
        </is>
      </c>
      <c r="G1011" s="3" t="inlineStr">
        <is>
          <t>Kari KIDS</t>
        </is>
      </c>
      <c r="H1011" s="2" t="inlineStr">
        <is>
          <t>Зиннуров Ильнур</t>
        </is>
      </c>
      <c r="J1011" s="3" t="inlineStr">
        <is>
          <t>2026SS</t>
        </is>
      </c>
      <c r="K1011" s="3" t="n">
        <v>1115</v>
      </c>
      <c r="L1011" s="3" t="n">
        <v>52</v>
      </c>
      <c r="M1011" s="3" t="n">
        <v>0</v>
      </c>
      <c r="N1011" s="4">
        <f>IFERROR(L1011/K1011,0)</f>
        <v/>
      </c>
      <c r="O1011" s="4">
        <f>IFERROR(M1011/L1011,0)</f>
        <v/>
      </c>
      <c r="P1011" t="n">
        <v>515</v>
      </c>
      <c r="Q1011" s="5" t="n">
        <v>1</v>
      </c>
      <c r="R1011" s="7" t="n">
        <v>0</v>
      </c>
      <c r="S1011" t="inlineStr">
        <is>
          <t>Мало показов</t>
        </is>
      </c>
      <c r="T1011">
        <f>IF(N1011&lt;$T$1*0.5,"Низшая четверть",IF(N1011&lt;$T$1,"Вторая четверть","Больше половины"))</f>
        <v/>
      </c>
      <c r="U1011">
        <f>IF(O1011&lt;$U$1*0.5,"Низшая четверть",IF(O1011&lt;$U$1,"Вторая четверть","Больше половины"))</f>
        <v/>
      </c>
      <c r="V1011">
        <f>IF(OR(N1011&lt;SUMIFS(L:L,R:R,1,E:E,E1011)/SUMIFS(K:K,R:R,1,E:E,E1011)*0.5,O1011&lt;SUMIFS(M:M,R:R,1,E:E,E1011)/SUMIFS(L:L,R:R,1,E:E,E1011)*0.5),"код для проверки","нормальный код")</f>
        <v/>
      </c>
      <c r="W1011">
        <f>IF(N1011&lt;SUMIFS(L:L,R:R,1,E:E,E1011)/SUMIFS(K:K,R:R,1,E:E,E1011)*0.5,"Низшая четверть",IF(N1011&lt;SUMIFS(L:L,R:R,1,E:E,E1011)/SUMIFS(K:K,R:R,1,E:E,E1011),"Вторая четверть","Больше половины"))</f>
        <v/>
      </c>
      <c r="X1011">
        <f>IF(O1011&lt;SUMIFS(M:M,R:R,1,E:E,E1011)/SUMIFS(L:L,R:R,1,E:E,E1011)*0.5,"Низшая четверть",IF(O1011&lt;SUMIFS(M:M,R:R,1,E:E,E1011)/SUMIFS(L:L,R:R,1,E:E,E1011),"Вторая четверть","Больше половины"))</f>
        <v/>
      </c>
      <c r="Y1011" t="n">
        <v>9</v>
      </c>
    </row>
    <row r="1012">
      <c r="A1012" s="1" t="inlineStr">
        <is>
          <t>a8600020</t>
        </is>
      </c>
      <c r="B1012" s="2" t="inlineStr">
        <is>
          <t>879308866</t>
        </is>
      </c>
      <c r="C1012" s="3" t="inlineStr">
        <is>
          <t>Одежда для детей</t>
        </is>
      </c>
      <c r="D1012" s="2" t="inlineStr">
        <is>
          <t>Свитера детские для девочек</t>
        </is>
      </c>
      <c r="E1012" s="3" t="inlineStr">
        <is>
          <t>a86 Толстовка-бомбер для девочек</t>
        </is>
      </c>
      <c r="F1012" s="2" t="inlineStr">
        <is>
          <t>весна, лето, осень</t>
        </is>
      </c>
      <c r="G1012" s="3" t="inlineStr">
        <is>
          <t>kari</t>
        </is>
      </c>
      <c r="H1012" s="2" t="inlineStr">
        <is>
          <t>Зиннуров Ильнур</t>
        </is>
      </c>
      <c r="J1012" s="3" t="inlineStr">
        <is>
          <t>2026SS</t>
        </is>
      </c>
      <c r="K1012" s="3" t="n">
        <v>1112</v>
      </c>
      <c r="L1012" s="3" t="n">
        <v>58</v>
      </c>
      <c r="M1012" s="3" t="n">
        <v>0</v>
      </c>
      <c r="N1012" s="4">
        <f>IFERROR(L1012/K1012,0)</f>
        <v/>
      </c>
      <c r="O1012" s="4">
        <f>IFERROR(M1012/L1012,0)</f>
        <v/>
      </c>
      <c r="P1012" t="n">
        <v>60</v>
      </c>
      <c r="Q1012" s="5" t="n">
        <v>0.8</v>
      </c>
      <c r="R1012" s="7" t="n">
        <v>0</v>
      </c>
      <c r="S1012" t="inlineStr">
        <is>
          <t>Мало показов</t>
        </is>
      </c>
      <c r="T1012">
        <f>IF(N1012&lt;$T$1*0.5,"Низшая четверть",IF(N1012&lt;$T$1,"Вторая четверть","Больше половины"))</f>
        <v/>
      </c>
      <c r="U1012">
        <f>IF(O1012&lt;$U$1*0.5,"Низшая четверть",IF(O1012&lt;$U$1,"Вторая четверть","Больше половины"))</f>
        <v/>
      </c>
      <c r="V1012">
        <f>IF(OR(N1012&lt;SUMIFS(L:L,R:R,1,E:E,E1012)/SUMIFS(K:K,R:R,1,E:E,E1012)*0.5,O1012&lt;SUMIFS(M:M,R:R,1,E:E,E1012)/SUMIFS(L:L,R:R,1,E:E,E1012)*0.5),"код для проверки","нормальный код")</f>
        <v/>
      </c>
      <c r="W1012">
        <f>IF(N1012&lt;SUMIFS(L:L,R:R,1,E:E,E1012)/SUMIFS(K:K,R:R,1,E:E,E1012)*0.5,"Низшая четверть",IF(N1012&lt;SUMIFS(L:L,R:R,1,E:E,E1012)/SUMIFS(K:K,R:R,1,E:E,E1012),"Вторая четверть","Больше половины"))</f>
        <v/>
      </c>
      <c r="X1012">
        <f>IF(O1012&lt;SUMIFS(M:M,R:R,1,E:E,E1012)/SUMIFS(L:L,R:R,1,E:E,E1012)*0.5,"Низшая четверть",IF(O1012&lt;SUMIFS(M:M,R:R,1,E:E,E1012)/SUMIFS(L:L,R:R,1,E:E,E1012),"Вторая четверть","Больше половины"))</f>
        <v/>
      </c>
      <c r="Y1012" t="n">
        <v>15</v>
      </c>
    </row>
    <row r="1013">
      <c r="A1013" s="1" t="inlineStr">
        <is>
          <t>b5000020</t>
        </is>
      </c>
      <c r="B1013" s="2" t="inlineStr">
        <is>
          <t>932503528</t>
        </is>
      </c>
      <c r="C1013" s="3" t="inlineStr">
        <is>
          <t>Одежда и аксессуары</t>
        </is>
      </c>
      <c r="D1013" s="2" t="inlineStr">
        <is>
          <t>Майки и платья женские</t>
        </is>
      </c>
      <c r="E1013" s="3" t="inlineStr">
        <is>
          <t>b50 Футболка женская для активного отдыха</t>
        </is>
      </c>
      <c r="F1013" s="2" t="inlineStr">
        <is>
          <t>всесезонный</t>
        </is>
      </c>
      <c r="G1013" s="3" t="inlineStr">
        <is>
          <t>kari</t>
        </is>
      </c>
      <c r="H1013" s="2" t="inlineStr">
        <is>
          <t>Зиннуров Ильнур</t>
        </is>
      </c>
      <c r="J1013" s="3" t="inlineStr">
        <is>
          <t>2026SS</t>
        </is>
      </c>
      <c r="K1013" s="3" t="n">
        <v>1108</v>
      </c>
      <c r="L1013" s="3" t="n">
        <v>32</v>
      </c>
      <c r="M1013" s="3" t="n">
        <v>0</v>
      </c>
      <c r="N1013" s="4">
        <f>IFERROR(L1013/K1013,0)</f>
        <v/>
      </c>
      <c r="O1013" s="4">
        <f>IFERROR(M1013/L1013,0)</f>
        <v/>
      </c>
      <c r="P1013" t="n">
        <v>180</v>
      </c>
      <c r="Q1013" s="5" t="n">
        <v>0.5</v>
      </c>
      <c r="R1013" s="7" t="n">
        <v>0</v>
      </c>
      <c r="S1013" t="inlineStr">
        <is>
          <t>Мало показов</t>
        </is>
      </c>
      <c r="T1013">
        <f>IF(N1013&lt;$T$1*0.5,"Низшая четверть",IF(N1013&lt;$T$1,"Вторая четверть","Больше половины"))</f>
        <v/>
      </c>
      <c r="U1013">
        <f>IF(O1013&lt;$U$1*0.5,"Низшая четверть",IF(O1013&lt;$U$1,"Вторая четверть","Больше половины"))</f>
        <v/>
      </c>
      <c r="V1013">
        <f>IF(OR(N1013&lt;SUMIFS(L:L,R:R,1,E:E,E1013)/SUMIFS(K:K,R:R,1,E:E,E1013)*0.5,O1013&lt;SUMIFS(M:M,R:R,1,E:E,E1013)/SUMIFS(L:L,R:R,1,E:E,E1013)*0.5),"код для проверки","нормальный код")</f>
        <v/>
      </c>
      <c r="W1013">
        <f>IF(N1013&lt;SUMIFS(L:L,R:R,1,E:E,E1013)/SUMIFS(K:K,R:R,1,E:E,E1013)*0.5,"Низшая четверть",IF(N1013&lt;SUMIFS(L:L,R:R,1,E:E,E1013)/SUMIFS(K:K,R:R,1,E:E,E1013),"Вторая четверть","Больше половины"))</f>
        <v/>
      </c>
      <c r="X1013">
        <f>IF(O1013&lt;SUMIFS(M:M,R:R,1,E:E,E1013)/SUMIFS(L:L,R:R,1,E:E,E1013)*0.5,"Низшая четверть",IF(O1013&lt;SUMIFS(M:M,R:R,1,E:E,E1013)/SUMIFS(L:L,R:R,1,E:E,E1013),"Вторая четверть","Больше половины"))</f>
        <v/>
      </c>
      <c r="Y1013" t="n">
        <v>15</v>
      </c>
    </row>
    <row r="1014">
      <c r="A1014" s="1" t="inlineStr">
        <is>
          <t>93900400</t>
        </is>
      </c>
      <c r="B1014" s="2" t="inlineStr">
        <is>
          <t>839629783</t>
        </is>
      </c>
      <c r="C1014" s="3" t="inlineStr">
        <is>
          <t>Одежда для детей</t>
        </is>
      </c>
      <c r="D1014" s="2" t="inlineStr">
        <is>
          <t>Одежда для новорожденных</t>
        </is>
      </c>
      <c r="E1014" s="3" t="inlineStr">
        <is>
          <t>939 Футболка для маленькой девочки</t>
        </is>
      </c>
      <c r="F1014" s="2" t="inlineStr">
        <is>
          <t>всесезонный</t>
        </is>
      </c>
      <c r="G1014" s="3" t="inlineStr">
        <is>
          <t>Kari baby</t>
        </is>
      </c>
      <c r="H1014" s="2" t="inlineStr">
        <is>
          <t>Зиннуров Ильнур</t>
        </is>
      </c>
      <c r="J1014" s="3" t="inlineStr">
        <is>
          <t>2026SS</t>
        </is>
      </c>
      <c r="K1014" s="3" t="n">
        <v>1108</v>
      </c>
      <c r="L1014" s="3" t="n">
        <v>1040</v>
      </c>
      <c r="M1014" s="3" t="n">
        <v>30</v>
      </c>
      <c r="N1014" s="4">
        <f>IFERROR(L1014/K1014,0)</f>
        <v/>
      </c>
      <c r="O1014" s="4">
        <f>IFERROR(M1014/L1014,0)</f>
        <v/>
      </c>
      <c r="P1014" t="n">
        <v>231</v>
      </c>
      <c r="Q1014" s="5" t="n">
        <v>1</v>
      </c>
      <c r="R1014" s="7" t="n">
        <v>0</v>
      </c>
      <c r="S1014" t="inlineStr">
        <is>
          <t>Мало показов</t>
        </is>
      </c>
      <c r="T1014">
        <f>IF(N1014&lt;$T$1*0.5,"Низшая четверть",IF(N1014&lt;$T$1,"Вторая четверть","Больше половины"))</f>
        <v/>
      </c>
      <c r="U1014">
        <f>IF(O1014&lt;$U$1*0.5,"Низшая четверть",IF(O1014&lt;$U$1,"Вторая четверть","Больше половины"))</f>
        <v/>
      </c>
      <c r="V1014">
        <f>IF(OR(N1014&lt;SUMIFS(L:L,R:R,1,E:E,E1014)/SUMIFS(K:K,R:R,1,E:E,E1014)*0.5,O1014&lt;SUMIFS(M:M,R:R,1,E:E,E1014)/SUMIFS(L:L,R:R,1,E:E,E1014)*0.5),"код для проверки","нормальный код")</f>
        <v/>
      </c>
      <c r="W1014">
        <f>IF(N1014&lt;SUMIFS(L:L,R:R,1,E:E,E1014)/SUMIFS(K:K,R:R,1,E:E,E1014)*0.5,"Низшая четверть",IF(N1014&lt;SUMIFS(L:L,R:R,1,E:E,E1014)/SUMIFS(K:K,R:R,1,E:E,E1014),"Вторая четверть","Больше половины"))</f>
        <v/>
      </c>
      <c r="X1014">
        <f>IF(O1014&lt;SUMIFS(M:M,R:R,1,E:E,E1014)/SUMIFS(L:L,R:R,1,E:E,E1014)*0.5,"Низшая четверть",IF(O1014&lt;SUMIFS(M:M,R:R,1,E:E,E1014)/SUMIFS(L:L,R:R,1,E:E,E1014),"Вторая четверть","Больше половины"))</f>
        <v/>
      </c>
      <c r="Y1014" t="n">
        <v>5</v>
      </c>
    </row>
    <row r="1015">
      <c r="A1015" s="1" t="inlineStr">
        <is>
          <t>b5000040</t>
        </is>
      </c>
      <c r="B1015" s="2" t="inlineStr">
        <is>
          <t>932503529</t>
        </is>
      </c>
      <c r="C1015" s="3" t="inlineStr">
        <is>
          <t>Одежда и аксессуары</t>
        </is>
      </c>
      <c r="D1015" s="2" t="inlineStr">
        <is>
          <t>Майки и платья женские</t>
        </is>
      </c>
      <c r="E1015" s="3" t="inlineStr">
        <is>
          <t>b50 Футболка женская для активного отдыха</t>
        </is>
      </c>
      <c r="F1015" s="2" t="inlineStr">
        <is>
          <t>всесезонный</t>
        </is>
      </c>
      <c r="G1015" s="3" t="inlineStr">
        <is>
          <t>kari</t>
        </is>
      </c>
      <c r="H1015" s="2" t="inlineStr">
        <is>
          <t>Зиннуров Ильнур</t>
        </is>
      </c>
      <c r="J1015" s="3" t="inlineStr">
        <is>
          <t>2026SS</t>
        </is>
      </c>
      <c r="K1015" s="3" t="n">
        <v>1105</v>
      </c>
      <c r="L1015" s="3" t="n">
        <v>34</v>
      </c>
      <c r="M1015" s="3" t="n">
        <v>0</v>
      </c>
      <c r="N1015" s="4">
        <f>IFERROR(L1015/K1015,0)</f>
        <v/>
      </c>
      <c r="O1015" s="4">
        <f>IFERROR(M1015/L1015,0)</f>
        <v/>
      </c>
      <c r="P1015" t="n">
        <v>180</v>
      </c>
      <c r="Q1015" s="5" t="n">
        <v>0.5</v>
      </c>
      <c r="R1015" s="7" t="n">
        <v>0</v>
      </c>
      <c r="S1015" t="inlineStr">
        <is>
          <t>Мало показов</t>
        </is>
      </c>
      <c r="T1015">
        <f>IF(N1015&lt;$T$1*0.5,"Низшая четверть",IF(N1015&lt;$T$1,"Вторая четверть","Больше половины"))</f>
        <v/>
      </c>
      <c r="U1015">
        <f>IF(O1015&lt;$U$1*0.5,"Низшая четверть",IF(O1015&lt;$U$1,"Вторая четверть","Больше половины"))</f>
        <v/>
      </c>
      <c r="V1015">
        <f>IF(OR(N1015&lt;SUMIFS(L:L,R:R,1,E:E,E1015)/SUMIFS(K:K,R:R,1,E:E,E1015)*0.5,O1015&lt;SUMIFS(M:M,R:R,1,E:E,E1015)/SUMIFS(L:L,R:R,1,E:E,E1015)*0.5),"код для проверки","нормальный код")</f>
        <v/>
      </c>
      <c r="W1015">
        <f>IF(N1015&lt;SUMIFS(L:L,R:R,1,E:E,E1015)/SUMIFS(K:K,R:R,1,E:E,E1015)*0.5,"Низшая четверть",IF(N1015&lt;SUMIFS(L:L,R:R,1,E:E,E1015)/SUMIFS(K:K,R:R,1,E:E,E1015),"Вторая четверть","Больше половины"))</f>
        <v/>
      </c>
      <c r="X1015">
        <f>IF(O1015&lt;SUMIFS(M:M,R:R,1,E:E,E1015)/SUMIFS(L:L,R:R,1,E:E,E1015)*0.5,"Низшая четверть",IF(O1015&lt;SUMIFS(M:M,R:R,1,E:E,E1015)/SUMIFS(L:L,R:R,1,E:E,E1015),"Вторая четверть","Больше половины"))</f>
        <v/>
      </c>
      <c r="Y1015" t="n">
        <v>18</v>
      </c>
    </row>
    <row r="1016">
      <c r="A1016" s="1" t="inlineStr">
        <is>
          <t>310003W0</t>
        </is>
      </c>
      <c r="B1016" s="2" t="inlineStr">
        <is>
          <t>861413699</t>
        </is>
      </c>
      <c r="C1016" s="3" t="inlineStr">
        <is>
          <t>Одежда для детей</t>
        </is>
      </c>
      <c r="D1016" s="2" t="inlineStr">
        <is>
          <t>Футболки, майки, рубашки детские для мальчиков</t>
        </is>
      </c>
      <c r="E1016" s="3" t="inlineStr">
        <is>
          <t>310 Футболка детская для мальчиков</t>
        </is>
      </c>
      <c r="F1016" s="2" t="inlineStr">
        <is>
          <t>всесезонный</t>
        </is>
      </c>
      <c r="G1016" s="3" t="inlineStr">
        <is>
          <t>kari</t>
        </is>
      </c>
      <c r="H1016" s="2" t="inlineStr">
        <is>
          <t>Зиннуров Ильнур</t>
        </is>
      </c>
      <c r="J1016" s="3" t="inlineStr">
        <is>
          <t>2026SS</t>
        </is>
      </c>
      <c r="K1016" s="3" t="n">
        <v>1100</v>
      </c>
      <c r="L1016" s="3" t="n">
        <v>49</v>
      </c>
      <c r="M1016" s="3" t="n">
        <v>4</v>
      </c>
      <c r="N1016" s="4">
        <f>IFERROR(L1016/K1016,0)</f>
        <v/>
      </c>
      <c r="O1016" s="4">
        <f>IFERROR(M1016/L1016,0)</f>
        <v/>
      </c>
      <c r="P1016" t="n">
        <v>553</v>
      </c>
      <c r="Q1016" s="5" t="n">
        <v>1</v>
      </c>
      <c r="R1016" s="7" t="n">
        <v>0</v>
      </c>
      <c r="S1016" t="inlineStr">
        <is>
          <t>Мало показов</t>
        </is>
      </c>
      <c r="T1016">
        <f>IF(N1016&lt;$T$1*0.5,"Низшая четверть",IF(N1016&lt;$T$1,"Вторая четверть","Больше половины"))</f>
        <v/>
      </c>
      <c r="U1016">
        <f>IF(O1016&lt;$U$1*0.5,"Низшая четверть",IF(O1016&lt;$U$1,"Вторая четверть","Больше половины"))</f>
        <v/>
      </c>
      <c r="V1016">
        <f>IF(OR(N1016&lt;SUMIFS(L:L,R:R,1,E:E,E1016)/SUMIFS(K:K,R:R,1,E:E,E1016)*0.5,O1016&lt;SUMIFS(M:M,R:R,1,E:E,E1016)/SUMIFS(L:L,R:R,1,E:E,E1016)*0.5),"код для проверки","нормальный код")</f>
        <v/>
      </c>
      <c r="W1016">
        <f>IF(N1016&lt;SUMIFS(L:L,R:R,1,E:E,E1016)/SUMIFS(K:K,R:R,1,E:E,E1016)*0.5,"Низшая четверть",IF(N1016&lt;SUMIFS(L:L,R:R,1,E:E,E1016)/SUMIFS(K:K,R:R,1,E:E,E1016),"Вторая четверть","Больше половины"))</f>
        <v/>
      </c>
      <c r="X1016">
        <f>IF(O1016&lt;SUMIFS(M:M,R:R,1,E:E,E1016)/SUMIFS(L:L,R:R,1,E:E,E1016)*0.5,"Низшая четверть",IF(O1016&lt;SUMIFS(M:M,R:R,1,E:E,E1016)/SUMIFS(L:L,R:R,1,E:E,E1016),"Вторая четверть","Больше половины"))</f>
        <v/>
      </c>
      <c r="Y1016" t="n">
        <v>21</v>
      </c>
    </row>
    <row r="1017">
      <c r="A1017" s="1" t="inlineStr">
        <is>
          <t>b5000070</t>
        </is>
      </c>
      <c r="B1017" s="2" t="inlineStr">
        <is>
          <t>932503647</t>
        </is>
      </c>
      <c r="C1017" s="3" t="inlineStr">
        <is>
          <t>Одежда и аксессуары</t>
        </is>
      </c>
      <c r="D1017" s="2" t="inlineStr">
        <is>
          <t>Майки и платья женские</t>
        </is>
      </c>
      <c r="E1017" s="3" t="inlineStr">
        <is>
          <t>b50 Футболка женская для активного отдыха</t>
        </is>
      </c>
      <c r="F1017" s="2" t="inlineStr">
        <is>
          <t>всесезонный</t>
        </is>
      </c>
      <c r="G1017" s="3" t="inlineStr">
        <is>
          <t>kari</t>
        </is>
      </c>
      <c r="H1017" s="2" t="inlineStr">
        <is>
          <t>Зиннуров Ильнур</t>
        </is>
      </c>
      <c r="J1017" s="3" t="inlineStr">
        <is>
          <t>2026SS</t>
        </is>
      </c>
      <c r="K1017" s="3" t="n">
        <v>1095</v>
      </c>
      <c r="L1017" s="3" t="n">
        <v>27</v>
      </c>
      <c r="M1017" s="3" t="n">
        <v>0</v>
      </c>
      <c r="N1017" s="4">
        <f>IFERROR(L1017/K1017,0)</f>
        <v/>
      </c>
      <c r="O1017" s="4">
        <f>IFERROR(M1017/L1017,0)</f>
        <v/>
      </c>
      <c r="P1017" t="n">
        <v>148</v>
      </c>
      <c r="Q1017" s="5" t="n">
        <v>0.75</v>
      </c>
      <c r="R1017" s="7" t="n">
        <v>0</v>
      </c>
      <c r="S1017" t="inlineStr">
        <is>
          <t>Мало показов</t>
        </is>
      </c>
      <c r="T1017">
        <f>IF(N1017&lt;$T$1*0.5,"Низшая четверть",IF(N1017&lt;$T$1,"Вторая четверть","Больше половины"))</f>
        <v/>
      </c>
      <c r="U1017">
        <f>IF(O1017&lt;$U$1*0.5,"Низшая четверть",IF(O1017&lt;$U$1,"Вторая четверть","Больше половины"))</f>
        <v/>
      </c>
      <c r="V1017">
        <f>IF(OR(N1017&lt;SUMIFS(L:L,R:R,1,E:E,E1017)/SUMIFS(K:K,R:R,1,E:E,E1017)*0.5,O1017&lt;SUMIFS(M:M,R:R,1,E:E,E1017)/SUMIFS(L:L,R:R,1,E:E,E1017)*0.5),"код для проверки","нормальный код")</f>
        <v/>
      </c>
      <c r="W1017">
        <f>IF(N1017&lt;SUMIFS(L:L,R:R,1,E:E,E1017)/SUMIFS(K:K,R:R,1,E:E,E1017)*0.5,"Низшая четверть",IF(N1017&lt;SUMIFS(L:L,R:R,1,E:E,E1017)/SUMIFS(K:K,R:R,1,E:E,E1017),"Вторая четверть","Больше половины"))</f>
        <v/>
      </c>
      <c r="X1017">
        <f>IF(O1017&lt;SUMIFS(M:M,R:R,1,E:E,E1017)/SUMIFS(L:L,R:R,1,E:E,E1017)*0.5,"Низшая четверть",IF(O1017&lt;SUMIFS(M:M,R:R,1,E:E,E1017)/SUMIFS(L:L,R:R,1,E:E,E1017),"Вторая четверть","Больше половины"))</f>
        <v/>
      </c>
      <c r="Y1017" t="n">
        <v>18</v>
      </c>
    </row>
    <row r="1018">
      <c r="A1018" s="1" t="inlineStr">
        <is>
          <t>b5000080</t>
        </is>
      </c>
      <c r="B1018" s="2" t="inlineStr">
        <is>
          <t>932503552</t>
        </is>
      </c>
      <c r="C1018" s="3" t="inlineStr">
        <is>
          <t>Одежда и аксессуары</t>
        </is>
      </c>
      <c r="D1018" s="2" t="inlineStr">
        <is>
          <t>Майки и платья женские</t>
        </is>
      </c>
      <c r="E1018" s="3" t="inlineStr">
        <is>
          <t>b50 Футболка женская для активного отдыха</t>
        </is>
      </c>
      <c r="F1018" s="2" t="inlineStr">
        <is>
          <t>всесезонный</t>
        </is>
      </c>
      <c r="G1018" s="3" t="inlineStr">
        <is>
          <t>kari</t>
        </is>
      </c>
      <c r="H1018" s="2" t="inlineStr">
        <is>
          <t>Зиннуров Ильнур</t>
        </is>
      </c>
      <c r="J1018" s="3" t="inlineStr">
        <is>
          <t>2026SS</t>
        </is>
      </c>
      <c r="K1018" s="3" t="n">
        <v>1095</v>
      </c>
      <c r="L1018" s="3" t="n">
        <v>18</v>
      </c>
      <c r="M1018" s="3" t="n">
        <v>0</v>
      </c>
      <c r="N1018" s="4">
        <f>IFERROR(L1018/K1018,0)</f>
        <v/>
      </c>
      <c r="O1018" s="4">
        <f>IFERROR(M1018/L1018,0)</f>
        <v/>
      </c>
      <c r="P1018" t="n">
        <v>149</v>
      </c>
      <c r="Q1018" s="5" t="n">
        <v>0.75</v>
      </c>
      <c r="R1018" s="7" t="n">
        <v>0</v>
      </c>
      <c r="S1018" t="inlineStr">
        <is>
          <t>Мало показов</t>
        </is>
      </c>
      <c r="T1018">
        <f>IF(N1018&lt;$T$1*0.5,"Низшая четверть",IF(N1018&lt;$T$1,"Вторая четверть","Больше половины"))</f>
        <v/>
      </c>
      <c r="U1018">
        <f>IF(O1018&lt;$U$1*0.5,"Низшая четверть",IF(O1018&lt;$U$1,"Вторая четверть","Больше половины"))</f>
        <v/>
      </c>
      <c r="V1018">
        <f>IF(OR(N1018&lt;SUMIFS(L:L,R:R,1,E:E,E1018)/SUMIFS(K:K,R:R,1,E:E,E1018)*0.5,O1018&lt;SUMIFS(M:M,R:R,1,E:E,E1018)/SUMIFS(L:L,R:R,1,E:E,E1018)*0.5),"код для проверки","нормальный код")</f>
        <v/>
      </c>
      <c r="W1018">
        <f>IF(N1018&lt;SUMIFS(L:L,R:R,1,E:E,E1018)/SUMIFS(K:K,R:R,1,E:E,E1018)*0.5,"Низшая четверть",IF(N1018&lt;SUMIFS(L:L,R:R,1,E:E,E1018)/SUMIFS(K:K,R:R,1,E:E,E1018),"Вторая четверть","Больше половины"))</f>
        <v/>
      </c>
      <c r="X1018">
        <f>IF(O1018&lt;SUMIFS(M:M,R:R,1,E:E,E1018)/SUMIFS(L:L,R:R,1,E:E,E1018)*0.5,"Низшая четверть",IF(O1018&lt;SUMIFS(M:M,R:R,1,E:E,E1018)/SUMIFS(L:L,R:R,1,E:E,E1018),"Вторая четверть","Больше половины"))</f>
        <v/>
      </c>
      <c r="Y1018" t="n">
        <v>17</v>
      </c>
    </row>
    <row r="1019">
      <c r="A1019" s="1" t="inlineStr">
        <is>
          <t>96700070</t>
        </is>
      </c>
      <c r="B1019" s="2" t="inlineStr">
        <is>
          <t>879308729</t>
        </is>
      </c>
      <c r="C1019" s="3" t="inlineStr">
        <is>
          <t>Одежда для детей</t>
        </is>
      </c>
      <c r="D1019" s="2" t="inlineStr">
        <is>
          <t>Верхняя детская одежда для девочек</t>
        </is>
      </c>
      <c r="E1019" s="3" t="inlineStr">
        <is>
          <t>967 Куртка джинсовая для девочки</t>
        </is>
      </c>
      <c r="F1019" s="2" t="inlineStr">
        <is>
          <t>весна, лето, осень</t>
        </is>
      </c>
      <c r="G1019" s="3" t="inlineStr">
        <is>
          <t>kari</t>
        </is>
      </c>
      <c r="H1019" s="2" t="inlineStr">
        <is>
          <t>Зиннуров Ильнур</t>
        </is>
      </c>
      <c r="J1019" s="3" t="inlineStr">
        <is>
          <t>2026SS</t>
        </is>
      </c>
      <c r="K1019" s="3" t="n">
        <v>1092</v>
      </c>
      <c r="L1019" s="3" t="n">
        <v>35</v>
      </c>
      <c r="M1019" s="3" t="n">
        <v>1</v>
      </c>
      <c r="N1019" s="4">
        <f>IFERROR(L1019/K1019,0)</f>
        <v/>
      </c>
      <c r="O1019" s="4">
        <f>IFERROR(M1019/L1019,0)</f>
        <v/>
      </c>
      <c r="P1019" t="n">
        <v>719</v>
      </c>
      <c r="Q1019" s="5" t="n">
        <v>1</v>
      </c>
      <c r="R1019" s="7" t="n">
        <v>0</v>
      </c>
      <c r="S1019" t="inlineStr">
        <is>
          <t>Мало показов</t>
        </is>
      </c>
      <c r="T1019">
        <f>IF(N1019&lt;$T$1*0.5,"Низшая четверть",IF(N1019&lt;$T$1,"Вторая четверть","Больше половины"))</f>
        <v/>
      </c>
      <c r="U1019">
        <f>IF(O1019&lt;$U$1*0.5,"Низшая четверть",IF(O1019&lt;$U$1,"Вторая четверть","Больше половины"))</f>
        <v/>
      </c>
      <c r="V1019">
        <f>IF(OR(N1019&lt;SUMIFS(L:L,R:R,1,E:E,E1019)/SUMIFS(K:K,R:R,1,E:E,E1019)*0.5,O1019&lt;SUMIFS(M:M,R:R,1,E:E,E1019)/SUMIFS(L:L,R:R,1,E:E,E1019)*0.5),"код для проверки","нормальный код")</f>
        <v/>
      </c>
      <c r="W1019">
        <f>IF(N1019&lt;SUMIFS(L:L,R:R,1,E:E,E1019)/SUMIFS(K:K,R:R,1,E:E,E1019)*0.5,"Низшая четверть",IF(N1019&lt;SUMIFS(L:L,R:R,1,E:E,E1019)/SUMIFS(K:K,R:R,1,E:E,E1019),"Вторая четверть","Больше половины"))</f>
        <v/>
      </c>
      <c r="X1019">
        <f>IF(O1019&lt;SUMIFS(M:M,R:R,1,E:E,E1019)/SUMIFS(L:L,R:R,1,E:E,E1019)*0.5,"Низшая четверть",IF(O1019&lt;SUMIFS(M:M,R:R,1,E:E,E1019)/SUMIFS(L:L,R:R,1,E:E,E1019),"Вторая четверть","Больше половины"))</f>
        <v/>
      </c>
      <c r="Y1019" t="n">
        <v>24</v>
      </c>
    </row>
    <row r="1020">
      <c r="A1020" s="1" t="inlineStr">
        <is>
          <t>b5000060</t>
        </is>
      </c>
      <c r="B1020" s="2" t="inlineStr">
        <is>
          <t>932503486</t>
        </is>
      </c>
      <c r="C1020" s="3" t="inlineStr">
        <is>
          <t>Одежда и аксессуары</t>
        </is>
      </c>
      <c r="D1020" s="2" t="inlineStr">
        <is>
          <t>Майки и платья женские</t>
        </is>
      </c>
      <c r="E1020" s="3" t="inlineStr">
        <is>
          <t>b50 Футболка женская для активного отдыха</t>
        </is>
      </c>
      <c r="F1020" s="2" t="inlineStr">
        <is>
          <t>всесезонный</t>
        </is>
      </c>
      <c r="G1020" s="3" t="inlineStr">
        <is>
          <t>kari</t>
        </is>
      </c>
      <c r="H1020" s="2" t="inlineStr">
        <is>
          <t>Зиннуров Ильнур</t>
        </is>
      </c>
      <c r="J1020" s="3" t="inlineStr">
        <is>
          <t>2026SS</t>
        </is>
      </c>
      <c r="K1020" s="3" t="n">
        <v>1090</v>
      </c>
      <c r="L1020" s="3" t="n">
        <v>21</v>
      </c>
      <c r="M1020" s="3" t="n">
        <v>0</v>
      </c>
      <c r="N1020" s="4">
        <f>IFERROR(L1020/K1020,0)</f>
        <v/>
      </c>
      <c r="O1020" s="4">
        <f>IFERROR(M1020/L1020,0)</f>
        <v/>
      </c>
      <c r="P1020" t="n">
        <v>241</v>
      </c>
      <c r="Q1020" s="5" t="n">
        <v>0.75</v>
      </c>
      <c r="R1020" s="7" t="n">
        <v>0</v>
      </c>
      <c r="S1020" t="inlineStr">
        <is>
          <t>Мало показов</t>
        </is>
      </c>
      <c r="T1020">
        <f>IF(N1020&lt;$T$1*0.5,"Низшая четверть",IF(N1020&lt;$T$1,"Вторая четверть","Больше половины"))</f>
        <v/>
      </c>
      <c r="U1020">
        <f>IF(O1020&lt;$U$1*0.5,"Низшая четверть",IF(O1020&lt;$U$1,"Вторая четверть","Больше половины"))</f>
        <v/>
      </c>
      <c r="V1020">
        <f>IF(OR(N1020&lt;SUMIFS(L:L,R:R,1,E:E,E1020)/SUMIFS(K:K,R:R,1,E:E,E1020)*0.5,O1020&lt;SUMIFS(M:M,R:R,1,E:E,E1020)/SUMIFS(L:L,R:R,1,E:E,E1020)*0.5),"код для проверки","нормальный код")</f>
        <v/>
      </c>
      <c r="W1020">
        <f>IF(N1020&lt;SUMIFS(L:L,R:R,1,E:E,E1020)/SUMIFS(K:K,R:R,1,E:E,E1020)*0.5,"Низшая четверть",IF(N1020&lt;SUMIFS(L:L,R:R,1,E:E,E1020)/SUMIFS(K:K,R:R,1,E:E,E1020),"Вторая четверть","Больше половины"))</f>
        <v/>
      </c>
      <c r="X1020">
        <f>IF(O1020&lt;SUMIFS(M:M,R:R,1,E:E,E1020)/SUMIFS(L:L,R:R,1,E:E,E1020)*0.5,"Низшая четверть",IF(O1020&lt;SUMIFS(M:M,R:R,1,E:E,E1020)/SUMIFS(L:L,R:R,1,E:E,E1020),"Вторая четверть","Больше половины"))</f>
        <v/>
      </c>
      <c r="Y1020" t="n">
        <v>17</v>
      </c>
    </row>
    <row r="1021">
      <c r="A1021" s="1" t="inlineStr">
        <is>
          <t>19300480</t>
        </is>
      </c>
      <c r="B1021" s="2" t="inlineStr">
        <is>
          <t>837332307</t>
        </is>
      </c>
      <c r="C1021" s="3" t="inlineStr">
        <is>
          <t>Одежда для детей</t>
        </is>
      </c>
      <c r="D1021" s="2" t="inlineStr">
        <is>
          <t>Брюки детские для мальчиков</t>
        </is>
      </c>
      <c r="E1021" s="3" t="inlineStr">
        <is>
          <t>193 Шорты детские для мальчиков</t>
        </is>
      </c>
      <c r="F1021" s="2" t="inlineStr">
        <is>
          <t>лето</t>
        </is>
      </c>
      <c r="G1021" s="3" t="inlineStr">
        <is>
          <t>Kari KIDS</t>
        </is>
      </c>
      <c r="H1021" s="2" t="inlineStr">
        <is>
          <t>Зиннуров Ильнур</t>
        </is>
      </c>
      <c r="J1021" s="3" t="inlineStr">
        <is>
          <t>2026SS</t>
        </is>
      </c>
      <c r="K1021" s="3" t="n">
        <v>1088</v>
      </c>
      <c r="L1021" s="3" t="n">
        <v>192</v>
      </c>
      <c r="M1021" s="3" t="n">
        <v>1</v>
      </c>
      <c r="N1021" s="4">
        <f>IFERROR(L1021/K1021,0)</f>
        <v/>
      </c>
      <c r="O1021" s="4">
        <f>IFERROR(M1021/L1021,0)</f>
        <v/>
      </c>
      <c r="P1021" t="n">
        <v>399</v>
      </c>
      <c r="Q1021" s="5" t="n">
        <v>1</v>
      </c>
      <c r="R1021" s="7" t="n">
        <v>0</v>
      </c>
      <c r="S1021" t="inlineStr">
        <is>
          <t>Мало показов</t>
        </is>
      </c>
      <c r="T1021">
        <f>IF(N1021&lt;$T$1*0.5,"Низшая четверть",IF(N1021&lt;$T$1,"Вторая четверть","Больше половины"))</f>
        <v/>
      </c>
      <c r="U1021">
        <f>IF(O1021&lt;$U$1*0.5,"Низшая четверть",IF(O1021&lt;$U$1,"Вторая четверть","Больше половины"))</f>
        <v/>
      </c>
      <c r="V1021">
        <f>IF(OR(N1021&lt;SUMIFS(L:L,R:R,1,E:E,E1021)/SUMIFS(K:K,R:R,1,E:E,E1021)*0.5,O1021&lt;SUMIFS(M:M,R:R,1,E:E,E1021)/SUMIFS(L:L,R:R,1,E:E,E1021)*0.5),"код для проверки","нормальный код")</f>
        <v/>
      </c>
      <c r="W1021">
        <f>IF(N1021&lt;SUMIFS(L:L,R:R,1,E:E,E1021)/SUMIFS(K:K,R:R,1,E:E,E1021)*0.5,"Низшая четверть",IF(N1021&lt;SUMIFS(L:L,R:R,1,E:E,E1021)/SUMIFS(K:K,R:R,1,E:E,E1021),"Вторая четверть","Больше половины"))</f>
        <v/>
      </c>
      <c r="X1021">
        <f>IF(O1021&lt;SUMIFS(M:M,R:R,1,E:E,E1021)/SUMIFS(L:L,R:R,1,E:E,E1021)*0.5,"Низшая четверть",IF(O1021&lt;SUMIFS(M:M,R:R,1,E:E,E1021)/SUMIFS(L:L,R:R,1,E:E,E1021),"Вторая четверть","Больше половины"))</f>
        <v/>
      </c>
      <c r="Y1021" t="n">
        <v>9</v>
      </c>
    </row>
    <row r="1022">
      <c r="A1022" s="1" t="inlineStr">
        <is>
          <t>a8900130</t>
        </is>
      </c>
      <c r="B1022" s="2" t="inlineStr">
        <is>
          <t>762346842</t>
        </is>
      </c>
      <c r="C1022" s="3" t="inlineStr">
        <is>
          <t>Одежда для детей</t>
        </is>
      </c>
      <c r="D1022" s="2" t="inlineStr">
        <is>
          <t>Свитера детские для девочек</t>
        </is>
      </c>
      <c r="E1022" s="3" t="inlineStr">
        <is>
          <t>a89 Свитшот для девочки</t>
        </is>
      </c>
      <c r="F1022" s="2" t="inlineStr">
        <is>
          <t>весна, лето, осень</t>
        </is>
      </c>
      <c r="G1022" s="3" t="inlineStr">
        <is>
          <t>kari</t>
        </is>
      </c>
      <c r="H1022" s="2" t="inlineStr">
        <is>
          <t>Зиннуров Ильнур</t>
        </is>
      </c>
      <c r="J1022" s="3" t="inlineStr">
        <is>
          <t>2026SS</t>
        </is>
      </c>
      <c r="K1022" s="3" t="n">
        <v>1081</v>
      </c>
      <c r="L1022" s="3" t="n">
        <v>132</v>
      </c>
      <c r="M1022" s="3" t="n">
        <v>5</v>
      </c>
      <c r="N1022" s="4">
        <f>IFERROR(L1022/K1022,0)</f>
        <v/>
      </c>
      <c r="O1022" s="4">
        <f>IFERROR(M1022/L1022,0)</f>
        <v/>
      </c>
      <c r="P1022" t="n">
        <v>550</v>
      </c>
      <c r="Q1022" s="5" t="n">
        <v>1</v>
      </c>
      <c r="R1022" s="7" t="n">
        <v>0</v>
      </c>
      <c r="S1022" t="inlineStr">
        <is>
          <t>Мало показов</t>
        </is>
      </c>
      <c r="T1022">
        <f>IF(N1022&lt;$T$1*0.5,"Низшая четверть",IF(N1022&lt;$T$1,"Вторая четверть","Больше половины"))</f>
        <v/>
      </c>
      <c r="U1022">
        <f>IF(O1022&lt;$U$1*0.5,"Низшая четверть",IF(O1022&lt;$U$1,"Вторая четверть","Больше половины"))</f>
        <v/>
      </c>
      <c r="V1022">
        <f>IF(OR(N1022&lt;SUMIFS(L:L,R:R,1,E:E,E1022)/SUMIFS(K:K,R:R,1,E:E,E1022)*0.5,O1022&lt;SUMIFS(M:M,R:R,1,E:E,E1022)/SUMIFS(L:L,R:R,1,E:E,E1022)*0.5),"код для проверки","нормальный код")</f>
        <v/>
      </c>
      <c r="W1022">
        <f>IF(N1022&lt;SUMIFS(L:L,R:R,1,E:E,E1022)/SUMIFS(K:K,R:R,1,E:E,E1022)*0.5,"Низшая четверть",IF(N1022&lt;SUMIFS(L:L,R:R,1,E:E,E1022)/SUMIFS(K:K,R:R,1,E:E,E1022),"Вторая четверть","Больше половины"))</f>
        <v/>
      </c>
      <c r="X1022">
        <f>IF(O1022&lt;SUMIFS(M:M,R:R,1,E:E,E1022)/SUMIFS(L:L,R:R,1,E:E,E1022)*0.5,"Низшая четверть",IF(O1022&lt;SUMIFS(M:M,R:R,1,E:E,E1022)/SUMIFS(L:L,R:R,1,E:E,E1022),"Вторая четверть","Больше половины"))</f>
        <v/>
      </c>
      <c r="Y1022" t="n">
        <v>20</v>
      </c>
    </row>
    <row r="1023">
      <c r="A1023" s="1" t="inlineStr">
        <is>
          <t>b5000090</t>
        </is>
      </c>
      <c r="B1023" s="2" t="inlineStr">
        <is>
          <t>932503585</t>
        </is>
      </c>
      <c r="C1023" s="3" t="inlineStr">
        <is>
          <t>Одежда и аксессуары</t>
        </is>
      </c>
      <c r="D1023" s="2" t="inlineStr">
        <is>
          <t>Майки и платья женские</t>
        </is>
      </c>
      <c r="E1023" s="3" t="inlineStr">
        <is>
          <t>b50 Футболка женская для активного отдыха</t>
        </is>
      </c>
      <c r="F1023" s="2" t="inlineStr">
        <is>
          <t>всесезонный</t>
        </is>
      </c>
      <c r="G1023" s="3" t="inlineStr">
        <is>
          <t>kari</t>
        </is>
      </c>
      <c r="H1023" s="2" t="inlineStr">
        <is>
          <t>Зиннуров Ильнур</t>
        </is>
      </c>
      <c r="J1023" s="3" t="inlineStr">
        <is>
          <t>2026SS</t>
        </is>
      </c>
      <c r="K1023" s="3" t="n">
        <v>1078</v>
      </c>
      <c r="L1023" s="3" t="n">
        <v>22</v>
      </c>
      <c r="M1023" s="3" t="n">
        <v>0</v>
      </c>
      <c r="N1023" s="4">
        <f>IFERROR(L1023/K1023,0)</f>
        <v/>
      </c>
      <c r="O1023" s="4">
        <f>IFERROR(M1023/L1023,0)</f>
        <v/>
      </c>
      <c r="P1023" t="n">
        <v>210</v>
      </c>
      <c r="Q1023" s="5" t="n">
        <v>0.5</v>
      </c>
      <c r="R1023" s="7" t="n">
        <v>0</v>
      </c>
      <c r="S1023" t="inlineStr">
        <is>
          <t>Мало показов</t>
        </is>
      </c>
      <c r="T1023">
        <f>IF(N1023&lt;$T$1*0.5,"Низшая четверть",IF(N1023&lt;$T$1,"Вторая четверть","Больше половины"))</f>
        <v/>
      </c>
      <c r="U1023">
        <f>IF(O1023&lt;$U$1*0.5,"Низшая четверть",IF(O1023&lt;$U$1,"Вторая четверть","Больше половины"))</f>
        <v/>
      </c>
      <c r="V1023">
        <f>IF(OR(N1023&lt;SUMIFS(L:L,R:R,1,E:E,E1023)/SUMIFS(K:K,R:R,1,E:E,E1023)*0.5,O1023&lt;SUMIFS(M:M,R:R,1,E:E,E1023)/SUMIFS(L:L,R:R,1,E:E,E1023)*0.5),"код для проверки","нормальный код")</f>
        <v/>
      </c>
      <c r="W1023">
        <f>IF(N1023&lt;SUMIFS(L:L,R:R,1,E:E,E1023)/SUMIFS(K:K,R:R,1,E:E,E1023)*0.5,"Низшая четверть",IF(N1023&lt;SUMIFS(L:L,R:R,1,E:E,E1023)/SUMIFS(K:K,R:R,1,E:E,E1023),"Вторая четверть","Больше половины"))</f>
        <v/>
      </c>
      <c r="X1023">
        <f>IF(O1023&lt;SUMIFS(M:M,R:R,1,E:E,E1023)/SUMIFS(L:L,R:R,1,E:E,E1023)*0.5,"Низшая четверть",IF(O1023&lt;SUMIFS(M:M,R:R,1,E:E,E1023)/SUMIFS(L:L,R:R,1,E:E,E1023),"Вторая четверть","Больше половины"))</f>
        <v/>
      </c>
      <c r="Y1023" t="n">
        <v>15</v>
      </c>
    </row>
    <row r="1024">
      <c r="A1024" s="1" t="inlineStr">
        <is>
          <t>98500070</t>
        </is>
      </c>
      <c r="B1024" s="2" t="inlineStr">
        <is>
          <t>804452953</t>
        </is>
      </c>
      <c r="C1024" s="3" t="inlineStr">
        <is>
          <t>Одежда для детей</t>
        </is>
      </c>
      <c r="D1024" s="2" t="inlineStr">
        <is>
          <t>Нижнее белье детское для девочек</t>
        </is>
      </c>
      <c r="E1024" s="3" t="inlineStr">
        <is>
          <t>985 Лифчик подростковый</t>
        </is>
      </c>
      <c r="F1024" s="2" t="inlineStr">
        <is>
          <t>всесезонный</t>
        </is>
      </c>
      <c r="G1024" s="3" t="inlineStr">
        <is>
          <t>kari</t>
        </is>
      </c>
      <c r="H1024" s="2" t="inlineStr">
        <is>
          <t>Зиннуров Ильнур</t>
        </is>
      </c>
      <c r="J1024" s="3" t="inlineStr">
        <is>
          <t>2026SS</t>
        </is>
      </c>
      <c r="K1024" s="3" t="n">
        <v>1078</v>
      </c>
      <c r="L1024" s="3" t="n">
        <v>94</v>
      </c>
      <c r="M1024" s="3" t="n">
        <v>7</v>
      </c>
      <c r="N1024" s="4">
        <f>IFERROR(L1024/K1024,0)</f>
        <v/>
      </c>
      <c r="O1024" s="4">
        <f>IFERROR(M1024/L1024,0)</f>
        <v/>
      </c>
      <c r="P1024" t="n">
        <v>197</v>
      </c>
      <c r="Q1024" s="5" t="n">
        <v>1</v>
      </c>
      <c r="R1024" s="7" t="n">
        <v>0</v>
      </c>
      <c r="S1024" t="inlineStr">
        <is>
          <t>Мало показов</t>
        </is>
      </c>
      <c r="T1024">
        <f>IF(N1024&lt;$T$1*0.5,"Низшая четверть",IF(N1024&lt;$T$1,"Вторая четверть","Больше половины"))</f>
        <v/>
      </c>
      <c r="U1024">
        <f>IF(O1024&lt;$U$1*0.5,"Низшая четверть",IF(O1024&lt;$U$1,"Вторая четверть","Больше половины"))</f>
        <v/>
      </c>
      <c r="V1024">
        <f>IF(OR(N1024&lt;SUMIFS(L:L,R:R,1,E:E,E1024)/SUMIFS(K:K,R:R,1,E:E,E1024)*0.5,O1024&lt;SUMIFS(M:M,R:R,1,E:E,E1024)/SUMIFS(L:L,R:R,1,E:E,E1024)*0.5),"код для проверки","нормальный код")</f>
        <v/>
      </c>
      <c r="W1024">
        <f>IF(N1024&lt;SUMIFS(L:L,R:R,1,E:E,E1024)/SUMIFS(K:K,R:R,1,E:E,E1024)*0.5,"Низшая четверть",IF(N1024&lt;SUMIFS(L:L,R:R,1,E:E,E1024)/SUMIFS(K:K,R:R,1,E:E,E1024),"Вторая четверть","Больше половины"))</f>
        <v/>
      </c>
      <c r="X1024">
        <f>IF(O1024&lt;SUMIFS(M:M,R:R,1,E:E,E1024)/SUMIFS(L:L,R:R,1,E:E,E1024)*0.5,"Низшая четверть",IF(O1024&lt;SUMIFS(M:M,R:R,1,E:E,E1024)/SUMIFS(L:L,R:R,1,E:E,E1024),"Вторая четверть","Больше половины"))</f>
        <v/>
      </c>
      <c r="Y1024" t="n">
        <v>8</v>
      </c>
    </row>
    <row r="1025">
      <c r="A1025" s="1" t="inlineStr">
        <is>
          <t>a5200000</t>
        </is>
      </c>
      <c r="B1025" s="2" t="inlineStr">
        <is>
          <t>785821928</t>
        </is>
      </c>
      <c r="C1025" s="3" t="inlineStr">
        <is>
          <t>Одежда для детей</t>
        </is>
      </c>
      <c r="D1025" s="2" t="inlineStr">
        <is>
          <t>Брюки детские для девочек</t>
        </is>
      </c>
      <c r="E1025" s="3" t="inlineStr">
        <is>
          <t>a52 Брюки летние для девочек</t>
        </is>
      </c>
      <c r="F1025" s="2" t="inlineStr">
        <is>
          <t>весна, лето</t>
        </is>
      </c>
      <c r="G1025" s="3" t="inlineStr">
        <is>
          <t>Kari KIDS</t>
        </is>
      </c>
      <c r="H1025" s="2" t="inlineStr">
        <is>
          <t>Зиннуров Ильнур</t>
        </is>
      </c>
      <c r="J1025" s="3" t="inlineStr">
        <is>
          <t>2026SS</t>
        </is>
      </c>
      <c r="K1025" s="3" t="n">
        <v>1076</v>
      </c>
      <c r="L1025" s="3" t="n">
        <v>28</v>
      </c>
      <c r="M1025" s="3" t="n">
        <v>0</v>
      </c>
      <c r="N1025" s="4">
        <f>IFERROR(L1025/K1025,0)</f>
        <v/>
      </c>
      <c r="O1025" s="4">
        <f>IFERROR(M1025/L1025,0)</f>
        <v/>
      </c>
      <c r="P1025" t="n">
        <v>140</v>
      </c>
      <c r="Q1025" s="5" t="n">
        <v>0.8</v>
      </c>
      <c r="R1025" s="7" t="n">
        <v>0</v>
      </c>
      <c r="S1025" t="inlineStr">
        <is>
          <t>Мало показов</t>
        </is>
      </c>
      <c r="T1025">
        <f>IF(N1025&lt;$T$1*0.5,"Низшая четверть",IF(N1025&lt;$T$1,"Вторая четверть","Больше половины"))</f>
        <v/>
      </c>
      <c r="U1025">
        <f>IF(O1025&lt;$U$1*0.5,"Низшая четверть",IF(O1025&lt;$U$1,"Вторая четверть","Больше половины"))</f>
        <v/>
      </c>
      <c r="V1025">
        <f>IF(OR(N1025&lt;SUMIFS(L:L,R:R,1,E:E,E1025)/SUMIFS(K:K,R:R,1,E:E,E1025)*0.5,O1025&lt;SUMIFS(M:M,R:R,1,E:E,E1025)/SUMIFS(L:L,R:R,1,E:E,E1025)*0.5),"код для проверки","нормальный код")</f>
        <v/>
      </c>
      <c r="W1025">
        <f>IF(N1025&lt;SUMIFS(L:L,R:R,1,E:E,E1025)/SUMIFS(K:K,R:R,1,E:E,E1025)*0.5,"Низшая четверть",IF(N1025&lt;SUMIFS(L:L,R:R,1,E:E,E1025)/SUMIFS(K:K,R:R,1,E:E,E1025),"Вторая четверть","Больше половины"))</f>
        <v/>
      </c>
      <c r="X1025">
        <f>IF(O1025&lt;SUMIFS(M:M,R:R,1,E:E,E1025)/SUMIFS(L:L,R:R,1,E:E,E1025)*0.5,"Низшая четверть",IF(O1025&lt;SUMIFS(M:M,R:R,1,E:E,E1025)/SUMIFS(L:L,R:R,1,E:E,E1025),"Вторая четверть","Больше половины"))</f>
        <v/>
      </c>
      <c r="Y1025" t="n">
        <v>8</v>
      </c>
    </row>
    <row r="1026">
      <c r="A1026" s="1" t="inlineStr">
        <is>
          <t>a6000960</t>
        </is>
      </c>
      <c r="B1026" s="2" t="inlineStr">
        <is>
          <t>847884154</t>
        </is>
      </c>
      <c r="C1026" s="3" t="inlineStr">
        <is>
          <t>Одежда для детей</t>
        </is>
      </c>
      <c r="D1026" s="2" t="inlineStr">
        <is>
          <t>Платья, майки, футболки детские для девочек</t>
        </is>
      </c>
      <c r="E1026" s="3" t="inlineStr">
        <is>
          <t>a60 Футболка детская для девочек</t>
        </is>
      </c>
      <c r="F1026" s="2" t="inlineStr">
        <is>
          <t>всесезонный</t>
        </is>
      </c>
      <c r="G1026" s="3" t="inlineStr">
        <is>
          <t>kari</t>
        </is>
      </c>
      <c r="H1026" s="2" t="inlineStr">
        <is>
          <t>Зиннуров Ильнур</t>
        </is>
      </c>
      <c r="J1026" s="3" t="inlineStr">
        <is>
          <t>2026SS</t>
        </is>
      </c>
      <c r="K1026" s="3" t="n">
        <v>1070</v>
      </c>
      <c r="L1026" s="3" t="n">
        <v>49</v>
      </c>
      <c r="M1026" s="3" t="n">
        <v>0</v>
      </c>
      <c r="N1026" s="4">
        <f>IFERROR(L1026/K1026,0)</f>
        <v/>
      </c>
      <c r="O1026" s="4">
        <f>IFERROR(M1026/L1026,0)</f>
        <v/>
      </c>
      <c r="P1026" t="n">
        <v>599</v>
      </c>
      <c r="Q1026" s="5" t="n">
        <v>1</v>
      </c>
      <c r="R1026" s="7" t="n">
        <v>0</v>
      </c>
      <c r="S1026" t="inlineStr">
        <is>
          <t>Мало показов</t>
        </is>
      </c>
      <c r="T1026">
        <f>IF(N1026&lt;$T$1*0.5,"Низшая четверть",IF(N1026&lt;$T$1,"Вторая четверть","Больше половины"))</f>
        <v/>
      </c>
      <c r="U1026">
        <f>IF(O1026&lt;$U$1*0.5,"Низшая четверть",IF(O1026&lt;$U$1,"Вторая четверть","Больше половины"))</f>
        <v/>
      </c>
      <c r="V1026">
        <f>IF(OR(N1026&lt;SUMIFS(L:L,R:R,1,E:E,E1026)/SUMIFS(K:K,R:R,1,E:E,E1026)*0.5,O1026&lt;SUMIFS(M:M,R:R,1,E:E,E1026)/SUMIFS(L:L,R:R,1,E:E,E1026)*0.5),"код для проверки","нормальный код")</f>
        <v/>
      </c>
      <c r="W1026">
        <f>IF(N1026&lt;SUMIFS(L:L,R:R,1,E:E,E1026)/SUMIFS(K:K,R:R,1,E:E,E1026)*0.5,"Низшая четверть",IF(N1026&lt;SUMIFS(L:L,R:R,1,E:E,E1026)/SUMIFS(K:K,R:R,1,E:E,E1026),"Вторая четверть","Больше половины"))</f>
        <v/>
      </c>
      <c r="X1026">
        <f>IF(O1026&lt;SUMIFS(M:M,R:R,1,E:E,E1026)/SUMIFS(L:L,R:R,1,E:E,E1026)*0.5,"Низшая четверть",IF(O1026&lt;SUMIFS(M:M,R:R,1,E:E,E1026)/SUMIFS(L:L,R:R,1,E:E,E1026),"Вторая четверть","Больше половины"))</f>
        <v/>
      </c>
      <c r="Y1026" t="n">
        <v>6</v>
      </c>
    </row>
    <row r="1027">
      <c r="A1027" s="1" t="inlineStr">
        <is>
          <t>56100210</t>
        </is>
      </c>
      <c r="B1027" s="2" t="inlineStr">
        <is>
          <t>796998984</t>
        </is>
      </c>
      <c r="C1027" s="3" t="inlineStr">
        <is>
          <t>Одежда для детей</t>
        </is>
      </c>
      <c r="D1027" s="2" t="inlineStr">
        <is>
          <t>Нижнее белье детское для мальчиков</t>
        </is>
      </c>
      <c r="E1027" s="3" t="inlineStr">
        <is>
          <t>561 Майка детская для мальчиков</t>
        </is>
      </c>
      <c r="F1027" s="2" t="inlineStr">
        <is>
          <t>всесезонный</t>
        </is>
      </c>
      <c r="G1027" s="3" t="inlineStr">
        <is>
          <t>Kari KIDS</t>
        </is>
      </c>
      <c r="H1027" s="2" t="inlineStr">
        <is>
          <t>Зиннуров Ильнур</t>
        </is>
      </c>
      <c r="J1027" s="3" t="inlineStr">
        <is>
          <t>2026SS</t>
        </is>
      </c>
      <c r="K1027" s="3" t="n">
        <v>1068</v>
      </c>
      <c r="L1027" s="3" t="n">
        <v>506</v>
      </c>
      <c r="M1027" s="3" t="n">
        <v>70</v>
      </c>
      <c r="N1027" s="4">
        <f>IFERROR(L1027/K1027,0)</f>
        <v/>
      </c>
      <c r="O1027" s="4">
        <f>IFERROR(M1027/L1027,0)</f>
        <v/>
      </c>
      <c r="P1027" t="n">
        <v>230</v>
      </c>
      <c r="Q1027" s="5" t="n">
        <v>1</v>
      </c>
      <c r="R1027" s="7" t="n">
        <v>0</v>
      </c>
      <c r="S1027" t="inlineStr">
        <is>
          <t>Мало показов</t>
        </is>
      </c>
      <c r="T1027">
        <f>IF(N1027&lt;$T$1*0.5,"Низшая четверть",IF(N1027&lt;$T$1,"Вторая четверть","Больше половины"))</f>
        <v/>
      </c>
      <c r="U1027">
        <f>IF(O1027&lt;$U$1*0.5,"Низшая четверть",IF(O1027&lt;$U$1,"Вторая четверть","Больше половины"))</f>
        <v/>
      </c>
      <c r="V1027">
        <f>IF(OR(N1027&lt;SUMIFS(L:L,R:R,1,E:E,E1027)/SUMIFS(K:K,R:R,1,E:E,E1027)*0.5,O1027&lt;SUMIFS(M:M,R:R,1,E:E,E1027)/SUMIFS(L:L,R:R,1,E:E,E1027)*0.5),"код для проверки","нормальный код")</f>
        <v/>
      </c>
      <c r="W1027">
        <f>IF(N1027&lt;SUMIFS(L:L,R:R,1,E:E,E1027)/SUMIFS(K:K,R:R,1,E:E,E1027)*0.5,"Низшая четверть",IF(N1027&lt;SUMIFS(L:L,R:R,1,E:E,E1027)/SUMIFS(K:K,R:R,1,E:E,E1027),"Вторая четверть","Больше половины"))</f>
        <v/>
      </c>
      <c r="X1027">
        <f>IF(O1027&lt;SUMIFS(M:M,R:R,1,E:E,E1027)/SUMIFS(L:L,R:R,1,E:E,E1027)*0.5,"Низшая четверть",IF(O1027&lt;SUMIFS(M:M,R:R,1,E:E,E1027)/SUMIFS(L:L,R:R,1,E:E,E1027),"Вторая четверть","Больше половины"))</f>
        <v/>
      </c>
      <c r="Y1027" t="n">
        <v>15</v>
      </c>
    </row>
    <row r="1028">
      <c r="A1028" s="1" t="inlineStr">
        <is>
          <t>h4100010</t>
        </is>
      </c>
      <c r="B1028" s="2" t="inlineStr">
        <is>
          <t>879308821</t>
        </is>
      </c>
      <c r="C1028" s="3" t="inlineStr">
        <is>
          <t>Одежда и аксессуары</t>
        </is>
      </c>
      <c r="D1028" s="2" t="inlineStr">
        <is>
          <t>Майки и платья женские</t>
        </is>
      </c>
      <c r="E1028" s="3" t="inlineStr">
        <is>
          <t>h41 Лонгслив женский</t>
        </is>
      </c>
      <c r="F1028" s="2" t="inlineStr">
        <is>
          <t>весна, осень, зима</t>
        </is>
      </c>
      <c r="G1028" s="3" t="inlineStr">
        <is>
          <t>kari</t>
        </is>
      </c>
      <c r="H1028" s="2" t="n"/>
      <c r="J1028" s="3" t="inlineStr">
        <is>
          <t>2026SS</t>
        </is>
      </c>
      <c r="K1028" s="3" t="n">
        <v>1059</v>
      </c>
      <c r="L1028" s="3" t="n">
        <v>24</v>
      </c>
      <c r="M1028" s="3" t="n">
        <v>0</v>
      </c>
      <c r="N1028" s="4">
        <f>IFERROR(L1028/K1028,0)</f>
        <v/>
      </c>
      <c r="O1028" s="4">
        <f>IFERROR(M1028/L1028,0)</f>
        <v/>
      </c>
      <c r="P1028" t="n">
        <v>479</v>
      </c>
      <c r="Q1028" s="5" t="n">
        <v>1</v>
      </c>
      <c r="R1028" s="7" t="n">
        <v>0</v>
      </c>
      <c r="S1028" t="inlineStr">
        <is>
          <t>Мало показов</t>
        </is>
      </c>
      <c r="T1028">
        <f>IF(N1028&lt;$T$1*0.5,"Низшая четверть",IF(N1028&lt;$T$1,"Вторая четверть","Больше половины"))</f>
        <v/>
      </c>
      <c r="U1028">
        <f>IF(O1028&lt;$U$1*0.5,"Низшая четверть",IF(O1028&lt;$U$1,"Вторая четверть","Больше половины"))</f>
        <v/>
      </c>
      <c r="V1028">
        <f>IF(OR(N1028&lt;SUMIFS(L:L,R:R,1,E:E,E1028)/SUMIFS(K:K,R:R,1,E:E,E1028)*0.5,O1028&lt;SUMIFS(M:M,R:R,1,E:E,E1028)/SUMIFS(L:L,R:R,1,E:E,E1028)*0.5),"код для проверки","нормальный код")</f>
        <v/>
      </c>
      <c r="W1028">
        <f>IF(N1028&lt;SUMIFS(L:L,R:R,1,E:E,E1028)/SUMIFS(K:K,R:R,1,E:E,E1028)*0.5,"Низшая четверть",IF(N1028&lt;SUMIFS(L:L,R:R,1,E:E,E1028)/SUMIFS(K:K,R:R,1,E:E,E1028),"Вторая четверть","Больше половины"))</f>
        <v/>
      </c>
      <c r="X1028">
        <f>IF(O1028&lt;SUMIFS(M:M,R:R,1,E:E,E1028)/SUMIFS(L:L,R:R,1,E:E,E1028)*0.5,"Низшая четверть",IF(O1028&lt;SUMIFS(M:M,R:R,1,E:E,E1028)/SUMIFS(L:L,R:R,1,E:E,E1028),"Вторая четверть","Больше половины"))</f>
        <v/>
      </c>
      <c r="Y1028" t="n">
        <v>17</v>
      </c>
    </row>
    <row r="1029">
      <c r="A1029" s="1" t="inlineStr">
        <is>
          <t>h4100000</t>
        </is>
      </c>
      <c r="B1029" s="2" t="inlineStr">
        <is>
          <t>879308719</t>
        </is>
      </c>
      <c r="C1029" s="3" t="inlineStr">
        <is>
          <t>Одежда и аксессуары</t>
        </is>
      </c>
      <c r="D1029" s="2" t="inlineStr">
        <is>
          <t>Майки и платья женские</t>
        </is>
      </c>
      <c r="E1029" s="3" t="inlineStr">
        <is>
          <t>h41 Лонгслив женский</t>
        </is>
      </c>
      <c r="F1029" s="2" t="inlineStr">
        <is>
          <t>весна, осень, зима</t>
        </is>
      </c>
      <c r="G1029" s="3" t="inlineStr">
        <is>
          <t>kari</t>
        </is>
      </c>
      <c r="H1029" s="2" t="n"/>
      <c r="J1029" s="3" t="inlineStr">
        <is>
          <t>2026SS</t>
        </is>
      </c>
      <c r="K1029" s="3" t="n">
        <v>1055</v>
      </c>
      <c r="L1029" s="3" t="n">
        <v>15</v>
      </c>
      <c r="M1029" s="3" t="n">
        <v>0</v>
      </c>
      <c r="N1029" s="4">
        <f>IFERROR(L1029/K1029,0)</f>
        <v/>
      </c>
      <c r="O1029" s="4">
        <f>IFERROR(M1029/L1029,0)</f>
        <v/>
      </c>
      <c r="P1029" t="n">
        <v>550</v>
      </c>
      <c r="Q1029" s="5" t="n">
        <v>1</v>
      </c>
      <c r="R1029" s="7" t="n">
        <v>0</v>
      </c>
      <c r="S1029" t="inlineStr">
        <is>
          <t>Мало показов</t>
        </is>
      </c>
      <c r="T1029">
        <f>IF(N1029&lt;$T$1*0.5,"Низшая четверть",IF(N1029&lt;$T$1,"Вторая четверть","Больше половины"))</f>
        <v/>
      </c>
      <c r="U1029">
        <f>IF(O1029&lt;$U$1*0.5,"Низшая четверть",IF(O1029&lt;$U$1,"Вторая четверть","Больше половины"))</f>
        <v/>
      </c>
      <c r="V1029">
        <f>IF(OR(N1029&lt;SUMIFS(L:L,R:R,1,E:E,E1029)/SUMIFS(K:K,R:R,1,E:E,E1029)*0.5,O1029&lt;SUMIFS(M:M,R:R,1,E:E,E1029)/SUMIFS(L:L,R:R,1,E:E,E1029)*0.5),"код для проверки","нормальный код")</f>
        <v/>
      </c>
      <c r="W1029">
        <f>IF(N1029&lt;SUMIFS(L:L,R:R,1,E:E,E1029)/SUMIFS(K:K,R:R,1,E:E,E1029)*0.5,"Низшая четверть",IF(N1029&lt;SUMIFS(L:L,R:R,1,E:E,E1029)/SUMIFS(K:K,R:R,1,E:E,E1029),"Вторая четверть","Больше половины"))</f>
        <v/>
      </c>
      <c r="X1029">
        <f>IF(O1029&lt;SUMIFS(M:M,R:R,1,E:E,E1029)/SUMIFS(L:L,R:R,1,E:E,E1029)*0.5,"Низшая четверть",IF(O1029&lt;SUMIFS(M:M,R:R,1,E:E,E1029)/SUMIFS(L:L,R:R,1,E:E,E1029),"Вторая четверть","Больше половины"))</f>
        <v/>
      </c>
      <c r="Y1029" t="n">
        <v>18</v>
      </c>
    </row>
    <row r="1030">
      <c r="A1030" s="1" t="inlineStr">
        <is>
          <t>h1000050</t>
        </is>
      </c>
      <c r="B1030" s="2" t="inlineStr">
        <is>
          <t>851029700</t>
        </is>
      </c>
      <c r="C1030" s="3" t="inlineStr">
        <is>
          <t>Одежда и аксессуары</t>
        </is>
      </c>
      <c r="D1030" s="2" t="inlineStr">
        <is>
          <t>Футболки, рубашки мужские</t>
        </is>
      </c>
      <c r="E1030" s="3" t="inlineStr">
        <is>
          <t>h10 Футболка мужская</t>
        </is>
      </c>
      <c r="F1030" s="2" t="inlineStr">
        <is>
          <t>всесезонный</t>
        </is>
      </c>
      <c r="G1030" s="3" t="inlineStr">
        <is>
          <t>kari</t>
        </is>
      </c>
      <c r="H1030" s="2" t="inlineStr">
        <is>
          <t>Зиннуров Ильнур</t>
        </is>
      </c>
      <c r="J1030" s="3" t="inlineStr">
        <is>
          <t>2026SS</t>
        </is>
      </c>
      <c r="K1030" s="3" t="n">
        <v>1048</v>
      </c>
      <c r="L1030" s="3" t="n">
        <v>1921</v>
      </c>
      <c r="M1030" s="3" t="n">
        <v>12</v>
      </c>
      <c r="N1030" s="4">
        <f>IFERROR(L1030/K1030,0)</f>
        <v/>
      </c>
      <c r="O1030" s="4">
        <f>IFERROR(M1030/L1030,0)</f>
        <v/>
      </c>
      <c r="P1030" t="n">
        <v>340</v>
      </c>
      <c r="Q1030" s="5" t="n">
        <v>0.8333333333333334</v>
      </c>
      <c r="R1030" s="7" t="n">
        <v>0</v>
      </c>
      <c r="S1030" t="inlineStr">
        <is>
          <t>Мало показов</t>
        </is>
      </c>
      <c r="T1030">
        <f>IF(N1030&lt;$T$1*0.5,"Низшая четверть",IF(N1030&lt;$T$1,"Вторая четверть","Больше половины"))</f>
        <v/>
      </c>
      <c r="U1030">
        <f>IF(O1030&lt;$U$1*0.5,"Низшая четверть",IF(O1030&lt;$U$1,"Вторая четверть","Больше половины"))</f>
        <v/>
      </c>
      <c r="V1030">
        <f>IF(OR(N1030&lt;SUMIFS(L:L,R:R,1,E:E,E1030)/SUMIFS(K:K,R:R,1,E:E,E1030)*0.5,O1030&lt;SUMIFS(M:M,R:R,1,E:E,E1030)/SUMIFS(L:L,R:R,1,E:E,E1030)*0.5),"код для проверки","нормальный код")</f>
        <v/>
      </c>
      <c r="W1030">
        <f>IF(N1030&lt;SUMIFS(L:L,R:R,1,E:E,E1030)/SUMIFS(K:K,R:R,1,E:E,E1030)*0.5,"Низшая четверть",IF(N1030&lt;SUMIFS(L:L,R:R,1,E:E,E1030)/SUMIFS(K:K,R:R,1,E:E,E1030),"Вторая четверть","Больше половины"))</f>
        <v/>
      </c>
      <c r="X1030">
        <f>IF(O1030&lt;SUMIFS(M:M,R:R,1,E:E,E1030)/SUMIFS(L:L,R:R,1,E:E,E1030)*0.5,"Низшая четверть",IF(O1030&lt;SUMIFS(M:M,R:R,1,E:E,E1030)/SUMIFS(L:L,R:R,1,E:E,E1030),"Вторая четверть","Больше половины"))</f>
        <v/>
      </c>
      <c r="Y1030" t="n">
        <v>24</v>
      </c>
    </row>
    <row r="1031">
      <c r="A1031" s="1" t="inlineStr">
        <is>
          <t>a5200040</t>
        </is>
      </c>
      <c r="B1031" s="2" t="inlineStr">
        <is>
          <t>788948161</t>
        </is>
      </c>
      <c r="C1031" s="3" t="inlineStr">
        <is>
          <t>Одежда для детей</t>
        </is>
      </c>
      <c r="D1031" s="2" t="inlineStr">
        <is>
          <t>Брюки детские для девочек</t>
        </is>
      </c>
      <c r="E1031" s="3" t="inlineStr">
        <is>
          <t>a52 Брюки летние для девочек</t>
        </is>
      </c>
      <c r="F1031" s="2" t="inlineStr">
        <is>
          <t>весна, лето</t>
        </is>
      </c>
      <c r="G1031" s="3" t="inlineStr">
        <is>
          <t>Kari KIDS</t>
        </is>
      </c>
      <c r="H1031" s="2" t="inlineStr">
        <is>
          <t>Зиннуров Ильнур</t>
        </is>
      </c>
      <c r="J1031" s="3" t="inlineStr">
        <is>
          <t>2026SS</t>
        </is>
      </c>
      <c r="K1031" s="3" t="n">
        <v>1043</v>
      </c>
      <c r="L1031" s="3" t="n">
        <v>52</v>
      </c>
      <c r="M1031" s="3" t="n">
        <v>0</v>
      </c>
      <c r="N1031" s="4">
        <f>IFERROR(L1031/K1031,0)</f>
        <v/>
      </c>
      <c r="O1031" s="4">
        <f>IFERROR(M1031/L1031,0)</f>
        <v/>
      </c>
      <c r="P1031" t="n">
        <v>161</v>
      </c>
      <c r="Q1031" s="5" t="n">
        <v>1</v>
      </c>
      <c r="R1031" s="7" t="n">
        <v>0</v>
      </c>
      <c r="S1031" t="inlineStr">
        <is>
          <t>Мало показов</t>
        </is>
      </c>
      <c r="T1031">
        <f>IF(N1031&lt;$T$1*0.5,"Низшая четверть",IF(N1031&lt;$T$1,"Вторая четверть","Больше половины"))</f>
        <v/>
      </c>
      <c r="U1031">
        <f>IF(O1031&lt;$U$1*0.5,"Низшая четверть",IF(O1031&lt;$U$1,"Вторая четверть","Больше половины"))</f>
        <v/>
      </c>
      <c r="V1031">
        <f>IF(OR(N1031&lt;SUMIFS(L:L,R:R,1,E:E,E1031)/SUMIFS(K:K,R:R,1,E:E,E1031)*0.5,O1031&lt;SUMIFS(M:M,R:R,1,E:E,E1031)/SUMIFS(L:L,R:R,1,E:E,E1031)*0.5),"код для проверки","нормальный код")</f>
        <v/>
      </c>
      <c r="W1031">
        <f>IF(N1031&lt;SUMIFS(L:L,R:R,1,E:E,E1031)/SUMIFS(K:K,R:R,1,E:E,E1031)*0.5,"Низшая четверть",IF(N1031&lt;SUMIFS(L:L,R:R,1,E:E,E1031)/SUMIFS(K:K,R:R,1,E:E,E1031),"Вторая четверть","Больше половины"))</f>
        <v/>
      </c>
      <c r="X1031">
        <f>IF(O1031&lt;SUMIFS(M:M,R:R,1,E:E,E1031)/SUMIFS(L:L,R:R,1,E:E,E1031)*0.5,"Низшая четверть",IF(O1031&lt;SUMIFS(M:M,R:R,1,E:E,E1031)/SUMIFS(L:L,R:R,1,E:E,E1031),"Вторая четверть","Больше половины"))</f>
        <v/>
      </c>
      <c r="Y1031" t="n">
        <v>15</v>
      </c>
    </row>
    <row r="1032">
      <c r="A1032" s="1" t="inlineStr">
        <is>
          <t>57400090</t>
        </is>
      </c>
      <c r="B1032" s="2" t="inlineStr">
        <is>
          <t>936314540</t>
        </is>
      </c>
      <c r="C1032" s="3" t="inlineStr">
        <is>
          <t>Одежда для детей</t>
        </is>
      </c>
      <c r="D1032" s="2" t="inlineStr">
        <is>
          <t>Одежда для новорожденных</t>
        </is>
      </c>
      <c r="E1032" s="3" t="inlineStr">
        <is>
          <t>574 Распашонка</t>
        </is>
      </c>
      <c r="F1032" s="2" t="inlineStr">
        <is>
          <t>всесезонный</t>
        </is>
      </c>
      <c r="G1032" s="3" t="inlineStr">
        <is>
          <t>Kari baby</t>
        </is>
      </c>
      <c r="H1032" s="2" t="inlineStr">
        <is>
          <t>Зиннуров Ильнур</t>
        </is>
      </c>
      <c r="J1032" s="3" t="inlineStr">
        <is>
          <t>2026SS</t>
        </is>
      </c>
      <c r="K1032" s="3" t="n">
        <v>1031</v>
      </c>
      <c r="L1032" s="3" t="n">
        <v>36</v>
      </c>
      <c r="M1032" s="3" t="n">
        <v>1</v>
      </c>
      <c r="N1032" s="4">
        <f>IFERROR(L1032/K1032,0)</f>
        <v/>
      </c>
      <c r="O1032" s="4">
        <f>IFERROR(M1032/L1032,0)</f>
        <v/>
      </c>
      <c r="P1032" t="n">
        <v>329</v>
      </c>
      <c r="Q1032" s="5" t="n">
        <v>0.6666666666666666</v>
      </c>
      <c r="R1032" s="7" t="n">
        <v>0</v>
      </c>
      <c r="S1032" t="inlineStr">
        <is>
          <t>Мало показов</t>
        </is>
      </c>
      <c r="T1032">
        <f>IF(N1032&lt;$T$1*0.5,"Низшая четверть",IF(N1032&lt;$T$1,"Вторая четверть","Больше половины"))</f>
        <v/>
      </c>
      <c r="U1032">
        <f>IF(O1032&lt;$U$1*0.5,"Низшая четверть",IF(O1032&lt;$U$1,"Вторая четверть","Больше половины"))</f>
        <v/>
      </c>
      <c r="V1032">
        <f>IF(OR(N1032&lt;SUMIFS(L:L,R:R,1,E:E,E1032)/SUMIFS(K:K,R:R,1,E:E,E1032)*0.5,O1032&lt;SUMIFS(M:M,R:R,1,E:E,E1032)/SUMIFS(L:L,R:R,1,E:E,E1032)*0.5),"код для проверки","нормальный код")</f>
        <v/>
      </c>
      <c r="W1032">
        <f>IF(N1032&lt;SUMIFS(L:L,R:R,1,E:E,E1032)/SUMIFS(K:K,R:R,1,E:E,E1032)*0.5,"Низшая четверть",IF(N1032&lt;SUMIFS(L:L,R:R,1,E:E,E1032)/SUMIFS(K:K,R:R,1,E:E,E1032),"Вторая четверть","Больше половины"))</f>
        <v/>
      </c>
      <c r="X1032">
        <f>IF(O1032&lt;SUMIFS(M:M,R:R,1,E:E,E1032)/SUMIFS(L:L,R:R,1,E:E,E1032)*0.5,"Низшая четверть",IF(O1032&lt;SUMIFS(M:M,R:R,1,E:E,E1032)/SUMIFS(L:L,R:R,1,E:E,E1032),"Вторая четверть","Больше половины"))</f>
        <v/>
      </c>
      <c r="Y1032" t="n">
        <v>15</v>
      </c>
    </row>
    <row r="1033">
      <c r="A1033" s="1" t="inlineStr">
        <is>
          <t>a6000540</t>
        </is>
      </c>
      <c r="B1033" s="2" t="inlineStr">
        <is>
          <t>884287695</t>
        </is>
      </c>
      <c r="C1033" s="3" t="inlineStr">
        <is>
          <t>Одежда для детей</t>
        </is>
      </c>
      <c r="D1033" s="2" t="inlineStr">
        <is>
          <t>Платья, майки, футболки детские для девочек</t>
        </is>
      </c>
      <c r="E1033" s="3" t="inlineStr">
        <is>
          <t>a60 Футболка детская для девочек</t>
        </is>
      </c>
      <c r="F1033" s="2" t="inlineStr">
        <is>
          <t>всесезонный</t>
        </is>
      </c>
      <c r="G1033" s="3" t="inlineStr">
        <is>
          <t>kari</t>
        </is>
      </c>
      <c r="H1033" s="2" t="inlineStr">
        <is>
          <t>Зиннуров Ильнур</t>
        </is>
      </c>
      <c r="J1033" s="3" t="inlineStr">
        <is>
          <t>2026SS</t>
        </is>
      </c>
      <c r="K1033" s="3" t="n">
        <v>1025</v>
      </c>
      <c r="L1033" s="3" t="n">
        <v>24</v>
      </c>
      <c r="M1033" s="3" t="n">
        <v>1</v>
      </c>
      <c r="N1033" s="4">
        <f>IFERROR(L1033/K1033,0)</f>
        <v/>
      </c>
      <c r="O1033" s="4">
        <f>IFERROR(M1033/L1033,0)</f>
        <v/>
      </c>
      <c r="P1033" t="n">
        <v>250</v>
      </c>
      <c r="Q1033" s="5" t="n">
        <v>0.4444444444444444</v>
      </c>
      <c r="R1033" s="7" t="n">
        <v>0</v>
      </c>
      <c r="S1033" t="inlineStr">
        <is>
          <t>Мало показов</t>
        </is>
      </c>
      <c r="T1033">
        <f>IF(N1033&lt;$T$1*0.5,"Низшая четверть",IF(N1033&lt;$T$1,"Вторая четверть","Больше половины"))</f>
        <v/>
      </c>
      <c r="U1033">
        <f>IF(O1033&lt;$U$1*0.5,"Низшая четверть",IF(O1033&lt;$U$1,"Вторая четверть","Больше половины"))</f>
        <v/>
      </c>
      <c r="V1033">
        <f>IF(OR(N1033&lt;SUMIFS(L:L,R:R,1,E:E,E1033)/SUMIFS(K:K,R:R,1,E:E,E1033)*0.5,O1033&lt;SUMIFS(M:M,R:R,1,E:E,E1033)/SUMIFS(L:L,R:R,1,E:E,E1033)*0.5),"код для проверки","нормальный код")</f>
        <v/>
      </c>
      <c r="W1033">
        <f>IF(N1033&lt;SUMIFS(L:L,R:R,1,E:E,E1033)/SUMIFS(K:K,R:R,1,E:E,E1033)*0.5,"Низшая четверть",IF(N1033&lt;SUMIFS(L:L,R:R,1,E:E,E1033)/SUMIFS(K:K,R:R,1,E:E,E1033),"Вторая четверть","Больше половины"))</f>
        <v/>
      </c>
      <c r="X1033">
        <f>IF(O1033&lt;SUMIFS(M:M,R:R,1,E:E,E1033)/SUMIFS(L:L,R:R,1,E:E,E1033)*0.5,"Низшая четверть",IF(O1033&lt;SUMIFS(M:M,R:R,1,E:E,E1033)/SUMIFS(L:L,R:R,1,E:E,E1033),"Вторая четверть","Больше половины"))</f>
        <v/>
      </c>
      <c r="Y1033" t="n">
        <v>14</v>
      </c>
    </row>
    <row r="1034">
      <c r="A1034" s="1" t="inlineStr">
        <is>
          <t>19900050</t>
        </is>
      </c>
      <c r="B1034" s="2" t="inlineStr">
        <is>
          <t>755313418</t>
        </is>
      </c>
      <c r="C1034" s="3" t="inlineStr">
        <is>
          <t>Одежда и аксессуары</t>
        </is>
      </c>
      <c r="D1034" s="2" t="inlineStr">
        <is>
          <t>Пиджаки, жакеты женские</t>
        </is>
      </c>
      <c r="E1034" s="3" t="inlineStr">
        <is>
          <t>199 Пиджак женский</t>
        </is>
      </c>
      <c r="F1034" s="2" t="inlineStr">
        <is>
          <t>всесезонный</t>
        </is>
      </c>
      <c r="G1034" s="3" t="inlineStr">
        <is>
          <t>kari</t>
        </is>
      </c>
      <c r="H1034" s="2" t="inlineStr">
        <is>
          <t>Зиннуров Ильнур</t>
        </is>
      </c>
      <c r="J1034" s="3" t="inlineStr">
        <is>
          <t>2026SS</t>
        </is>
      </c>
      <c r="K1034" s="3" t="n">
        <v>1025</v>
      </c>
      <c r="L1034" s="3" t="n">
        <v>40</v>
      </c>
      <c r="M1034" s="3" t="n">
        <v>0</v>
      </c>
      <c r="N1034" s="4">
        <f>IFERROR(L1034/K1034,0)</f>
        <v/>
      </c>
      <c r="O1034" s="4">
        <f>IFERROR(M1034/L1034,0)</f>
        <v/>
      </c>
      <c r="P1034" t="n">
        <v>416</v>
      </c>
      <c r="Q1034" s="5" t="n">
        <v>1</v>
      </c>
      <c r="R1034" s="7" t="n">
        <v>0</v>
      </c>
      <c r="S1034" t="inlineStr">
        <is>
          <t>Мало показов</t>
        </is>
      </c>
      <c r="T1034">
        <f>IF(N1034&lt;$T$1*0.5,"Низшая четверть",IF(N1034&lt;$T$1,"Вторая четверть","Больше половины"))</f>
        <v/>
      </c>
      <c r="U1034">
        <f>IF(O1034&lt;$U$1*0.5,"Низшая четверть",IF(O1034&lt;$U$1,"Вторая четверть","Больше половины"))</f>
        <v/>
      </c>
      <c r="V1034">
        <f>IF(OR(N1034&lt;SUMIFS(L:L,R:R,1,E:E,E1034)/SUMIFS(K:K,R:R,1,E:E,E1034)*0.5,O1034&lt;SUMIFS(M:M,R:R,1,E:E,E1034)/SUMIFS(L:L,R:R,1,E:E,E1034)*0.5),"код для проверки","нормальный код")</f>
        <v/>
      </c>
      <c r="W1034">
        <f>IF(N1034&lt;SUMIFS(L:L,R:R,1,E:E,E1034)/SUMIFS(K:K,R:R,1,E:E,E1034)*0.5,"Низшая четверть",IF(N1034&lt;SUMIFS(L:L,R:R,1,E:E,E1034)/SUMIFS(K:K,R:R,1,E:E,E1034),"Вторая четверть","Больше половины"))</f>
        <v/>
      </c>
      <c r="X1034">
        <f>IF(O1034&lt;SUMIFS(M:M,R:R,1,E:E,E1034)/SUMIFS(L:L,R:R,1,E:E,E1034)*0.5,"Низшая четверть",IF(O1034&lt;SUMIFS(M:M,R:R,1,E:E,E1034)/SUMIFS(L:L,R:R,1,E:E,E1034),"Вторая четверть","Больше половины"))</f>
        <v/>
      </c>
      <c r="Y1034" t="n">
        <v>20</v>
      </c>
    </row>
    <row r="1035">
      <c r="A1035" s="1" t="inlineStr">
        <is>
          <t>30400070</t>
        </is>
      </c>
      <c r="B1035" s="2" t="inlineStr">
        <is>
          <t>734171226</t>
        </is>
      </c>
      <c r="C1035" s="3" t="inlineStr">
        <is>
          <t>Одежда и аксессуары</t>
        </is>
      </c>
      <c r="D1035" s="2" t="inlineStr">
        <is>
          <t>Майки и платья женские</t>
        </is>
      </c>
      <c r="E1035" s="3" t="inlineStr">
        <is>
          <t>304 Юбка женская</t>
        </is>
      </c>
      <c r="F1035" s="2" t="inlineStr">
        <is>
          <t>всесезонный</t>
        </is>
      </c>
      <c r="G1035" s="3" t="inlineStr">
        <is>
          <t>kari</t>
        </is>
      </c>
      <c r="H1035" s="2" t="inlineStr">
        <is>
          <t>Зиннуров Ильнур</t>
        </is>
      </c>
      <c r="J1035" s="3" t="inlineStr">
        <is>
          <t>2026SS</t>
        </is>
      </c>
      <c r="K1035" s="3" t="n">
        <v>1006</v>
      </c>
      <c r="L1035" s="3" t="n">
        <v>59</v>
      </c>
      <c r="M1035" s="3" t="n">
        <v>0</v>
      </c>
      <c r="N1035" s="4">
        <f>IFERROR(L1035/K1035,0)</f>
        <v/>
      </c>
      <c r="O1035" s="4">
        <f>IFERROR(M1035/L1035,0)</f>
        <v/>
      </c>
      <c r="P1035" t="n">
        <v>210</v>
      </c>
      <c r="Q1035" s="5" t="n">
        <v>1</v>
      </c>
      <c r="R1035" s="7" t="n">
        <v>0</v>
      </c>
      <c r="S1035" t="inlineStr">
        <is>
          <t>Мало показов</t>
        </is>
      </c>
      <c r="T1035">
        <f>IF(N1035&lt;$T$1*0.5,"Низшая четверть",IF(N1035&lt;$T$1,"Вторая четверть","Больше половины"))</f>
        <v/>
      </c>
      <c r="U1035">
        <f>IF(O1035&lt;$U$1*0.5,"Низшая четверть",IF(O1035&lt;$U$1,"Вторая четверть","Больше половины"))</f>
        <v/>
      </c>
      <c r="V1035">
        <f>IF(OR(N1035&lt;SUMIFS(L:L,R:R,1,E:E,E1035)/SUMIFS(K:K,R:R,1,E:E,E1035)*0.5,O1035&lt;SUMIFS(M:M,R:R,1,E:E,E1035)/SUMIFS(L:L,R:R,1,E:E,E1035)*0.5),"код для проверки","нормальный код")</f>
        <v/>
      </c>
      <c r="W1035">
        <f>IF(N1035&lt;SUMIFS(L:L,R:R,1,E:E,E1035)/SUMIFS(K:K,R:R,1,E:E,E1035)*0.5,"Низшая четверть",IF(N1035&lt;SUMIFS(L:L,R:R,1,E:E,E1035)/SUMIFS(K:K,R:R,1,E:E,E1035),"Вторая четверть","Больше половины"))</f>
        <v/>
      </c>
      <c r="X1035">
        <f>IF(O1035&lt;SUMIFS(M:M,R:R,1,E:E,E1035)/SUMIFS(L:L,R:R,1,E:E,E1035)*0.5,"Низшая четверть",IF(O1035&lt;SUMIFS(M:M,R:R,1,E:E,E1035)/SUMIFS(L:L,R:R,1,E:E,E1035),"Вторая четверть","Больше половины"))</f>
        <v/>
      </c>
      <c r="Y1035" t="n">
        <v>17</v>
      </c>
    </row>
    <row r="1036">
      <c r="A1036" s="1" t="inlineStr">
        <is>
          <t>19200070</t>
        </is>
      </c>
      <c r="B1036" s="2" t="inlineStr">
        <is>
          <t>858784033</t>
        </is>
      </c>
      <c r="C1036" s="3" t="inlineStr">
        <is>
          <t>Одежда для детей</t>
        </is>
      </c>
      <c r="D1036" s="2" t="inlineStr">
        <is>
          <t>Футболки, майки, рубашки детские для мальчиков</t>
        </is>
      </c>
      <c r="E1036" s="3" t="inlineStr">
        <is>
          <t>192 Рубашка детская для мальчиков</t>
        </is>
      </c>
      <c r="F1036" s="2" t="inlineStr">
        <is>
          <t>весна, лето</t>
        </is>
      </c>
      <c r="G1036" s="3" t="inlineStr">
        <is>
          <t>kari</t>
        </is>
      </c>
      <c r="H1036" s="2" t="inlineStr">
        <is>
          <t>Зиннуров Ильнур</t>
        </is>
      </c>
      <c r="J1036" s="3" t="inlineStr">
        <is>
          <t>2026SS</t>
        </is>
      </c>
      <c r="K1036" s="3" t="n">
        <v>1000</v>
      </c>
      <c r="L1036" s="3" t="n">
        <v>32</v>
      </c>
      <c r="M1036" s="3" t="n">
        <v>0</v>
      </c>
      <c r="N1036" s="4">
        <f>IFERROR(L1036/K1036,0)</f>
        <v/>
      </c>
      <c r="O1036" s="4">
        <f>IFERROR(M1036/L1036,0)</f>
        <v/>
      </c>
      <c r="P1036" t="n">
        <v>382</v>
      </c>
      <c r="Q1036" s="5" t="n">
        <v>1</v>
      </c>
      <c r="R1036" s="7" t="n">
        <v>0</v>
      </c>
      <c r="S1036" t="inlineStr">
        <is>
          <t>Мало показов</t>
        </is>
      </c>
      <c r="T1036">
        <f>IF(N1036&lt;$T$1*0.5,"Низшая четверть",IF(N1036&lt;$T$1,"Вторая четверть","Больше половины"))</f>
        <v/>
      </c>
      <c r="U1036">
        <f>IF(O1036&lt;$U$1*0.5,"Низшая четверть",IF(O1036&lt;$U$1,"Вторая четверть","Больше половины"))</f>
        <v/>
      </c>
      <c r="V1036">
        <f>IF(OR(N1036&lt;SUMIFS(L:L,R:R,1,E:E,E1036)/SUMIFS(K:K,R:R,1,E:E,E1036)*0.5,O1036&lt;SUMIFS(M:M,R:R,1,E:E,E1036)/SUMIFS(L:L,R:R,1,E:E,E1036)*0.5),"код для проверки","нормальный код")</f>
        <v/>
      </c>
      <c r="W1036">
        <f>IF(N1036&lt;SUMIFS(L:L,R:R,1,E:E,E1036)/SUMIFS(K:K,R:R,1,E:E,E1036)*0.5,"Низшая четверть",IF(N1036&lt;SUMIFS(L:L,R:R,1,E:E,E1036)/SUMIFS(K:K,R:R,1,E:E,E1036),"Вторая четверть","Больше половины"))</f>
        <v/>
      </c>
      <c r="X1036">
        <f>IF(O1036&lt;SUMIFS(M:M,R:R,1,E:E,E1036)/SUMIFS(L:L,R:R,1,E:E,E1036)*0.5,"Низшая четверть",IF(O1036&lt;SUMIFS(M:M,R:R,1,E:E,E1036)/SUMIFS(L:L,R:R,1,E:E,E1036),"Вторая четверть","Больше половины"))</f>
        <v/>
      </c>
      <c r="Y1036" t="n">
        <v>19</v>
      </c>
    </row>
    <row r="1037">
      <c r="A1037" s="1" t="inlineStr">
        <is>
          <t>310003H0</t>
        </is>
      </c>
      <c r="B1037" s="2" t="inlineStr">
        <is>
          <t>847884080</t>
        </is>
      </c>
      <c r="C1037" s="3" t="inlineStr">
        <is>
          <t>Одежда для детей</t>
        </is>
      </c>
      <c r="D1037" s="2" t="inlineStr">
        <is>
          <t>Футболки, майки, рубашки детские для мальчиков</t>
        </is>
      </c>
      <c r="E1037" s="3" t="inlineStr">
        <is>
          <t>310 Футболка детская для мальчиков</t>
        </is>
      </c>
      <c r="F1037" s="2" t="inlineStr">
        <is>
          <t>всесезонный</t>
        </is>
      </c>
      <c r="G1037" s="3" t="inlineStr">
        <is>
          <t>kari</t>
        </is>
      </c>
      <c r="H1037" s="2" t="inlineStr">
        <is>
          <t>Зиннуров Ильнур</t>
        </is>
      </c>
      <c r="J1037" s="3" t="inlineStr">
        <is>
          <t>2026SS</t>
        </is>
      </c>
      <c r="K1037" s="3" t="n">
        <v>996</v>
      </c>
      <c r="L1037" s="3" t="n">
        <v>12</v>
      </c>
      <c r="M1037" s="3" t="n">
        <v>0</v>
      </c>
      <c r="N1037" s="4">
        <f>IFERROR(L1037/K1037,0)</f>
        <v/>
      </c>
      <c r="O1037" s="4">
        <f>IFERROR(M1037/L1037,0)</f>
        <v/>
      </c>
      <c r="P1037" t="n">
        <v>1052</v>
      </c>
      <c r="Q1037" s="5" t="n">
        <v>1</v>
      </c>
      <c r="R1037" s="7" t="n">
        <v>0</v>
      </c>
      <c r="S1037" t="inlineStr">
        <is>
          <t>Мало показов</t>
        </is>
      </c>
      <c r="T1037">
        <f>IF(N1037&lt;$T$1*0.5,"Низшая четверть",IF(N1037&lt;$T$1,"Вторая четверть","Больше половины"))</f>
        <v/>
      </c>
      <c r="U1037">
        <f>IF(O1037&lt;$U$1*0.5,"Низшая четверть",IF(O1037&lt;$U$1,"Вторая четверть","Больше половины"))</f>
        <v/>
      </c>
      <c r="V1037">
        <f>IF(OR(N1037&lt;SUMIFS(L:L,R:R,1,E:E,E1037)/SUMIFS(K:K,R:R,1,E:E,E1037)*0.5,O1037&lt;SUMIFS(M:M,R:R,1,E:E,E1037)/SUMIFS(L:L,R:R,1,E:E,E1037)*0.5),"код для проверки","нормальный код")</f>
        <v/>
      </c>
      <c r="W1037">
        <f>IF(N1037&lt;SUMIFS(L:L,R:R,1,E:E,E1037)/SUMIFS(K:K,R:R,1,E:E,E1037)*0.5,"Низшая четверть",IF(N1037&lt;SUMIFS(L:L,R:R,1,E:E,E1037)/SUMIFS(K:K,R:R,1,E:E,E1037),"Вторая четверть","Больше половины"))</f>
        <v/>
      </c>
      <c r="X1037">
        <f>IF(O1037&lt;SUMIFS(M:M,R:R,1,E:E,E1037)/SUMIFS(L:L,R:R,1,E:E,E1037)*0.5,"Низшая четверть",IF(O1037&lt;SUMIFS(M:M,R:R,1,E:E,E1037)/SUMIFS(L:L,R:R,1,E:E,E1037),"Вторая четверть","Больше половины"))</f>
        <v/>
      </c>
      <c r="Y1037" t="n">
        <v>10</v>
      </c>
    </row>
    <row r="1038">
      <c r="A1038" s="1" t="inlineStr">
        <is>
          <t>56800180</t>
        </is>
      </c>
      <c r="B1038" s="2" t="inlineStr">
        <is>
          <t>848722517</t>
        </is>
      </c>
      <c r="C1038" s="3" t="inlineStr">
        <is>
          <t>Одежда для детей</t>
        </is>
      </c>
      <c r="D1038" s="2" t="inlineStr">
        <is>
          <t>Одежда для новорожденных</t>
        </is>
      </c>
      <c r="E1038" s="3" t="inlineStr">
        <is>
          <t>568 Боди с коротким рукавом для девочек</t>
        </is>
      </c>
      <c r="F1038" s="2" t="inlineStr">
        <is>
          <t>всесезонный</t>
        </is>
      </c>
      <c r="G1038" s="3" t="inlineStr">
        <is>
          <t>Kari baby</t>
        </is>
      </c>
      <c r="H1038" s="2" t="inlineStr">
        <is>
          <t>Зиннуров Ильнур</t>
        </is>
      </c>
      <c r="J1038" s="3" t="inlineStr">
        <is>
          <t>2026SS</t>
        </is>
      </c>
      <c r="K1038" s="3" t="n">
        <v>995</v>
      </c>
      <c r="L1038" s="3" t="n">
        <v>815</v>
      </c>
      <c r="M1038" s="3" t="n">
        <v>49</v>
      </c>
      <c r="N1038" s="4">
        <f>IFERROR(L1038/K1038,0)</f>
        <v/>
      </c>
      <c r="O1038" s="4">
        <f>IFERROR(M1038/L1038,0)</f>
        <v/>
      </c>
      <c r="P1038" t="n">
        <v>38</v>
      </c>
      <c r="Q1038" s="5" t="n">
        <v>0.6666666666666666</v>
      </c>
      <c r="R1038" s="7" t="n">
        <v>0</v>
      </c>
      <c r="S1038" t="inlineStr">
        <is>
          <t>Мало показов</t>
        </is>
      </c>
      <c r="T1038">
        <f>IF(N1038&lt;$T$1*0.5,"Низшая четверть",IF(N1038&lt;$T$1,"Вторая четверть","Больше половины"))</f>
        <v/>
      </c>
      <c r="U1038">
        <f>IF(O1038&lt;$U$1*0.5,"Низшая четверть",IF(O1038&lt;$U$1,"Вторая четверть","Больше половины"))</f>
        <v/>
      </c>
      <c r="V1038">
        <f>IF(OR(N1038&lt;SUMIFS(L:L,R:R,1,E:E,E1038)/SUMIFS(K:K,R:R,1,E:E,E1038)*0.5,O1038&lt;SUMIFS(M:M,R:R,1,E:E,E1038)/SUMIFS(L:L,R:R,1,E:E,E1038)*0.5),"код для проверки","нормальный код")</f>
        <v/>
      </c>
      <c r="W1038">
        <f>IF(N1038&lt;SUMIFS(L:L,R:R,1,E:E,E1038)/SUMIFS(K:K,R:R,1,E:E,E1038)*0.5,"Низшая четверть",IF(N1038&lt;SUMIFS(L:L,R:R,1,E:E,E1038)/SUMIFS(K:K,R:R,1,E:E,E1038),"Вторая четверть","Больше половины"))</f>
        <v/>
      </c>
      <c r="X1038">
        <f>IF(O1038&lt;SUMIFS(M:M,R:R,1,E:E,E1038)/SUMIFS(L:L,R:R,1,E:E,E1038)*0.5,"Низшая четверть",IF(O1038&lt;SUMIFS(M:M,R:R,1,E:E,E1038)/SUMIFS(L:L,R:R,1,E:E,E1038),"Вторая четверть","Больше половины"))</f>
        <v/>
      </c>
      <c r="Y1038" t="n">
        <v>13</v>
      </c>
    </row>
    <row r="1039">
      <c r="A1039" s="1" t="inlineStr">
        <is>
          <t>h0500060</t>
        </is>
      </c>
      <c r="B1039" s="2" t="inlineStr">
        <is>
          <t>898427347</t>
        </is>
      </c>
      <c r="C1039" s="3" t="inlineStr">
        <is>
          <t>Одежда и аксессуары</t>
        </is>
      </c>
      <c r="D1039" s="2" t="inlineStr">
        <is>
          <t>Брюки, шорты мужские</t>
        </is>
      </c>
      <c r="E1039" s="3" t="inlineStr">
        <is>
          <t>h05 Брюки мужские</t>
        </is>
      </c>
      <c r="F1039" s="2" t="inlineStr">
        <is>
          <t>всесезонный</t>
        </is>
      </c>
      <c r="G1039" s="3" t="inlineStr">
        <is>
          <t>kari</t>
        </is>
      </c>
      <c r="H1039" s="2" t="inlineStr">
        <is>
          <t>Зиннуров Ильнур</t>
        </is>
      </c>
      <c r="J1039" s="3" t="inlineStr">
        <is>
          <t>2026SS</t>
        </is>
      </c>
      <c r="K1039" s="3" t="n">
        <v>994</v>
      </c>
      <c r="L1039" s="3" t="n">
        <v>109</v>
      </c>
      <c r="M1039" s="3" t="n">
        <v>3</v>
      </c>
      <c r="N1039" s="4">
        <f>IFERROR(L1039/K1039,0)</f>
        <v/>
      </c>
      <c r="O1039" s="4">
        <f>IFERROR(M1039/L1039,0)</f>
        <v/>
      </c>
      <c r="P1039" t="n">
        <v>297</v>
      </c>
      <c r="Q1039" s="5" t="n">
        <v>1</v>
      </c>
      <c r="R1039" s="7" t="n">
        <v>0</v>
      </c>
      <c r="S1039" t="inlineStr">
        <is>
          <t>Мало показов</t>
        </is>
      </c>
      <c r="T1039">
        <f>IF(N1039&lt;$T$1*0.5,"Низшая четверть",IF(N1039&lt;$T$1,"Вторая четверть","Больше половины"))</f>
        <v/>
      </c>
      <c r="U1039">
        <f>IF(O1039&lt;$U$1*0.5,"Низшая четверть",IF(O1039&lt;$U$1,"Вторая четверть","Больше половины"))</f>
        <v/>
      </c>
      <c r="V1039">
        <f>IF(OR(N1039&lt;SUMIFS(L:L,R:R,1,E:E,E1039)/SUMIFS(K:K,R:R,1,E:E,E1039)*0.5,O1039&lt;SUMIFS(M:M,R:R,1,E:E,E1039)/SUMIFS(L:L,R:R,1,E:E,E1039)*0.5),"код для проверки","нормальный код")</f>
        <v/>
      </c>
      <c r="W1039">
        <f>IF(N1039&lt;SUMIFS(L:L,R:R,1,E:E,E1039)/SUMIFS(K:K,R:R,1,E:E,E1039)*0.5,"Низшая четверть",IF(N1039&lt;SUMIFS(L:L,R:R,1,E:E,E1039)/SUMIFS(K:K,R:R,1,E:E,E1039),"Вторая четверть","Больше половины"))</f>
        <v/>
      </c>
      <c r="X1039">
        <f>IF(O1039&lt;SUMIFS(M:M,R:R,1,E:E,E1039)/SUMIFS(L:L,R:R,1,E:E,E1039)*0.5,"Низшая четверть",IF(O1039&lt;SUMIFS(M:M,R:R,1,E:E,E1039)/SUMIFS(L:L,R:R,1,E:E,E1039),"Вторая четверть","Больше половины"))</f>
        <v/>
      </c>
      <c r="Y1039" t="n">
        <v>23</v>
      </c>
    </row>
    <row r="1040">
      <c r="A1040" s="1" t="inlineStr">
        <is>
          <t>19400350</t>
        </is>
      </c>
      <c r="B1040" s="2" t="inlineStr">
        <is>
          <t>901505639</t>
        </is>
      </c>
      <c r="C1040" s="3" t="inlineStr">
        <is>
          <t>Одежда для детей</t>
        </is>
      </c>
      <c r="D1040" s="2" t="inlineStr">
        <is>
          <t>Брюки детские для девочек</t>
        </is>
      </c>
      <c r="E1040" s="3" t="inlineStr">
        <is>
          <t>194 Шорты детские для девочек</t>
        </is>
      </c>
      <c r="F1040" s="2" t="inlineStr">
        <is>
          <t>лето</t>
        </is>
      </c>
      <c r="G1040" s="3" t="inlineStr">
        <is>
          <t>kari</t>
        </is>
      </c>
      <c r="H1040" s="2" t="inlineStr">
        <is>
          <t>Зиннуров Ильнур</t>
        </is>
      </c>
      <c r="J1040" s="3" t="inlineStr">
        <is>
          <t>2026SS</t>
        </is>
      </c>
      <c r="K1040" s="3" t="n">
        <v>994</v>
      </c>
      <c r="L1040" s="3" t="n">
        <v>13</v>
      </c>
      <c r="M1040" s="3" t="n">
        <v>0</v>
      </c>
      <c r="N1040" s="4">
        <f>IFERROR(L1040/K1040,0)</f>
        <v/>
      </c>
      <c r="O1040" s="4">
        <f>IFERROR(M1040/L1040,0)</f>
        <v/>
      </c>
      <c r="P1040" t="n">
        <v>1020</v>
      </c>
      <c r="Q1040" s="5" t="n">
        <v>1</v>
      </c>
      <c r="R1040" s="7" t="n">
        <v>0</v>
      </c>
      <c r="S1040" t="inlineStr">
        <is>
          <t>Мало показов</t>
        </is>
      </c>
      <c r="T1040">
        <f>IF(N1040&lt;$T$1*0.5,"Низшая четверть",IF(N1040&lt;$T$1,"Вторая четверть","Больше половины"))</f>
        <v/>
      </c>
      <c r="U1040">
        <f>IF(O1040&lt;$U$1*0.5,"Низшая четверть",IF(O1040&lt;$U$1,"Вторая четверть","Больше половины"))</f>
        <v/>
      </c>
      <c r="V1040">
        <f>IF(OR(N1040&lt;SUMIFS(L:L,R:R,1,E:E,E1040)/SUMIFS(K:K,R:R,1,E:E,E1040)*0.5,O1040&lt;SUMIFS(M:M,R:R,1,E:E,E1040)/SUMIFS(L:L,R:R,1,E:E,E1040)*0.5),"код для проверки","нормальный код")</f>
        <v/>
      </c>
      <c r="W1040">
        <f>IF(N1040&lt;SUMIFS(L:L,R:R,1,E:E,E1040)/SUMIFS(K:K,R:R,1,E:E,E1040)*0.5,"Низшая четверть",IF(N1040&lt;SUMIFS(L:L,R:R,1,E:E,E1040)/SUMIFS(K:K,R:R,1,E:E,E1040),"Вторая четверть","Больше половины"))</f>
        <v/>
      </c>
      <c r="X1040">
        <f>IF(O1040&lt;SUMIFS(M:M,R:R,1,E:E,E1040)/SUMIFS(L:L,R:R,1,E:E,E1040)*0.5,"Низшая четверть",IF(O1040&lt;SUMIFS(M:M,R:R,1,E:E,E1040)/SUMIFS(L:L,R:R,1,E:E,E1040),"Вторая четверть","Больше половины"))</f>
        <v/>
      </c>
      <c r="Y1040" t="n">
        <v>18</v>
      </c>
    </row>
    <row r="1041">
      <c r="A1041" s="1" t="inlineStr">
        <is>
          <t>55300170</t>
        </is>
      </c>
      <c r="B1041" s="2" t="inlineStr">
        <is>
          <t>850546404</t>
        </is>
      </c>
      <c r="C1041" s="3" t="inlineStr">
        <is>
          <t>Одежда для детей</t>
        </is>
      </c>
      <c r="D1041" s="2" t="inlineStr">
        <is>
          <t>Брюки детские для мальчиков</t>
        </is>
      </c>
      <c r="E1041" s="3" t="inlineStr">
        <is>
          <t>553 Брюки детские для мальчиков</t>
        </is>
      </c>
      <c r="F1041" s="2" t="inlineStr">
        <is>
          <t>всесезонный</t>
        </is>
      </c>
      <c r="G1041" s="3" t="inlineStr">
        <is>
          <t>Kari KIDS</t>
        </is>
      </c>
      <c r="H1041" s="2" t="inlineStr">
        <is>
          <t>Зиннуров Ильнур</t>
        </is>
      </c>
      <c r="J1041" s="3" t="inlineStr">
        <is>
          <t>2026SS</t>
        </is>
      </c>
      <c r="K1041" s="3" t="n">
        <v>989</v>
      </c>
      <c r="L1041" s="3" t="n">
        <v>36</v>
      </c>
      <c r="M1041" s="3" t="n">
        <v>0</v>
      </c>
      <c r="N1041" s="4">
        <f>IFERROR(L1041/K1041,0)</f>
        <v/>
      </c>
      <c r="O1041" s="4">
        <f>IFERROR(M1041/L1041,0)</f>
        <v/>
      </c>
      <c r="P1041" t="n">
        <v>280</v>
      </c>
      <c r="Q1041" s="5" t="n">
        <v>1</v>
      </c>
      <c r="R1041" s="7" t="n">
        <v>0</v>
      </c>
      <c r="S1041" t="inlineStr">
        <is>
          <t>Мало показов</t>
        </is>
      </c>
      <c r="T1041">
        <f>IF(N1041&lt;$T$1*0.5,"Низшая четверть",IF(N1041&lt;$T$1,"Вторая четверть","Больше половины"))</f>
        <v/>
      </c>
      <c r="U1041">
        <f>IF(O1041&lt;$U$1*0.5,"Низшая четверть",IF(O1041&lt;$U$1,"Вторая четверть","Больше половины"))</f>
        <v/>
      </c>
      <c r="V1041">
        <f>IF(OR(N1041&lt;SUMIFS(L:L,R:R,1,E:E,E1041)/SUMIFS(K:K,R:R,1,E:E,E1041)*0.5,O1041&lt;SUMIFS(M:M,R:R,1,E:E,E1041)/SUMIFS(L:L,R:R,1,E:E,E1041)*0.5),"код для проверки","нормальный код")</f>
        <v/>
      </c>
      <c r="W1041">
        <f>IF(N1041&lt;SUMIFS(L:L,R:R,1,E:E,E1041)/SUMIFS(K:K,R:R,1,E:E,E1041)*0.5,"Низшая четверть",IF(N1041&lt;SUMIFS(L:L,R:R,1,E:E,E1041)/SUMIFS(K:K,R:R,1,E:E,E1041),"Вторая четверть","Больше половины"))</f>
        <v/>
      </c>
      <c r="X1041">
        <f>IF(O1041&lt;SUMIFS(M:M,R:R,1,E:E,E1041)/SUMIFS(L:L,R:R,1,E:E,E1041)*0.5,"Низшая четверть",IF(O1041&lt;SUMIFS(M:M,R:R,1,E:E,E1041)/SUMIFS(L:L,R:R,1,E:E,E1041),"Вторая четверть","Больше половины"))</f>
        <v/>
      </c>
      <c r="Y1041" t="n">
        <v>9</v>
      </c>
    </row>
    <row r="1042">
      <c r="A1042" s="1" t="inlineStr">
        <is>
          <t>30400000</t>
        </is>
      </c>
      <c r="B1042" s="2" t="inlineStr">
        <is>
          <t>701616662</t>
        </is>
      </c>
      <c r="C1042" s="3" t="inlineStr">
        <is>
          <t>Одежда и аксессуары</t>
        </is>
      </c>
      <c r="D1042" s="2" t="inlineStr">
        <is>
          <t>Майки и платья женские</t>
        </is>
      </c>
      <c r="E1042" s="3" t="inlineStr">
        <is>
          <t>304 Юбка женская</t>
        </is>
      </c>
      <c r="F1042" s="2" t="inlineStr">
        <is>
          <t>всесезонный</t>
        </is>
      </c>
      <c r="G1042" s="3" t="inlineStr">
        <is>
          <t>kari</t>
        </is>
      </c>
      <c r="H1042" s="2" t="inlineStr">
        <is>
          <t>Зиннуров Ильнур</t>
        </is>
      </c>
      <c r="J1042" s="3" t="inlineStr">
        <is>
          <t>2026SS</t>
        </is>
      </c>
      <c r="K1042" s="3" t="n">
        <v>986</v>
      </c>
      <c r="L1042" s="3" t="n">
        <v>141</v>
      </c>
      <c r="M1042" s="3" t="n">
        <v>2</v>
      </c>
      <c r="N1042" s="4">
        <f>IFERROR(L1042/K1042,0)</f>
        <v/>
      </c>
      <c r="O1042" s="4">
        <f>IFERROR(M1042/L1042,0)</f>
        <v/>
      </c>
      <c r="P1042" t="n">
        <v>276</v>
      </c>
      <c r="Q1042" s="5" t="n">
        <v>1</v>
      </c>
      <c r="R1042" s="7" t="n">
        <v>0</v>
      </c>
      <c r="S1042" t="inlineStr">
        <is>
          <t>Мало показов</t>
        </is>
      </c>
      <c r="T1042">
        <f>IF(N1042&lt;$T$1*0.5,"Низшая четверть",IF(N1042&lt;$T$1,"Вторая четверть","Больше половины"))</f>
        <v/>
      </c>
      <c r="U1042">
        <f>IF(O1042&lt;$U$1*0.5,"Низшая четверть",IF(O1042&lt;$U$1,"Вторая четверть","Больше половины"))</f>
        <v/>
      </c>
      <c r="V1042">
        <f>IF(OR(N1042&lt;SUMIFS(L:L,R:R,1,E:E,E1042)/SUMIFS(K:K,R:R,1,E:E,E1042)*0.5,O1042&lt;SUMIFS(M:M,R:R,1,E:E,E1042)/SUMIFS(L:L,R:R,1,E:E,E1042)*0.5),"код для проверки","нормальный код")</f>
        <v/>
      </c>
      <c r="W1042">
        <f>IF(N1042&lt;SUMIFS(L:L,R:R,1,E:E,E1042)/SUMIFS(K:K,R:R,1,E:E,E1042)*0.5,"Низшая четверть",IF(N1042&lt;SUMIFS(L:L,R:R,1,E:E,E1042)/SUMIFS(K:K,R:R,1,E:E,E1042),"Вторая четверть","Больше половины"))</f>
        <v/>
      </c>
      <c r="X1042">
        <f>IF(O1042&lt;SUMIFS(M:M,R:R,1,E:E,E1042)/SUMIFS(L:L,R:R,1,E:E,E1042)*0.5,"Низшая четверть",IF(O1042&lt;SUMIFS(M:M,R:R,1,E:E,E1042)/SUMIFS(L:L,R:R,1,E:E,E1042),"Вторая четверть","Больше половины"))</f>
        <v/>
      </c>
      <c r="Y1042" t="n">
        <v>28</v>
      </c>
    </row>
    <row r="1043">
      <c r="A1043" s="1" t="inlineStr">
        <is>
          <t>29200210</t>
        </is>
      </c>
      <c r="B1043" s="2" t="inlineStr">
        <is>
          <t>848482152</t>
        </is>
      </c>
      <c r="C1043" s="3" t="inlineStr">
        <is>
          <t>Одежда для детей</t>
        </is>
      </c>
      <c r="D1043" s="2" t="inlineStr">
        <is>
          <t>Платья, майки, футболки детские для девочек</t>
        </is>
      </c>
      <c r="E1043" s="3" t="inlineStr">
        <is>
          <t>292 Сарафан детский для девочек</t>
        </is>
      </c>
      <c r="F1043" s="2" t="inlineStr">
        <is>
          <t>лето</t>
        </is>
      </c>
      <c r="G1043" s="3" t="inlineStr">
        <is>
          <t>Kari KIDS</t>
        </is>
      </c>
      <c r="H1043" s="2" t="inlineStr">
        <is>
          <t>Зиннуров Ильнур</t>
        </is>
      </c>
      <c r="J1043" s="3" t="inlineStr">
        <is>
          <t>2026SS</t>
        </is>
      </c>
      <c r="K1043" s="3" t="n">
        <v>986</v>
      </c>
      <c r="L1043" s="3" t="n">
        <v>33</v>
      </c>
      <c r="M1043" s="3" t="n">
        <v>0</v>
      </c>
      <c r="N1043" s="4">
        <f>IFERROR(L1043/K1043,0)</f>
        <v/>
      </c>
      <c r="O1043" s="4">
        <f>IFERROR(M1043/L1043,0)</f>
        <v/>
      </c>
      <c r="P1043" t="n">
        <v>401</v>
      </c>
      <c r="Q1043" s="5" t="n">
        <v>1</v>
      </c>
      <c r="R1043" s="7" t="n">
        <v>0</v>
      </c>
      <c r="S1043" t="inlineStr">
        <is>
          <t>Мало показов</t>
        </is>
      </c>
      <c r="T1043">
        <f>IF(N1043&lt;$T$1*0.5,"Низшая четверть",IF(N1043&lt;$T$1,"Вторая четверть","Больше половины"))</f>
        <v/>
      </c>
      <c r="U1043">
        <f>IF(O1043&lt;$U$1*0.5,"Низшая четверть",IF(O1043&lt;$U$1,"Вторая четверть","Больше половины"))</f>
        <v/>
      </c>
      <c r="V1043">
        <f>IF(OR(N1043&lt;SUMIFS(L:L,R:R,1,E:E,E1043)/SUMIFS(K:K,R:R,1,E:E,E1043)*0.5,O1043&lt;SUMIFS(M:M,R:R,1,E:E,E1043)/SUMIFS(L:L,R:R,1,E:E,E1043)*0.5),"код для проверки","нормальный код")</f>
        <v/>
      </c>
      <c r="W1043">
        <f>IF(N1043&lt;SUMIFS(L:L,R:R,1,E:E,E1043)/SUMIFS(K:K,R:R,1,E:E,E1043)*0.5,"Низшая четверть",IF(N1043&lt;SUMIFS(L:L,R:R,1,E:E,E1043)/SUMIFS(K:K,R:R,1,E:E,E1043),"Вторая четверть","Больше половины"))</f>
        <v/>
      </c>
      <c r="X1043">
        <f>IF(O1043&lt;SUMIFS(M:M,R:R,1,E:E,E1043)/SUMIFS(L:L,R:R,1,E:E,E1043)*0.5,"Низшая четверть",IF(O1043&lt;SUMIFS(M:M,R:R,1,E:E,E1043)/SUMIFS(L:L,R:R,1,E:E,E1043),"Вторая четверть","Больше половины"))</f>
        <v/>
      </c>
      <c r="Y1043" t="n">
        <v>18</v>
      </c>
    </row>
    <row r="1044">
      <c r="A1044" s="1" t="inlineStr">
        <is>
          <t>h7700160</t>
        </is>
      </c>
      <c r="B1044" s="2" t="inlineStr">
        <is>
          <t>782180837</t>
        </is>
      </c>
      <c r="C1044" s="3" t="inlineStr">
        <is>
          <t>Одежда и аксессуары</t>
        </is>
      </c>
      <c r="D1044" s="2" t="inlineStr">
        <is>
          <t>Купальники женские</t>
        </is>
      </c>
      <c r="E1044" s="3" t="inlineStr">
        <is>
          <t>h77 Одежда пляжная женская</t>
        </is>
      </c>
      <c r="F1044" s="2" t="inlineStr">
        <is>
          <t>лето</t>
        </is>
      </c>
      <c r="G1044" s="3" t="inlineStr">
        <is>
          <t>kari</t>
        </is>
      </c>
      <c r="H1044" s="2" t="inlineStr">
        <is>
          <t>Зиннуров Ильнур</t>
        </is>
      </c>
      <c r="J1044" s="3" t="inlineStr">
        <is>
          <t>2026SS</t>
        </is>
      </c>
      <c r="K1044" s="3" t="n">
        <v>980</v>
      </c>
      <c r="L1044" s="3" t="n">
        <v>166</v>
      </c>
      <c r="M1044" s="3" t="n">
        <v>0</v>
      </c>
      <c r="N1044" s="4">
        <f>IFERROR(L1044/K1044,0)</f>
        <v/>
      </c>
      <c r="O1044" s="4">
        <f>IFERROR(M1044/L1044,0)</f>
        <v/>
      </c>
      <c r="P1044" t="n">
        <v>1457</v>
      </c>
      <c r="Q1044" s="5" t="n">
        <v>1</v>
      </c>
      <c r="R1044" s="7" t="n">
        <v>0</v>
      </c>
      <c r="S1044" t="inlineStr">
        <is>
          <t>Мало показов</t>
        </is>
      </c>
      <c r="T1044">
        <f>IF(N1044&lt;$T$1*0.5,"Низшая четверть",IF(N1044&lt;$T$1,"Вторая четверть","Больше половины"))</f>
        <v/>
      </c>
      <c r="U1044">
        <f>IF(O1044&lt;$U$1*0.5,"Низшая четверть",IF(O1044&lt;$U$1,"Вторая четверть","Больше половины"))</f>
        <v/>
      </c>
      <c r="V1044">
        <f>IF(OR(N1044&lt;SUMIFS(L:L,R:R,1,E:E,E1044)/SUMIFS(K:K,R:R,1,E:E,E1044)*0.5,O1044&lt;SUMIFS(M:M,R:R,1,E:E,E1044)/SUMIFS(L:L,R:R,1,E:E,E1044)*0.5),"код для проверки","нормальный код")</f>
        <v/>
      </c>
      <c r="W1044">
        <f>IF(N1044&lt;SUMIFS(L:L,R:R,1,E:E,E1044)/SUMIFS(K:K,R:R,1,E:E,E1044)*0.5,"Низшая четверть",IF(N1044&lt;SUMIFS(L:L,R:R,1,E:E,E1044)/SUMIFS(K:K,R:R,1,E:E,E1044),"Вторая четверть","Больше половины"))</f>
        <v/>
      </c>
      <c r="X1044">
        <f>IF(O1044&lt;SUMIFS(M:M,R:R,1,E:E,E1044)/SUMIFS(L:L,R:R,1,E:E,E1044)*0.5,"Низшая четверть",IF(O1044&lt;SUMIFS(M:M,R:R,1,E:E,E1044)/SUMIFS(L:L,R:R,1,E:E,E1044),"Вторая четверть","Больше половины"))</f>
        <v/>
      </c>
      <c r="Y1044" t="n">
        <v>5</v>
      </c>
    </row>
    <row r="1045">
      <c r="A1045" s="1" t="inlineStr">
        <is>
          <t>94000340</t>
        </is>
      </c>
      <c r="B1045" s="2" t="inlineStr">
        <is>
          <t>918239097</t>
        </is>
      </c>
      <c r="C1045" s="3" t="inlineStr">
        <is>
          <t>Одежда для детей</t>
        </is>
      </c>
      <c r="D1045" s="2" t="inlineStr">
        <is>
          <t>Одежда для новорожденных</t>
        </is>
      </c>
      <c r="E1045" s="3" t="inlineStr">
        <is>
          <t>940 Футболка для маленького мальчика</t>
        </is>
      </c>
      <c r="F1045" s="2" t="inlineStr">
        <is>
          <t>всесезонный</t>
        </is>
      </c>
      <c r="G1045" s="3" t="inlineStr">
        <is>
          <t>Kari baby</t>
        </is>
      </c>
      <c r="H1045" s="2" t="inlineStr">
        <is>
          <t>Зиннуров Ильнур</t>
        </is>
      </c>
      <c r="J1045" s="3" t="inlineStr">
        <is>
          <t>2026SS</t>
        </is>
      </c>
      <c r="K1045" s="3" t="n">
        <v>967</v>
      </c>
      <c r="L1045" s="3" t="n">
        <v>39</v>
      </c>
      <c r="M1045" s="3" t="n">
        <v>1</v>
      </c>
      <c r="N1045" s="4">
        <f>IFERROR(L1045/K1045,0)</f>
        <v/>
      </c>
      <c r="O1045" s="4">
        <f>IFERROR(M1045/L1045,0)</f>
        <v/>
      </c>
      <c r="P1045" t="n">
        <v>509</v>
      </c>
      <c r="Q1045" s="5" t="n">
        <v>1</v>
      </c>
      <c r="R1045" s="7" t="n">
        <v>0</v>
      </c>
      <c r="S1045" t="inlineStr">
        <is>
          <t>Мало показов</t>
        </is>
      </c>
      <c r="T1045">
        <f>IF(N1045&lt;$T$1*0.5,"Низшая четверть",IF(N1045&lt;$T$1,"Вторая четверть","Больше половины"))</f>
        <v/>
      </c>
      <c r="U1045">
        <f>IF(O1045&lt;$U$1*0.5,"Низшая четверть",IF(O1045&lt;$U$1,"Вторая четверть","Больше половины"))</f>
        <v/>
      </c>
      <c r="V1045">
        <f>IF(OR(N1045&lt;SUMIFS(L:L,R:R,1,E:E,E1045)/SUMIFS(K:K,R:R,1,E:E,E1045)*0.5,O1045&lt;SUMIFS(M:M,R:R,1,E:E,E1045)/SUMIFS(L:L,R:R,1,E:E,E1045)*0.5),"код для проверки","нормальный код")</f>
        <v/>
      </c>
      <c r="W1045">
        <f>IF(N1045&lt;SUMIFS(L:L,R:R,1,E:E,E1045)/SUMIFS(K:K,R:R,1,E:E,E1045)*0.5,"Низшая четверть",IF(N1045&lt;SUMIFS(L:L,R:R,1,E:E,E1045)/SUMIFS(K:K,R:R,1,E:E,E1045),"Вторая четверть","Больше половины"))</f>
        <v/>
      </c>
      <c r="X1045">
        <f>IF(O1045&lt;SUMIFS(M:M,R:R,1,E:E,E1045)/SUMIFS(L:L,R:R,1,E:E,E1045)*0.5,"Низшая четверть",IF(O1045&lt;SUMIFS(M:M,R:R,1,E:E,E1045)/SUMIFS(L:L,R:R,1,E:E,E1045),"Вторая четверть","Больше половины"))</f>
        <v/>
      </c>
      <c r="Y1045" t="n">
        <v>12</v>
      </c>
    </row>
    <row r="1046">
      <c r="A1046" s="1" t="inlineStr">
        <is>
          <t>18400130</t>
        </is>
      </c>
      <c r="B1046" s="2" t="inlineStr">
        <is>
          <t>932503568</t>
        </is>
      </c>
      <c r="C1046" s="3" t="inlineStr">
        <is>
          <t>Одежда и аксессуары</t>
        </is>
      </c>
      <c r="D1046" s="2" t="inlineStr">
        <is>
          <t>Майки и платья женские</t>
        </is>
      </c>
      <c r="E1046" s="3" t="inlineStr">
        <is>
          <t>184 Женская футболка</t>
        </is>
      </c>
      <c r="F1046" s="2" t="inlineStr">
        <is>
          <t>всесезонный</t>
        </is>
      </c>
      <c r="G1046" s="3" t="inlineStr">
        <is>
          <t>kari</t>
        </is>
      </c>
      <c r="H1046" s="2" t="inlineStr">
        <is>
          <t>Зиннуров Ильнур</t>
        </is>
      </c>
      <c r="J1046" s="3" t="inlineStr">
        <is>
          <t>2026SS</t>
        </is>
      </c>
      <c r="K1046" s="3" t="n">
        <v>967</v>
      </c>
      <c r="L1046" s="3" t="n">
        <v>7</v>
      </c>
      <c r="M1046" s="3" t="n">
        <v>0</v>
      </c>
      <c r="N1046" s="4">
        <f>IFERROR(L1046/K1046,0)</f>
        <v/>
      </c>
      <c r="O1046" s="4">
        <f>IFERROR(M1046/L1046,0)</f>
        <v/>
      </c>
      <c r="P1046" t="n">
        <v>89</v>
      </c>
      <c r="Q1046" s="5" t="n">
        <v>0.6</v>
      </c>
      <c r="R1046" s="7" t="n">
        <v>0</v>
      </c>
      <c r="S1046" t="inlineStr">
        <is>
          <t>Мало показов</t>
        </is>
      </c>
      <c r="T1046">
        <f>IF(N1046&lt;$T$1*0.5,"Низшая четверть",IF(N1046&lt;$T$1,"Вторая четверть","Больше половины"))</f>
        <v/>
      </c>
      <c r="U1046">
        <f>IF(O1046&lt;$U$1*0.5,"Низшая четверть",IF(O1046&lt;$U$1,"Вторая четверть","Больше половины"))</f>
        <v/>
      </c>
      <c r="V1046">
        <f>IF(OR(N1046&lt;SUMIFS(L:L,R:R,1,E:E,E1046)/SUMIFS(K:K,R:R,1,E:E,E1046)*0.5,O1046&lt;SUMIFS(M:M,R:R,1,E:E,E1046)/SUMIFS(L:L,R:R,1,E:E,E1046)*0.5),"код для проверки","нормальный код")</f>
        <v/>
      </c>
      <c r="W1046">
        <f>IF(N1046&lt;SUMIFS(L:L,R:R,1,E:E,E1046)/SUMIFS(K:K,R:R,1,E:E,E1046)*0.5,"Низшая четверть",IF(N1046&lt;SUMIFS(L:L,R:R,1,E:E,E1046)/SUMIFS(K:K,R:R,1,E:E,E1046),"Вторая четверть","Больше половины"))</f>
        <v/>
      </c>
      <c r="X1046">
        <f>IF(O1046&lt;SUMIFS(M:M,R:R,1,E:E,E1046)/SUMIFS(L:L,R:R,1,E:E,E1046)*0.5,"Низшая четверть",IF(O1046&lt;SUMIFS(M:M,R:R,1,E:E,E1046)/SUMIFS(L:L,R:R,1,E:E,E1046),"Вторая четверть","Больше половины"))</f>
        <v/>
      </c>
      <c r="Y1046" t="n">
        <v>11</v>
      </c>
    </row>
    <row r="1047">
      <c r="A1047" s="1" t="inlineStr">
        <is>
          <t>19300460</t>
        </is>
      </c>
      <c r="B1047" s="2" t="inlineStr">
        <is>
          <t>837332380</t>
        </is>
      </c>
      <c r="C1047" s="3" t="inlineStr">
        <is>
          <t>Одежда для детей</t>
        </is>
      </c>
      <c r="D1047" s="2" t="inlineStr">
        <is>
          <t>Брюки детские для мальчиков</t>
        </is>
      </c>
      <c r="E1047" s="3" t="inlineStr">
        <is>
          <t>193 Шорты детские для мальчиков</t>
        </is>
      </c>
      <c r="F1047" s="2" t="inlineStr">
        <is>
          <t>лето</t>
        </is>
      </c>
      <c r="G1047" s="3" t="inlineStr">
        <is>
          <t>kari</t>
        </is>
      </c>
      <c r="H1047" s="2" t="inlineStr">
        <is>
          <t>Зиннуров Ильнур</t>
        </is>
      </c>
      <c r="J1047" s="3" t="inlineStr">
        <is>
          <t>2026SS</t>
        </is>
      </c>
      <c r="K1047" s="3" t="n">
        <v>965</v>
      </c>
      <c r="L1047" s="3" t="n">
        <v>49</v>
      </c>
      <c r="M1047" s="3" t="n">
        <v>2</v>
      </c>
      <c r="N1047" s="4">
        <f>IFERROR(L1047/K1047,0)</f>
        <v/>
      </c>
      <c r="O1047" s="4">
        <f>IFERROR(M1047/L1047,0)</f>
        <v/>
      </c>
      <c r="P1047" t="n">
        <v>677</v>
      </c>
      <c r="Q1047" s="5" t="n">
        <v>1</v>
      </c>
      <c r="R1047" s="7" t="n">
        <v>0</v>
      </c>
      <c r="S1047" t="inlineStr">
        <is>
          <t>Мало показов</t>
        </is>
      </c>
      <c r="T1047">
        <f>IF(N1047&lt;$T$1*0.5,"Низшая четверть",IF(N1047&lt;$T$1,"Вторая четверть","Больше половины"))</f>
        <v/>
      </c>
      <c r="U1047">
        <f>IF(O1047&lt;$U$1*0.5,"Низшая четверть",IF(O1047&lt;$U$1,"Вторая четверть","Больше половины"))</f>
        <v/>
      </c>
      <c r="V1047">
        <f>IF(OR(N1047&lt;SUMIFS(L:L,R:R,1,E:E,E1047)/SUMIFS(K:K,R:R,1,E:E,E1047)*0.5,O1047&lt;SUMIFS(M:M,R:R,1,E:E,E1047)/SUMIFS(L:L,R:R,1,E:E,E1047)*0.5),"код для проверки","нормальный код")</f>
        <v/>
      </c>
      <c r="W1047">
        <f>IF(N1047&lt;SUMIFS(L:L,R:R,1,E:E,E1047)/SUMIFS(K:K,R:R,1,E:E,E1047)*0.5,"Низшая четверть",IF(N1047&lt;SUMIFS(L:L,R:R,1,E:E,E1047)/SUMIFS(K:K,R:R,1,E:E,E1047),"Вторая четверть","Больше половины"))</f>
        <v/>
      </c>
      <c r="X1047">
        <f>IF(O1047&lt;SUMIFS(M:M,R:R,1,E:E,E1047)/SUMIFS(L:L,R:R,1,E:E,E1047)*0.5,"Низшая четверть",IF(O1047&lt;SUMIFS(M:M,R:R,1,E:E,E1047)/SUMIFS(L:L,R:R,1,E:E,E1047),"Вторая четверть","Больше половины"))</f>
        <v/>
      </c>
      <c r="Y1047" t="n">
        <v>18</v>
      </c>
    </row>
    <row r="1048">
      <c r="A1048" s="1" t="inlineStr">
        <is>
          <t>a60000B0</t>
        </is>
      </c>
      <c r="B1048" s="2" t="inlineStr">
        <is>
          <t>847883958</t>
        </is>
      </c>
      <c r="C1048" s="3" t="inlineStr">
        <is>
          <t>Одежда для детей</t>
        </is>
      </c>
      <c r="D1048" s="2" t="inlineStr">
        <is>
          <t>Платья, майки, футболки детские для девочек</t>
        </is>
      </c>
      <c r="E1048" s="3" t="inlineStr">
        <is>
          <t>a60 Футболка детская для девочек</t>
        </is>
      </c>
      <c r="F1048" s="2" t="inlineStr">
        <is>
          <t>всесезонный</t>
        </is>
      </c>
      <c r="G1048" s="3" t="inlineStr">
        <is>
          <t>Kari KIDS</t>
        </is>
      </c>
      <c r="H1048" s="2" t="inlineStr">
        <is>
          <t>Зиннуров Ильнур</t>
        </is>
      </c>
      <c r="J1048" s="3" t="inlineStr">
        <is>
          <t>2026SS</t>
        </is>
      </c>
      <c r="K1048" s="3" t="n">
        <v>942</v>
      </c>
      <c r="L1048" s="3" t="n">
        <v>38</v>
      </c>
      <c r="M1048" s="3" t="n">
        <v>0</v>
      </c>
      <c r="N1048" s="4">
        <f>IFERROR(L1048/K1048,0)</f>
        <v/>
      </c>
      <c r="O1048" s="4">
        <f>IFERROR(M1048/L1048,0)</f>
        <v/>
      </c>
      <c r="P1048" t="n">
        <v>180</v>
      </c>
      <c r="Q1048" s="5" t="n">
        <v>1</v>
      </c>
      <c r="R1048" s="7" t="n">
        <v>0</v>
      </c>
      <c r="S1048" t="inlineStr">
        <is>
          <t>Мало показов</t>
        </is>
      </c>
      <c r="T1048">
        <f>IF(N1048&lt;$T$1*0.5,"Низшая четверть",IF(N1048&lt;$T$1,"Вторая четверть","Больше половины"))</f>
        <v/>
      </c>
      <c r="U1048">
        <f>IF(O1048&lt;$U$1*0.5,"Низшая четверть",IF(O1048&lt;$U$1,"Вторая четверть","Больше половины"))</f>
        <v/>
      </c>
      <c r="V1048">
        <f>IF(OR(N1048&lt;SUMIFS(L:L,R:R,1,E:E,E1048)/SUMIFS(K:K,R:R,1,E:E,E1048)*0.5,O1048&lt;SUMIFS(M:M,R:R,1,E:E,E1048)/SUMIFS(L:L,R:R,1,E:E,E1048)*0.5),"код для проверки","нормальный код")</f>
        <v/>
      </c>
      <c r="W1048">
        <f>IF(N1048&lt;SUMIFS(L:L,R:R,1,E:E,E1048)/SUMIFS(K:K,R:R,1,E:E,E1048)*0.5,"Низшая четверть",IF(N1048&lt;SUMIFS(L:L,R:R,1,E:E,E1048)/SUMIFS(K:K,R:R,1,E:E,E1048),"Вторая четверть","Больше половины"))</f>
        <v/>
      </c>
      <c r="X1048">
        <f>IF(O1048&lt;SUMIFS(M:M,R:R,1,E:E,E1048)/SUMIFS(L:L,R:R,1,E:E,E1048)*0.5,"Низшая четверть",IF(O1048&lt;SUMIFS(M:M,R:R,1,E:E,E1048)/SUMIFS(L:L,R:R,1,E:E,E1048),"Вторая четверть","Больше половины"))</f>
        <v/>
      </c>
      <c r="Y1048" t="n">
        <v>14</v>
      </c>
    </row>
    <row r="1049">
      <c r="A1049" s="1" t="inlineStr">
        <is>
          <t>h1000190</t>
        </is>
      </c>
      <c r="B1049" s="2" t="inlineStr">
        <is>
          <t>932503684</t>
        </is>
      </c>
      <c r="C1049" s="3" t="inlineStr">
        <is>
          <t>Одежда и аксессуары</t>
        </is>
      </c>
      <c r="D1049" s="2" t="inlineStr">
        <is>
          <t>Футболки, рубашки мужские</t>
        </is>
      </c>
      <c r="E1049" s="3" t="inlineStr">
        <is>
          <t>h10 Футболка мужская</t>
        </is>
      </c>
      <c r="F1049" s="2" t="inlineStr">
        <is>
          <t>всесезонный</t>
        </is>
      </c>
      <c r="G1049" s="3" t="inlineStr">
        <is>
          <t>kari</t>
        </is>
      </c>
      <c r="H1049" s="2" t="inlineStr">
        <is>
          <t>Зиннуров Ильнур</t>
        </is>
      </c>
      <c r="J1049" s="3" t="inlineStr">
        <is>
          <t>2026SS</t>
        </is>
      </c>
      <c r="K1049" s="3" t="n">
        <v>938</v>
      </c>
      <c r="L1049" s="3" t="n">
        <v>23</v>
      </c>
      <c r="M1049" s="3" t="n">
        <v>1</v>
      </c>
      <c r="N1049" s="4">
        <f>IFERROR(L1049/K1049,0)</f>
        <v/>
      </c>
      <c r="O1049" s="4">
        <f>IFERROR(M1049/L1049,0)</f>
        <v/>
      </c>
      <c r="P1049" t="n">
        <v>152</v>
      </c>
      <c r="Q1049" s="5" t="n">
        <v>0.8</v>
      </c>
      <c r="R1049" s="7" t="n">
        <v>0</v>
      </c>
      <c r="S1049" t="inlineStr">
        <is>
          <t>Мало показов</t>
        </is>
      </c>
      <c r="T1049">
        <f>IF(N1049&lt;$T$1*0.5,"Низшая четверть",IF(N1049&lt;$T$1,"Вторая четверть","Больше половины"))</f>
        <v/>
      </c>
      <c r="U1049">
        <f>IF(O1049&lt;$U$1*0.5,"Низшая четверть",IF(O1049&lt;$U$1,"Вторая четверть","Больше половины"))</f>
        <v/>
      </c>
      <c r="V1049">
        <f>IF(OR(N1049&lt;SUMIFS(L:L,R:R,1,E:E,E1049)/SUMIFS(K:K,R:R,1,E:E,E1049)*0.5,O1049&lt;SUMIFS(M:M,R:R,1,E:E,E1049)/SUMIFS(L:L,R:R,1,E:E,E1049)*0.5),"код для проверки","нормальный код")</f>
        <v/>
      </c>
      <c r="W1049">
        <f>IF(N1049&lt;SUMIFS(L:L,R:R,1,E:E,E1049)/SUMIFS(K:K,R:R,1,E:E,E1049)*0.5,"Низшая четверть",IF(N1049&lt;SUMIFS(L:L,R:R,1,E:E,E1049)/SUMIFS(K:K,R:R,1,E:E,E1049),"Вторая четверть","Больше половины"))</f>
        <v/>
      </c>
      <c r="X1049">
        <f>IF(O1049&lt;SUMIFS(M:M,R:R,1,E:E,E1049)/SUMIFS(L:L,R:R,1,E:E,E1049)*0.5,"Низшая четверть",IF(O1049&lt;SUMIFS(M:M,R:R,1,E:E,E1049)/SUMIFS(L:L,R:R,1,E:E,E1049),"Вторая четверть","Больше половины"))</f>
        <v/>
      </c>
      <c r="Y1049" t="n">
        <v>9</v>
      </c>
    </row>
    <row r="1050">
      <c r="A1050" s="1" t="inlineStr">
        <is>
          <t>56100240</t>
        </is>
      </c>
      <c r="B1050" s="2" t="inlineStr">
        <is>
          <t>918261426</t>
        </is>
      </c>
      <c r="C1050" s="3" t="inlineStr">
        <is>
          <t>Одежда для детей</t>
        </is>
      </c>
      <c r="D1050" s="2" t="inlineStr">
        <is>
          <t>Нижнее белье детское для мальчиков</t>
        </is>
      </c>
      <c r="E1050" s="3" t="inlineStr">
        <is>
          <t>561 Майка детская для мальчиков</t>
        </is>
      </c>
      <c r="F1050" s="2" t="inlineStr">
        <is>
          <t>всесезонный</t>
        </is>
      </c>
      <c r="G1050" s="3" t="inlineStr">
        <is>
          <t>Kari KIDS</t>
        </is>
      </c>
      <c r="H1050" s="2" t="inlineStr">
        <is>
          <t>Зиннуров Ильнур</t>
        </is>
      </c>
      <c r="J1050" s="3" t="inlineStr">
        <is>
          <t>2026SS</t>
        </is>
      </c>
      <c r="K1050" s="3" t="n">
        <v>932</v>
      </c>
      <c r="L1050" s="3" t="n">
        <v>13</v>
      </c>
      <c r="M1050" s="3" t="n">
        <v>1</v>
      </c>
      <c r="N1050" s="4">
        <f>IFERROR(L1050/K1050,0)</f>
        <v/>
      </c>
      <c r="O1050" s="4">
        <f>IFERROR(M1050/L1050,0)</f>
        <v/>
      </c>
      <c r="P1050" t="n">
        <v>420</v>
      </c>
      <c r="Q1050" s="5" t="n">
        <v>1</v>
      </c>
      <c r="R1050" s="7" t="n">
        <v>0</v>
      </c>
      <c r="S1050" t="inlineStr">
        <is>
          <t>Мало показов</t>
        </is>
      </c>
      <c r="T1050">
        <f>IF(N1050&lt;$T$1*0.5,"Низшая четверть",IF(N1050&lt;$T$1,"Вторая четверть","Больше половины"))</f>
        <v/>
      </c>
      <c r="U1050">
        <f>IF(O1050&lt;$U$1*0.5,"Низшая четверть",IF(O1050&lt;$U$1,"Вторая четверть","Больше половины"))</f>
        <v/>
      </c>
      <c r="V1050">
        <f>IF(OR(N1050&lt;SUMIFS(L:L,R:R,1,E:E,E1050)/SUMIFS(K:K,R:R,1,E:E,E1050)*0.5,O1050&lt;SUMIFS(M:M,R:R,1,E:E,E1050)/SUMIFS(L:L,R:R,1,E:E,E1050)*0.5),"код для проверки","нормальный код")</f>
        <v/>
      </c>
      <c r="W1050">
        <f>IF(N1050&lt;SUMIFS(L:L,R:R,1,E:E,E1050)/SUMIFS(K:K,R:R,1,E:E,E1050)*0.5,"Низшая четверть",IF(N1050&lt;SUMIFS(L:L,R:R,1,E:E,E1050)/SUMIFS(K:K,R:R,1,E:E,E1050),"Вторая четверть","Больше половины"))</f>
        <v/>
      </c>
      <c r="X1050">
        <f>IF(O1050&lt;SUMIFS(M:M,R:R,1,E:E,E1050)/SUMIFS(L:L,R:R,1,E:E,E1050)*0.5,"Низшая четверть",IF(O1050&lt;SUMIFS(M:M,R:R,1,E:E,E1050)/SUMIFS(L:L,R:R,1,E:E,E1050),"Вторая четверть","Больше половины"))</f>
        <v/>
      </c>
      <c r="Y1050" t="n">
        <v>8</v>
      </c>
    </row>
    <row r="1051">
      <c r="A1051" s="1" t="inlineStr">
        <is>
          <t>b5000000</t>
        </is>
      </c>
      <c r="B1051" s="2" t="inlineStr">
        <is>
          <t>932503545</t>
        </is>
      </c>
      <c r="C1051" s="3" t="inlineStr">
        <is>
          <t>Одежда и аксессуары</t>
        </is>
      </c>
      <c r="D1051" s="2" t="inlineStr">
        <is>
          <t>Майки и платья женские</t>
        </is>
      </c>
      <c r="E1051" s="3" t="inlineStr">
        <is>
          <t>b50 Футболка женская для активного отдыха</t>
        </is>
      </c>
      <c r="F1051" s="2" t="inlineStr">
        <is>
          <t>всесезонный</t>
        </is>
      </c>
      <c r="G1051" s="3" t="inlineStr">
        <is>
          <t>kari</t>
        </is>
      </c>
      <c r="H1051" s="2" t="inlineStr">
        <is>
          <t>Зиннуров Ильнур</t>
        </is>
      </c>
      <c r="J1051" s="3" t="inlineStr">
        <is>
          <t>2026SS</t>
        </is>
      </c>
      <c r="K1051" s="3" t="n">
        <v>924</v>
      </c>
      <c r="L1051" s="3" t="n">
        <v>14</v>
      </c>
      <c r="M1051" s="3" t="n">
        <v>0</v>
      </c>
      <c r="N1051" s="4">
        <f>IFERROR(L1051/K1051,0)</f>
        <v/>
      </c>
      <c r="O1051" s="4">
        <f>IFERROR(M1051/L1051,0)</f>
        <v/>
      </c>
      <c r="P1051" t="n">
        <v>119</v>
      </c>
      <c r="Q1051" s="5" t="n">
        <v>0.75</v>
      </c>
      <c r="R1051" s="7" t="n">
        <v>0</v>
      </c>
      <c r="S1051" t="inlineStr">
        <is>
          <t>Мало показов</t>
        </is>
      </c>
      <c r="T1051">
        <f>IF(N1051&lt;$T$1*0.5,"Низшая четверть",IF(N1051&lt;$T$1,"Вторая четверть","Больше половины"))</f>
        <v/>
      </c>
      <c r="U1051">
        <f>IF(O1051&lt;$U$1*0.5,"Низшая четверть",IF(O1051&lt;$U$1,"Вторая четверть","Больше половины"))</f>
        <v/>
      </c>
      <c r="V1051">
        <f>IF(OR(N1051&lt;SUMIFS(L:L,R:R,1,E:E,E1051)/SUMIFS(K:K,R:R,1,E:E,E1051)*0.5,O1051&lt;SUMIFS(M:M,R:R,1,E:E,E1051)/SUMIFS(L:L,R:R,1,E:E,E1051)*0.5),"код для проверки","нормальный код")</f>
        <v/>
      </c>
      <c r="W1051">
        <f>IF(N1051&lt;SUMIFS(L:L,R:R,1,E:E,E1051)/SUMIFS(K:K,R:R,1,E:E,E1051)*0.5,"Низшая четверть",IF(N1051&lt;SUMIFS(L:L,R:R,1,E:E,E1051)/SUMIFS(K:K,R:R,1,E:E,E1051),"Вторая четверть","Больше половины"))</f>
        <v/>
      </c>
      <c r="X1051">
        <f>IF(O1051&lt;SUMIFS(M:M,R:R,1,E:E,E1051)/SUMIFS(L:L,R:R,1,E:E,E1051)*0.5,"Низшая четверть",IF(O1051&lt;SUMIFS(M:M,R:R,1,E:E,E1051)/SUMIFS(L:L,R:R,1,E:E,E1051),"Вторая четверть","Больше половины"))</f>
        <v/>
      </c>
      <c r="Y1051" t="n">
        <v>8</v>
      </c>
    </row>
    <row r="1052">
      <c r="A1052" s="1" t="inlineStr">
        <is>
          <t>57300220</t>
        </is>
      </c>
      <c r="B1052" s="2" t="inlineStr">
        <is>
          <t>936629580</t>
        </is>
      </c>
      <c r="C1052" s="3" t="inlineStr">
        <is>
          <t>Одежда для детей</t>
        </is>
      </c>
      <c r="D1052" s="2" t="inlineStr">
        <is>
          <t>Одежда для новорожденных</t>
        </is>
      </c>
      <c r="E1052" s="3" t="inlineStr">
        <is>
          <t>573 Штанишки для маленькой девочки</t>
        </is>
      </c>
      <c r="F1052" s="2" t="inlineStr">
        <is>
          <t>всесезонный</t>
        </is>
      </c>
      <c r="G1052" s="3" t="inlineStr">
        <is>
          <t>Kari baby</t>
        </is>
      </c>
      <c r="H1052" s="2" t="inlineStr">
        <is>
          <t>Зиннуров Ильнур</t>
        </is>
      </c>
      <c r="J1052" s="3" t="inlineStr">
        <is>
          <t>2026SS</t>
        </is>
      </c>
      <c r="K1052" s="3" t="n">
        <v>916</v>
      </c>
      <c r="L1052" s="3" t="n">
        <v>22</v>
      </c>
      <c r="M1052" s="3" t="n">
        <v>0</v>
      </c>
      <c r="N1052" s="4">
        <f>IFERROR(L1052/K1052,0)</f>
        <v/>
      </c>
      <c r="O1052" s="4">
        <f>IFERROR(M1052/L1052,0)</f>
        <v/>
      </c>
      <c r="P1052" t="n">
        <v>341</v>
      </c>
      <c r="Q1052" s="5" t="n">
        <v>1</v>
      </c>
      <c r="R1052" s="7" t="n">
        <v>0</v>
      </c>
      <c r="S1052" t="inlineStr">
        <is>
          <t>Мало показов</t>
        </is>
      </c>
      <c r="T1052">
        <f>IF(N1052&lt;$T$1*0.5,"Низшая четверть",IF(N1052&lt;$T$1,"Вторая четверть","Больше половины"))</f>
        <v/>
      </c>
      <c r="U1052">
        <f>IF(O1052&lt;$U$1*0.5,"Низшая четверть",IF(O1052&lt;$U$1,"Вторая четверть","Больше половины"))</f>
        <v/>
      </c>
      <c r="V1052">
        <f>IF(OR(N1052&lt;SUMIFS(L:L,R:R,1,E:E,E1052)/SUMIFS(K:K,R:R,1,E:E,E1052)*0.5,O1052&lt;SUMIFS(M:M,R:R,1,E:E,E1052)/SUMIFS(L:L,R:R,1,E:E,E1052)*0.5),"код для проверки","нормальный код")</f>
        <v/>
      </c>
      <c r="W1052">
        <f>IF(N1052&lt;SUMIFS(L:L,R:R,1,E:E,E1052)/SUMIFS(K:K,R:R,1,E:E,E1052)*0.5,"Низшая четверть",IF(N1052&lt;SUMIFS(L:L,R:R,1,E:E,E1052)/SUMIFS(K:K,R:R,1,E:E,E1052),"Вторая четверть","Больше половины"))</f>
        <v/>
      </c>
      <c r="X1052">
        <f>IF(O1052&lt;SUMIFS(M:M,R:R,1,E:E,E1052)/SUMIFS(L:L,R:R,1,E:E,E1052)*0.5,"Низшая четверть",IF(O1052&lt;SUMIFS(M:M,R:R,1,E:E,E1052)/SUMIFS(L:L,R:R,1,E:E,E1052),"Вторая четверть","Больше половины"))</f>
        <v/>
      </c>
      <c r="Y1052" t="n">
        <v>14</v>
      </c>
    </row>
    <row r="1053">
      <c r="A1053" s="1" t="inlineStr">
        <is>
          <t>31400010</t>
        </is>
      </c>
      <c r="B1053" s="2" t="inlineStr">
        <is>
          <t>858780609</t>
        </is>
      </c>
      <c r="C1053" s="3" t="inlineStr">
        <is>
          <t>Одежда и аксессуары</t>
        </is>
      </c>
      <c r="D1053" s="2" t="inlineStr">
        <is>
          <t>Футболки, рубашки мужские</t>
        </is>
      </c>
      <c r="E1053" s="3" t="inlineStr">
        <is>
          <t>314 Рубашка короткий рукав мужская</t>
        </is>
      </c>
      <c r="F1053" s="2" t="inlineStr">
        <is>
          <t>лето</t>
        </is>
      </c>
      <c r="G1053" s="3" t="inlineStr">
        <is>
          <t>kari</t>
        </is>
      </c>
      <c r="H1053" s="2" t="n"/>
      <c r="J1053" s="3" t="inlineStr">
        <is>
          <t>2026SS</t>
        </is>
      </c>
      <c r="K1053" s="3" t="n">
        <v>914</v>
      </c>
      <c r="L1053" s="3" t="n">
        <v>21</v>
      </c>
      <c r="M1053" s="3" t="n">
        <v>0</v>
      </c>
      <c r="N1053" s="4">
        <f>IFERROR(L1053/K1053,0)</f>
        <v/>
      </c>
      <c r="O1053" s="4">
        <f>IFERROR(M1053/L1053,0)</f>
        <v/>
      </c>
      <c r="P1053" t="n">
        <v>561</v>
      </c>
      <c r="Q1053" s="5" t="n">
        <v>0.8333333333333334</v>
      </c>
      <c r="R1053" s="7" t="n">
        <v>0</v>
      </c>
      <c r="S1053" t="inlineStr">
        <is>
          <t>Мало показов</t>
        </is>
      </c>
      <c r="T1053">
        <f>IF(N1053&lt;$T$1*0.5,"Низшая четверть",IF(N1053&lt;$T$1,"Вторая четверть","Больше половины"))</f>
        <v/>
      </c>
      <c r="U1053">
        <f>IF(O1053&lt;$U$1*0.5,"Низшая четверть",IF(O1053&lt;$U$1,"Вторая четверть","Больше половины"))</f>
        <v/>
      </c>
      <c r="V1053">
        <f>IF(OR(N1053&lt;SUMIFS(L:L,R:R,1,E:E,E1053)/SUMIFS(K:K,R:R,1,E:E,E1053)*0.5,O1053&lt;SUMIFS(M:M,R:R,1,E:E,E1053)/SUMIFS(L:L,R:R,1,E:E,E1053)*0.5),"код для проверки","нормальный код")</f>
        <v/>
      </c>
      <c r="W1053">
        <f>IF(N1053&lt;SUMIFS(L:L,R:R,1,E:E,E1053)/SUMIFS(K:K,R:R,1,E:E,E1053)*0.5,"Низшая четверть",IF(N1053&lt;SUMIFS(L:L,R:R,1,E:E,E1053)/SUMIFS(K:K,R:R,1,E:E,E1053),"Вторая четверть","Больше половины"))</f>
        <v/>
      </c>
      <c r="X1053">
        <f>IF(O1053&lt;SUMIFS(M:M,R:R,1,E:E,E1053)/SUMIFS(L:L,R:R,1,E:E,E1053)*0.5,"Низшая четверть",IF(O1053&lt;SUMIFS(M:M,R:R,1,E:E,E1053)/SUMIFS(L:L,R:R,1,E:E,E1053),"Вторая четверть","Больше половины"))</f>
        <v/>
      </c>
      <c r="Y1053" t="n">
        <v>20</v>
      </c>
    </row>
    <row r="1054">
      <c r="A1054" s="1" t="inlineStr">
        <is>
          <t>95500280</t>
        </is>
      </c>
      <c r="B1054" s="2" t="inlineStr">
        <is>
          <t>895568533</t>
        </is>
      </c>
      <c r="C1054" s="3" t="inlineStr">
        <is>
          <t>Одежда для детей</t>
        </is>
      </c>
      <c r="D1054" s="2" t="inlineStr">
        <is>
          <t>Платья, майки, футболки детские для девочек</t>
        </is>
      </c>
      <c r="E1054" s="3" t="inlineStr">
        <is>
          <t>955 Топ детский для девочек</t>
        </is>
      </c>
      <c r="F1054" s="2" t="inlineStr">
        <is>
          <t>лето</t>
        </is>
      </c>
      <c r="G1054" s="3" t="inlineStr">
        <is>
          <t>kari</t>
        </is>
      </c>
      <c r="H1054" s="2" t="inlineStr">
        <is>
          <t>Зиннуров Ильнур</t>
        </is>
      </c>
      <c r="J1054" s="3" t="inlineStr">
        <is>
          <t>2026SS</t>
        </is>
      </c>
      <c r="K1054" s="3" t="n">
        <v>913</v>
      </c>
      <c r="L1054" s="3" t="n">
        <v>17</v>
      </c>
      <c r="M1054" s="3" t="n">
        <v>1</v>
      </c>
      <c r="N1054" s="4">
        <f>IFERROR(L1054/K1054,0)</f>
        <v/>
      </c>
      <c r="O1054" s="4">
        <f>IFERROR(M1054/L1054,0)</f>
        <v/>
      </c>
      <c r="P1054" t="n">
        <v>93</v>
      </c>
      <c r="Q1054" s="5" t="n">
        <v>0.5555555555555556</v>
      </c>
      <c r="R1054" s="7" t="n">
        <v>0</v>
      </c>
      <c r="S1054" t="inlineStr">
        <is>
          <t>Мало показов</t>
        </is>
      </c>
      <c r="T1054">
        <f>IF(N1054&lt;$T$1*0.5,"Низшая четверть",IF(N1054&lt;$T$1,"Вторая четверть","Больше половины"))</f>
        <v/>
      </c>
      <c r="U1054">
        <f>IF(O1054&lt;$U$1*0.5,"Низшая четверть",IF(O1054&lt;$U$1,"Вторая четверть","Больше половины"))</f>
        <v/>
      </c>
      <c r="V1054">
        <f>IF(OR(N1054&lt;SUMIFS(L:L,R:R,1,E:E,E1054)/SUMIFS(K:K,R:R,1,E:E,E1054)*0.5,O1054&lt;SUMIFS(M:M,R:R,1,E:E,E1054)/SUMIFS(L:L,R:R,1,E:E,E1054)*0.5),"код для проверки","нормальный код")</f>
        <v/>
      </c>
      <c r="W1054">
        <f>IF(N1054&lt;SUMIFS(L:L,R:R,1,E:E,E1054)/SUMIFS(K:K,R:R,1,E:E,E1054)*0.5,"Низшая четверть",IF(N1054&lt;SUMIFS(L:L,R:R,1,E:E,E1054)/SUMIFS(K:K,R:R,1,E:E,E1054),"Вторая четверть","Больше половины"))</f>
        <v/>
      </c>
      <c r="X1054">
        <f>IF(O1054&lt;SUMIFS(M:M,R:R,1,E:E,E1054)/SUMIFS(L:L,R:R,1,E:E,E1054)*0.5,"Низшая четверть",IF(O1054&lt;SUMIFS(M:M,R:R,1,E:E,E1054)/SUMIFS(L:L,R:R,1,E:E,E1054),"Вторая четверть","Больше половины"))</f>
        <v/>
      </c>
      <c r="Y1054" t="n">
        <v>8</v>
      </c>
    </row>
    <row r="1055">
      <c r="A1055" s="1" t="inlineStr">
        <is>
          <t>19400340</t>
        </is>
      </c>
      <c r="B1055" s="2" t="inlineStr">
        <is>
          <t>901505596</t>
        </is>
      </c>
      <c r="C1055" s="3" t="inlineStr">
        <is>
          <t>Одежда для детей</t>
        </is>
      </c>
      <c r="D1055" s="2" t="inlineStr">
        <is>
          <t>Брюки детские для девочек</t>
        </is>
      </c>
      <c r="E1055" s="3" t="inlineStr">
        <is>
          <t>194 Шорты детские для девочек</t>
        </is>
      </c>
      <c r="F1055" s="2" t="inlineStr">
        <is>
          <t>лето</t>
        </is>
      </c>
      <c r="G1055" s="3" t="inlineStr">
        <is>
          <t>kari</t>
        </is>
      </c>
      <c r="H1055" s="2" t="inlineStr">
        <is>
          <t>Зиннуров Ильнур</t>
        </is>
      </c>
      <c r="J1055" s="3" t="inlineStr">
        <is>
          <t>2026SS</t>
        </is>
      </c>
      <c r="K1055" s="3" t="n">
        <v>912</v>
      </c>
      <c r="L1055" s="3" t="n">
        <v>22</v>
      </c>
      <c r="M1055" s="3" t="n">
        <v>0</v>
      </c>
      <c r="N1055" s="4">
        <f>IFERROR(L1055/K1055,0)</f>
        <v/>
      </c>
      <c r="O1055" s="4">
        <f>IFERROR(M1055/L1055,0)</f>
        <v/>
      </c>
      <c r="P1055" t="n">
        <v>508</v>
      </c>
      <c r="Q1055" s="5" t="n">
        <v>1</v>
      </c>
      <c r="R1055" s="7" t="n">
        <v>0</v>
      </c>
      <c r="S1055" t="inlineStr">
        <is>
          <t>Мало показов</t>
        </is>
      </c>
      <c r="T1055">
        <f>IF(N1055&lt;$T$1*0.5,"Низшая четверть",IF(N1055&lt;$T$1,"Вторая четверть","Больше половины"))</f>
        <v/>
      </c>
      <c r="U1055">
        <f>IF(O1055&lt;$U$1*0.5,"Низшая четверть",IF(O1055&lt;$U$1,"Вторая четверть","Больше половины"))</f>
        <v/>
      </c>
      <c r="V1055">
        <f>IF(OR(N1055&lt;SUMIFS(L:L,R:R,1,E:E,E1055)/SUMIFS(K:K,R:R,1,E:E,E1055)*0.5,O1055&lt;SUMIFS(M:M,R:R,1,E:E,E1055)/SUMIFS(L:L,R:R,1,E:E,E1055)*0.5),"код для проверки","нормальный код")</f>
        <v/>
      </c>
      <c r="W1055">
        <f>IF(N1055&lt;SUMIFS(L:L,R:R,1,E:E,E1055)/SUMIFS(K:K,R:R,1,E:E,E1055)*0.5,"Низшая четверть",IF(N1055&lt;SUMIFS(L:L,R:R,1,E:E,E1055)/SUMIFS(K:K,R:R,1,E:E,E1055),"Вторая четверть","Больше половины"))</f>
        <v/>
      </c>
      <c r="X1055">
        <f>IF(O1055&lt;SUMIFS(M:M,R:R,1,E:E,E1055)/SUMIFS(L:L,R:R,1,E:E,E1055)*0.5,"Низшая четверть",IF(O1055&lt;SUMIFS(M:M,R:R,1,E:E,E1055)/SUMIFS(L:L,R:R,1,E:E,E1055),"Вторая четверть","Больше половины"))</f>
        <v/>
      </c>
      <c r="Y1055" t="n">
        <v>25</v>
      </c>
    </row>
    <row r="1056">
      <c r="A1056" s="1" t="inlineStr">
        <is>
          <t>310000T0</t>
        </is>
      </c>
      <c r="B1056" s="2" t="inlineStr">
        <is>
          <t>785625146</t>
        </is>
      </c>
      <c r="C1056" s="3" t="inlineStr">
        <is>
          <t>Одежда для детей</t>
        </is>
      </c>
      <c r="D1056" s="2" t="inlineStr">
        <is>
          <t>Футболки, майки, рубашки детские для мальчиков</t>
        </is>
      </c>
      <c r="E1056" s="3" t="inlineStr">
        <is>
          <t>310 Футболка детская для мальчиков</t>
        </is>
      </c>
      <c r="F1056" s="2" t="inlineStr">
        <is>
          <t>всесезонный</t>
        </is>
      </c>
      <c r="G1056" s="3" t="inlineStr">
        <is>
          <t>kari</t>
        </is>
      </c>
      <c r="H1056" s="2" t="inlineStr">
        <is>
          <t>Зиннуров Ильнур</t>
        </is>
      </c>
      <c r="J1056" s="3" t="inlineStr">
        <is>
          <t>2026SS</t>
        </is>
      </c>
      <c r="K1056" s="3" t="n">
        <v>907</v>
      </c>
      <c r="L1056" s="3" t="n">
        <v>69</v>
      </c>
      <c r="M1056" s="3" t="n">
        <v>1</v>
      </c>
      <c r="N1056" s="4">
        <f>IFERROR(L1056/K1056,0)</f>
        <v/>
      </c>
      <c r="O1056" s="4">
        <f>IFERROR(M1056/L1056,0)</f>
        <v/>
      </c>
      <c r="P1056" t="n">
        <v>376</v>
      </c>
      <c r="Q1056" s="5" t="n">
        <v>1</v>
      </c>
      <c r="R1056" s="7" t="n">
        <v>0</v>
      </c>
      <c r="S1056" t="inlineStr">
        <is>
          <t>Мало показов</t>
        </is>
      </c>
      <c r="T1056">
        <f>IF(N1056&lt;$T$1*0.5,"Низшая четверть",IF(N1056&lt;$T$1,"Вторая четверть","Больше половины"))</f>
        <v/>
      </c>
      <c r="U1056">
        <f>IF(O1056&lt;$U$1*0.5,"Низшая четверть",IF(O1056&lt;$U$1,"Вторая четверть","Больше половины"))</f>
        <v/>
      </c>
      <c r="V1056">
        <f>IF(OR(N1056&lt;SUMIFS(L:L,R:R,1,E:E,E1056)/SUMIFS(K:K,R:R,1,E:E,E1056)*0.5,O1056&lt;SUMIFS(M:M,R:R,1,E:E,E1056)/SUMIFS(L:L,R:R,1,E:E,E1056)*0.5),"код для проверки","нормальный код")</f>
        <v/>
      </c>
      <c r="W1056">
        <f>IF(N1056&lt;SUMIFS(L:L,R:R,1,E:E,E1056)/SUMIFS(K:K,R:R,1,E:E,E1056)*0.5,"Низшая четверть",IF(N1056&lt;SUMIFS(L:L,R:R,1,E:E,E1056)/SUMIFS(K:K,R:R,1,E:E,E1056),"Вторая четверть","Больше половины"))</f>
        <v/>
      </c>
      <c r="X1056">
        <f>IF(O1056&lt;SUMIFS(M:M,R:R,1,E:E,E1056)/SUMIFS(L:L,R:R,1,E:E,E1056)*0.5,"Низшая четверть",IF(O1056&lt;SUMIFS(M:M,R:R,1,E:E,E1056)/SUMIFS(L:L,R:R,1,E:E,E1056),"Вторая четверть","Больше половины"))</f>
        <v/>
      </c>
      <c r="Y1056" t="n">
        <v>7</v>
      </c>
    </row>
    <row r="1057">
      <c r="A1057" s="1" t="inlineStr">
        <is>
          <t>h0500050</t>
        </is>
      </c>
      <c r="B1057" s="2" t="inlineStr">
        <is>
          <t>898427367</t>
        </is>
      </c>
      <c r="C1057" s="3" t="inlineStr">
        <is>
          <t>Одежда и аксессуары</t>
        </is>
      </c>
      <c r="D1057" s="2" t="inlineStr">
        <is>
          <t>Брюки, шорты мужские</t>
        </is>
      </c>
      <c r="E1057" s="3" t="inlineStr">
        <is>
          <t>h05 Брюки мужские</t>
        </is>
      </c>
      <c r="F1057" s="2" t="inlineStr">
        <is>
          <t>всесезонный</t>
        </is>
      </c>
      <c r="G1057" s="3" t="inlineStr">
        <is>
          <t>kari</t>
        </is>
      </c>
      <c r="H1057" s="2" t="inlineStr">
        <is>
          <t>Зиннуров Ильнур</t>
        </is>
      </c>
      <c r="J1057" s="3" t="inlineStr">
        <is>
          <t>2026SS</t>
        </is>
      </c>
      <c r="K1057" s="3" t="n">
        <v>906</v>
      </c>
      <c r="L1057" s="3" t="n">
        <v>26</v>
      </c>
      <c r="M1057" s="3" t="n">
        <v>0</v>
      </c>
      <c r="N1057" s="4">
        <f>IFERROR(L1057/K1057,0)</f>
        <v/>
      </c>
      <c r="O1057" s="4">
        <f>IFERROR(M1057/L1057,0)</f>
        <v/>
      </c>
      <c r="P1057" t="n">
        <v>330</v>
      </c>
      <c r="Q1057" s="5" t="n">
        <v>1</v>
      </c>
      <c r="R1057" s="7" t="n">
        <v>0</v>
      </c>
      <c r="S1057" t="inlineStr">
        <is>
          <t>Мало показов</t>
        </is>
      </c>
      <c r="T1057">
        <f>IF(N1057&lt;$T$1*0.5,"Низшая четверть",IF(N1057&lt;$T$1,"Вторая четверть","Больше половины"))</f>
        <v/>
      </c>
      <c r="U1057">
        <f>IF(O1057&lt;$U$1*0.5,"Низшая четверть",IF(O1057&lt;$U$1,"Вторая четверть","Больше половины"))</f>
        <v/>
      </c>
      <c r="V1057">
        <f>IF(OR(N1057&lt;SUMIFS(L:L,R:R,1,E:E,E1057)/SUMIFS(K:K,R:R,1,E:E,E1057)*0.5,O1057&lt;SUMIFS(M:M,R:R,1,E:E,E1057)/SUMIFS(L:L,R:R,1,E:E,E1057)*0.5),"код для проверки","нормальный код")</f>
        <v/>
      </c>
      <c r="W1057">
        <f>IF(N1057&lt;SUMIFS(L:L,R:R,1,E:E,E1057)/SUMIFS(K:K,R:R,1,E:E,E1057)*0.5,"Низшая четверть",IF(N1057&lt;SUMIFS(L:L,R:R,1,E:E,E1057)/SUMIFS(K:K,R:R,1,E:E,E1057),"Вторая четверть","Больше половины"))</f>
        <v/>
      </c>
      <c r="X1057">
        <f>IF(O1057&lt;SUMIFS(M:M,R:R,1,E:E,E1057)/SUMIFS(L:L,R:R,1,E:E,E1057)*0.5,"Низшая четверть",IF(O1057&lt;SUMIFS(M:M,R:R,1,E:E,E1057)/SUMIFS(L:L,R:R,1,E:E,E1057),"Вторая четверть","Больше половины"))</f>
        <v/>
      </c>
      <c r="Y1057" t="n">
        <v>17</v>
      </c>
    </row>
    <row r="1058">
      <c r="A1058" s="1" t="inlineStr">
        <is>
          <t>h1300050</t>
        </is>
      </c>
      <c r="B1058" s="2" t="inlineStr">
        <is>
          <t>732579226</t>
        </is>
      </c>
      <c r="C1058" s="3" t="inlineStr">
        <is>
          <t>Одежда и аксессуары</t>
        </is>
      </c>
      <c r="D1058" s="2" t="inlineStr">
        <is>
          <t>Брюки, шорты женские</t>
        </is>
      </c>
      <c r="E1058" s="3" t="inlineStr">
        <is>
          <t>h13 Шорты женские</t>
        </is>
      </c>
      <c r="F1058" s="2" t="inlineStr">
        <is>
          <t>весна, лето</t>
        </is>
      </c>
      <c r="G1058" s="3" t="inlineStr">
        <is>
          <t>kari</t>
        </is>
      </c>
      <c r="H1058" s="2" t="inlineStr">
        <is>
          <t>Зиннуров Ильнур</t>
        </is>
      </c>
      <c r="J1058" s="3" t="inlineStr">
        <is>
          <t>2026SS</t>
        </is>
      </c>
      <c r="K1058" s="3" t="n">
        <v>903</v>
      </c>
      <c r="L1058" s="3" t="n">
        <v>45</v>
      </c>
      <c r="M1058" s="3" t="n">
        <v>0</v>
      </c>
      <c r="N1058" s="4">
        <f>IFERROR(L1058/K1058,0)</f>
        <v/>
      </c>
      <c r="O1058" s="4">
        <f>IFERROR(M1058/L1058,0)</f>
        <v/>
      </c>
      <c r="P1058" t="n">
        <v>390</v>
      </c>
      <c r="Q1058" s="5" t="n">
        <v>0.8</v>
      </c>
      <c r="R1058" s="7" t="n">
        <v>0</v>
      </c>
      <c r="S1058" t="inlineStr">
        <is>
          <t>Мало показов</t>
        </is>
      </c>
      <c r="T1058">
        <f>IF(N1058&lt;$T$1*0.5,"Низшая четверть",IF(N1058&lt;$T$1,"Вторая четверть","Больше половины"))</f>
        <v/>
      </c>
      <c r="U1058">
        <f>IF(O1058&lt;$U$1*0.5,"Низшая четверть",IF(O1058&lt;$U$1,"Вторая четверть","Больше половины"))</f>
        <v/>
      </c>
      <c r="V1058">
        <f>IF(OR(N1058&lt;SUMIFS(L:L,R:R,1,E:E,E1058)/SUMIFS(K:K,R:R,1,E:E,E1058)*0.5,O1058&lt;SUMIFS(M:M,R:R,1,E:E,E1058)/SUMIFS(L:L,R:R,1,E:E,E1058)*0.5),"код для проверки","нормальный код")</f>
        <v/>
      </c>
      <c r="W1058">
        <f>IF(N1058&lt;SUMIFS(L:L,R:R,1,E:E,E1058)/SUMIFS(K:K,R:R,1,E:E,E1058)*0.5,"Низшая четверть",IF(N1058&lt;SUMIFS(L:L,R:R,1,E:E,E1058)/SUMIFS(K:K,R:R,1,E:E,E1058),"Вторая четверть","Больше половины"))</f>
        <v/>
      </c>
      <c r="X1058">
        <f>IF(O1058&lt;SUMIFS(M:M,R:R,1,E:E,E1058)/SUMIFS(L:L,R:R,1,E:E,E1058)*0.5,"Низшая четверть",IF(O1058&lt;SUMIFS(M:M,R:R,1,E:E,E1058)/SUMIFS(L:L,R:R,1,E:E,E1058),"Вторая четверть","Больше половины"))</f>
        <v/>
      </c>
      <c r="Y1058" t="n">
        <v>19</v>
      </c>
    </row>
    <row r="1059">
      <c r="A1059" s="1" t="inlineStr">
        <is>
          <t>310003X0</t>
        </is>
      </c>
      <c r="B1059" s="2" t="inlineStr">
        <is>
          <t>847884100</t>
        </is>
      </c>
      <c r="C1059" s="3" t="inlineStr">
        <is>
          <t>Одежда для детей</t>
        </is>
      </c>
      <c r="D1059" s="2" t="inlineStr">
        <is>
          <t>Футболки, майки, рубашки детские для мальчиков</t>
        </is>
      </c>
      <c r="E1059" s="3" t="inlineStr">
        <is>
          <t>310 Футболка детская для мальчиков</t>
        </is>
      </c>
      <c r="F1059" s="2" t="inlineStr">
        <is>
          <t>всесезонный</t>
        </is>
      </c>
      <c r="G1059" s="3" t="inlineStr">
        <is>
          <t>kari</t>
        </is>
      </c>
      <c r="H1059" s="2" t="inlineStr">
        <is>
          <t>Зиннуров Ильнур</t>
        </is>
      </c>
      <c r="J1059" s="3" t="inlineStr">
        <is>
          <t>2026SS</t>
        </is>
      </c>
      <c r="K1059" s="3" t="n">
        <v>903</v>
      </c>
      <c r="L1059" s="3" t="n">
        <v>28</v>
      </c>
      <c r="M1059" s="3" t="n">
        <v>2</v>
      </c>
      <c r="N1059" s="4">
        <f>IFERROR(L1059/K1059,0)</f>
        <v/>
      </c>
      <c r="O1059" s="4">
        <f>IFERROR(M1059/L1059,0)</f>
        <v/>
      </c>
      <c r="P1059" t="n">
        <v>557</v>
      </c>
      <c r="Q1059" s="5" t="n">
        <v>1</v>
      </c>
      <c r="R1059" s="7" t="n">
        <v>0</v>
      </c>
      <c r="S1059" t="inlineStr">
        <is>
          <t>Мало показов</t>
        </is>
      </c>
      <c r="T1059">
        <f>IF(N1059&lt;$T$1*0.5,"Низшая четверть",IF(N1059&lt;$T$1,"Вторая четверть","Больше половины"))</f>
        <v/>
      </c>
      <c r="U1059">
        <f>IF(O1059&lt;$U$1*0.5,"Низшая четверть",IF(O1059&lt;$U$1,"Вторая четверть","Больше половины"))</f>
        <v/>
      </c>
      <c r="V1059">
        <f>IF(OR(N1059&lt;SUMIFS(L:L,R:R,1,E:E,E1059)/SUMIFS(K:K,R:R,1,E:E,E1059)*0.5,O1059&lt;SUMIFS(M:M,R:R,1,E:E,E1059)/SUMIFS(L:L,R:R,1,E:E,E1059)*0.5),"код для проверки","нормальный код")</f>
        <v/>
      </c>
      <c r="W1059">
        <f>IF(N1059&lt;SUMIFS(L:L,R:R,1,E:E,E1059)/SUMIFS(K:K,R:R,1,E:E,E1059)*0.5,"Низшая четверть",IF(N1059&lt;SUMIFS(L:L,R:R,1,E:E,E1059)/SUMIFS(K:K,R:R,1,E:E,E1059),"Вторая четверть","Больше половины"))</f>
        <v/>
      </c>
      <c r="X1059">
        <f>IF(O1059&lt;SUMIFS(M:M,R:R,1,E:E,E1059)/SUMIFS(L:L,R:R,1,E:E,E1059)*0.5,"Низшая четверть",IF(O1059&lt;SUMIFS(M:M,R:R,1,E:E,E1059)/SUMIFS(L:L,R:R,1,E:E,E1059),"Вторая четверть","Больше половины"))</f>
        <v/>
      </c>
      <c r="Y1059" t="n">
        <v>20</v>
      </c>
    </row>
    <row r="1060">
      <c r="A1060" s="1" t="inlineStr">
        <is>
          <t>53000120</t>
        </is>
      </c>
      <c r="B1060" s="2" t="inlineStr">
        <is>
          <t>820657733</t>
        </is>
      </c>
      <c r="C1060" s="3" t="inlineStr">
        <is>
          <t>Одежда для детей</t>
        </is>
      </c>
      <c r="D1060" s="2" t="inlineStr">
        <is>
          <t>Головные детские уборы для девочек</t>
        </is>
      </c>
      <c r="E1060" s="3" t="inlineStr">
        <is>
          <t>530 Панама детская для девочек</t>
        </is>
      </c>
      <c r="F1060" s="2" t="inlineStr">
        <is>
          <t>весна, лето</t>
        </is>
      </c>
      <c r="G1060" s="3" t="inlineStr">
        <is>
          <t>kari</t>
        </is>
      </c>
      <c r="H1060" s="2" t="inlineStr">
        <is>
          <t>Никонорова Алина</t>
        </is>
      </c>
      <c r="J1060" s="3" t="inlineStr">
        <is>
          <t>2026SS</t>
        </is>
      </c>
      <c r="K1060" s="3" t="n">
        <v>903</v>
      </c>
      <c r="L1060" s="3" t="n">
        <v>308</v>
      </c>
      <c r="M1060" s="3" t="n">
        <v>0</v>
      </c>
      <c r="N1060" s="4">
        <f>IFERROR(L1060/K1060,0)</f>
        <v/>
      </c>
      <c r="O1060" s="4">
        <f>IFERROR(M1060/L1060,0)</f>
        <v/>
      </c>
      <c r="P1060" t="n">
        <v>948</v>
      </c>
      <c r="Q1060" s="5" t="n">
        <v>1</v>
      </c>
      <c r="R1060" s="7" t="n">
        <v>0</v>
      </c>
      <c r="S1060" t="inlineStr">
        <is>
          <t>Мало показов</t>
        </is>
      </c>
      <c r="T1060">
        <f>IF(N1060&lt;$T$1*0.5,"Низшая четверть",IF(N1060&lt;$T$1,"Вторая четверть","Больше половины"))</f>
        <v/>
      </c>
      <c r="U1060">
        <f>IF(O1060&lt;$U$1*0.5,"Низшая четверть",IF(O1060&lt;$U$1,"Вторая четверть","Больше половины"))</f>
        <v/>
      </c>
      <c r="V1060">
        <f>IF(OR(N1060&lt;SUMIFS(L:L,R:R,1,E:E,E1060)/SUMIFS(K:K,R:R,1,E:E,E1060)*0.5,O1060&lt;SUMIFS(M:M,R:R,1,E:E,E1060)/SUMIFS(L:L,R:R,1,E:E,E1060)*0.5),"код для проверки","нормальный код")</f>
        <v/>
      </c>
      <c r="W1060">
        <f>IF(N1060&lt;SUMIFS(L:L,R:R,1,E:E,E1060)/SUMIFS(K:K,R:R,1,E:E,E1060)*0.5,"Низшая четверть",IF(N1060&lt;SUMIFS(L:L,R:R,1,E:E,E1060)/SUMIFS(K:K,R:R,1,E:E,E1060),"Вторая четверть","Больше половины"))</f>
        <v/>
      </c>
      <c r="X1060">
        <f>IF(O1060&lt;SUMIFS(M:M,R:R,1,E:E,E1060)/SUMIFS(L:L,R:R,1,E:E,E1060)*0.5,"Низшая четверть",IF(O1060&lt;SUMIFS(M:M,R:R,1,E:E,E1060)/SUMIFS(L:L,R:R,1,E:E,E1060),"Вторая четверть","Больше половины"))</f>
        <v/>
      </c>
      <c r="Y1060" t="n">
        <v>5</v>
      </c>
    </row>
    <row r="1061">
      <c r="A1061" s="1" t="inlineStr">
        <is>
          <t>h7700280</t>
        </is>
      </c>
      <c r="B1061" s="2" t="inlineStr">
        <is>
          <t>788918778</t>
        </is>
      </c>
      <c r="C1061" s="3" t="inlineStr">
        <is>
          <t>Одежда и аксессуары</t>
        </is>
      </c>
      <c r="D1061" s="2" t="inlineStr">
        <is>
          <t>Купальники женские</t>
        </is>
      </c>
      <c r="E1061" s="3" t="inlineStr">
        <is>
          <t>h77 Одежда пляжная женская</t>
        </is>
      </c>
      <c r="F1061" s="2" t="inlineStr">
        <is>
          <t>лето</t>
        </is>
      </c>
      <c r="G1061" s="3" t="inlineStr">
        <is>
          <t>kari</t>
        </is>
      </c>
      <c r="H1061" s="2" t="inlineStr">
        <is>
          <t>Зиннуров Ильнур</t>
        </is>
      </c>
      <c r="J1061" s="3" t="inlineStr">
        <is>
          <t>2026SS</t>
        </is>
      </c>
      <c r="K1061" s="3" t="n">
        <v>896</v>
      </c>
      <c r="L1061" s="3" t="n">
        <v>175</v>
      </c>
      <c r="M1061" s="3" t="n">
        <v>1</v>
      </c>
      <c r="N1061" s="4">
        <f>IFERROR(L1061/K1061,0)</f>
        <v/>
      </c>
      <c r="O1061" s="4">
        <f>IFERROR(M1061/L1061,0)</f>
        <v/>
      </c>
      <c r="P1061" t="n">
        <v>1538</v>
      </c>
      <c r="Q1061" s="5" t="n">
        <v>1</v>
      </c>
      <c r="R1061" s="7" t="n">
        <v>0</v>
      </c>
      <c r="S1061" t="inlineStr">
        <is>
          <t>Мало показов</t>
        </is>
      </c>
      <c r="T1061">
        <f>IF(N1061&lt;$T$1*0.5,"Низшая четверть",IF(N1061&lt;$T$1,"Вторая четверть","Больше половины"))</f>
        <v/>
      </c>
      <c r="U1061">
        <f>IF(O1061&lt;$U$1*0.5,"Низшая четверть",IF(O1061&lt;$U$1,"Вторая четверть","Больше половины"))</f>
        <v/>
      </c>
      <c r="V1061">
        <f>IF(OR(N1061&lt;SUMIFS(L:L,R:R,1,E:E,E1061)/SUMIFS(K:K,R:R,1,E:E,E1061)*0.5,O1061&lt;SUMIFS(M:M,R:R,1,E:E,E1061)/SUMIFS(L:L,R:R,1,E:E,E1061)*0.5),"код для проверки","нормальный код")</f>
        <v/>
      </c>
      <c r="W1061">
        <f>IF(N1061&lt;SUMIFS(L:L,R:R,1,E:E,E1061)/SUMIFS(K:K,R:R,1,E:E,E1061)*0.5,"Низшая четверть",IF(N1061&lt;SUMIFS(L:L,R:R,1,E:E,E1061)/SUMIFS(K:K,R:R,1,E:E,E1061),"Вторая четверть","Больше половины"))</f>
        <v/>
      </c>
      <c r="X1061">
        <f>IF(O1061&lt;SUMIFS(M:M,R:R,1,E:E,E1061)/SUMIFS(L:L,R:R,1,E:E,E1061)*0.5,"Низшая четверть",IF(O1061&lt;SUMIFS(M:M,R:R,1,E:E,E1061)/SUMIFS(L:L,R:R,1,E:E,E1061),"Вторая четверть","Больше половины"))</f>
        <v/>
      </c>
      <c r="Y1061" t="n">
        <v>7</v>
      </c>
    </row>
    <row r="1062">
      <c r="A1062" s="1" t="inlineStr">
        <is>
          <t>h1000270</t>
        </is>
      </c>
      <c r="B1062" s="2" t="inlineStr">
        <is>
          <t>932503572</t>
        </is>
      </c>
      <c r="C1062" s="3" t="inlineStr">
        <is>
          <t>Одежда и аксессуары</t>
        </is>
      </c>
      <c r="D1062" s="2" t="inlineStr">
        <is>
          <t>Футболки, рубашки мужские</t>
        </is>
      </c>
      <c r="E1062" s="3" t="inlineStr">
        <is>
          <t>h10 Футболка мужская</t>
        </is>
      </c>
      <c r="F1062" s="2" t="inlineStr">
        <is>
          <t>всесезонный</t>
        </is>
      </c>
      <c r="G1062" s="3" t="inlineStr">
        <is>
          <t>kari</t>
        </is>
      </c>
      <c r="H1062" s="2" t="inlineStr">
        <is>
          <t>Зиннуров Ильнур</t>
        </is>
      </c>
      <c r="J1062" s="3" t="inlineStr">
        <is>
          <t>2026SS</t>
        </is>
      </c>
      <c r="K1062" s="3" t="n">
        <v>875</v>
      </c>
      <c r="L1062" s="3" t="n">
        <v>8</v>
      </c>
      <c r="M1062" s="3" t="n">
        <v>2</v>
      </c>
      <c r="N1062" s="4">
        <f>IFERROR(L1062/K1062,0)</f>
        <v/>
      </c>
      <c r="O1062" s="4">
        <f>IFERROR(M1062/L1062,0)</f>
        <v/>
      </c>
      <c r="P1062" t="n">
        <v>60</v>
      </c>
      <c r="Q1062" s="5" t="n">
        <v>0.8</v>
      </c>
      <c r="R1062" s="7" t="n">
        <v>0</v>
      </c>
      <c r="S1062" t="inlineStr">
        <is>
          <t>Мало показов</t>
        </is>
      </c>
      <c r="T1062">
        <f>IF(N1062&lt;$T$1*0.5,"Низшая четверть",IF(N1062&lt;$T$1,"Вторая четверть","Больше половины"))</f>
        <v/>
      </c>
      <c r="U1062">
        <f>IF(O1062&lt;$U$1*0.5,"Низшая четверть",IF(O1062&lt;$U$1,"Вторая четверть","Больше половины"))</f>
        <v/>
      </c>
      <c r="V1062">
        <f>IF(OR(N1062&lt;SUMIFS(L:L,R:R,1,E:E,E1062)/SUMIFS(K:K,R:R,1,E:E,E1062)*0.5,O1062&lt;SUMIFS(M:M,R:R,1,E:E,E1062)/SUMIFS(L:L,R:R,1,E:E,E1062)*0.5),"код для проверки","нормальный код")</f>
        <v/>
      </c>
      <c r="W1062">
        <f>IF(N1062&lt;SUMIFS(L:L,R:R,1,E:E,E1062)/SUMIFS(K:K,R:R,1,E:E,E1062)*0.5,"Низшая четверть",IF(N1062&lt;SUMIFS(L:L,R:R,1,E:E,E1062)/SUMIFS(K:K,R:R,1,E:E,E1062),"Вторая четверть","Больше половины"))</f>
        <v/>
      </c>
      <c r="X1062">
        <f>IF(O1062&lt;SUMIFS(M:M,R:R,1,E:E,E1062)/SUMIFS(L:L,R:R,1,E:E,E1062)*0.5,"Низшая четверть",IF(O1062&lt;SUMIFS(M:M,R:R,1,E:E,E1062)/SUMIFS(L:L,R:R,1,E:E,E1062),"Вторая четверть","Больше половины"))</f>
        <v/>
      </c>
      <c r="Y1062" t="n">
        <v>11</v>
      </c>
    </row>
    <row r="1063">
      <c r="A1063" s="1" t="inlineStr">
        <is>
          <t>88100180</t>
        </is>
      </c>
      <c r="B1063" s="2" t="inlineStr">
        <is>
          <t>879308851</t>
        </is>
      </c>
      <c r="C1063" s="3" t="inlineStr">
        <is>
          <t>Одежда для детей</t>
        </is>
      </c>
      <c r="D1063" s="2" t="inlineStr">
        <is>
          <t>Футболки, майки, рубашки детские для мальчиков</t>
        </is>
      </c>
      <c r="E1063" s="3" t="inlineStr">
        <is>
          <t>881 Футболка длинный рукав детская для мальчиков</t>
        </is>
      </c>
      <c r="F1063" s="2" t="inlineStr">
        <is>
          <t>всесезонный</t>
        </is>
      </c>
      <c r="G1063" s="3" t="inlineStr">
        <is>
          <t>Kari KIDS</t>
        </is>
      </c>
      <c r="H1063" s="2" t="inlineStr">
        <is>
          <t>Зиннуров Ильнур</t>
        </is>
      </c>
      <c r="J1063" s="3" t="inlineStr">
        <is>
          <t>2026SS</t>
        </is>
      </c>
      <c r="K1063" s="3" t="n">
        <v>875</v>
      </c>
      <c r="L1063" s="3" t="n">
        <v>3</v>
      </c>
      <c r="M1063" s="3" t="n">
        <v>0</v>
      </c>
      <c r="N1063" s="4">
        <f>IFERROR(L1063/K1063,0)</f>
        <v/>
      </c>
      <c r="O1063" s="4">
        <f>IFERROR(M1063/L1063,0)</f>
        <v/>
      </c>
      <c r="P1063" t="n">
        <v>120</v>
      </c>
      <c r="Q1063" s="5" t="n">
        <v>1</v>
      </c>
      <c r="R1063" s="7" t="n">
        <v>0</v>
      </c>
      <c r="S1063" t="inlineStr">
        <is>
          <t>Мало показов</t>
        </is>
      </c>
      <c r="T1063">
        <f>IF(N1063&lt;$T$1*0.5,"Низшая четверть",IF(N1063&lt;$T$1,"Вторая четверть","Больше половины"))</f>
        <v/>
      </c>
      <c r="U1063">
        <f>IF(O1063&lt;$U$1*0.5,"Низшая четверть",IF(O1063&lt;$U$1,"Вторая четверть","Больше половины"))</f>
        <v/>
      </c>
      <c r="V1063">
        <f>IF(OR(N1063&lt;SUMIFS(L:L,R:R,1,E:E,E1063)/SUMIFS(K:K,R:R,1,E:E,E1063)*0.5,O1063&lt;SUMIFS(M:M,R:R,1,E:E,E1063)/SUMIFS(L:L,R:R,1,E:E,E1063)*0.5),"код для проверки","нормальный код")</f>
        <v/>
      </c>
      <c r="W1063">
        <f>IF(N1063&lt;SUMIFS(L:L,R:R,1,E:E,E1063)/SUMIFS(K:K,R:R,1,E:E,E1063)*0.5,"Низшая четверть",IF(N1063&lt;SUMIFS(L:L,R:R,1,E:E,E1063)/SUMIFS(K:K,R:R,1,E:E,E1063),"Вторая четверть","Больше половины"))</f>
        <v/>
      </c>
      <c r="X1063">
        <f>IF(O1063&lt;SUMIFS(M:M,R:R,1,E:E,E1063)/SUMIFS(L:L,R:R,1,E:E,E1063)*0.5,"Низшая четверть",IF(O1063&lt;SUMIFS(M:M,R:R,1,E:E,E1063)/SUMIFS(L:L,R:R,1,E:E,E1063),"Вторая четверть","Больше половины"))</f>
        <v/>
      </c>
      <c r="Y1063" t="n">
        <v>5</v>
      </c>
    </row>
    <row r="1064">
      <c r="A1064" s="1" t="inlineStr">
        <is>
          <t>h1000250</t>
        </is>
      </c>
      <c r="B1064" s="2" t="inlineStr">
        <is>
          <t>879308884</t>
        </is>
      </c>
      <c r="C1064" s="3" t="inlineStr">
        <is>
          <t>Одежда и аксессуары</t>
        </is>
      </c>
      <c r="D1064" s="2" t="inlineStr">
        <is>
          <t>Футболки, рубашки мужские</t>
        </is>
      </c>
      <c r="E1064" s="3" t="inlineStr">
        <is>
          <t>h10 Футболка мужская</t>
        </is>
      </c>
      <c r="F1064" s="2" t="inlineStr">
        <is>
          <t>всесезонный</t>
        </is>
      </c>
      <c r="G1064" s="3" t="inlineStr">
        <is>
          <t>kari</t>
        </is>
      </c>
      <c r="H1064" s="2" t="inlineStr">
        <is>
          <t>Зиннуров Ильнур</t>
        </is>
      </c>
      <c r="J1064" s="3" t="inlineStr">
        <is>
          <t>2026SS</t>
        </is>
      </c>
      <c r="K1064" s="3" t="n">
        <v>872</v>
      </c>
      <c r="L1064" s="3" t="n">
        <v>38</v>
      </c>
      <c r="M1064" s="3" t="n">
        <v>0</v>
      </c>
      <c r="N1064" s="4">
        <f>IFERROR(L1064/K1064,0)</f>
        <v/>
      </c>
      <c r="O1064" s="4">
        <f>IFERROR(M1064/L1064,0)</f>
        <v/>
      </c>
      <c r="P1064" t="n">
        <v>330</v>
      </c>
      <c r="Q1064" s="5" t="n">
        <v>1</v>
      </c>
      <c r="R1064" s="7" t="n">
        <v>0</v>
      </c>
      <c r="S1064" t="inlineStr">
        <is>
          <t>Мало показов</t>
        </is>
      </c>
      <c r="T1064">
        <f>IF(N1064&lt;$T$1*0.5,"Низшая четверть",IF(N1064&lt;$T$1,"Вторая четверть","Больше половины"))</f>
        <v/>
      </c>
      <c r="U1064">
        <f>IF(O1064&lt;$U$1*0.5,"Низшая четверть",IF(O1064&lt;$U$1,"Вторая четверть","Больше половины"))</f>
        <v/>
      </c>
      <c r="V1064">
        <f>IF(OR(N1064&lt;SUMIFS(L:L,R:R,1,E:E,E1064)/SUMIFS(K:K,R:R,1,E:E,E1064)*0.5,O1064&lt;SUMIFS(M:M,R:R,1,E:E,E1064)/SUMIFS(L:L,R:R,1,E:E,E1064)*0.5),"код для проверки","нормальный код")</f>
        <v/>
      </c>
      <c r="W1064">
        <f>IF(N1064&lt;SUMIFS(L:L,R:R,1,E:E,E1064)/SUMIFS(K:K,R:R,1,E:E,E1064)*0.5,"Низшая четверть",IF(N1064&lt;SUMIFS(L:L,R:R,1,E:E,E1064)/SUMIFS(K:K,R:R,1,E:E,E1064),"Вторая четверть","Больше половины"))</f>
        <v/>
      </c>
      <c r="X1064">
        <f>IF(O1064&lt;SUMIFS(M:M,R:R,1,E:E,E1064)/SUMIFS(L:L,R:R,1,E:E,E1064)*0.5,"Низшая четверть",IF(O1064&lt;SUMIFS(M:M,R:R,1,E:E,E1064)/SUMIFS(L:L,R:R,1,E:E,E1064),"Вторая четверть","Больше половины"))</f>
        <v/>
      </c>
      <c r="Y1064" t="n">
        <v>24</v>
      </c>
    </row>
    <row r="1065">
      <c r="A1065" s="1" t="inlineStr">
        <is>
          <t>h1000230</t>
        </is>
      </c>
      <c r="B1065" s="2" t="inlineStr">
        <is>
          <t>879308847</t>
        </is>
      </c>
      <c r="C1065" s="3" t="inlineStr">
        <is>
          <t>Одежда и аксессуары</t>
        </is>
      </c>
      <c r="D1065" s="2" t="inlineStr">
        <is>
          <t>Футболки, рубашки мужские</t>
        </is>
      </c>
      <c r="E1065" s="3" t="inlineStr">
        <is>
          <t>h10 Футболка мужская</t>
        </is>
      </c>
      <c r="F1065" s="2" t="inlineStr">
        <is>
          <t>всесезонный</t>
        </is>
      </c>
      <c r="G1065" s="3" t="inlineStr">
        <is>
          <t>kari</t>
        </is>
      </c>
      <c r="H1065" s="2" t="inlineStr">
        <is>
          <t>Зиннуров Ильнур</t>
        </is>
      </c>
      <c r="J1065" s="3" t="inlineStr">
        <is>
          <t>2026SS</t>
        </is>
      </c>
      <c r="K1065" s="3" t="n">
        <v>872</v>
      </c>
      <c r="L1065" s="3" t="n">
        <v>55</v>
      </c>
      <c r="M1065" s="3" t="n">
        <v>0</v>
      </c>
      <c r="N1065" s="4">
        <f>IFERROR(L1065/K1065,0)</f>
        <v/>
      </c>
      <c r="O1065" s="4">
        <f>IFERROR(M1065/L1065,0)</f>
        <v/>
      </c>
      <c r="P1065" t="n">
        <v>60</v>
      </c>
      <c r="Q1065" s="5" t="n">
        <v>0.4</v>
      </c>
      <c r="R1065" s="7" t="n">
        <v>0</v>
      </c>
      <c r="S1065" t="inlineStr">
        <is>
          <t>Мало показов</t>
        </is>
      </c>
      <c r="T1065">
        <f>IF(N1065&lt;$T$1*0.5,"Низшая четверть",IF(N1065&lt;$T$1,"Вторая четверть","Больше половины"))</f>
        <v/>
      </c>
      <c r="U1065">
        <f>IF(O1065&lt;$U$1*0.5,"Низшая четверть",IF(O1065&lt;$U$1,"Вторая четверть","Больше половины"))</f>
        <v/>
      </c>
      <c r="V1065">
        <f>IF(OR(N1065&lt;SUMIFS(L:L,R:R,1,E:E,E1065)/SUMIFS(K:K,R:R,1,E:E,E1065)*0.5,O1065&lt;SUMIFS(M:M,R:R,1,E:E,E1065)/SUMIFS(L:L,R:R,1,E:E,E1065)*0.5),"код для проверки","нормальный код")</f>
        <v/>
      </c>
      <c r="W1065">
        <f>IF(N1065&lt;SUMIFS(L:L,R:R,1,E:E,E1065)/SUMIFS(K:K,R:R,1,E:E,E1065)*0.5,"Низшая четверть",IF(N1065&lt;SUMIFS(L:L,R:R,1,E:E,E1065)/SUMIFS(K:K,R:R,1,E:E,E1065),"Вторая четверть","Больше половины"))</f>
        <v/>
      </c>
      <c r="X1065">
        <f>IF(O1065&lt;SUMIFS(M:M,R:R,1,E:E,E1065)/SUMIFS(L:L,R:R,1,E:E,E1065)*0.5,"Низшая четверть",IF(O1065&lt;SUMIFS(M:M,R:R,1,E:E,E1065)/SUMIFS(L:L,R:R,1,E:E,E1065),"Вторая четверть","Больше половины"))</f>
        <v/>
      </c>
      <c r="Y1065" t="n">
        <v>14</v>
      </c>
    </row>
    <row r="1066">
      <c r="A1066" s="1" t="inlineStr">
        <is>
          <t>h1000320</t>
        </is>
      </c>
      <c r="B1066" s="2" t="inlineStr">
        <is>
          <t>932503643</t>
        </is>
      </c>
      <c r="C1066" s="3" t="inlineStr">
        <is>
          <t>Одежда и аксессуары</t>
        </is>
      </c>
      <c r="D1066" s="2" t="inlineStr">
        <is>
          <t>Футболки, рубашки мужские</t>
        </is>
      </c>
      <c r="E1066" s="3" t="inlineStr">
        <is>
          <t>h10 Футболка мужская</t>
        </is>
      </c>
      <c r="F1066" s="2" t="inlineStr">
        <is>
          <t>всесезонный</t>
        </is>
      </c>
      <c r="G1066" s="3" t="inlineStr">
        <is>
          <t>kari</t>
        </is>
      </c>
      <c r="H1066" s="2" t="inlineStr">
        <is>
          <t>Зиннуров Ильнур</t>
        </is>
      </c>
      <c r="J1066" s="3" t="inlineStr">
        <is>
          <t>2026SS</t>
        </is>
      </c>
      <c r="K1066" s="3" t="n">
        <v>865</v>
      </c>
      <c r="L1066" s="3" t="n">
        <v>16</v>
      </c>
      <c r="M1066" s="3" t="n">
        <v>2</v>
      </c>
      <c r="N1066" s="4">
        <f>IFERROR(L1066/K1066,0)</f>
        <v/>
      </c>
      <c r="O1066" s="4">
        <f>IFERROR(M1066/L1066,0)</f>
        <v/>
      </c>
      <c r="P1066" t="n">
        <v>1768</v>
      </c>
      <c r="Q1066" s="5" t="n">
        <v>1</v>
      </c>
      <c r="R1066" s="7" t="n">
        <v>0</v>
      </c>
      <c r="S1066" t="inlineStr">
        <is>
          <t>Мало показов</t>
        </is>
      </c>
      <c r="T1066">
        <f>IF(N1066&lt;$T$1*0.5,"Низшая четверть",IF(N1066&lt;$T$1,"Вторая четверть","Больше половины"))</f>
        <v/>
      </c>
      <c r="U1066">
        <f>IF(O1066&lt;$U$1*0.5,"Низшая четверть",IF(O1066&lt;$U$1,"Вторая четверть","Больше половины"))</f>
        <v/>
      </c>
      <c r="V1066">
        <f>IF(OR(N1066&lt;SUMIFS(L:L,R:R,1,E:E,E1066)/SUMIFS(K:K,R:R,1,E:E,E1066)*0.5,O1066&lt;SUMIFS(M:M,R:R,1,E:E,E1066)/SUMIFS(L:L,R:R,1,E:E,E1066)*0.5),"код для проверки","нормальный код")</f>
        <v/>
      </c>
      <c r="W1066">
        <f>IF(N1066&lt;SUMIFS(L:L,R:R,1,E:E,E1066)/SUMIFS(K:K,R:R,1,E:E,E1066)*0.5,"Низшая четверть",IF(N1066&lt;SUMIFS(L:L,R:R,1,E:E,E1066)/SUMIFS(K:K,R:R,1,E:E,E1066),"Вторая четверть","Больше половины"))</f>
        <v/>
      </c>
      <c r="X1066">
        <f>IF(O1066&lt;SUMIFS(M:M,R:R,1,E:E,E1066)/SUMIFS(L:L,R:R,1,E:E,E1066)*0.5,"Низшая четверть",IF(O1066&lt;SUMIFS(M:M,R:R,1,E:E,E1066)/SUMIFS(L:L,R:R,1,E:E,E1066),"Вторая четверть","Больше половины"))</f>
        <v/>
      </c>
      <c r="Y1066" t="n">
        <v>9</v>
      </c>
    </row>
    <row r="1067">
      <c r="A1067" s="1" t="inlineStr">
        <is>
          <t>96700050</t>
        </is>
      </c>
      <c r="B1067" s="2" t="inlineStr">
        <is>
          <t>879308830</t>
        </is>
      </c>
      <c r="C1067" s="3" t="inlineStr">
        <is>
          <t>Одежда для детей</t>
        </is>
      </c>
      <c r="D1067" s="2" t="inlineStr">
        <is>
          <t>Верхняя детская одежда для девочек</t>
        </is>
      </c>
      <c r="E1067" s="3" t="inlineStr">
        <is>
          <t>967 Куртка джинсовая для девочки</t>
        </is>
      </c>
      <c r="F1067" s="2" t="inlineStr">
        <is>
          <t>весна, лето, осень</t>
        </is>
      </c>
      <c r="G1067" s="3" t="inlineStr">
        <is>
          <t>Kari KIDS</t>
        </is>
      </c>
      <c r="H1067" s="2" t="inlineStr">
        <is>
          <t>Зиннуров Ильнур</t>
        </is>
      </c>
      <c r="J1067" s="3" t="inlineStr">
        <is>
          <t>2026SS</t>
        </is>
      </c>
      <c r="K1067" s="3" t="n">
        <v>865</v>
      </c>
      <c r="L1067" s="3" t="n">
        <v>28</v>
      </c>
      <c r="M1067" s="3" t="n">
        <v>0</v>
      </c>
      <c r="N1067" s="4">
        <f>IFERROR(L1067/K1067,0)</f>
        <v/>
      </c>
      <c r="O1067" s="4">
        <f>IFERROR(M1067/L1067,0)</f>
        <v/>
      </c>
      <c r="P1067" t="n">
        <v>300</v>
      </c>
      <c r="Q1067" s="5" t="n">
        <v>1</v>
      </c>
      <c r="R1067" s="7" t="n">
        <v>0</v>
      </c>
      <c r="S1067" t="inlineStr">
        <is>
          <t>Мало показов</t>
        </is>
      </c>
      <c r="T1067">
        <f>IF(N1067&lt;$T$1*0.5,"Низшая четверть",IF(N1067&lt;$T$1,"Вторая четверть","Больше половины"))</f>
        <v/>
      </c>
      <c r="U1067">
        <f>IF(O1067&lt;$U$1*0.5,"Низшая четверть",IF(O1067&lt;$U$1,"Вторая четверть","Больше половины"))</f>
        <v/>
      </c>
      <c r="V1067">
        <f>IF(OR(N1067&lt;SUMIFS(L:L,R:R,1,E:E,E1067)/SUMIFS(K:K,R:R,1,E:E,E1067)*0.5,O1067&lt;SUMIFS(M:M,R:R,1,E:E,E1067)/SUMIFS(L:L,R:R,1,E:E,E1067)*0.5),"код для проверки","нормальный код")</f>
        <v/>
      </c>
      <c r="W1067">
        <f>IF(N1067&lt;SUMIFS(L:L,R:R,1,E:E,E1067)/SUMIFS(K:K,R:R,1,E:E,E1067)*0.5,"Низшая четверть",IF(N1067&lt;SUMIFS(L:L,R:R,1,E:E,E1067)/SUMIFS(K:K,R:R,1,E:E,E1067),"Вторая четверть","Больше половины"))</f>
        <v/>
      </c>
      <c r="X1067">
        <f>IF(O1067&lt;SUMIFS(M:M,R:R,1,E:E,E1067)/SUMIFS(L:L,R:R,1,E:E,E1067)*0.5,"Низшая четверть",IF(O1067&lt;SUMIFS(M:M,R:R,1,E:E,E1067)/SUMIFS(L:L,R:R,1,E:E,E1067),"Вторая четверть","Больше половины"))</f>
        <v/>
      </c>
      <c r="Y1067" t="n">
        <v>24</v>
      </c>
    </row>
    <row r="1068">
      <c r="A1068" s="1" t="inlineStr">
        <is>
          <t>h2100000</t>
        </is>
      </c>
      <c r="B1068" s="2" t="inlineStr">
        <is>
          <t>879308862</t>
        </is>
      </c>
      <c r="C1068" s="3" t="inlineStr">
        <is>
          <t>Одежда и аксессуары</t>
        </is>
      </c>
      <c r="D1068" s="2" t="inlineStr">
        <is>
          <t>Футболки, рубашки мужские</t>
        </is>
      </c>
      <c r="E1068" s="3" t="inlineStr">
        <is>
          <t>h21 Рубашка мужская с длинным рукавом</t>
        </is>
      </c>
      <c r="F1068" s="2" t="inlineStr">
        <is>
          <t>всесезонный</t>
        </is>
      </c>
      <c r="G1068" s="3" t="inlineStr">
        <is>
          <t>kari</t>
        </is>
      </c>
      <c r="H1068" s="2" t="inlineStr">
        <is>
          <t>Зиннуров Ильнур</t>
        </is>
      </c>
      <c r="J1068" s="3" t="inlineStr">
        <is>
          <t>2026SS</t>
        </is>
      </c>
      <c r="K1068" s="3" t="n">
        <v>863</v>
      </c>
      <c r="L1068" s="3" t="n">
        <v>13</v>
      </c>
      <c r="M1068" s="3" t="n">
        <v>0</v>
      </c>
      <c r="N1068" s="4">
        <f>IFERROR(L1068/K1068,0)</f>
        <v/>
      </c>
      <c r="O1068" s="4">
        <f>IFERROR(M1068/L1068,0)</f>
        <v/>
      </c>
      <c r="P1068" t="n">
        <v>270</v>
      </c>
      <c r="Q1068" s="5" t="n">
        <v>0.8</v>
      </c>
      <c r="R1068" s="7" t="n">
        <v>0</v>
      </c>
      <c r="S1068" t="inlineStr">
        <is>
          <t>Мало показов</t>
        </is>
      </c>
      <c r="T1068">
        <f>IF(N1068&lt;$T$1*0.5,"Низшая четверть",IF(N1068&lt;$T$1,"Вторая четверть","Больше половины"))</f>
        <v/>
      </c>
      <c r="U1068">
        <f>IF(O1068&lt;$U$1*0.5,"Низшая четверть",IF(O1068&lt;$U$1,"Вторая четверть","Больше половины"))</f>
        <v/>
      </c>
      <c r="V1068">
        <f>IF(OR(N1068&lt;SUMIFS(L:L,R:R,1,E:E,E1068)/SUMIFS(K:K,R:R,1,E:E,E1068)*0.5,O1068&lt;SUMIFS(M:M,R:R,1,E:E,E1068)/SUMIFS(L:L,R:R,1,E:E,E1068)*0.5),"код для проверки","нормальный код")</f>
        <v/>
      </c>
      <c r="W1068">
        <f>IF(N1068&lt;SUMIFS(L:L,R:R,1,E:E,E1068)/SUMIFS(K:K,R:R,1,E:E,E1068)*0.5,"Низшая четверть",IF(N1068&lt;SUMIFS(L:L,R:R,1,E:E,E1068)/SUMIFS(K:K,R:R,1,E:E,E1068),"Вторая четверть","Больше половины"))</f>
        <v/>
      </c>
      <c r="X1068">
        <f>IF(O1068&lt;SUMIFS(M:M,R:R,1,E:E,E1068)/SUMIFS(L:L,R:R,1,E:E,E1068)*0.5,"Низшая четверть",IF(O1068&lt;SUMIFS(M:M,R:R,1,E:E,E1068)/SUMIFS(L:L,R:R,1,E:E,E1068),"Вторая четверть","Больше половины"))</f>
        <v/>
      </c>
      <c r="Y1068" t="n">
        <v>17</v>
      </c>
    </row>
    <row r="1069">
      <c r="A1069" s="1" t="inlineStr">
        <is>
          <t>h1000330</t>
        </is>
      </c>
      <c r="B1069" s="2" t="inlineStr">
        <is>
          <t>879308792</t>
        </is>
      </c>
      <c r="C1069" s="3" t="inlineStr">
        <is>
          <t>Одежда и аксессуары</t>
        </is>
      </c>
      <c r="D1069" s="2" t="inlineStr">
        <is>
          <t>Футболки, рубашки мужские</t>
        </is>
      </c>
      <c r="E1069" s="3" t="inlineStr">
        <is>
          <t>h10 Футболка мужская</t>
        </is>
      </c>
      <c r="F1069" s="2" t="inlineStr">
        <is>
          <t>всесезонный</t>
        </is>
      </c>
      <c r="G1069" s="3" t="inlineStr">
        <is>
          <t>kari</t>
        </is>
      </c>
      <c r="H1069" s="2" t="inlineStr">
        <is>
          <t>Зиннуров Ильнур</t>
        </is>
      </c>
      <c r="J1069" s="3" t="inlineStr">
        <is>
          <t>2026SS</t>
        </is>
      </c>
      <c r="K1069" s="3" t="n">
        <v>862</v>
      </c>
      <c r="L1069" s="3" t="n">
        <v>48</v>
      </c>
      <c r="M1069" s="3" t="n">
        <v>0</v>
      </c>
      <c r="N1069" s="4">
        <f>IFERROR(L1069/K1069,0)</f>
        <v/>
      </c>
      <c r="O1069" s="4">
        <f>IFERROR(M1069/L1069,0)</f>
        <v/>
      </c>
      <c r="P1069" t="n">
        <v>480</v>
      </c>
      <c r="Q1069" s="5" t="n">
        <v>1</v>
      </c>
      <c r="R1069" s="7" t="n">
        <v>0</v>
      </c>
      <c r="S1069" t="inlineStr">
        <is>
          <t>Мало показов</t>
        </is>
      </c>
      <c r="T1069">
        <f>IF(N1069&lt;$T$1*0.5,"Низшая четверть",IF(N1069&lt;$T$1,"Вторая четверть","Больше половины"))</f>
        <v/>
      </c>
      <c r="U1069">
        <f>IF(O1069&lt;$U$1*0.5,"Низшая четверть",IF(O1069&lt;$U$1,"Вторая четверть","Больше половины"))</f>
        <v/>
      </c>
      <c r="V1069">
        <f>IF(OR(N1069&lt;SUMIFS(L:L,R:R,1,E:E,E1069)/SUMIFS(K:K,R:R,1,E:E,E1069)*0.5,O1069&lt;SUMIFS(M:M,R:R,1,E:E,E1069)/SUMIFS(L:L,R:R,1,E:E,E1069)*0.5),"код для проверки","нормальный код")</f>
        <v/>
      </c>
      <c r="W1069">
        <f>IF(N1069&lt;SUMIFS(L:L,R:R,1,E:E,E1069)/SUMIFS(K:K,R:R,1,E:E,E1069)*0.5,"Низшая четверть",IF(N1069&lt;SUMIFS(L:L,R:R,1,E:E,E1069)/SUMIFS(K:K,R:R,1,E:E,E1069),"Вторая четверть","Больше половины"))</f>
        <v/>
      </c>
      <c r="X1069">
        <f>IF(O1069&lt;SUMIFS(M:M,R:R,1,E:E,E1069)/SUMIFS(L:L,R:R,1,E:E,E1069)*0.5,"Низшая четверть",IF(O1069&lt;SUMIFS(M:M,R:R,1,E:E,E1069)/SUMIFS(L:L,R:R,1,E:E,E1069),"Вторая четверть","Больше половины"))</f>
        <v/>
      </c>
      <c r="Y1069" t="n">
        <v>16</v>
      </c>
    </row>
    <row r="1070">
      <c r="A1070" s="1" t="inlineStr">
        <is>
          <t>19300520</t>
        </is>
      </c>
      <c r="B1070" s="2" t="inlineStr">
        <is>
          <t>917869434</t>
        </is>
      </c>
      <c r="C1070" s="3" t="inlineStr">
        <is>
          <t>Одежда для детей</t>
        </is>
      </c>
      <c r="D1070" s="2" t="inlineStr">
        <is>
          <t>Брюки детские для мальчиков</t>
        </is>
      </c>
      <c r="E1070" s="3" t="inlineStr">
        <is>
          <t>193 Шорты детские для мальчиков</t>
        </is>
      </c>
      <c r="F1070" s="2" t="inlineStr">
        <is>
          <t>лето</t>
        </is>
      </c>
      <c r="G1070" s="3" t="inlineStr">
        <is>
          <t>Kari KIDS</t>
        </is>
      </c>
      <c r="H1070" s="2" t="inlineStr">
        <is>
          <t>Зиннуров Ильнур</t>
        </is>
      </c>
      <c r="J1070" s="3" t="inlineStr">
        <is>
          <t>2026SS</t>
        </is>
      </c>
      <c r="K1070" s="3" t="n">
        <v>854</v>
      </c>
      <c r="L1070" s="3" t="n">
        <v>12</v>
      </c>
      <c r="M1070" s="3" t="n">
        <v>0</v>
      </c>
      <c r="N1070" s="4">
        <f>IFERROR(L1070/K1070,0)</f>
        <v/>
      </c>
      <c r="O1070" s="4">
        <f>IFERROR(M1070/L1070,0)</f>
        <v/>
      </c>
      <c r="P1070" t="n">
        <v>402</v>
      </c>
      <c r="Q1070" s="5" t="n">
        <v>1</v>
      </c>
      <c r="R1070" s="7" t="n">
        <v>0</v>
      </c>
      <c r="S1070" t="inlineStr">
        <is>
          <t>Мало показов</t>
        </is>
      </c>
      <c r="T1070">
        <f>IF(N1070&lt;$T$1*0.5,"Низшая четверть",IF(N1070&lt;$T$1,"Вторая четверть","Больше половины"))</f>
        <v/>
      </c>
      <c r="U1070">
        <f>IF(O1070&lt;$U$1*0.5,"Низшая четверть",IF(O1070&lt;$U$1,"Вторая четверть","Больше половины"))</f>
        <v/>
      </c>
      <c r="V1070">
        <f>IF(OR(N1070&lt;SUMIFS(L:L,R:R,1,E:E,E1070)/SUMIFS(K:K,R:R,1,E:E,E1070)*0.5,O1070&lt;SUMIFS(M:M,R:R,1,E:E,E1070)/SUMIFS(L:L,R:R,1,E:E,E1070)*0.5),"код для проверки","нормальный код")</f>
        <v/>
      </c>
      <c r="W1070">
        <f>IF(N1070&lt;SUMIFS(L:L,R:R,1,E:E,E1070)/SUMIFS(K:K,R:R,1,E:E,E1070)*0.5,"Низшая четверть",IF(N1070&lt;SUMIFS(L:L,R:R,1,E:E,E1070)/SUMIFS(K:K,R:R,1,E:E,E1070),"Вторая четверть","Больше половины"))</f>
        <v/>
      </c>
      <c r="X1070">
        <f>IF(O1070&lt;SUMIFS(M:M,R:R,1,E:E,E1070)/SUMIFS(L:L,R:R,1,E:E,E1070)*0.5,"Низшая четверть",IF(O1070&lt;SUMIFS(M:M,R:R,1,E:E,E1070)/SUMIFS(L:L,R:R,1,E:E,E1070),"Вторая четверть","Больше половины"))</f>
        <v/>
      </c>
      <c r="Y1070" t="n">
        <v>8</v>
      </c>
    </row>
    <row r="1071">
      <c r="A1071" s="1" t="inlineStr">
        <is>
          <t>h7700250</t>
        </is>
      </c>
      <c r="B1071" s="2" t="inlineStr">
        <is>
          <t>817624470</t>
        </is>
      </c>
      <c r="C1071" s="3" t="inlineStr">
        <is>
          <t>Одежда и аксессуары</t>
        </is>
      </c>
      <c r="D1071" s="2" t="inlineStr">
        <is>
          <t>Купальники женские</t>
        </is>
      </c>
      <c r="E1071" s="3" t="inlineStr">
        <is>
          <t>h77 Одежда пляжная женская</t>
        </is>
      </c>
      <c r="F1071" s="2" t="inlineStr">
        <is>
          <t>лето</t>
        </is>
      </c>
      <c r="G1071" s="3" t="inlineStr">
        <is>
          <t>kari</t>
        </is>
      </c>
      <c r="H1071" s="2" t="inlineStr">
        <is>
          <t>Зиннуров Ильнур</t>
        </is>
      </c>
      <c r="J1071" s="3" t="inlineStr">
        <is>
          <t>2026SS</t>
        </is>
      </c>
      <c r="K1071" s="3" t="n">
        <v>850</v>
      </c>
      <c r="L1071" s="3" t="n">
        <v>224</v>
      </c>
      <c r="M1071" s="3" t="n">
        <v>4</v>
      </c>
      <c r="N1071" s="4">
        <f>IFERROR(L1071/K1071,0)</f>
        <v/>
      </c>
      <c r="O1071" s="4">
        <f>IFERROR(M1071/L1071,0)</f>
        <v/>
      </c>
      <c r="P1071" t="n">
        <v>1839</v>
      </c>
      <c r="Q1071" s="5" t="n">
        <v>1</v>
      </c>
      <c r="R1071" s="7" t="n">
        <v>0</v>
      </c>
      <c r="S1071" t="inlineStr">
        <is>
          <t>Мало показов</t>
        </is>
      </c>
      <c r="T1071">
        <f>IF(N1071&lt;$T$1*0.5,"Низшая четверть",IF(N1071&lt;$T$1,"Вторая четверть","Больше половины"))</f>
        <v/>
      </c>
      <c r="U1071">
        <f>IF(O1071&lt;$U$1*0.5,"Низшая четверть",IF(O1071&lt;$U$1,"Вторая четверть","Больше половины"))</f>
        <v/>
      </c>
      <c r="V1071">
        <f>IF(OR(N1071&lt;SUMIFS(L:L,R:R,1,E:E,E1071)/SUMIFS(K:K,R:R,1,E:E,E1071)*0.5,O1071&lt;SUMIFS(M:M,R:R,1,E:E,E1071)/SUMIFS(L:L,R:R,1,E:E,E1071)*0.5),"код для проверки","нормальный код")</f>
        <v/>
      </c>
      <c r="W1071">
        <f>IF(N1071&lt;SUMIFS(L:L,R:R,1,E:E,E1071)/SUMIFS(K:K,R:R,1,E:E,E1071)*0.5,"Низшая четверть",IF(N1071&lt;SUMIFS(L:L,R:R,1,E:E,E1071)/SUMIFS(K:K,R:R,1,E:E,E1071),"Вторая четверть","Больше половины"))</f>
        <v/>
      </c>
      <c r="X1071">
        <f>IF(O1071&lt;SUMIFS(M:M,R:R,1,E:E,E1071)/SUMIFS(L:L,R:R,1,E:E,E1071)*0.5,"Низшая четверть",IF(O1071&lt;SUMIFS(M:M,R:R,1,E:E,E1071)/SUMIFS(L:L,R:R,1,E:E,E1071),"Вторая четверть","Больше половины"))</f>
        <v/>
      </c>
      <c r="Y1071" t="n">
        <v>7</v>
      </c>
    </row>
    <row r="1072">
      <c r="A1072" s="1" t="inlineStr">
        <is>
          <t>18000030</t>
        </is>
      </c>
      <c r="B1072" s="2" t="inlineStr">
        <is>
          <t>929518639</t>
        </is>
      </c>
      <c r="C1072" s="3" t="inlineStr">
        <is>
          <t>Одежда и аксессуары</t>
        </is>
      </c>
      <c r="D1072" s="2" t="inlineStr">
        <is>
          <t>Джинсы мужские</t>
        </is>
      </c>
      <c r="E1072" s="3" t="inlineStr">
        <is>
          <t>180 Джинсы мужские</t>
        </is>
      </c>
      <c r="F1072" s="2" t="inlineStr">
        <is>
          <t>всесезонный</t>
        </is>
      </c>
      <c r="G1072" s="3" t="inlineStr">
        <is>
          <t>kari</t>
        </is>
      </c>
      <c r="H1072" s="2" t="inlineStr">
        <is>
          <t>Зиннуров Ильнур</t>
        </is>
      </c>
      <c r="J1072" s="3" t="inlineStr">
        <is>
          <t>2026SS</t>
        </is>
      </c>
      <c r="K1072" s="3" t="n">
        <v>849</v>
      </c>
      <c r="L1072" s="3" t="n">
        <v>32</v>
      </c>
      <c r="M1072" s="3" t="n">
        <v>1</v>
      </c>
      <c r="N1072" s="4">
        <f>IFERROR(L1072/K1072,0)</f>
        <v/>
      </c>
      <c r="O1072" s="4">
        <f>IFERROR(M1072/L1072,0)</f>
        <v/>
      </c>
      <c r="P1072" t="n">
        <v>448</v>
      </c>
      <c r="Q1072" s="5" t="n">
        <v>1</v>
      </c>
      <c r="R1072" s="7" t="n">
        <v>0</v>
      </c>
      <c r="S1072" t="inlineStr">
        <is>
          <t>Мало показов</t>
        </is>
      </c>
      <c r="T1072">
        <f>IF(N1072&lt;$T$1*0.5,"Низшая четверть",IF(N1072&lt;$T$1,"Вторая четверть","Больше половины"))</f>
        <v/>
      </c>
      <c r="U1072">
        <f>IF(O1072&lt;$U$1*0.5,"Низшая четверть",IF(O1072&lt;$U$1,"Вторая четверть","Больше половины"))</f>
        <v/>
      </c>
      <c r="V1072">
        <f>IF(OR(N1072&lt;SUMIFS(L:L,R:R,1,E:E,E1072)/SUMIFS(K:K,R:R,1,E:E,E1072)*0.5,O1072&lt;SUMIFS(M:M,R:R,1,E:E,E1072)/SUMIFS(L:L,R:R,1,E:E,E1072)*0.5),"код для проверки","нормальный код")</f>
        <v/>
      </c>
      <c r="W1072">
        <f>IF(N1072&lt;SUMIFS(L:L,R:R,1,E:E,E1072)/SUMIFS(K:K,R:R,1,E:E,E1072)*0.5,"Низшая четверть",IF(N1072&lt;SUMIFS(L:L,R:R,1,E:E,E1072)/SUMIFS(K:K,R:R,1,E:E,E1072),"Вторая четверть","Больше половины"))</f>
        <v/>
      </c>
      <c r="X1072">
        <f>IF(O1072&lt;SUMIFS(M:M,R:R,1,E:E,E1072)/SUMIFS(L:L,R:R,1,E:E,E1072)*0.5,"Низшая четверть",IF(O1072&lt;SUMIFS(M:M,R:R,1,E:E,E1072)/SUMIFS(L:L,R:R,1,E:E,E1072),"Вторая четверть","Больше половины"))</f>
        <v/>
      </c>
      <c r="Y1072" t="n">
        <v>19</v>
      </c>
    </row>
    <row r="1073">
      <c r="A1073" s="1" t="inlineStr">
        <is>
          <t>30800040</t>
        </is>
      </c>
      <c r="B1073" s="2" t="inlineStr">
        <is>
          <t>775830491</t>
        </is>
      </c>
      <c r="C1073" s="3" t="inlineStr">
        <is>
          <t>Одежда для детей</t>
        </is>
      </c>
      <c r="D1073" s="2" t="inlineStr">
        <is>
          <t>Футболки, майки, рубашки детские для мальчиков</t>
        </is>
      </c>
      <c r="E1073" s="3" t="inlineStr">
        <is>
          <t>308 Рубашка длинный рукав детская для мальчиков</t>
        </is>
      </c>
      <c r="F1073" s="2" t="inlineStr">
        <is>
          <t>всесезонный</t>
        </is>
      </c>
      <c r="G1073" s="3" t="inlineStr">
        <is>
          <t>Kari KIDS</t>
        </is>
      </c>
      <c r="H1073" s="2" t="inlineStr">
        <is>
          <t>Зиннуров Ильнур</t>
        </is>
      </c>
      <c r="J1073" s="3" t="inlineStr">
        <is>
          <t>2026SS</t>
        </is>
      </c>
      <c r="K1073" s="3" t="n">
        <v>845</v>
      </c>
      <c r="L1073" s="3" t="n">
        <v>66</v>
      </c>
      <c r="M1073" s="3" t="n">
        <v>0</v>
      </c>
      <c r="N1073" s="4">
        <f>IFERROR(L1073/K1073,0)</f>
        <v/>
      </c>
      <c r="O1073" s="4">
        <f>IFERROR(M1073/L1073,0)</f>
        <v/>
      </c>
      <c r="P1073" t="n">
        <v>272</v>
      </c>
      <c r="Q1073" s="5" t="n">
        <v>1</v>
      </c>
      <c r="R1073" s="7" t="n">
        <v>0</v>
      </c>
      <c r="S1073" t="inlineStr">
        <is>
          <t>Мало показов</t>
        </is>
      </c>
      <c r="T1073">
        <f>IF(N1073&lt;$T$1*0.5,"Низшая четверть",IF(N1073&lt;$T$1,"Вторая четверть","Больше половины"))</f>
        <v/>
      </c>
      <c r="U1073">
        <f>IF(O1073&lt;$U$1*0.5,"Низшая четверть",IF(O1073&lt;$U$1,"Вторая четверть","Больше половины"))</f>
        <v/>
      </c>
      <c r="V1073">
        <f>IF(OR(N1073&lt;SUMIFS(L:L,R:R,1,E:E,E1073)/SUMIFS(K:K,R:R,1,E:E,E1073)*0.5,O1073&lt;SUMIFS(M:M,R:R,1,E:E,E1073)/SUMIFS(L:L,R:R,1,E:E,E1073)*0.5),"код для проверки","нормальный код")</f>
        <v/>
      </c>
      <c r="W1073">
        <f>IF(N1073&lt;SUMIFS(L:L,R:R,1,E:E,E1073)/SUMIFS(K:K,R:R,1,E:E,E1073)*0.5,"Низшая четверть",IF(N1073&lt;SUMIFS(L:L,R:R,1,E:E,E1073)/SUMIFS(K:K,R:R,1,E:E,E1073),"Вторая четверть","Больше половины"))</f>
        <v/>
      </c>
      <c r="X1073">
        <f>IF(O1073&lt;SUMIFS(M:M,R:R,1,E:E,E1073)/SUMIFS(L:L,R:R,1,E:E,E1073)*0.5,"Низшая четверть",IF(O1073&lt;SUMIFS(M:M,R:R,1,E:E,E1073)/SUMIFS(L:L,R:R,1,E:E,E1073),"Вторая четверть","Больше половины"))</f>
        <v/>
      </c>
      <c r="Y1073" t="n">
        <v>16</v>
      </c>
    </row>
    <row r="1074">
      <c r="A1074" s="1" t="inlineStr">
        <is>
          <t>310000S0</t>
        </is>
      </c>
      <c r="B1074" s="2" t="inlineStr">
        <is>
          <t>790169153</t>
        </is>
      </c>
      <c r="C1074" s="3" t="inlineStr">
        <is>
          <t>Одежда для детей</t>
        </is>
      </c>
      <c r="D1074" s="2" t="inlineStr">
        <is>
          <t>Футболки, майки, рубашки детские для мальчиков</t>
        </is>
      </c>
      <c r="E1074" s="3" t="inlineStr">
        <is>
          <t>310 Футболка детская для мальчиков</t>
        </is>
      </c>
      <c r="F1074" s="2" t="inlineStr">
        <is>
          <t>всесезонный</t>
        </is>
      </c>
      <c r="G1074" s="3" t="inlineStr">
        <is>
          <t>kari</t>
        </is>
      </c>
      <c r="H1074" s="2" t="inlineStr">
        <is>
          <t>Зиннуров Ильнур</t>
        </is>
      </c>
      <c r="J1074" s="3" t="inlineStr">
        <is>
          <t>2026SS</t>
        </is>
      </c>
      <c r="K1074" s="3" t="n">
        <v>842</v>
      </c>
      <c r="L1074" s="3" t="n">
        <v>44</v>
      </c>
      <c r="M1074" s="3" t="n">
        <v>2</v>
      </c>
      <c r="N1074" s="4">
        <f>IFERROR(L1074/K1074,0)</f>
        <v/>
      </c>
      <c r="O1074" s="4">
        <f>IFERROR(M1074/L1074,0)</f>
        <v/>
      </c>
      <c r="P1074" t="n">
        <v>360</v>
      </c>
      <c r="Q1074" s="5" t="n">
        <v>1</v>
      </c>
      <c r="R1074" s="7" t="n">
        <v>0</v>
      </c>
      <c r="S1074" t="inlineStr">
        <is>
          <t>Мало показов</t>
        </is>
      </c>
      <c r="T1074">
        <f>IF(N1074&lt;$T$1*0.5,"Низшая четверть",IF(N1074&lt;$T$1,"Вторая четверть","Больше половины"))</f>
        <v/>
      </c>
      <c r="U1074">
        <f>IF(O1074&lt;$U$1*0.5,"Низшая четверть",IF(O1074&lt;$U$1,"Вторая четверть","Больше половины"))</f>
        <v/>
      </c>
      <c r="V1074">
        <f>IF(OR(N1074&lt;SUMIFS(L:L,R:R,1,E:E,E1074)/SUMIFS(K:K,R:R,1,E:E,E1074)*0.5,O1074&lt;SUMIFS(M:M,R:R,1,E:E,E1074)/SUMIFS(L:L,R:R,1,E:E,E1074)*0.5),"код для проверки","нормальный код")</f>
        <v/>
      </c>
      <c r="W1074">
        <f>IF(N1074&lt;SUMIFS(L:L,R:R,1,E:E,E1074)/SUMIFS(K:K,R:R,1,E:E,E1074)*0.5,"Низшая четверть",IF(N1074&lt;SUMIFS(L:L,R:R,1,E:E,E1074)/SUMIFS(K:K,R:R,1,E:E,E1074),"Вторая четверть","Больше половины"))</f>
        <v/>
      </c>
      <c r="X1074">
        <f>IF(O1074&lt;SUMIFS(M:M,R:R,1,E:E,E1074)/SUMIFS(L:L,R:R,1,E:E,E1074)*0.5,"Низшая четверть",IF(O1074&lt;SUMIFS(M:M,R:R,1,E:E,E1074)/SUMIFS(L:L,R:R,1,E:E,E1074),"Вторая четверть","Больше половины"))</f>
        <v/>
      </c>
      <c r="Y1074" t="n">
        <v>19</v>
      </c>
    </row>
    <row r="1075">
      <c r="A1075" s="1" t="inlineStr">
        <is>
          <t>h2100020</t>
        </is>
      </c>
      <c r="B1075" s="2" t="inlineStr">
        <is>
          <t>879308783</t>
        </is>
      </c>
      <c r="C1075" s="3" t="inlineStr">
        <is>
          <t>Одежда и аксессуары</t>
        </is>
      </c>
      <c r="D1075" s="2" t="inlineStr">
        <is>
          <t>Футболки, рубашки мужские</t>
        </is>
      </c>
      <c r="E1075" s="3" t="inlineStr">
        <is>
          <t>h21 Рубашка мужская с длинным рукавом</t>
        </is>
      </c>
      <c r="F1075" s="2" t="inlineStr">
        <is>
          <t>всесезонный</t>
        </is>
      </c>
      <c r="G1075" s="3" t="inlineStr">
        <is>
          <t>kari</t>
        </is>
      </c>
      <c r="H1075" s="2" t="inlineStr">
        <is>
          <t>Зиннуров Ильнур</t>
        </is>
      </c>
      <c r="J1075" s="3" t="inlineStr">
        <is>
          <t>2026SS</t>
        </is>
      </c>
      <c r="K1075" s="3" t="n">
        <v>838</v>
      </c>
      <c r="L1075" s="3" t="n">
        <v>11</v>
      </c>
      <c r="M1075" s="3" t="n">
        <v>0</v>
      </c>
      <c r="N1075" s="4">
        <f>IFERROR(L1075/K1075,0)</f>
        <v/>
      </c>
      <c r="O1075" s="4">
        <f>IFERROR(M1075/L1075,0)</f>
        <v/>
      </c>
      <c r="P1075" t="n">
        <v>180</v>
      </c>
      <c r="Q1075" s="5" t="n">
        <v>1</v>
      </c>
      <c r="R1075" s="7" t="n">
        <v>0</v>
      </c>
      <c r="S1075" t="inlineStr">
        <is>
          <t>Мало показов</t>
        </is>
      </c>
      <c r="T1075">
        <f>IF(N1075&lt;$T$1*0.5,"Низшая четверть",IF(N1075&lt;$T$1,"Вторая четверть","Больше половины"))</f>
        <v/>
      </c>
      <c r="U1075">
        <f>IF(O1075&lt;$U$1*0.5,"Низшая четверть",IF(O1075&lt;$U$1,"Вторая четверть","Больше половины"))</f>
        <v/>
      </c>
      <c r="V1075">
        <f>IF(OR(N1075&lt;SUMIFS(L:L,R:R,1,E:E,E1075)/SUMIFS(K:K,R:R,1,E:E,E1075)*0.5,O1075&lt;SUMIFS(M:M,R:R,1,E:E,E1075)/SUMIFS(L:L,R:R,1,E:E,E1075)*0.5),"код для проверки","нормальный код")</f>
        <v/>
      </c>
      <c r="W1075">
        <f>IF(N1075&lt;SUMIFS(L:L,R:R,1,E:E,E1075)/SUMIFS(K:K,R:R,1,E:E,E1075)*0.5,"Низшая четверть",IF(N1075&lt;SUMIFS(L:L,R:R,1,E:E,E1075)/SUMIFS(K:K,R:R,1,E:E,E1075),"Вторая четверть","Больше половины"))</f>
        <v/>
      </c>
      <c r="X1075">
        <f>IF(O1075&lt;SUMIFS(M:M,R:R,1,E:E,E1075)/SUMIFS(L:L,R:R,1,E:E,E1075)*0.5,"Низшая четверть",IF(O1075&lt;SUMIFS(M:M,R:R,1,E:E,E1075)/SUMIFS(L:L,R:R,1,E:E,E1075),"Вторая четверть","Больше половины"))</f>
        <v/>
      </c>
      <c r="Y1075" t="n">
        <v>19</v>
      </c>
    </row>
    <row r="1076">
      <c r="A1076" s="1" t="inlineStr">
        <is>
          <t>h1000220</t>
        </is>
      </c>
      <c r="B1076" s="2" t="inlineStr">
        <is>
          <t>932503506</t>
        </is>
      </c>
      <c r="C1076" s="3" t="inlineStr">
        <is>
          <t>Одежда и аксессуары</t>
        </is>
      </c>
      <c r="D1076" s="2" t="inlineStr">
        <is>
          <t>Футболки, рубашки мужские</t>
        </is>
      </c>
      <c r="E1076" s="3" t="inlineStr">
        <is>
          <t>h10 Футболка мужская</t>
        </is>
      </c>
      <c r="F1076" s="2" t="inlineStr">
        <is>
          <t>всесезонный</t>
        </is>
      </c>
      <c r="G1076" s="3" t="inlineStr">
        <is>
          <t>kari</t>
        </is>
      </c>
      <c r="H1076" s="2" t="inlineStr">
        <is>
          <t>Зиннуров Ильнур</t>
        </is>
      </c>
      <c r="J1076" s="3" t="inlineStr">
        <is>
          <t>2026SS</t>
        </is>
      </c>
      <c r="K1076" s="3" t="n">
        <v>836</v>
      </c>
      <c r="L1076" s="3" t="n">
        <v>3</v>
      </c>
      <c r="M1076" s="3" t="n">
        <v>0</v>
      </c>
      <c r="N1076" s="4">
        <f>IFERROR(L1076/K1076,0)</f>
        <v/>
      </c>
      <c r="O1076" s="4">
        <f>IFERROR(M1076/L1076,0)</f>
        <v/>
      </c>
      <c r="P1076" t="n">
        <v>60</v>
      </c>
      <c r="Q1076" s="5" t="n">
        <v>0.4</v>
      </c>
      <c r="R1076" s="7" t="n">
        <v>0</v>
      </c>
      <c r="S1076" t="inlineStr">
        <is>
          <t>Мало показов</t>
        </is>
      </c>
      <c r="T1076">
        <f>IF(N1076&lt;$T$1*0.5,"Низшая четверть",IF(N1076&lt;$T$1,"Вторая четверть","Больше половины"))</f>
        <v/>
      </c>
      <c r="U1076">
        <f>IF(O1076&lt;$U$1*0.5,"Низшая четверть",IF(O1076&lt;$U$1,"Вторая четверть","Больше половины"))</f>
        <v/>
      </c>
      <c r="V1076">
        <f>IF(OR(N1076&lt;SUMIFS(L:L,R:R,1,E:E,E1076)/SUMIFS(K:K,R:R,1,E:E,E1076)*0.5,O1076&lt;SUMIFS(M:M,R:R,1,E:E,E1076)/SUMIFS(L:L,R:R,1,E:E,E1076)*0.5),"код для проверки","нормальный код")</f>
        <v/>
      </c>
      <c r="W1076">
        <f>IF(N1076&lt;SUMIFS(L:L,R:R,1,E:E,E1076)/SUMIFS(K:K,R:R,1,E:E,E1076)*0.5,"Низшая четверть",IF(N1076&lt;SUMIFS(L:L,R:R,1,E:E,E1076)/SUMIFS(K:K,R:R,1,E:E,E1076),"Вторая четверть","Больше половины"))</f>
        <v/>
      </c>
      <c r="X1076">
        <f>IF(O1076&lt;SUMIFS(M:M,R:R,1,E:E,E1076)/SUMIFS(L:L,R:R,1,E:E,E1076)*0.5,"Низшая четверть",IF(O1076&lt;SUMIFS(M:M,R:R,1,E:E,E1076)/SUMIFS(L:L,R:R,1,E:E,E1076),"Вторая четверть","Больше половины"))</f>
        <v/>
      </c>
      <c r="Y1076" t="n">
        <v>5</v>
      </c>
    </row>
    <row r="1077">
      <c r="A1077" s="1" t="inlineStr">
        <is>
          <t>h2100010</t>
        </is>
      </c>
      <c r="B1077" s="2" t="inlineStr">
        <is>
          <t>879308764</t>
        </is>
      </c>
      <c r="C1077" s="3" t="inlineStr">
        <is>
          <t>Одежда и аксессуары</t>
        </is>
      </c>
      <c r="D1077" s="2" t="inlineStr">
        <is>
          <t>Футболки, рубашки мужские</t>
        </is>
      </c>
      <c r="E1077" s="3" t="inlineStr">
        <is>
          <t>h21 Рубашка мужская с длинным рукавом</t>
        </is>
      </c>
      <c r="F1077" s="2" t="inlineStr">
        <is>
          <t>всесезонный</t>
        </is>
      </c>
      <c r="G1077" s="3" t="inlineStr">
        <is>
          <t>kari</t>
        </is>
      </c>
      <c r="H1077" s="2" t="inlineStr">
        <is>
          <t>Зиннуров Ильнур</t>
        </is>
      </c>
      <c r="J1077" s="3" t="inlineStr">
        <is>
          <t>2026SS</t>
        </is>
      </c>
      <c r="K1077" s="3" t="n">
        <v>835</v>
      </c>
      <c r="L1077" s="3" t="n">
        <v>13</v>
      </c>
      <c r="M1077" s="3" t="n">
        <v>0</v>
      </c>
      <c r="N1077" s="4">
        <f>IFERROR(L1077/K1077,0)</f>
        <v/>
      </c>
      <c r="O1077" s="4">
        <f>IFERROR(M1077/L1077,0)</f>
        <v/>
      </c>
      <c r="P1077" t="n">
        <v>329</v>
      </c>
      <c r="Q1077" s="5" t="n">
        <v>1</v>
      </c>
      <c r="R1077" s="7" t="n">
        <v>0</v>
      </c>
      <c r="S1077" t="inlineStr">
        <is>
          <t>Мало показов</t>
        </is>
      </c>
      <c r="T1077">
        <f>IF(N1077&lt;$T$1*0.5,"Низшая четверть",IF(N1077&lt;$T$1,"Вторая четверть","Больше половины"))</f>
        <v/>
      </c>
      <c r="U1077">
        <f>IF(O1077&lt;$U$1*0.5,"Низшая четверть",IF(O1077&lt;$U$1,"Вторая четверть","Больше половины"))</f>
        <v/>
      </c>
      <c r="V1077">
        <f>IF(OR(N1077&lt;SUMIFS(L:L,R:R,1,E:E,E1077)/SUMIFS(K:K,R:R,1,E:E,E1077)*0.5,O1077&lt;SUMIFS(M:M,R:R,1,E:E,E1077)/SUMIFS(L:L,R:R,1,E:E,E1077)*0.5),"код для проверки","нормальный код")</f>
        <v/>
      </c>
      <c r="W1077">
        <f>IF(N1077&lt;SUMIFS(L:L,R:R,1,E:E,E1077)/SUMIFS(K:K,R:R,1,E:E,E1077)*0.5,"Низшая четверть",IF(N1077&lt;SUMIFS(L:L,R:R,1,E:E,E1077)/SUMIFS(K:K,R:R,1,E:E,E1077),"Вторая четверть","Больше половины"))</f>
        <v/>
      </c>
      <c r="X1077">
        <f>IF(O1077&lt;SUMIFS(M:M,R:R,1,E:E,E1077)/SUMIFS(L:L,R:R,1,E:E,E1077)*0.5,"Низшая четверть",IF(O1077&lt;SUMIFS(M:M,R:R,1,E:E,E1077)/SUMIFS(L:L,R:R,1,E:E,E1077),"Вторая четверть","Больше половины"))</f>
        <v/>
      </c>
      <c r="Y1077" t="n">
        <v>18</v>
      </c>
    </row>
    <row r="1078">
      <c r="A1078" s="1" t="inlineStr">
        <is>
          <t>h1000310</t>
        </is>
      </c>
      <c r="B1078" s="2" t="inlineStr">
        <is>
          <t>932503612</t>
        </is>
      </c>
      <c r="C1078" s="3" t="inlineStr">
        <is>
          <t>Одежда и аксессуары</t>
        </is>
      </c>
      <c r="D1078" s="2" t="inlineStr">
        <is>
          <t>Футболки, рубашки мужские</t>
        </is>
      </c>
      <c r="E1078" s="3" t="inlineStr">
        <is>
          <t>h10 Футболка мужская</t>
        </is>
      </c>
      <c r="F1078" s="2" t="inlineStr">
        <is>
          <t>всесезонный</t>
        </is>
      </c>
      <c r="G1078" s="3" t="inlineStr">
        <is>
          <t>kari</t>
        </is>
      </c>
      <c r="H1078" s="2" t="inlineStr">
        <is>
          <t>Зиннуров Ильнур</t>
        </is>
      </c>
      <c r="J1078" s="3" t="inlineStr">
        <is>
          <t>2026SS</t>
        </is>
      </c>
      <c r="K1078" s="3" t="n">
        <v>829</v>
      </c>
      <c r="L1078" s="3" t="n">
        <v>14</v>
      </c>
      <c r="M1078" s="3" t="n">
        <v>0</v>
      </c>
      <c r="N1078" s="4">
        <f>IFERROR(L1078/K1078,0)</f>
        <v/>
      </c>
      <c r="O1078" s="4">
        <f>IFERROR(M1078/L1078,0)</f>
        <v/>
      </c>
      <c r="P1078" t="n">
        <v>1767</v>
      </c>
      <c r="Q1078" s="5" t="n">
        <v>1</v>
      </c>
      <c r="R1078" s="7" t="n">
        <v>0</v>
      </c>
      <c r="S1078" t="inlineStr">
        <is>
          <t>Мало показов</t>
        </is>
      </c>
      <c r="T1078">
        <f>IF(N1078&lt;$T$1*0.5,"Низшая четверть",IF(N1078&lt;$T$1,"Вторая четверть","Больше половины"))</f>
        <v/>
      </c>
      <c r="U1078">
        <f>IF(O1078&lt;$U$1*0.5,"Низшая четверть",IF(O1078&lt;$U$1,"Вторая четверть","Больше половины"))</f>
        <v/>
      </c>
      <c r="V1078">
        <f>IF(OR(N1078&lt;SUMIFS(L:L,R:R,1,E:E,E1078)/SUMIFS(K:K,R:R,1,E:E,E1078)*0.5,O1078&lt;SUMIFS(M:M,R:R,1,E:E,E1078)/SUMIFS(L:L,R:R,1,E:E,E1078)*0.5),"код для проверки","нормальный код")</f>
        <v/>
      </c>
      <c r="W1078">
        <f>IF(N1078&lt;SUMIFS(L:L,R:R,1,E:E,E1078)/SUMIFS(K:K,R:R,1,E:E,E1078)*0.5,"Низшая четверть",IF(N1078&lt;SUMIFS(L:L,R:R,1,E:E,E1078)/SUMIFS(K:K,R:R,1,E:E,E1078),"Вторая четверть","Больше половины"))</f>
        <v/>
      </c>
      <c r="X1078">
        <f>IF(O1078&lt;SUMIFS(M:M,R:R,1,E:E,E1078)/SUMIFS(L:L,R:R,1,E:E,E1078)*0.5,"Низшая четверть",IF(O1078&lt;SUMIFS(M:M,R:R,1,E:E,E1078)/SUMIFS(L:L,R:R,1,E:E,E1078),"Вторая четверть","Больше половины"))</f>
        <v/>
      </c>
      <c r="Y1078" t="n">
        <v>9</v>
      </c>
    </row>
    <row r="1079">
      <c r="A1079" s="1" t="inlineStr">
        <is>
          <t>h7700270</t>
        </is>
      </c>
      <c r="B1079" s="2" t="inlineStr">
        <is>
          <t>788918776</t>
        </is>
      </c>
      <c r="C1079" s="3" t="inlineStr">
        <is>
          <t>Одежда и аксессуары</t>
        </is>
      </c>
      <c r="D1079" s="2" t="inlineStr">
        <is>
          <t>Купальники женские</t>
        </is>
      </c>
      <c r="E1079" s="3" t="inlineStr">
        <is>
          <t>h77 Одежда пляжная женская</t>
        </is>
      </c>
      <c r="F1079" s="2" t="inlineStr">
        <is>
          <t>лето</t>
        </is>
      </c>
      <c r="G1079" s="3" t="inlineStr">
        <is>
          <t>kari</t>
        </is>
      </c>
      <c r="H1079" s="2" t="inlineStr">
        <is>
          <t>Зиннуров Ильнур</t>
        </is>
      </c>
      <c r="J1079" s="3" t="inlineStr">
        <is>
          <t>2026SS</t>
        </is>
      </c>
      <c r="K1079" s="3" t="n">
        <v>827</v>
      </c>
      <c r="L1079" s="3" t="n">
        <v>184</v>
      </c>
      <c r="M1079" s="3" t="n">
        <v>1</v>
      </c>
      <c r="N1079" s="4">
        <f>IFERROR(L1079/K1079,0)</f>
        <v/>
      </c>
      <c r="O1079" s="4">
        <f>IFERROR(M1079/L1079,0)</f>
        <v/>
      </c>
      <c r="P1079" t="n">
        <v>1815</v>
      </c>
      <c r="Q1079" s="5" t="n">
        <v>1</v>
      </c>
      <c r="R1079" s="7" t="n">
        <v>0</v>
      </c>
      <c r="S1079" t="inlineStr">
        <is>
          <t>Мало показов</t>
        </is>
      </c>
      <c r="T1079">
        <f>IF(N1079&lt;$T$1*0.5,"Низшая четверть",IF(N1079&lt;$T$1,"Вторая четверть","Больше половины"))</f>
        <v/>
      </c>
      <c r="U1079">
        <f>IF(O1079&lt;$U$1*0.5,"Низшая четверть",IF(O1079&lt;$U$1,"Вторая четверть","Больше половины"))</f>
        <v/>
      </c>
      <c r="V1079">
        <f>IF(OR(N1079&lt;SUMIFS(L:L,R:R,1,E:E,E1079)/SUMIFS(K:K,R:R,1,E:E,E1079)*0.5,O1079&lt;SUMIFS(M:M,R:R,1,E:E,E1079)/SUMIFS(L:L,R:R,1,E:E,E1079)*0.5),"код для проверки","нормальный код")</f>
        <v/>
      </c>
      <c r="W1079">
        <f>IF(N1079&lt;SUMIFS(L:L,R:R,1,E:E,E1079)/SUMIFS(K:K,R:R,1,E:E,E1079)*0.5,"Низшая четверть",IF(N1079&lt;SUMIFS(L:L,R:R,1,E:E,E1079)/SUMIFS(K:K,R:R,1,E:E,E1079),"Вторая четверть","Больше половины"))</f>
        <v/>
      </c>
      <c r="X1079">
        <f>IF(O1079&lt;SUMIFS(M:M,R:R,1,E:E,E1079)/SUMIFS(L:L,R:R,1,E:E,E1079)*0.5,"Низшая четверть",IF(O1079&lt;SUMIFS(M:M,R:R,1,E:E,E1079)/SUMIFS(L:L,R:R,1,E:E,E1079),"Вторая четверть","Больше половины"))</f>
        <v/>
      </c>
      <c r="Y1079" t="n">
        <v>5</v>
      </c>
    </row>
    <row r="1080">
      <c r="A1080" s="1" t="inlineStr">
        <is>
          <t>19600020</t>
        </is>
      </c>
      <c r="B1080" s="2" t="inlineStr">
        <is>
          <t>799656542</t>
        </is>
      </c>
      <c r="C1080" s="3" t="inlineStr">
        <is>
          <t>Одежда и аксессуары</t>
        </is>
      </c>
      <c r="D1080" s="2" t="inlineStr">
        <is>
          <t>Майки и платья женские</t>
        </is>
      </c>
      <c r="E1080" s="3" t="inlineStr">
        <is>
          <t>196 Майка женская</t>
        </is>
      </c>
      <c r="F1080" s="2" t="inlineStr">
        <is>
          <t>всесезонный</t>
        </is>
      </c>
      <c r="G1080" s="3" t="inlineStr">
        <is>
          <t>kari</t>
        </is>
      </c>
      <c r="H1080" s="2" t="inlineStr">
        <is>
          <t>Зиннуров Ильнур</t>
        </is>
      </c>
      <c r="J1080" s="3" t="inlineStr">
        <is>
          <t>2026SS</t>
        </is>
      </c>
      <c r="K1080" s="3" t="n">
        <v>827</v>
      </c>
      <c r="L1080" s="3" t="n">
        <v>151</v>
      </c>
      <c r="M1080" s="3" t="n">
        <v>0</v>
      </c>
      <c r="N1080" s="4">
        <f>IFERROR(L1080/K1080,0)</f>
        <v/>
      </c>
      <c r="O1080" s="4">
        <f>IFERROR(M1080/L1080,0)</f>
        <v/>
      </c>
      <c r="P1080" t="n">
        <v>259</v>
      </c>
      <c r="Q1080" s="5" t="n">
        <v>1</v>
      </c>
      <c r="R1080" s="7" t="n">
        <v>0</v>
      </c>
      <c r="S1080" t="inlineStr">
        <is>
          <t>Мало показов</t>
        </is>
      </c>
      <c r="T1080">
        <f>IF(N1080&lt;$T$1*0.5,"Низшая четверть",IF(N1080&lt;$T$1,"Вторая четверть","Больше половины"))</f>
        <v/>
      </c>
      <c r="U1080">
        <f>IF(O1080&lt;$U$1*0.5,"Низшая четверть",IF(O1080&lt;$U$1,"Вторая четверть","Больше половины"))</f>
        <v/>
      </c>
      <c r="V1080">
        <f>IF(OR(N1080&lt;SUMIFS(L:L,R:R,1,E:E,E1080)/SUMIFS(K:K,R:R,1,E:E,E1080)*0.5,O1080&lt;SUMIFS(M:M,R:R,1,E:E,E1080)/SUMIFS(L:L,R:R,1,E:E,E1080)*0.5),"код для проверки","нормальный код")</f>
        <v/>
      </c>
      <c r="W1080">
        <f>IF(N1080&lt;SUMIFS(L:L,R:R,1,E:E,E1080)/SUMIFS(K:K,R:R,1,E:E,E1080)*0.5,"Низшая четверть",IF(N1080&lt;SUMIFS(L:L,R:R,1,E:E,E1080)/SUMIFS(K:K,R:R,1,E:E,E1080),"Вторая четверть","Больше половины"))</f>
        <v/>
      </c>
      <c r="X1080">
        <f>IF(O1080&lt;SUMIFS(M:M,R:R,1,E:E,E1080)/SUMIFS(L:L,R:R,1,E:E,E1080)*0.5,"Низшая четверть",IF(O1080&lt;SUMIFS(M:M,R:R,1,E:E,E1080)/SUMIFS(L:L,R:R,1,E:E,E1080),"Вторая четверть","Больше половины"))</f>
        <v/>
      </c>
      <c r="Y1080" t="n">
        <v>18</v>
      </c>
    </row>
    <row r="1081">
      <c r="A1081" s="1" t="inlineStr">
        <is>
          <t>h2100030</t>
        </is>
      </c>
      <c r="B1081" s="2" t="inlineStr">
        <is>
          <t>879308877</t>
        </is>
      </c>
      <c r="C1081" s="3" t="inlineStr">
        <is>
          <t>Одежда и аксессуары</t>
        </is>
      </c>
      <c r="D1081" s="2" t="inlineStr">
        <is>
          <t>Футболки, рубашки мужские</t>
        </is>
      </c>
      <c r="E1081" s="3" t="inlineStr">
        <is>
          <t>h21 Рубашка мужская с длинным рукавом</t>
        </is>
      </c>
      <c r="F1081" s="2" t="inlineStr">
        <is>
          <t>всесезонный</t>
        </is>
      </c>
      <c r="G1081" s="3" t="inlineStr">
        <is>
          <t>kari</t>
        </is>
      </c>
      <c r="H1081" s="2" t="inlineStr">
        <is>
          <t>Зиннуров Ильнур</t>
        </is>
      </c>
      <c r="J1081" s="3" t="inlineStr">
        <is>
          <t>2026SS</t>
        </is>
      </c>
      <c r="K1081" s="3" t="n">
        <v>826</v>
      </c>
      <c r="L1081" s="3" t="n">
        <v>8</v>
      </c>
      <c r="M1081" s="3" t="n">
        <v>0</v>
      </c>
      <c r="N1081" s="4">
        <f>IFERROR(L1081/K1081,0)</f>
        <v/>
      </c>
      <c r="O1081" s="4">
        <f>IFERROR(M1081/L1081,0)</f>
        <v/>
      </c>
      <c r="P1081" t="n">
        <v>450</v>
      </c>
      <c r="Q1081" s="5" t="n">
        <v>1</v>
      </c>
      <c r="R1081" s="7" t="n">
        <v>0</v>
      </c>
      <c r="S1081" t="inlineStr">
        <is>
          <t>Мало показов</t>
        </is>
      </c>
      <c r="T1081">
        <f>IF(N1081&lt;$T$1*0.5,"Низшая четверть",IF(N1081&lt;$T$1,"Вторая четверть","Больше половины"))</f>
        <v/>
      </c>
      <c r="U1081">
        <f>IF(O1081&lt;$U$1*0.5,"Низшая четверть",IF(O1081&lt;$U$1,"Вторая четверть","Больше половины"))</f>
        <v/>
      </c>
      <c r="V1081">
        <f>IF(OR(N1081&lt;SUMIFS(L:L,R:R,1,E:E,E1081)/SUMIFS(K:K,R:R,1,E:E,E1081)*0.5,O1081&lt;SUMIFS(M:M,R:R,1,E:E,E1081)/SUMIFS(L:L,R:R,1,E:E,E1081)*0.5),"код для проверки","нормальный код")</f>
        <v/>
      </c>
      <c r="W1081">
        <f>IF(N1081&lt;SUMIFS(L:L,R:R,1,E:E,E1081)/SUMIFS(K:K,R:R,1,E:E,E1081)*0.5,"Низшая четверть",IF(N1081&lt;SUMIFS(L:L,R:R,1,E:E,E1081)/SUMIFS(K:K,R:R,1,E:E,E1081),"Вторая четверть","Больше половины"))</f>
        <v/>
      </c>
      <c r="X1081">
        <f>IF(O1081&lt;SUMIFS(M:M,R:R,1,E:E,E1081)/SUMIFS(L:L,R:R,1,E:E,E1081)*0.5,"Низшая четверть",IF(O1081&lt;SUMIFS(M:M,R:R,1,E:E,E1081)/SUMIFS(L:L,R:R,1,E:E,E1081),"Вторая четверть","Больше половины"))</f>
        <v/>
      </c>
      <c r="Y1081" t="n">
        <v>19</v>
      </c>
    </row>
    <row r="1082">
      <c r="A1082" s="1" t="inlineStr">
        <is>
          <t>h1300100</t>
        </is>
      </c>
      <c r="B1082" s="2" t="inlineStr">
        <is>
          <t>928508615</t>
        </is>
      </c>
      <c r="C1082" s="3" t="inlineStr">
        <is>
          <t>Одежда и аксессуары</t>
        </is>
      </c>
      <c r="D1082" s="2" t="inlineStr">
        <is>
          <t>Брюки, шорты женские</t>
        </is>
      </c>
      <c r="E1082" s="3" t="inlineStr">
        <is>
          <t>h13 Шорты женские</t>
        </is>
      </c>
      <c r="F1082" s="2" t="inlineStr">
        <is>
          <t>весна, лето</t>
        </is>
      </c>
      <c r="G1082" s="3" t="inlineStr">
        <is>
          <t>kari</t>
        </is>
      </c>
      <c r="H1082" s="2" t="inlineStr">
        <is>
          <t>Зиннуров Ильнур</t>
        </is>
      </c>
      <c r="J1082" s="3" t="inlineStr">
        <is>
          <t>2026SS</t>
        </is>
      </c>
      <c r="K1082" s="3" t="n">
        <v>824</v>
      </c>
      <c r="L1082" s="3" t="n">
        <v>41</v>
      </c>
      <c r="M1082" s="3" t="n">
        <v>0</v>
      </c>
      <c r="N1082" s="4">
        <f>IFERROR(L1082/K1082,0)</f>
        <v/>
      </c>
      <c r="O1082" s="4">
        <f>IFERROR(M1082/L1082,0)</f>
        <v/>
      </c>
      <c r="P1082" t="n">
        <v>531</v>
      </c>
      <c r="Q1082" s="5" t="n">
        <v>0.7142857142857143</v>
      </c>
      <c r="R1082" s="7" t="n">
        <v>0</v>
      </c>
      <c r="S1082" t="inlineStr">
        <is>
          <t>Мало показов</t>
        </is>
      </c>
      <c r="T1082">
        <f>IF(N1082&lt;$T$1*0.5,"Низшая четверть",IF(N1082&lt;$T$1,"Вторая четверть","Больше половины"))</f>
        <v/>
      </c>
      <c r="U1082">
        <f>IF(O1082&lt;$U$1*0.5,"Низшая четверть",IF(O1082&lt;$U$1,"Вторая четверть","Больше половины"))</f>
        <v/>
      </c>
      <c r="V1082">
        <f>IF(OR(N1082&lt;SUMIFS(L:L,R:R,1,E:E,E1082)/SUMIFS(K:K,R:R,1,E:E,E1082)*0.5,O1082&lt;SUMIFS(M:M,R:R,1,E:E,E1082)/SUMIFS(L:L,R:R,1,E:E,E1082)*0.5),"код для проверки","нормальный код")</f>
        <v/>
      </c>
      <c r="W1082">
        <f>IF(N1082&lt;SUMIFS(L:L,R:R,1,E:E,E1082)/SUMIFS(K:K,R:R,1,E:E,E1082)*0.5,"Низшая четверть",IF(N1082&lt;SUMIFS(L:L,R:R,1,E:E,E1082)/SUMIFS(K:K,R:R,1,E:E,E1082),"Вторая четверть","Больше половины"))</f>
        <v/>
      </c>
      <c r="X1082">
        <f>IF(O1082&lt;SUMIFS(M:M,R:R,1,E:E,E1082)/SUMIFS(L:L,R:R,1,E:E,E1082)*0.5,"Низшая четверть",IF(O1082&lt;SUMIFS(M:M,R:R,1,E:E,E1082)/SUMIFS(L:L,R:R,1,E:E,E1082),"Вторая четверть","Больше половины"))</f>
        <v/>
      </c>
      <c r="Y1082" t="n">
        <v>28</v>
      </c>
    </row>
    <row r="1083">
      <c r="A1083" s="1" t="inlineStr">
        <is>
          <t>h1000390</t>
        </is>
      </c>
      <c r="B1083" s="2" t="inlineStr">
        <is>
          <t>851029646</t>
        </is>
      </c>
      <c r="C1083" s="3" t="inlineStr">
        <is>
          <t>Одежда и аксессуары</t>
        </is>
      </c>
      <c r="D1083" s="2" t="inlineStr">
        <is>
          <t>Футболки, рубашки мужские</t>
        </is>
      </c>
      <c r="E1083" s="3" t="inlineStr">
        <is>
          <t>h10 Футболка мужская</t>
        </is>
      </c>
      <c r="F1083" s="2" t="inlineStr">
        <is>
          <t>всесезонный</t>
        </is>
      </c>
      <c r="G1083" s="3" t="inlineStr">
        <is>
          <t>kari</t>
        </is>
      </c>
      <c r="H1083" s="2" t="inlineStr">
        <is>
          <t>Зиннуров Ильнур</t>
        </is>
      </c>
      <c r="J1083" s="3" t="inlineStr">
        <is>
          <t>2026SS</t>
        </is>
      </c>
      <c r="K1083" s="3" t="n">
        <v>823</v>
      </c>
      <c r="L1083" s="3" t="n">
        <v>1104</v>
      </c>
      <c r="M1083" s="3" t="n">
        <v>6</v>
      </c>
      <c r="N1083" s="4">
        <f>IFERROR(L1083/K1083,0)</f>
        <v/>
      </c>
      <c r="O1083" s="4">
        <f>IFERROR(M1083/L1083,0)</f>
        <v/>
      </c>
      <c r="P1083" t="n">
        <v>324</v>
      </c>
      <c r="Q1083" s="5" t="n">
        <v>1</v>
      </c>
      <c r="R1083" s="7" t="n">
        <v>0</v>
      </c>
      <c r="S1083" t="inlineStr">
        <is>
          <t>Мало показов</t>
        </is>
      </c>
      <c r="T1083">
        <f>IF(N1083&lt;$T$1*0.5,"Низшая четверть",IF(N1083&lt;$T$1,"Вторая четверть","Больше половины"))</f>
        <v/>
      </c>
      <c r="U1083">
        <f>IF(O1083&lt;$U$1*0.5,"Низшая четверть",IF(O1083&lt;$U$1,"Вторая четверть","Больше половины"))</f>
        <v/>
      </c>
      <c r="V1083">
        <f>IF(OR(N1083&lt;SUMIFS(L:L,R:R,1,E:E,E1083)/SUMIFS(K:K,R:R,1,E:E,E1083)*0.5,O1083&lt;SUMIFS(M:M,R:R,1,E:E,E1083)/SUMIFS(L:L,R:R,1,E:E,E1083)*0.5),"код для проверки","нормальный код")</f>
        <v/>
      </c>
      <c r="W1083">
        <f>IF(N1083&lt;SUMIFS(L:L,R:R,1,E:E,E1083)/SUMIFS(K:K,R:R,1,E:E,E1083)*0.5,"Низшая четверть",IF(N1083&lt;SUMIFS(L:L,R:R,1,E:E,E1083)/SUMIFS(K:K,R:R,1,E:E,E1083),"Вторая четверть","Больше половины"))</f>
        <v/>
      </c>
      <c r="X1083">
        <f>IF(O1083&lt;SUMIFS(M:M,R:R,1,E:E,E1083)/SUMIFS(L:L,R:R,1,E:E,E1083)*0.5,"Низшая четверть",IF(O1083&lt;SUMIFS(M:M,R:R,1,E:E,E1083)/SUMIFS(L:L,R:R,1,E:E,E1083),"Вторая четверть","Больше половины"))</f>
        <v/>
      </c>
      <c r="Y1083" t="n">
        <v>20</v>
      </c>
    </row>
    <row r="1084">
      <c r="A1084" s="1" t="inlineStr">
        <is>
          <t>95500320</t>
        </is>
      </c>
      <c r="B1084" s="2" t="inlineStr">
        <is>
          <t>852386795</t>
        </is>
      </c>
      <c r="C1084" s="3" t="inlineStr">
        <is>
          <t>Одежда для детей</t>
        </is>
      </c>
      <c r="D1084" s="2" t="inlineStr">
        <is>
          <t>Платья, майки, футболки детские для девочек</t>
        </is>
      </c>
      <c r="E1084" s="3" t="inlineStr">
        <is>
          <t>955 Топ детский для девочек</t>
        </is>
      </c>
      <c r="F1084" s="2" t="inlineStr">
        <is>
          <t>лето</t>
        </is>
      </c>
      <c r="G1084" s="3" t="inlineStr">
        <is>
          <t>kari</t>
        </is>
      </c>
      <c r="H1084" s="2" t="inlineStr">
        <is>
          <t>Зиннуров Ильнур</t>
        </is>
      </c>
      <c r="J1084" s="3" t="inlineStr">
        <is>
          <t>2026SS</t>
        </is>
      </c>
      <c r="K1084" s="3" t="n">
        <v>823</v>
      </c>
      <c r="L1084" s="3" t="n">
        <v>36</v>
      </c>
      <c r="M1084" s="3" t="n">
        <v>1</v>
      </c>
      <c r="N1084" s="4">
        <f>IFERROR(L1084/K1084,0)</f>
        <v/>
      </c>
      <c r="O1084" s="4">
        <f>IFERROR(M1084/L1084,0)</f>
        <v/>
      </c>
      <c r="P1084" t="n">
        <v>499</v>
      </c>
      <c r="Q1084" s="5" t="n">
        <v>1</v>
      </c>
      <c r="R1084" s="7" t="n">
        <v>0</v>
      </c>
      <c r="S1084" t="inlineStr">
        <is>
          <t>Мало показов</t>
        </is>
      </c>
      <c r="T1084">
        <f>IF(N1084&lt;$T$1*0.5,"Низшая четверть",IF(N1084&lt;$T$1,"Вторая четверть","Больше половины"))</f>
        <v/>
      </c>
      <c r="U1084">
        <f>IF(O1084&lt;$U$1*0.5,"Низшая четверть",IF(O1084&lt;$U$1,"Вторая четверть","Больше половины"))</f>
        <v/>
      </c>
      <c r="V1084">
        <f>IF(OR(N1084&lt;SUMIFS(L:L,R:R,1,E:E,E1084)/SUMIFS(K:K,R:R,1,E:E,E1084)*0.5,O1084&lt;SUMIFS(M:M,R:R,1,E:E,E1084)/SUMIFS(L:L,R:R,1,E:E,E1084)*0.5),"код для проверки","нормальный код")</f>
        <v/>
      </c>
      <c r="W1084">
        <f>IF(N1084&lt;SUMIFS(L:L,R:R,1,E:E,E1084)/SUMIFS(K:K,R:R,1,E:E,E1084)*0.5,"Низшая четверть",IF(N1084&lt;SUMIFS(L:L,R:R,1,E:E,E1084)/SUMIFS(K:K,R:R,1,E:E,E1084),"Вторая четверть","Больше половины"))</f>
        <v/>
      </c>
      <c r="X1084">
        <f>IF(O1084&lt;SUMIFS(M:M,R:R,1,E:E,E1084)/SUMIFS(L:L,R:R,1,E:E,E1084)*0.5,"Низшая четверть",IF(O1084&lt;SUMIFS(M:M,R:R,1,E:E,E1084)/SUMIFS(L:L,R:R,1,E:E,E1084),"Вторая четверть","Больше половины"))</f>
        <v/>
      </c>
      <c r="Y1084" t="n">
        <v>20</v>
      </c>
    </row>
    <row r="1085">
      <c r="A1085" s="1" t="inlineStr">
        <is>
          <t>19300630</t>
        </is>
      </c>
      <c r="B1085" s="2" t="inlineStr">
        <is>
          <t>910240408</t>
        </is>
      </c>
      <c r="C1085" s="3" t="inlineStr">
        <is>
          <t>Одежда для детей</t>
        </is>
      </c>
      <c r="D1085" s="2" t="inlineStr">
        <is>
          <t>Брюки детские для мальчиков</t>
        </is>
      </c>
      <c r="E1085" s="3" t="inlineStr">
        <is>
          <t>193 Шорты детские для мальчиков</t>
        </is>
      </c>
      <c r="F1085" s="2" t="inlineStr">
        <is>
          <t>лето</t>
        </is>
      </c>
      <c r="G1085" s="3" t="inlineStr">
        <is>
          <t>kari</t>
        </is>
      </c>
      <c r="H1085" s="2" t="inlineStr">
        <is>
          <t>Зиннуров Ильнур</t>
        </is>
      </c>
      <c r="J1085" s="3" t="inlineStr">
        <is>
          <t>2026SS</t>
        </is>
      </c>
      <c r="K1085" s="3" t="n">
        <v>822</v>
      </c>
      <c r="L1085" s="3" t="n">
        <v>18</v>
      </c>
      <c r="M1085" s="3" t="n">
        <v>0</v>
      </c>
      <c r="N1085" s="4">
        <f>IFERROR(L1085/K1085,0)</f>
        <v/>
      </c>
      <c r="O1085" s="4">
        <f>IFERROR(M1085/L1085,0)</f>
        <v/>
      </c>
      <c r="P1085" t="n">
        <v>679</v>
      </c>
      <c r="Q1085" s="5" t="n">
        <v>1</v>
      </c>
      <c r="R1085" s="7" t="n">
        <v>0</v>
      </c>
      <c r="S1085" t="inlineStr">
        <is>
          <t>Мало показов</t>
        </is>
      </c>
      <c r="T1085">
        <f>IF(N1085&lt;$T$1*0.5,"Низшая четверть",IF(N1085&lt;$T$1,"Вторая четверть","Больше половины"))</f>
        <v/>
      </c>
      <c r="U1085">
        <f>IF(O1085&lt;$U$1*0.5,"Низшая четверть",IF(O1085&lt;$U$1,"Вторая четверть","Больше половины"))</f>
        <v/>
      </c>
      <c r="V1085">
        <f>IF(OR(N1085&lt;SUMIFS(L:L,R:R,1,E:E,E1085)/SUMIFS(K:K,R:R,1,E:E,E1085)*0.5,O1085&lt;SUMIFS(M:M,R:R,1,E:E,E1085)/SUMIFS(L:L,R:R,1,E:E,E1085)*0.5),"код для проверки","нормальный код")</f>
        <v/>
      </c>
      <c r="W1085">
        <f>IF(N1085&lt;SUMIFS(L:L,R:R,1,E:E,E1085)/SUMIFS(K:K,R:R,1,E:E,E1085)*0.5,"Низшая четверть",IF(N1085&lt;SUMIFS(L:L,R:R,1,E:E,E1085)/SUMIFS(K:K,R:R,1,E:E,E1085),"Вторая четверть","Больше половины"))</f>
        <v/>
      </c>
      <c r="X1085">
        <f>IF(O1085&lt;SUMIFS(M:M,R:R,1,E:E,E1085)/SUMIFS(L:L,R:R,1,E:E,E1085)*0.5,"Низшая четверть",IF(O1085&lt;SUMIFS(M:M,R:R,1,E:E,E1085)/SUMIFS(L:L,R:R,1,E:E,E1085),"Вторая четверть","Больше половины"))</f>
        <v/>
      </c>
      <c r="Y1085" t="n">
        <v>17</v>
      </c>
    </row>
    <row r="1086">
      <c r="A1086" s="1" t="inlineStr">
        <is>
          <t>18000000</t>
        </is>
      </c>
      <c r="B1086" s="2" t="inlineStr">
        <is>
          <t>859381301</t>
        </is>
      </c>
      <c r="C1086" s="3" t="inlineStr">
        <is>
          <t>Одежда и аксессуары</t>
        </is>
      </c>
      <c r="D1086" s="2" t="inlineStr">
        <is>
          <t>Джинсы мужские</t>
        </is>
      </c>
      <c r="E1086" s="3" t="inlineStr">
        <is>
          <t>180 Джинсы мужские</t>
        </is>
      </c>
      <c r="F1086" s="2" t="inlineStr">
        <is>
          <t>всесезонный</t>
        </is>
      </c>
      <c r="G1086" s="3" t="inlineStr">
        <is>
          <t>kari</t>
        </is>
      </c>
      <c r="H1086" s="2" t="inlineStr">
        <is>
          <t>Зиннуров Ильнур</t>
        </is>
      </c>
      <c r="J1086" s="3" t="inlineStr">
        <is>
          <t>2026SS</t>
        </is>
      </c>
      <c r="K1086" s="3" t="n">
        <v>818</v>
      </c>
      <c r="L1086" s="3" t="n">
        <v>26</v>
      </c>
      <c r="M1086" s="3" t="n">
        <v>1</v>
      </c>
      <c r="N1086" s="4">
        <f>IFERROR(L1086/K1086,0)</f>
        <v/>
      </c>
      <c r="O1086" s="4">
        <f>IFERROR(M1086/L1086,0)</f>
        <v/>
      </c>
      <c r="P1086" t="n">
        <v>239</v>
      </c>
      <c r="Q1086" s="5" t="n">
        <v>1</v>
      </c>
      <c r="R1086" s="7" t="n">
        <v>0</v>
      </c>
      <c r="S1086" t="inlineStr">
        <is>
          <t>Мало показов</t>
        </is>
      </c>
      <c r="T1086">
        <f>IF(N1086&lt;$T$1*0.5,"Низшая четверть",IF(N1086&lt;$T$1,"Вторая четверть","Больше половины"))</f>
        <v/>
      </c>
      <c r="U1086">
        <f>IF(O1086&lt;$U$1*0.5,"Низшая четверть",IF(O1086&lt;$U$1,"Вторая четверть","Больше половины"))</f>
        <v/>
      </c>
      <c r="V1086">
        <f>IF(OR(N1086&lt;SUMIFS(L:L,R:R,1,E:E,E1086)/SUMIFS(K:K,R:R,1,E:E,E1086)*0.5,O1086&lt;SUMIFS(M:M,R:R,1,E:E,E1086)/SUMIFS(L:L,R:R,1,E:E,E1086)*0.5),"код для проверки","нормальный код")</f>
        <v/>
      </c>
      <c r="W1086">
        <f>IF(N1086&lt;SUMIFS(L:L,R:R,1,E:E,E1086)/SUMIFS(K:K,R:R,1,E:E,E1086)*0.5,"Низшая четверть",IF(N1086&lt;SUMIFS(L:L,R:R,1,E:E,E1086)/SUMIFS(K:K,R:R,1,E:E,E1086),"Вторая четверть","Больше половины"))</f>
        <v/>
      </c>
      <c r="X1086">
        <f>IF(O1086&lt;SUMIFS(M:M,R:R,1,E:E,E1086)/SUMIFS(L:L,R:R,1,E:E,E1086)*0.5,"Низшая четверть",IF(O1086&lt;SUMIFS(M:M,R:R,1,E:E,E1086)/SUMIFS(L:L,R:R,1,E:E,E1086),"Вторая четверть","Больше половины"))</f>
        <v/>
      </c>
      <c r="Y1086" t="n">
        <v>21</v>
      </c>
    </row>
    <row r="1087">
      <c r="A1087" s="1" t="inlineStr">
        <is>
          <t>a60000C0</t>
        </is>
      </c>
      <c r="B1087" s="2" t="inlineStr">
        <is>
          <t>847884006</t>
        </is>
      </c>
      <c r="C1087" s="3" t="inlineStr">
        <is>
          <t>Одежда для детей</t>
        </is>
      </c>
      <c r="D1087" s="2" t="inlineStr">
        <is>
          <t>Платья, майки, футболки детские для девочек</t>
        </is>
      </c>
      <c r="E1087" s="3" t="inlineStr">
        <is>
          <t>a60 Футболка детская для девочек</t>
        </is>
      </c>
      <c r="F1087" s="2" t="inlineStr">
        <is>
          <t>всесезонный</t>
        </is>
      </c>
      <c r="G1087" s="3" t="inlineStr">
        <is>
          <t>Kari KIDS</t>
        </is>
      </c>
      <c r="H1087" s="2" t="inlineStr">
        <is>
          <t>Зиннуров Ильнур</t>
        </is>
      </c>
      <c r="J1087" s="3" t="inlineStr">
        <is>
          <t>2026SS</t>
        </is>
      </c>
      <c r="K1087" s="3" t="n">
        <v>811</v>
      </c>
      <c r="L1087" s="3" t="n">
        <v>12</v>
      </c>
      <c r="M1087" s="3" t="n">
        <v>0</v>
      </c>
      <c r="N1087" s="4">
        <f>IFERROR(L1087/K1087,0)</f>
        <v/>
      </c>
      <c r="O1087" s="4">
        <f>IFERROR(M1087/L1087,0)</f>
        <v/>
      </c>
      <c r="P1087" t="n">
        <v>140</v>
      </c>
      <c r="Q1087" s="5" t="n">
        <v>1</v>
      </c>
      <c r="R1087" s="7" t="n">
        <v>0</v>
      </c>
      <c r="S1087" t="inlineStr">
        <is>
          <t>Мало показов</t>
        </is>
      </c>
      <c r="T1087">
        <f>IF(N1087&lt;$T$1*0.5,"Низшая четверть",IF(N1087&lt;$T$1,"Вторая четверть","Больше половины"))</f>
        <v/>
      </c>
      <c r="U1087">
        <f>IF(O1087&lt;$U$1*0.5,"Низшая четверть",IF(O1087&lt;$U$1,"Вторая четверть","Больше половины"))</f>
        <v/>
      </c>
      <c r="V1087">
        <f>IF(OR(N1087&lt;SUMIFS(L:L,R:R,1,E:E,E1087)/SUMIFS(K:K,R:R,1,E:E,E1087)*0.5,O1087&lt;SUMIFS(M:M,R:R,1,E:E,E1087)/SUMIFS(L:L,R:R,1,E:E,E1087)*0.5),"код для проверки","нормальный код")</f>
        <v/>
      </c>
      <c r="W1087">
        <f>IF(N1087&lt;SUMIFS(L:L,R:R,1,E:E,E1087)/SUMIFS(K:K,R:R,1,E:E,E1087)*0.5,"Низшая четверть",IF(N1087&lt;SUMIFS(L:L,R:R,1,E:E,E1087)/SUMIFS(K:K,R:R,1,E:E,E1087),"Вторая четверть","Больше половины"))</f>
        <v/>
      </c>
      <c r="X1087">
        <f>IF(O1087&lt;SUMIFS(M:M,R:R,1,E:E,E1087)/SUMIFS(L:L,R:R,1,E:E,E1087)*0.5,"Низшая четверть",IF(O1087&lt;SUMIFS(M:M,R:R,1,E:E,E1087)/SUMIFS(L:L,R:R,1,E:E,E1087),"Вторая четверть","Больше половины"))</f>
        <v/>
      </c>
      <c r="Y1087" t="n">
        <v>12</v>
      </c>
    </row>
    <row r="1088">
      <c r="A1088" s="1" t="inlineStr">
        <is>
          <t>h1000110</t>
        </is>
      </c>
      <c r="B1088" s="2" t="inlineStr">
        <is>
          <t>797520148</t>
        </is>
      </c>
      <c r="C1088" s="3" t="inlineStr">
        <is>
          <t>Одежда и аксессуары</t>
        </is>
      </c>
      <c r="D1088" s="2" t="inlineStr">
        <is>
          <t>Футболки, рубашки мужские</t>
        </is>
      </c>
      <c r="E1088" s="3" t="inlineStr">
        <is>
          <t>h10 Футболка мужская</t>
        </is>
      </c>
      <c r="F1088" s="2" t="inlineStr">
        <is>
          <t>всесезонный</t>
        </is>
      </c>
      <c r="G1088" s="3" t="inlineStr">
        <is>
          <t>kari</t>
        </is>
      </c>
      <c r="H1088" s="2" t="inlineStr">
        <is>
          <t>Зиннуров Ильнур</t>
        </is>
      </c>
      <c r="J1088" s="3" t="inlineStr">
        <is>
          <t>2026SS</t>
        </is>
      </c>
      <c r="K1088" s="3" t="n">
        <v>809</v>
      </c>
      <c r="L1088" s="3" t="n">
        <v>1177</v>
      </c>
      <c r="M1088" s="3" t="n">
        <v>5</v>
      </c>
      <c r="N1088" s="4">
        <f>IFERROR(L1088/K1088,0)</f>
        <v/>
      </c>
      <c r="O1088" s="4">
        <f>IFERROR(M1088/L1088,0)</f>
        <v/>
      </c>
      <c r="P1088" t="n">
        <v>473</v>
      </c>
      <c r="Q1088" s="5" t="n">
        <v>1</v>
      </c>
      <c r="R1088" s="7" t="n">
        <v>0</v>
      </c>
      <c r="S1088" t="inlineStr">
        <is>
          <t>Мало показов</t>
        </is>
      </c>
      <c r="T1088">
        <f>IF(N1088&lt;$T$1*0.5,"Низшая четверть",IF(N1088&lt;$T$1,"Вторая четверть","Больше половины"))</f>
        <v/>
      </c>
      <c r="U1088">
        <f>IF(O1088&lt;$U$1*0.5,"Низшая четверть",IF(O1088&lt;$U$1,"Вторая четверть","Больше половины"))</f>
        <v/>
      </c>
      <c r="V1088">
        <f>IF(OR(N1088&lt;SUMIFS(L:L,R:R,1,E:E,E1088)/SUMIFS(K:K,R:R,1,E:E,E1088)*0.5,O1088&lt;SUMIFS(M:M,R:R,1,E:E,E1088)/SUMIFS(L:L,R:R,1,E:E,E1088)*0.5),"код для проверки","нормальный код")</f>
        <v/>
      </c>
      <c r="W1088">
        <f>IF(N1088&lt;SUMIFS(L:L,R:R,1,E:E,E1088)/SUMIFS(K:K,R:R,1,E:E,E1088)*0.5,"Низшая четверть",IF(N1088&lt;SUMIFS(L:L,R:R,1,E:E,E1088)/SUMIFS(K:K,R:R,1,E:E,E1088),"Вторая четверть","Больше половины"))</f>
        <v/>
      </c>
      <c r="X1088">
        <f>IF(O1088&lt;SUMIFS(M:M,R:R,1,E:E,E1088)/SUMIFS(L:L,R:R,1,E:E,E1088)*0.5,"Низшая четверть",IF(O1088&lt;SUMIFS(M:M,R:R,1,E:E,E1088)/SUMIFS(L:L,R:R,1,E:E,E1088),"Вторая четверть","Больше половины"))</f>
        <v/>
      </c>
      <c r="Y1088" t="n">
        <v>23</v>
      </c>
    </row>
    <row r="1089">
      <c r="A1089" s="1" t="inlineStr">
        <is>
          <t>h1000040</t>
        </is>
      </c>
      <c r="B1089" s="2" t="inlineStr">
        <is>
          <t>879308882</t>
        </is>
      </c>
      <c r="C1089" s="3" t="inlineStr">
        <is>
          <t>Одежда и аксессуары</t>
        </is>
      </c>
      <c r="D1089" s="2" t="inlineStr">
        <is>
          <t>Футболки, рубашки мужские</t>
        </is>
      </c>
      <c r="E1089" s="3" t="inlineStr">
        <is>
          <t>h10 Футболка мужская</t>
        </is>
      </c>
      <c r="F1089" s="2" t="inlineStr">
        <is>
          <t>всесезонный</t>
        </is>
      </c>
      <c r="G1089" s="3" t="inlineStr">
        <is>
          <t>kari</t>
        </is>
      </c>
      <c r="H1089" s="2" t="inlineStr">
        <is>
          <t>Зиннуров Ильнур</t>
        </is>
      </c>
      <c r="J1089" s="3" t="inlineStr">
        <is>
          <t>2026SS</t>
        </is>
      </c>
      <c r="K1089" s="3" t="n">
        <v>806</v>
      </c>
      <c r="L1089" s="3" t="n">
        <v>4</v>
      </c>
      <c r="M1089" s="3" t="n">
        <v>0</v>
      </c>
      <c r="N1089" s="4">
        <f>IFERROR(L1089/K1089,0)</f>
        <v/>
      </c>
      <c r="O1089" s="4">
        <f>IFERROR(M1089/L1089,0)</f>
        <v/>
      </c>
      <c r="P1089" t="n">
        <v>161</v>
      </c>
      <c r="Q1089" s="5" t="n">
        <v>1</v>
      </c>
      <c r="R1089" s="7" t="n">
        <v>0</v>
      </c>
      <c r="S1089" t="inlineStr">
        <is>
          <t>Мало показов</t>
        </is>
      </c>
      <c r="T1089">
        <f>IF(N1089&lt;$T$1*0.5,"Низшая четверть",IF(N1089&lt;$T$1,"Вторая четверть","Больше половины"))</f>
        <v/>
      </c>
      <c r="U1089">
        <f>IF(O1089&lt;$U$1*0.5,"Низшая четверть",IF(O1089&lt;$U$1,"Вторая четверть","Больше половины"))</f>
        <v/>
      </c>
      <c r="V1089">
        <f>IF(OR(N1089&lt;SUMIFS(L:L,R:R,1,E:E,E1089)/SUMIFS(K:K,R:R,1,E:E,E1089)*0.5,O1089&lt;SUMIFS(M:M,R:R,1,E:E,E1089)/SUMIFS(L:L,R:R,1,E:E,E1089)*0.5),"код для проверки","нормальный код")</f>
        <v/>
      </c>
      <c r="W1089">
        <f>IF(N1089&lt;SUMIFS(L:L,R:R,1,E:E,E1089)/SUMIFS(K:K,R:R,1,E:E,E1089)*0.5,"Низшая четверть",IF(N1089&lt;SUMIFS(L:L,R:R,1,E:E,E1089)/SUMIFS(K:K,R:R,1,E:E,E1089),"Вторая четверть","Больше половины"))</f>
        <v/>
      </c>
      <c r="X1089">
        <f>IF(O1089&lt;SUMIFS(M:M,R:R,1,E:E,E1089)/SUMIFS(L:L,R:R,1,E:E,E1089)*0.5,"Низшая четверть",IF(O1089&lt;SUMIFS(M:M,R:R,1,E:E,E1089)/SUMIFS(L:L,R:R,1,E:E,E1089),"Вторая четверть","Больше половины"))</f>
        <v/>
      </c>
      <c r="Y1089" t="n">
        <v>16</v>
      </c>
    </row>
    <row r="1090">
      <c r="A1090" s="1" t="inlineStr">
        <is>
          <t>19200050</t>
        </is>
      </c>
      <c r="B1090" s="2" t="inlineStr">
        <is>
          <t>858780597</t>
        </is>
      </c>
      <c r="C1090" s="3" t="inlineStr">
        <is>
          <t>Одежда для детей</t>
        </is>
      </c>
      <c r="D1090" s="2" t="inlineStr">
        <is>
          <t>Футболки, майки, рубашки детские для мальчиков</t>
        </is>
      </c>
      <c r="E1090" s="3" t="inlineStr">
        <is>
          <t>192 Рубашка детская для мальчиков</t>
        </is>
      </c>
      <c r="F1090" s="2" t="inlineStr">
        <is>
          <t>весна, лето</t>
        </is>
      </c>
      <c r="G1090" s="3" t="inlineStr">
        <is>
          <t>Kari KIDS</t>
        </is>
      </c>
      <c r="H1090" s="2" t="inlineStr">
        <is>
          <t>Зиннуров Ильнур</t>
        </is>
      </c>
      <c r="J1090" s="3" t="inlineStr">
        <is>
          <t>2026SS</t>
        </is>
      </c>
      <c r="K1090" s="3" t="n">
        <v>805</v>
      </c>
      <c r="L1090" s="3" t="n">
        <v>24</v>
      </c>
      <c r="M1090" s="3" t="n">
        <v>0</v>
      </c>
      <c r="N1090" s="4">
        <f>IFERROR(L1090/K1090,0)</f>
        <v/>
      </c>
      <c r="O1090" s="4">
        <f>IFERROR(M1090/L1090,0)</f>
        <v/>
      </c>
      <c r="P1090" t="n">
        <v>380</v>
      </c>
      <c r="Q1090" s="5" t="n">
        <v>1</v>
      </c>
      <c r="R1090" s="7" t="n">
        <v>0</v>
      </c>
      <c r="S1090" t="inlineStr">
        <is>
          <t>Мало показов</t>
        </is>
      </c>
      <c r="T1090">
        <f>IF(N1090&lt;$T$1*0.5,"Низшая четверть",IF(N1090&lt;$T$1,"Вторая четверть","Больше половины"))</f>
        <v/>
      </c>
      <c r="U1090">
        <f>IF(O1090&lt;$U$1*0.5,"Низшая четверть",IF(O1090&lt;$U$1,"Вторая четверть","Больше половины"))</f>
        <v/>
      </c>
      <c r="V1090">
        <f>IF(OR(N1090&lt;SUMIFS(L:L,R:R,1,E:E,E1090)/SUMIFS(K:K,R:R,1,E:E,E1090)*0.5,O1090&lt;SUMIFS(M:M,R:R,1,E:E,E1090)/SUMIFS(L:L,R:R,1,E:E,E1090)*0.5),"код для проверки","нормальный код")</f>
        <v/>
      </c>
      <c r="W1090">
        <f>IF(N1090&lt;SUMIFS(L:L,R:R,1,E:E,E1090)/SUMIFS(K:K,R:R,1,E:E,E1090)*0.5,"Низшая четверть",IF(N1090&lt;SUMIFS(L:L,R:R,1,E:E,E1090)/SUMIFS(K:K,R:R,1,E:E,E1090),"Вторая четверть","Больше половины"))</f>
        <v/>
      </c>
      <c r="X1090">
        <f>IF(O1090&lt;SUMIFS(M:M,R:R,1,E:E,E1090)/SUMIFS(L:L,R:R,1,E:E,E1090)*0.5,"Низшая четверть",IF(O1090&lt;SUMIFS(M:M,R:R,1,E:E,E1090)/SUMIFS(L:L,R:R,1,E:E,E1090),"Вторая четверть","Больше половины"))</f>
        <v/>
      </c>
      <c r="Y1090" t="n">
        <v>20</v>
      </c>
    </row>
    <row r="1091">
      <c r="A1091" s="1" t="inlineStr">
        <is>
          <t>310000U0</t>
        </is>
      </c>
      <c r="B1091" s="2" t="inlineStr">
        <is>
          <t>879308798</t>
        </is>
      </c>
      <c r="C1091" s="3" t="inlineStr">
        <is>
          <t>Одежда для детей</t>
        </is>
      </c>
      <c r="D1091" s="2" t="inlineStr">
        <is>
          <t>Футболки, майки, рубашки детские для мальчиков</t>
        </is>
      </c>
      <c r="E1091" s="3" t="inlineStr">
        <is>
          <t>310 Футболка детская для мальчиков</t>
        </is>
      </c>
      <c r="F1091" s="2" t="inlineStr">
        <is>
          <t>всесезонный</t>
        </is>
      </c>
      <c r="G1091" s="3" t="inlineStr">
        <is>
          <t>kari</t>
        </is>
      </c>
      <c r="H1091" s="2" t="inlineStr">
        <is>
          <t>Зиннуров Ильнур</t>
        </is>
      </c>
      <c r="J1091" s="3" t="inlineStr">
        <is>
          <t>2026SS</t>
        </is>
      </c>
      <c r="K1091" s="3" t="n">
        <v>802</v>
      </c>
      <c r="L1091" s="3" t="n">
        <v>28</v>
      </c>
      <c r="M1091" s="3" t="n">
        <v>2</v>
      </c>
      <c r="N1091" s="4">
        <f>IFERROR(L1091/K1091,0)</f>
        <v/>
      </c>
      <c r="O1091" s="4">
        <f>IFERROR(M1091/L1091,0)</f>
        <v/>
      </c>
      <c r="P1091" t="n">
        <v>458</v>
      </c>
      <c r="Q1091" s="5" t="n">
        <v>1</v>
      </c>
      <c r="R1091" s="7" t="n">
        <v>0</v>
      </c>
      <c r="S1091" t="inlineStr">
        <is>
          <t>Мало показов</t>
        </is>
      </c>
      <c r="T1091">
        <f>IF(N1091&lt;$T$1*0.5,"Низшая четверть",IF(N1091&lt;$T$1,"Вторая четверть","Больше половины"))</f>
        <v/>
      </c>
      <c r="U1091">
        <f>IF(O1091&lt;$U$1*0.5,"Низшая четверть",IF(O1091&lt;$U$1,"Вторая четверть","Больше половины"))</f>
        <v/>
      </c>
      <c r="V1091">
        <f>IF(OR(N1091&lt;SUMIFS(L:L,R:R,1,E:E,E1091)/SUMIFS(K:K,R:R,1,E:E,E1091)*0.5,O1091&lt;SUMIFS(M:M,R:R,1,E:E,E1091)/SUMIFS(L:L,R:R,1,E:E,E1091)*0.5),"код для проверки","нормальный код")</f>
        <v/>
      </c>
      <c r="W1091">
        <f>IF(N1091&lt;SUMIFS(L:L,R:R,1,E:E,E1091)/SUMIFS(K:K,R:R,1,E:E,E1091)*0.5,"Низшая четверть",IF(N1091&lt;SUMIFS(L:L,R:R,1,E:E,E1091)/SUMIFS(K:K,R:R,1,E:E,E1091),"Вторая четверть","Больше половины"))</f>
        <v/>
      </c>
      <c r="X1091">
        <f>IF(O1091&lt;SUMIFS(M:M,R:R,1,E:E,E1091)/SUMIFS(L:L,R:R,1,E:E,E1091)*0.5,"Низшая четверть",IF(O1091&lt;SUMIFS(M:M,R:R,1,E:E,E1091)/SUMIFS(L:L,R:R,1,E:E,E1091),"Вторая четверть","Больше половины"))</f>
        <v/>
      </c>
      <c r="Y1091" t="n">
        <v>9</v>
      </c>
    </row>
    <row r="1092">
      <c r="A1092" s="1" t="inlineStr">
        <is>
          <t>18000020</t>
        </is>
      </c>
      <c r="B1092" s="2" t="inlineStr">
        <is>
          <t>929518619</t>
        </is>
      </c>
      <c r="C1092" s="3" t="inlineStr">
        <is>
          <t>Одежда и аксессуары</t>
        </is>
      </c>
      <c r="D1092" s="2" t="inlineStr">
        <is>
          <t>Джинсы мужские</t>
        </is>
      </c>
      <c r="E1092" s="3" t="inlineStr">
        <is>
          <t>180 Джинсы мужские</t>
        </is>
      </c>
      <c r="F1092" s="2" t="inlineStr">
        <is>
          <t>всесезонный</t>
        </is>
      </c>
      <c r="G1092" s="3" t="inlineStr">
        <is>
          <t>kari</t>
        </is>
      </c>
      <c r="H1092" s="2" t="inlineStr">
        <is>
          <t>Зиннуров Ильнур</t>
        </is>
      </c>
      <c r="J1092" s="3" t="inlineStr">
        <is>
          <t>2026SS</t>
        </is>
      </c>
      <c r="K1092" s="3" t="n">
        <v>798</v>
      </c>
      <c r="L1092" s="3" t="n">
        <v>29</v>
      </c>
      <c r="M1092" s="3" t="n">
        <v>1</v>
      </c>
      <c r="N1092" s="4">
        <f>IFERROR(L1092/K1092,0)</f>
        <v/>
      </c>
      <c r="O1092" s="4">
        <f>IFERROR(M1092/L1092,0)</f>
        <v/>
      </c>
      <c r="P1092" t="n">
        <v>408</v>
      </c>
      <c r="Q1092" s="5" t="n">
        <v>1</v>
      </c>
      <c r="R1092" s="7" t="n">
        <v>0</v>
      </c>
      <c r="S1092" t="inlineStr">
        <is>
          <t>Мало показов</t>
        </is>
      </c>
      <c r="T1092">
        <f>IF(N1092&lt;$T$1*0.5,"Низшая четверть",IF(N1092&lt;$T$1,"Вторая четверть","Больше половины"))</f>
        <v/>
      </c>
      <c r="U1092">
        <f>IF(O1092&lt;$U$1*0.5,"Низшая четверть",IF(O1092&lt;$U$1,"Вторая четверть","Больше половины"))</f>
        <v/>
      </c>
      <c r="V1092">
        <f>IF(OR(N1092&lt;SUMIFS(L:L,R:R,1,E:E,E1092)/SUMIFS(K:K,R:R,1,E:E,E1092)*0.5,O1092&lt;SUMIFS(M:M,R:R,1,E:E,E1092)/SUMIFS(L:L,R:R,1,E:E,E1092)*0.5),"код для проверки","нормальный код")</f>
        <v/>
      </c>
      <c r="W1092">
        <f>IF(N1092&lt;SUMIFS(L:L,R:R,1,E:E,E1092)/SUMIFS(K:K,R:R,1,E:E,E1092)*0.5,"Низшая четверть",IF(N1092&lt;SUMIFS(L:L,R:R,1,E:E,E1092)/SUMIFS(K:K,R:R,1,E:E,E1092),"Вторая четверть","Больше половины"))</f>
        <v/>
      </c>
      <c r="X1092">
        <f>IF(O1092&lt;SUMIFS(M:M,R:R,1,E:E,E1092)/SUMIFS(L:L,R:R,1,E:E,E1092)*0.5,"Низшая четверть",IF(O1092&lt;SUMIFS(M:M,R:R,1,E:E,E1092)/SUMIFS(L:L,R:R,1,E:E,E1092),"Вторая четверть","Больше половины"))</f>
        <v/>
      </c>
      <c r="Y1092" t="n">
        <v>20</v>
      </c>
    </row>
    <row r="1093">
      <c r="A1093" s="1" t="inlineStr">
        <is>
          <t>19300510</t>
        </is>
      </c>
      <c r="B1093" s="2" t="inlineStr">
        <is>
          <t>917869437</t>
        </is>
      </c>
      <c r="C1093" s="3" t="inlineStr">
        <is>
          <t>Одежда для детей</t>
        </is>
      </c>
      <c r="D1093" s="2" t="inlineStr">
        <is>
          <t>Брюки детские для мальчиков</t>
        </is>
      </c>
      <c r="E1093" s="3" t="inlineStr">
        <is>
          <t>193 Шорты детские для мальчиков</t>
        </is>
      </c>
      <c r="F1093" s="2" t="inlineStr">
        <is>
          <t>лето</t>
        </is>
      </c>
      <c r="G1093" s="3" t="inlineStr">
        <is>
          <t>Kari KIDS</t>
        </is>
      </c>
      <c r="H1093" s="2" t="inlineStr">
        <is>
          <t>Зиннуров Ильнур</t>
        </is>
      </c>
      <c r="J1093" s="3" t="inlineStr">
        <is>
          <t>2026SS</t>
        </is>
      </c>
      <c r="K1093" s="3" t="n">
        <v>797</v>
      </c>
      <c r="L1093" s="3" t="n">
        <v>24</v>
      </c>
      <c r="M1093" s="3" t="n">
        <v>1</v>
      </c>
      <c r="N1093" s="4">
        <f>IFERROR(L1093/K1093,0)</f>
        <v/>
      </c>
      <c r="O1093" s="4">
        <f>IFERROR(M1093/L1093,0)</f>
        <v/>
      </c>
      <c r="P1093" t="n">
        <v>389</v>
      </c>
      <c r="Q1093" s="5" t="n">
        <v>1</v>
      </c>
      <c r="R1093" s="7" t="n">
        <v>0</v>
      </c>
      <c r="S1093" t="inlineStr">
        <is>
          <t>Мало показов</t>
        </is>
      </c>
      <c r="T1093">
        <f>IF(N1093&lt;$T$1*0.5,"Низшая четверть",IF(N1093&lt;$T$1,"Вторая четверть","Больше половины"))</f>
        <v/>
      </c>
      <c r="U1093">
        <f>IF(O1093&lt;$U$1*0.5,"Низшая четверть",IF(O1093&lt;$U$1,"Вторая четверть","Больше половины"))</f>
        <v/>
      </c>
      <c r="V1093">
        <f>IF(OR(N1093&lt;SUMIFS(L:L,R:R,1,E:E,E1093)/SUMIFS(K:K,R:R,1,E:E,E1093)*0.5,O1093&lt;SUMIFS(M:M,R:R,1,E:E,E1093)/SUMIFS(L:L,R:R,1,E:E,E1093)*0.5),"код для проверки","нормальный код")</f>
        <v/>
      </c>
      <c r="W1093">
        <f>IF(N1093&lt;SUMIFS(L:L,R:R,1,E:E,E1093)/SUMIFS(K:K,R:R,1,E:E,E1093)*0.5,"Низшая четверть",IF(N1093&lt;SUMIFS(L:L,R:R,1,E:E,E1093)/SUMIFS(K:K,R:R,1,E:E,E1093),"Вторая четверть","Больше половины"))</f>
        <v/>
      </c>
      <c r="X1093">
        <f>IF(O1093&lt;SUMIFS(M:M,R:R,1,E:E,E1093)/SUMIFS(L:L,R:R,1,E:E,E1093)*0.5,"Низшая четверть",IF(O1093&lt;SUMIFS(M:M,R:R,1,E:E,E1093)/SUMIFS(L:L,R:R,1,E:E,E1093),"Вторая четверть","Больше половины"))</f>
        <v/>
      </c>
      <c r="Y1093" t="n">
        <v>8</v>
      </c>
    </row>
    <row r="1094">
      <c r="A1094" s="1" t="inlineStr">
        <is>
          <t>y5000040</t>
        </is>
      </c>
      <c r="B1094" s="2" t="inlineStr">
        <is>
          <t>929006418</t>
        </is>
      </c>
      <c r="C1094" s="3" t="inlineStr">
        <is>
          <t>Одежда для детей</t>
        </is>
      </c>
      <c r="D1094" s="2" t="inlineStr">
        <is>
          <t>Спортивная детская одежда для мальчиков</t>
        </is>
      </c>
      <c r="E1094" s="3" t="inlineStr">
        <is>
          <t>y50 Комплект летней одежды для мальчиков</t>
        </is>
      </c>
      <c r="F1094" s="2" t="inlineStr">
        <is>
          <t>весна, лето</t>
        </is>
      </c>
      <c r="G1094" s="3" t="inlineStr">
        <is>
          <t>kari</t>
        </is>
      </c>
      <c r="H1094" s="2" t="inlineStr">
        <is>
          <t>Зиннуров Ильнур</t>
        </is>
      </c>
      <c r="J1094" s="3" t="inlineStr">
        <is>
          <t>2026SS</t>
        </is>
      </c>
      <c r="K1094" s="3" t="n">
        <v>793</v>
      </c>
      <c r="L1094" s="3" t="n">
        <v>24</v>
      </c>
      <c r="M1094" s="3" t="n">
        <v>0</v>
      </c>
      <c r="N1094" s="4">
        <f>IFERROR(L1094/K1094,0)</f>
        <v/>
      </c>
      <c r="O1094" s="4">
        <f>IFERROR(M1094/L1094,0)</f>
        <v/>
      </c>
      <c r="P1094" t="n">
        <v>301</v>
      </c>
      <c r="Q1094" s="5" t="n">
        <v>1</v>
      </c>
      <c r="R1094" s="7" t="n">
        <v>0</v>
      </c>
      <c r="S1094" t="inlineStr">
        <is>
          <t>Мало показов</t>
        </is>
      </c>
      <c r="T1094">
        <f>IF(N1094&lt;$T$1*0.5,"Низшая четверть",IF(N1094&lt;$T$1,"Вторая четверть","Больше половины"))</f>
        <v/>
      </c>
      <c r="U1094">
        <f>IF(O1094&lt;$U$1*0.5,"Низшая четверть",IF(O1094&lt;$U$1,"Вторая четверть","Больше половины"))</f>
        <v/>
      </c>
      <c r="V1094">
        <f>IF(OR(N1094&lt;SUMIFS(L:L,R:R,1,E:E,E1094)/SUMIFS(K:K,R:R,1,E:E,E1094)*0.5,O1094&lt;SUMIFS(M:M,R:R,1,E:E,E1094)/SUMIFS(L:L,R:R,1,E:E,E1094)*0.5),"код для проверки","нормальный код")</f>
        <v/>
      </c>
      <c r="W1094">
        <f>IF(N1094&lt;SUMIFS(L:L,R:R,1,E:E,E1094)/SUMIFS(K:K,R:R,1,E:E,E1094)*0.5,"Низшая четверть",IF(N1094&lt;SUMIFS(L:L,R:R,1,E:E,E1094)/SUMIFS(K:K,R:R,1,E:E,E1094),"Вторая четверть","Больше половины"))</f>
        <v/>
      </c>
      <c r="X1094">
        <f>IF(O1094&lt;SUMIFS(M:M,R:R,1,E:E,E1094)/SUMIFS(L:L,R:R,1,E:E,E1094)*0.5,"Низшая четверть",IF(O1094&lt;SUMIFS(M:M,R:R,1,E:E,E1094)/SUMIFS(L:L,R:R,1,E:E,E1094),"Вторая четверть","Больше половины"))</f>
        <v/>
      </c>
      <c r="Y1094" t="n">
        <v>12</v>
      </c>
    </row>
    <row r="1095">
      <c r="A1095" s="1" t="inlineStr">
        <is>
          <t>h1000030</t>
        </is>
      </c>
      <c r="B1095" s="2" t="inlineStr">
        <is>
          <t>879308883</t>
        </is>
      </c>
      <c r="C1095" s="3" t="inlineStr">
        <is>
          <t>Одежда и аксессуары</t>
        </is>
      </c>
      <c r="D1095" s="2" t="inlineStr">
        <is>
          <t>Футболки, рубашки мужские</t>
        </is>
      </c>
      <c r="E1095" s="3" t="inlineStr">
        <is>
          <t>h10 Футболка мужская</t>
        </is>
      </c>
      <c r="F1095" s="2" t="inlineStr">
        <is>
          <t>всесезонный</t>
        </is>
      </c>
      <c r="G1095" s="3" t="inlineStr">
        <is>
          <t>kari</t>
        </is>
      </c>
      <c r="H1095" s="2" t="inlineStr">
        <is>
          <t>Зиннуров Ильнур</t>
        </is>
      </c>
      <c r="J1095" s="3" t="inlineStr">
        <is>
          <t>2026SS</t>
        </is>
      </c>
      <c r="K1095" s="3" t="n">
        <v>792</v>
      </c>
      <c r="L1095" s="3" t="n">
        <v>2</v>
      </c>
      <c r="M1095" s="3" t="n">
        <v>0</v>
      </c>
      <c r="N1095" s="4">
        <f>IFERROR(L1095/K1095,0)</f>
        <v/>
      </c>
      <c r="O1095" s="4">
        <f>IFERROR(M1095/L1095,0)</f>
        <v/>
      </c>
      <c r="P1095" t="n">
        <v>180</v>
      </c>
      <c r="Q1095" s="5" t="n">
        <v>1</v>
      </c>
      <c r="R1095" s="7" t="n">
        <v>0</v>
      </c>
      <c r="S1095" t="inlineStr">
        <is>
          <t>Мало показов</t>
        </is>
      </c>
      <c r="T1095">
        <f>IF(N1095&lt;$T$1*0.5,"Низшая четверть",IF(N1095&lt;$T$1,"Вторая четверть","Больше половины"))</f>
        <v/>
      </c>
      <c r="U1095">
        <f>IF(O1095&lt;$U$1*0.5,"Низшая четверть",IF(O1095&lt;$U$1,"Вторая четверть","Больше половины"))</f>
        <v/>
      </c>
      <c r="V1095">
        <f>IF(OR(N1095&lt;SUMIFS(L:L,R:R,1,E:E,E1095)/SUMIFS(K:K,R:R,1,E:E,E1095)*0.5,O1095&lt;SUMIFS(M:M,R:R,1,E:E,E1095)/SUMIFS(L:L,R:R,1,E:E,E1095)*0.5),"код для проверки","нормальный код")</f>
        <v/>
      </c>
      <c r="W1095">
        <f>IF(N1095&lt;SUMIFS(L:L,R:R,1,E:E,E1095)/SUMIFS(K:K,R:R,1,E:E,E1095)*0.5,"Низшая четверть",IF(N1095&lt;SUMIFS(L:L,R:R,1,E:E,E1095)/SUMIFS(K:K,R:R,1,E:E,E1095),"Вторая четверть","Больше половины"))</f>
        <v/>
      </c>
      <c r="X1095">
        <f>IF(O1095&lt;SUMIFS(M:M,R:R,1,E:E,E1095)/SUMIFS(L:L,R:R,1,E:E,E1095)*0.5,"Низшая четверть",IF(O1095&lt;SUMIFS(M:M,R:R,1,E:E,E1095)/SUMIFS(L:L,R:R,1,E:E,E1095),"Вторая четверть","Больше половины"))</f>
        <v/>
      </c>
      <c r="Y1095" t="n">
        <v>9</v>
      </c>
    </row>
    <row r="1096">
      <c r="A1096" s="1" t="inlineStr">
        <is>
          <t>h1300020</t>
        </is>
      </c>
      <c r="B1096" s="2" t="inlineStr">
        <is>
          <t>732579177</t>
        </is>
      </c>
      <c r="C1096" s="3" t="inlineStr">
        <is>
          <t>Одежда и аксессуары</t>
        </is>
      </c>
      <c r="D1096" s="2" t="inlineStr">
        <is>
          <t>Брюки, шорты женские</t>
        </is>
      </c>
      <c r="E1096" s="3" t="inlineStr">
        <is>
          <t>h13 Шорты женские</t>
        </is>
      </c>
      <c r="F1096" s="2" t="inlineStr">
        <is>
          <t>весна, лето</t>
        </is>
      </c>
      <c r="G1096" s="3" t="inlineStr">
        <is>
          <t>kari</t>
        </is>
      </c>
      <c r="H1096" s="2" t="inlineStr">
        <is>
          <t>Зиннуров Ильнур</t>
        </is>
      </c>
      <c r="J1096" s="3" t="inlineStr">
        <is>
          <t>2026SS</t>
        </is>
      </c>
      <c r="K1096" s="3" t="n">
        <v>787</v>
      </c>
      <c r="L1096" s="3" t="n">
        <v>42</v>
      </c>
      <c r="M1096" s="3" t="n">
        <v>0</v>
      </c>
      <c r="N1096" s="4">
        <f>IFERROR(L1096/K1096,0)</f>
        <v/>
      </c>
      <c r="O1096" s="4">
        <f>IFERROR(M1096/L1096,0)</f>
        <v/>
      </c>
      <c r="P1096" t="n">
        <v>120</v>
      </c>
      <c r="Q1096" s="5" t="n">
        <v>0.8</v>
      </c>
      <c r="R1096" s="7" t="n">
        <v>0</v>
      </c>
      <c r="S1096" t="inlineStr">
        <is>
          <t>Мало показов</t>
        </is>
      </c>
      <c r="T1096">
        <f>IF(N1096&lt;$T$1*0.5,"Низшая четверть",IF(N1096&lt;$T$1,"Вторая четверть","Больше половины"))</f>
        <v/>
      </c>
      <c r="U1096">
        <f>IF(O1096&lt;$U$1*0.5,"Низшая четверть",IF(O1096&lt;$U$1,"Вторая четверть","Больше половины"))</f>
        <v/>
      </c>
      <c r="V1096">
        <f>IF(OR(N1096&lt;SUMIFS(L:L,R:R,1,E:E,E1096)/SUMIFS(K:K,R:R,1,E:E,E1096)*0.5,O1096&lt;SUMIFS(M:M,R:R,1,E:E,E1096)/SUMIFS(L:L,R:R,1,E:E,E1096)*0.5),"код для проверки","нормальный код")</f>
        <v/>
      </c>
      <c r="W1096">
        <f>IF(N1096&lt;SUMIFS(L:L,R:R,1,E:E,E1096)/SUMIFS(K:K,R:R,1,E:E,E1096)*0.5,"Низшая четверть",IF(N1096&lt;SUMIFS(L:L,R:R,1,E:E,E1096)/SUMIFS(K:K,R:R,1,E:E,E1096),"Вторая четверть","Больше половины"))</f>
        <v/>
      </c>
      <c r="X1096">
        <f>IF(O1096&lt;SUMIFS(M:M,R:R,1,E:E,E1096)/SUMIFS(L:L,R:R,1,E:E,E1096)*0.5,"Низшая четверть",IF(O1096&lt;SUMIFS(M:M,R:R,1,E:E,E1096)/SUMIFS(L:L,R:R,1,E:E,E1096),"Вторая четверть","Больше половины"))</f>
        <v/>
      </c>
      <c r="Y1096" t="n">
        <v>23</v>
      </c>
    </row>
    <row r="1097">
      <c r="A1097" s="1" t="inlineStr">
        <is>
          <t>19800020</t>
        </is>
      </c>
      <c r="B1097" s="2" t="inlineStr">
        <is>
          <t>701479505</t>
        </is>
      </c>
      <c r="C1097" s="3" t="inlineStr">
        <is>
          <t>Одежда и аксессуары</t>
        </is>
      </c>
      <c r="D1097" s="2" t="inlineStr">
        <is>
          <t>Майки и платья женские</t>
        </is>
      </c>
      <c r="E1097" s="3" t="inlineStr">
        <is>
          <t>198 Топ женский</t>
        </is>
      </c>
      <c r="F1097" s="2" t="inlineStr">
        <is>
          <t>лето</t>
        </is>
      </c>
      <c r="G1097" s="3" t="inlineStr">
        <is>
          <t>kari</t>
        </is>
      </c>
      <c r="H1097" s="2" t="inlineStr">
        <is>
          <t>Зиннуров Ильнур</t>
        </is>
      </c>
      <c r="J1097" s="3" t="inlineStr">
        <is>
          <t>2026SS</t>
        </is>
      </c>
      <c r="K1097" s="3" t="n">
        <v>786</v>
      </c>
      <c r="L1097" s="3" t="n">
        <v>31</v>
      </c>
      <c r="M1097" s="3" t="n">
        <v>0</v>
      </c>
      <c r="N1097" s="4">
        <f>IFERROR(L1097/K1097,0)</f>
        <v/>
      </c>
      <c r="O1097" s="4">
        <f>IFERROR(M1097/L1097,0)</f>
        <v/>
      </c>
      <c r="P1097" t="n">
        <v>235</v>
      </c>
      <c r="Q1097" s="5" t="n">
        <v>0.75</v>
      </c>
      <c r="R1097" s="7" t="n">
        <v>0</v>
      </c>
      <c r="S1097" t="inlineStr">
        <is>
          <t>Мало показов</t>
        </is>
      </c>
      <c r="T1097">
        <f>IF(N1097&lt;$T$1*0.5,"Низшая четверть",IF(N1097&lt;$T$1,"Вторая четверть","Больше половины"))</f>
        <v/>
      </c>
      <c r="U1097">
        <f>IF(O1097&lt;$U$1*0.5,"Низшая четверть",IF(O1097&lt;$U$1,"Вторая четверть","Больше половины"))</f>
        <v/>
      </c>
      <c r="V1097">
        <f>IF(OR(N1097&lt;SUMIFS(L:L,R:R,1,E:E,E1097)/SUMIFS(K:K,R:R,1,E:E,E1097)*0.5,O1097&lt;SUMIFS(M:M,R:R,1,E:E,E1097)/SUMIFS(L:L,R:R,1,E:E,E1097)*0.5),"код для проверки","нормальный код")</f>
        <v/>
      </c>
      <c r="W1097">
        <f>IF(N1097&lt;SUMIFS(L:L,R:R,1,E:E,E1097)/SUMIFS(K:K,R:R,1,E:E,E1097)*0.5,"Низшая четверть",IF(N1097&lt;SUMIFS(L:L,R:R,1,E:E,E1097)/SUMIFS(K:K,R:R,1,E:E,E1097),"Вторая четверть","Больше половины"))</f>
        <v/>
      </c>
      <c r="X1097">
        <f>IF(O1097&lt;SUMIFS(M:M,R:R,1,E:E,E1097)/SUMIFS(L:L,R:R,1,E:E,E1097)*0.5,"Низшая четверть",IF(O1097&lt;SUMIFS(M:M,R:R,1,E:E,E1097)/SUMIFS(L:L,R:R,1,E:E,E1097),"Вторая четверть","Больше половины"))</f>
        <v/>
      </c>
      <c r="Y1097" t="n">
        <v>25</v>
      </c>
    </row>
    <row r="1098">
      <c r="A1098" s="1" t="inlineStr">
        <is>
          <t>23200080</t>
        </is>
      </c>
      <c r="B1098" s="2" t="inlineStr">
        <is>
          <t>879308734</t>
        </is>
      </c>
      <c r="C1098" s="3" t="inlineStr">
        <is>
          <t>Одежда для детей</t>
        </is>
      </c>
      <c r="D1098" s="2" t="inlineStr">
        <is>
          <t>Нижнее белье детское для мальчиков</t>
        </is>
      </c>
      <c r="E1098" s="3" t="inlineStr">
        <is>
          <t>232 Пижама детская для мальчиков</t>
        </is>
      </c>
      <c r="F1098" s="2" t="inlineStr">
        <is>
          <t>всесезонный</t>
        </is>
      </c>
      <c r="G1098" s="3" t="inlineStr">
        <is>
          <t>Kari KIDS</t>
        </is>
      </c>
      <c r="H1098" s="2" t="inlineStr">
        <is>
          <t>Зиннуров Ильнур</t>
        </is>
      </c>
      <c r="J1098" s="3" t="inlineStr">
        <is>
          <t>2026SS</t>
        </is>
      </c>
      <c r="K1098" s="3" t="n">
        <v>784</v>
      </c>
      <c r="L1098" s="3" t="n">
        <v>16</v>
      </c>
      <c r="M1098" s="3" t="n">
        <v>0</v>
      </c>
      <c r="N1098" s="4">
        <f>IFERROR(L1098/K1098,0)</f>
        <v/>
      </c>
      <c r="O1098" s="4">
        <f>IFERROR(M1098/L1098,0)</f>
        <v/>
      </c>
      <c r="P1098" t="n">
        <v>1083</v>
      </c>
      <c r="Q1098" s="5" t="n">
        <v>1</v>
      </c>
      <c r="R1098" s="7" t="n">
        <v>0</v>
      </c>
      <c r="S1098" t="inlineStr">
        <is>
          <t>Мало показов</t>
        </is>
      </c>
      <c r="T1098">
        <f>IF(N1098&lt;$T$1*0.5,"Низшая четверть",IF(N1098&lt;$T$1,"Вторая четверть","Больше половины"))</f>
        <v/>
      </c>
      <c r="U1098">
        <f>IF(O1098&lt;$U$1*0.5,"Низшая четверть",IF(O1098&lt;$U$1,"Вторая четверть","Больше половины"))</f>
        <v/>
      </c>
      <c r="V1098">
        <f>IF(OR(N1098&lt;SUMIFS(L:L,R:R,1,E:E,E1098)/SUMIFS(K:K,R:R,1,E:E,E1098)*0.5,O1098&lt;SUMIFS(M:M,R:R,1,E:E,E1098)/SUMIFS(L:L,R:R,1,E:E,E1098)*0.5),"код для проверки","нормальный код")</f>
        <v/>
      </c>
      <c r="W1098">
        <f>IF(N1098&lt;SUMIFS(L:L,R:R,1,E:E,E1098)/SUMIFS(K:K,R:R,1,E:E,E1098)*0.5,"Низшая четверть",IF(N1098&lt;SUMIFS(L:L,R:R,1,E:E,E1098)/SUMIFS(K:K,R:R,1,E:E,E1098),"Вторая четверть","Больше половины"))</f>
        <v/>
      </c>
      <c r="X1098">
        <f>IF(O1098&lt;SUMIFS(M:M,R:R,1,E:E,E1098)/SUMIFS(L:L,R:R,1,E:E,E1098)*0.5,"Низшая четверть",IF(O1098&lt;SUMIFS(M:M,R:R,1,E:E,E1098)/SUMIFS(L:L,R:R,1,E:E,E1098),"Вторая четверть","Больше половины"))</f>
        <v/>
      </c>
      <c r="Y1098" t="n">
        <v>8</v>
      </c>
    </row>
    <row r="1099">
      <c r="A1099" s="1" t="inlineStr">
        <is>
          <t>310002G0</t>
        </is>
      </c>
      <c r="B1099" s="2" t="inlineStr">
        <is>
          <t>884287733</t>
        </is>
      </c>
      <c r="C1099" s="3" t="inlineStr">
        <is>
          <t>Одежда для детей</t>
        </is>
      </c>
      <c r="D1099" s="2" t="inlineStr">
        <is>
          <t>Футболки, майки, рубашки детские для мальчиков</t>
        </is>
      </c>
      <c r="E1099" s="3" t="inlineStr">
        <is>
          <t>310 Футболка детская для мальчиков</t>
        </is>
      </c>
      <c r="F1099" s="2" t="inlineStr">
        <is>
          <t>всесезонный</t>
        </is>
      </c>
      <c r="G1099" s="3" t="inlineStr">
        <is>
          <t>kari</t>
        </is>
      </c>
      <c r="H1099" s="2" t="inlineStr">
        <is>
          <t>Зиннуров Ильнур</t>
        </is>
      </c>
      <c r="J1099" s="3" t="inlineStr">
        <is>
          <t>2026SS</t>
        </is>
      </c>
      <c r="K1099" s="3" t="n">
        <v>777</v>
      </c>
      <c r="L1099" s="3" t="n">
        <v>4</v>
      </c>
      <c r="M1099" s="3" t="n">
        <v>0</v>
      </c>
      <c r="N1099" s="4">
        <f>IFERROR(L1099/K1099,0)</f>
        <v/>
      </c>
      <c r="O1099" s="4">
        <f>IFERROR(M1099/L1099,0)</f>
        <v/>
      </c>
      <c r="P1099" t="n">
        <v>400</v>
      </c>
      <c r="Q1099" s="5" t="n">
        <v>0.4545454545454545</v>
      </c>
      <c r="R1099" s="7" t="n">
        <v>0</v>
      </c>
      <c r="S1099" t="inlineStr">
        <is>
          <t>Мало показов</t>
        </is>
      </c>
      <c r="T1099">
        <f>IF(N1099&lt;$T$1*0.5,"Низшая четверть",IF(N1099&lt;$T$1,"Вторая четверть","Больше половины"))</f>
        <v/>
      </c>
      <c r="U1099">
        <f>IF(O1099&lt;$U$1*0.5,"Низшая четверть",IF(O1099&lt;$U$1,"Вторая четверть","Больше половины"))</f>
        <v/>
      </c>
      <c r="V1099">
        <f>IF(OR(N1099&lt;SUMIFS(L:L,R:R,1,E:E,E1099)/SUMIFS(K:K,R:R,1,E:E,E1099)*0.5,O1099&lt;SUMIFS(M:M,R:R,1,E:E,E1099)/SUMIFS(L:L,R:R,1,E:E,E1099)*0.5),"код для проверки","нормальный код")</f>
        <v/>
      </c>
      <c r="W1099">
        <f>IF(N1099&lt;SUMIFS(L:L,R:R,1,E:E,E1099)/SUMIFS(K:K,R:R,1,E:E,E1099)*0.5,"Низшая четверть",IF(N1099&lt;SUMIFS(L:L,R:R,1,E:E,E1099)/SUMIFS(K:K,R:R,1,E:E,E1099),"Вторая четверть","Больше половины"))</f>
        <v/>
      </c>
      <c r="X1099">
        <f>IF(O1099&lt;SUMIFS(M:M,R:R,1,E:E,E1099)/SUMIFS(L:L,R:R,1,E:E,E1099)*0.5,"Низшая четверть",IF(O1099&lt;SUMIFS(M:M,R:R,1,E:E,E1099)/SUMIFS(L:L,R:R,1,E:E,E1099),"Вторая четверть","Больше половины"))</f>
        <v/>
      </c>
      <c r="Y1099" t="n">
        <v>9</v>
      </c>
    </row>
    <row r="1100">
      <c r="A1100" s="1" t="inlineStr">
        <is>
          <t>h1300040</t>
        </is>
      </c>
      <c r="B1100" s="2" t="inlineStr">
        <is>
          <t>732579219</t>
        </is>
      </c>
      <c r="C1100" s="3" t="inlineStr">
        <is>
          <t>Одежда и аксессуары</t>
        </is>
      </c>
      <c r="D1100" s="2" t="inlineStr">
        <is>
          <t>Брюки, шорты женские</t>
        </is>
      </c>
      <c r="E1100" s="3" t="inlineStr">
        <is>
          <t>h13 Шорты женские</t>
        </is>
      </c>
      <c r="F1100" s="2" t="inlineStr">
        <is>
          <t>весна, лето</t>
        </is>
      </c>
      <c r="G1100" s="3" t="inlineStr">
        <is>
          <t>kari</t>
        </is>
      </c>
      <c r="H1100" s="2" t="inlineStr">
        <is>
          <t>Зиннуров Ильнур</t>
        </is>
      </c>
      <c r="J1100" s="3" t="inlineStr">
        <is>
          <t>2026SS</t>
        </is>
      </c>
      <c r="K1100" s="3" t="n">
        <v>776</v>
      </c>
      <c r="L1100" s="3" t="n">
        <v>36</v>
      </c>
      <c r="M1100" s="3" t="n">
        <v>1</v>
      </c>
      <c r="N1100" s="4">
        <f>IFERROR(L1100/K1100,0)</f>
        <v/>
      </c>
      <c r="O1100" s="4">
        <f>IFERROR(M1100/L1100,0)</f>
        <v/>
      </c>
      <c r="P1100" t="n">
        <v>239</v>
      </c>
      <c r="Q1100" s="5" t="n">
        <v>0.8</v>
      </c>
      <c r="R1100" s="7" t="n">
        <v>0</v>
      </c>
      <c r="S1100" t="inlineStr">
        <is>
          <t>Мало показов</t>
        </is>
      </c>
      <c r="T1100">
        <f>IF(N1100&lt;$T$1*0.5,"Низшая четверть",IF(N1100&lt;$T$1,"Вторая четверть","Больше половины"))</f>
        <v/>
      </c>
      <c r="U1100">
        <f>IF(O1100&lt;$U$1*0.5,"Низшая четверть",IF(O1100&lt;$U$1,"Вторая четверть","Больше половины"))</f>
        <v/>
      </c>
      <c r="V1100">
        <f>IF(OR(N1100&lt;SUMIFS(L:L,R:R,1,E:E,E1100)/SUMIFS(K:K,R:R,1,E:E,E1100)*0.5,O1100&lt;SUMIFS(M:M,R:R,1,E:E,E1100)/SUMIFS(L:L,R:R,1,E:E,E1100)*0.5),"код для проверки","нормальный код")</f>
        <v/>
      </c>
      <c r="W1100">
        <f>IF(N1100&lt;SUMIFS(L:L,R:R,1,E:E,E1100)/SUMIFS(K:K,R:R,1,E:E,E1100)*0.5,"Низшая четверть",IF(N1100&lt;SUMIFS(L:L,R:R,1,E:E,E1100)/SUMIFS(K:K,R:R,1,E:E,E1100),"Вторая четверть","Больше половины"))</f>
        <v/>
      </c>
      <c r="X1100">
        <f>IF(O1100&lt;SUMIFS(M:M,R:R,1,E:E,E1100)/SUMIFS(L:L,R:R,1,E:E,E1100)*0.5,"Низшая четверть",IF(O1100&lt;SUMIFS(M:M,R:R,1,E:E,E1100)/SUMIFS(L:L,R:R,1,E:E,E1100),"Вторая четверть","Больше половины"))</f>
        <v/>
      </c>
      <c r="Y1100" t="n">
        <v>25</v>
      </c>
    </row>
    <row r="1101">
      <c r="A1101" s="1" t="inlineStr">
        <is>
          <t>53000110</t>
        </is>
      </c>
      <c r="B1101" s="2" t="inlineStr">
        <is>
          <t>820657732</t>
        </is>
      </c>
      <c r="C1101" s="3" t="inlineStr">
        <is>
          <t>Одежда для детей</t>
        </is>
      </c>
      <c r="D1101" s="2" t="inlineStr">
        <is>
          <t>Головные детские уборы для девочек</t>
        </is>
      </c>
      <c r="E1101" s="3" t="inlineStr">
        <is>
          <t>530 Панама детская для девочек</t>
        </is>
      </c>
      <c r="F1101" s="2" t="inlineStr">
        <is>
          <t>весна, лето</t>
        </is>
      </c>
      <c r="G1101" s="3" t="inlineStr">
        <is>
          <t>kari</t>
        </is>
      </c>
      <c r="H1101" s="2" t="inlineStr">
        <is>
          <t>Никонорова Алина</t>
        </is>
      </c>
      <c r="J1101" s="3" t="inlineStr">
        <is>
          <t>2026SS</t>
        </is>
      </c>
      <c r="K1101" s="3" t="n">
        <v>774</v>
      </c>
      <c r="L1101" s="3" t="n">
        <v>325</v>
      </c>
      <c r="M1101" s="3" t="n">
        <v>0</v>
      </c>
      <c r="N1101" s="4">
        <f>IFERROR(L1101/K1101,0)</f>
        <v/>
      </c>
      <c r="O1101" s="4">
        <f>IFERROR(M1101/L1101,0)</f>
        <v/>
      </c>
      <c r="P1101" t="n">
        <v>694</v>
      </c>
      <c r="Q1101" s="5" t="n">
        <v>1</v>
      </c>
      <c r="R1101" s="7" t="n">
        <v>0</v>
      </c>
      <c r="S1101" t="inlineStr">
        <is>
          <t>Мало показов</t>
        </is>
      </c>
      <c r="T1101">
        <f>IF(N1101&lt;$T$1*0.5,"Низшая четверть",IF(N1101&lt;$T$1,"Вторая четверть","Больше половины"))</f>
        <v/>
      </c>
      <c r="U1101">
        <f>IF(O1101&lt;$U$1*0.5,"Низшая четверть",IF(O1101&lt;$U$1,"Вторая четверть","Больше половины"))</f>
        <v/>
      </c>
      <c r="V1101">
        <f>IF(OR(N1101&lt;SUMIFS(L:L,R:R,1,E:E,E1101)/SUMIFS(K:K,R:R,1,E:E,E1101)*0.5,O1101&lt;SUMIFS(M:M,R:R,1,E:E,E1101)/SUMIFS(L:L,R:R,1,E:E,E1101)*0.5),"код для проверки","нормальный код")</f>
        <v/>
      </c>
      <c r="W1101">
        <f>IF(N1101&lt;SUMIFS(L:L,R:R,1,E:E,E1101)/SUMIFS(K:K,R:R,1,E:E,E1101)*0.5,"Низшая четверть",IF(N1101&lt;SUMIFS(L:L,R:R,1,E:E,E1101)/SUMIFS(K:K,R:R,1,E:E,E1101),"Вторая четверть","Больше половины"))</f>
        <v/>
      </c>
      <c r="X1101">
        <f>IF(O1101&lt;SUMIFS(M:M,R:R,1,E:E,E1101)/SUMIFS(L:L,R:R,1,E:E,E1101)*0.5,"Низшая четверть",IF(O1101&lt;SUMIFS(M:M,R:R,1,E:E,E1101)/SUMIFS(L:L,R:R,1,E:E,E1101),"Вторая четверть","Больше половины"))</f>
        <v/>
      </c>
      <c r="Y1101" t="n">
        <v>6</v>
      </c>
    </row>
    <row r="1102">
      <c r="A1102" s="1" t="inlineStr">
        <is>
          <t>07200840</t>
        </is>
      </c>
      <c r="B1102" s="2" t="inlineStr">
        <is>
          <t>770843361</t>
        </is>
      </c>
      <c r="C1102" s="3" t="inlineStr">
        <is>
          <t>Одежда и аксессуары</t>
        </is>
      </c>
      <c r="D1102" s="2" t="inlineStr">
        <is>
          <t>Нижнее белье женское</t>
        </is>
      </c>
      <c r="E1102" s="3" t="inlineStr">
        <is>
          <t>072 Трусы женские</t>
        </is>
      </c>
      <c r="F1102" s="2" t="inlineStr">
        <is>
          <t>всесезонный</t>
        </is>
      </c>
      <c r="G1102" s="3" t="inlineStr">
        <is>
          <t>kari</t>
        </is>
      </c>
      <c r="H1102" s="2" t="inlineStr">
        <is>
          <t>Никонорова Алина</t>
        </is>
      </c>
      <c r="J1102" s="3" t="inlineStr">
        <is>
          <t>2026SS</t>
        </is>
      </c>
      <c r="K1102" s="3" t="n">
        <v>766</v>
      </c>
      <c r="L1102" s="3" t="n">
        <v>50</v>
      </c>
      <c r="M1102" s="3" t="n">
        <v>1</v>
      </c>
      <c r="N1102" s="4">
        <f>IFERROR(L1102/K1102,0)</f>
        <v/>
      </c>
      <c r="O1102" s="4">
        <f>IFERROR(M1102/L1102,0)</f>
        <v/>
      </c>
      <c r="P1102" t="n">
        <v>748</v>
      </c>
      <c r="Q1102" s="5" t="n">
        <v>0.75</v>
      </c>
      <c r="R1102" s="7" t="n">
        <v>0</v>
      </c>
      <c r="S1102" t="inlineStr">
        <is>
          <t>Мало показов</t>
        </is>
      </c>
      <c r="T1102">
        <f>IF(N1102&lt;$T$1*0.5,"Низшая четверть",IF(N1102&lt;$T$1,"Вторая четверть","Больше половины"))</f>
        <v/>
      </c>
      <c r="U1102">
        <f>IF(O1102&lt;$U$1*0.5,"Низшая четверть",IF(O1102&lt;$U$1,"Вторая четверть","Больше половины"))</f>
        <v/>
      </c>
      <c r="V1102">
        <f>IF(OR(N1102&lt;SUMIFS(L:L,R:R,1,E:E,E1102)/SUMIFS(K:K,R:R,1,E:E,E1102)*0.5,O1102&lt;SUMIFS(M:M,R:R,1,E:E,E1102)/SUMIFS(L:L,R:R,1,E:E,E1102)*0.5),"код для проверки","нормальный код")</f>
        <v/>
      </c>
      <c r="W1102">
        <f>IF(N1102&lt;SUMIFS(L:L,R:R,1,E:E,E1102)/SUMIFS(K:K,R:R,1,E:E,E1102)*0.5,"Низшая четверть",IF(N1102&lt;SUMIFS(L:L,R:R,1,E:E,E1102)/SUMIFS(K:K,R:R,1,E:E,E1102),"Вторая четверть","Больше половины"))</f>
        <v/>
      </c>
      <c r="X1102">
        <f>IF(O1102&lt;SUMIFS(M:M,R:R,1,E:E,E1102)/SUMIFS(L:L,R:R,1,E:E,E1102)*0.5,"Низшая четверть",IF(O1102&lt;SUMIFS(M:M,R:R,1,E:E,E1102)/SUMIFS(L:L,R:R,1,E:E,E1102),"Вторая четверть","Больше половины"))</f>
        <v/>
      </c>
      <c r="Y1102" t="n">
        <v>18</v>
      </c>
    </row>
    <row r="1103">
      <c r="A1103" s="1" t="inlineStr">
        <is>
          <t>a6000610</t>
        </is>
      </c>
      <c r="B1103" s="2" t="inlineStr">
        <is>
          <t>914676225</t>
        </is>
      </c>
      <c r="C1103" s="3" t="inlineStr">
        <is>
          <t>Одежда для детей</t>
        </is>
      </c>
      <c r="D1103" s="2" t="inlineStr">
        <is>
          <t>Платья, майки, футболки детские для девочек</t>
        </is>
      </c>
      <c r="E1103" s="3" t="inlineStr">
        <is>
          <t>a60 Футболка детская для девочек</t>
        </is>
      </c>
      <c r="F1103" s="2" t="inlineStr">
        <is>
          <t>всесезонный</t>
        </is>
      </c>
      <c r="G1103" s="3" t="inlineStr">
        <is>
          <t>Kari KIDS</t>
        </is>
      </c>
      <c r="H1103" s="2" t="inlineStr">
        <is>
          <t>Зиннуров Ильнур</t>
        </is>
      </c>
      <c r="J1103" s="3" t="inlineStr">
        <is>
          <t>2026SS</t>
        </is>
      </c>
      <c r="K1103" s="3" t="n">
        <v>762</v>
      </c>
      <c r="L1103" s="3" t="n">
        <v>15</v>
      </c>
      <c r="M1103" s="3" t="n">
        <v>0</v>
      </c>
      <c r="N1103" s="4">
        <f>IFERROR(L1103/K1103,0)</f>
        <v/>
      </c>
      <c r="O1103" s="4">
        <f>IFERROR(M1103/L1103,0)</f>
        <v/>
      </c>
      <c r="P1103" t="n">
        <v>588</v>
      </c>
      <c r="Q1103" s="5" t="n">
        <v>0.8</v>
      </c>
      <c r="R1103" s="7" t="n">
        <v>0</v>
      </c>
      <c r="S1103" t="inlineStr">
        <is>
          <t>Мало показов</t>
        </is>
      </c>
      <c r="T1103">
        <f>IF(N1103&lt;$T$1*0.5,"Низшая четверть",IF(N1103&lt;$T$1,"Вторая четверть","Больше половины"))</f>
        <v/>
      </c>
      <c r="U1103">
        <f>IF(O1103&lt;$U$1*0.5,"Низшая четверть",IF(O1103&lt;$U$1,"Вторая четверть","Больше половины"))</f>
        <v/>
      </c>
      <c r="V1103">
        <f>IF(OR(N1103&lt;SUMIFS(L:L,R:R,1,E:E,E1103)/SUMIFS(K:K,R:R,1,E:E,E1103)*0.5,O1103&lt;SUMIFS(M:M,R:R,1,E:E,E1103)/SUMIFS(L:L,R:R,1,E:E,E1103)*0.5),"код для проверки","нормальный код")</f>
        <v/>
      </c>
      <c r="W1103">
        <f>IF(N1103&lt;SUMIFS(L:L,R:R,1,E:E,E1103)/SUMIFS(K:K,R:R,1,E:E,E1103)*0.5,"Низшая четверть",IF(N1103&lt;SUMIFS(L:L,R:R,1,E:E,E1103)/SUMIFS(K:K,R:R,1,E:E,E1103),"Вторая четверть","Больше половины"))</f>
        <v/>
      </c>
      <c r="X1103">
        <f>IF(O1103&lt;SUMIFS(M:M,R:R,1,E:E,E1103)/SUMIFS(L:L,R:R,1,E:E,E1103)*0.5,"Низшая четверть",IF(O1103&lt;SUMIFS(M:M,R:R,1,E:E,E1103)/SUMIFS(L:L,R:R,1,E:E,E1103),"Вторая четверть","Больше половины"))</f>
        <v/>
      </c>
      <c r="Y1103" t="n">
        <v>16</v>
      </c>
    </row>
    <row r="1104">
      <c r="A1104" s="1" t="inlineStr">
        <is>
          <t>31400030</t>
        </is>
      </c>
      <c r="B1104" s="2" t="inlineStr">
        <is>
          <t>858780622</t>
        </is>
      </c>
      <c r="C1104" s="3" t="inlineStr">
        <is>
          <t>Одежда и аксессуары</t>
        </is>
      </c>
      <c r="D1104" s="2" t="inlineStr">
        <is>
          <t>Футболки, рубашки мужские</t>
        </is>
      </c>
      <c r="E1104" s="3" t="inlineStr">
        <is>
          <t>314 Рубашка короткий рукав мужская</t>
        </is>
      </c>
      <c r="F1104" s="2" t="inlineStr">
        <is>
          <t>лето</t>
        </is>
      </c>
      <c r="G1104" s="3" t="inlineStr">
        <is>
          <t>kari</t>
        </is>
      </c>
      <c r="H1104" s="2" t="n"/>
      <c r="J1104" s="3" t="inlineStr">
        <is>
          <t>2026SS</t>
        </is>
      </c>
      <c r="K1104" s="3" t="n">
        <v>759</v>
      </c>
      <c r="L1104" s="3" t="n">
        <v>10</v>
      </c>
      <c r="M1104" s="3" t="n">
        <v>0</v>
      </c>
      <c r="N1104" s="4">
        <f>IFERROR(L1104/K1104,0)</f>
        <v/>
      </c>
      <c r="O1104" s="4">
        <f>IFERROR(M1104/L1104,0)</f>
        <v/>
      </c>
      <c r="P1104" t="n">
        <v>325</v>
      </c>
      <c r="Q1104" s="5" t="n">
        <v>0.8333333333333334</v>
      </c>
      <c r="R1104" s="7" t="n">
        <v>0</v>
      </c>
      <c r="S1104" t="inlineStr">
        <is>
          <t>Мало показов</t>
        </is>
      </c>
      <c r="T1104">
        <f>IF(N1104&lt;$T$1*0.5,"Низшая четверть",IF(N1104&lt;$T$1,"Вторая четверть","Больше половины"))</f>
        <v/>
      </c>
      <c r="U1104">
        <f>IF(O1104&lt;$U$1*0.5,"Низшая четверть",IF(O1104&lt;$U$1,"Вторая четверть","Больше половины"))</f>
        <v/>
      </c>
      <c r="V1104">
        <f>IF(OR(N1104&lt;SUMIFS(L:L,R:R,1,E:E,E1104)/SUMIFS(K:K,R:R,1,E:E,E1104)*0.5,O1104&lt;SUMIFS(M:M,R:R,1,E:E,E1104)/SUMIFS(L:L,R:R,1,E:E,E1104)*0.5),"код для проверки","нормальный код")</f>
        <v/>
      </c>
      <c r="W1104">
        <f>IF(N1104&lt;SUMIFS(L:L,R:R,1,E:E,E1104)/SUMIFS(K:K,R:R,1,E:E,E1104)*0.5,"Низшая четверть",IF(N1104&lt;SUMIFS(L:L,R:R,1,E:E,E1104)/SUMIFS(K:K,R:R,1,E:E,E1104),"Вторая четверть","Больше половины"))</f>
        <v/>
      </c>
      <c r="X1104">
        <f>IF(O1104&lt;SUMIFS(M:M,R:R,1,E:E,E1104)/SUMIFS(L:L,R:R,1,E:E,E1104)*0.5,"Низшая четверть",IF(O1104&lt;SUMIFS(M:M,R:R,1,E:E,E1104)/SUMIFS(L:L,R:R,1,E:E,E1104),"Вторая четверть","Больше половины"))</f>
        <v/>
      </c>
      <c r="Y1104" t="n">
        <v>16</v>
      </c>
    </row>
    <row r="1105">
      <c r="A1105" s="1" t="inlineStr">
        <is>
          <t>h1300030</t>
        </is>
      </c>
      <c r="B1105" s="2" t="inlineStr">
        <is>
          <t>732579183</t>
        </is>
      </c>
      <c r="C1105" s="3" t="inlineStr">
        <is>
          <t>Одежда и аксессуары</t>
        </is>
      </c>
      <c r="D1105" s="2" t="inlineStr">
        <is>
          <t>Брюки, шорты женские</t>
        </is>
      </c>
      <c r="E1105" s="3" t="inlineStr">
        <is>
          <t>h13 Шорты женские</t>
        </is>
      </c>
      <c r="F1105" s="2" t="inlineStr">
        <is>
          <t>весна, лето</t>
        </is>
      </c>
      <c r="G1105" s="3" t="inlineStr">
        <is>
          <t>kari</t>
        </is>
      </c>
      <c r="H1105" s="2" t="inlineStr">
        <is>
          <t>Зиннуров Ильнур</t>
        </is>
      </c>
      <c r="J1105" s="3" t="inlineStr">
        <is>
          <t>2026SS</t>
        </is>
      </c>
      <c r="K1105" s="3" t="n">
        <v>754</v>
      </c>
      <c r="L1105" s="3" t="n">
        <v>28</v>
      </c>
      <c r="M1105" s="3" t="n">
        <v>0</v>
      </c>
      <c r="N1105" s="4">
        <f>IFERROR(L1105/K1105,0)</f>
        <v/>
      </c>
      <c r="O1105" s="4">
        <f>IFERROR(M1105/L1105,0)</f>
        <v/>
      </c>
      <c r="P1105" t="n">
        <v>150</v>
      </c>
      <c r="Q1105" s="5" t="n">
        <v>1</v>
      </c>
      <c r="R1105" s="7" t="n">
        <v>0</v>
      </c>
      <c r="S1105" t="inlineStr">
        <is>
          <t>Мало показов</t>
        </is>
      </c>
      <c r="T1105">
        <f>IF(N1105&lt;$T$1*0.5,"Низшая четверть",IF(N1105&lt;$T$1,"Вторая четверть","Больше половины"))</f>
        <v/>
      </c>
      <c r="U1105">
        <f>IF(O1105&lt;$U$1*0.5,"Низшая четверть",IF(O1105&lt;$U$1,"Вторая четверть","Больше половины"))</f>
        <v/>
      </c>
      <c r="V1105">
        <f>IF(OR(N1105&lt;SUMIFS(L:L,R:R,1,E:E,E1105)/SUMIFS(K:K,R:R,1,E:E,E1105)*0.5,O1105&lt;SUMIFS(M:M,R:R,1,E:E,E1105)/SUMIFS(L:L,R:R,1,E:E,E1105)*0.5),"код для проверки","нормальный код")</f>
        <v/>
      </c>
      <c r="W1105">
        <f>IF(N1105&lt;SUMIFS(L:L,R:R,1,E:E,E1105)/SUMIFS(K:K,R:R,1,E:E,E1105)*0.5,"Низшая четверть",IF(N1105&lt;SUMIFS(L:L,R:R,1,E:E,E1105)/SUMIFS(K:K,R:R,1,E:E,E1105),"Вторая четверть","Больше половины"))</f>
        <v/>
      </c>
      <c r="X1105">
        <f>IF(O1105&lt;SUMIFS(M:M,R:R,1,E:E,E1105)/SUMIFS(L:L,R:R,1,E:E,E1105)*0.5,"Низшая четверть",IF(O1105&lt;SUMIFS(M:M,R:R,1,E:E,E1105)/SUMIFS(L:L,R:R,1,E:E,E1105),"Вторая четверть","Больше половины"))</f>
        <v/>
      </c>
      <c r="Y1105" t="n">
        <v>24</v>
      </c>
    </row>
    <row r="1106">
      <c r="A1106" s="1" t="inlineStr">
        <is>
          <t>310002P0</t>
        </is>
      </c>
      <c r="B1106" s="2" t="inlineStr">
        <is>
          <t>847884106</t>
        </is>
      </c>
      <c r="C1106" s="3" t="inlineStr">
        <is>
          <t>Одежда для детей</t>
        </is>
      </c>
      <c r="D1106" s="2" t="inlineStr">
        <is>
          <t>Футболки, майки, рубашки детские для мальчиков</t>
        </is>
      </c>
      <c r="E1106" s="3" t="inlineStr">
        <is>
          <t>310 Футболка детская для мальчиков</t>
        </is>
      </c>
      <c r="F1106" s="2" t="inlineStr">
        <is>
          <t>всесезонный</t>
        </is>
      </c>
      <c r="G1106" s="3" t="inlineStr">
        <is>
          <t>Kari KIDS</t>
        </is>
      </c>
      <c r="H1106" s="2" t="inlineStr">
        <is>
          <t>Зиннуров Ильнур</t>
        </is>
      </c>
      <c r="J1106" s="3" t="inlineStr">
        <is>
          <t>2026SS</t>
        </is>
      </c>
      <c r="K1106" s="3" t="n">
        <v>750</v>
      </c>
      <c r="L1106" s="3" t="n">
        <v>12</v>
      </c>
      <c r="M1106" s="3" t="n">
        <v>0</v>
      </c>
      <c r="N1106" s="4">
        <f>IFERROR(L1106/K1106,0)</f>
        <v/>
      </c>
      <c r="O1106" s="4">
        <f>IFERROR(M1106/L1106,0)</f>
        <v/>
      </c>
      <c r="P1106" t="n">
        <v>680</v>
      </c>
      <c r="Q1106" s="5" t="n">
        <v>1</v>
      </c>
      <c r="R1106" s="7" t="n">
        <v>0</v>
      </c>
      <c r="S1106" t="inlineStr">
        <is>
          <t>Мало показов</t>
        </is>
      </c>
      <c r="T1106">
        <f>IF(N1106&lt;$T$1*0.5,"Низшая четверть",IF(N1106&lt;$T$1,"Вторая четверть","Больше половины"))</f>
        <v/>
      </c>
      <c r="U1106">
        <f>IF(O1106&lt;$U$1*0.5,"Низшая четверть",IF(O1106&lt;$U$1,"Вторая четверть","Больше половины"))</f>
        <v/>
      </c>
      <c r="V1106">
        <f>IF(OR(N1106&lt;SUMIFS(L:L,R:R,1,E:E,E1106)/SUMIFS(K:K,R:R,1,E:E,E1106)*0.5,O1106&lt;SUMIFS(M:M,R:R,1,E:E,E1106)/SUMIFS(L:L,R:R,1,E:E,E1106)*0.5),"код для проверки","нормальный код")</f>
        <v/>
      </c>
      <c r="W1106">
        <f>IF(N1106&lt;SUMIFS(L:L,R:R,1,E:E,E1106)/SUMIFS(K:K,R:R,1,E:E,E1106)*0.5,"Низшая четверть",IF(N1106&lt;SUMIFS(L:L,R:R,1,E:E,E1106)/SUMIFS(K:K,R:R,1,E:E,E1106),"Вторая четверть","Больше половины"))</f>
        <v/>
      </c>
      <c r="X1106">
        <f>IF(O1106&lt;SUMIFS(M:M,R:R,1,E:E,E1106)/SUMIFS(L:L,R:R,1,E:E,E1106)*0.5,"Низшая четверть",IF(O1106&lt;SUMIFS(M:M,R:R,1,E:E,E1106)/SUMIFS(L:L,R:R,1,E:E,E1106),"Вторая четверть","Больше половины"))</f>
        <v/>
      </c>
      <c r="Y1106" t="n">
        <v>13</v>
      </c>
    </row>
    <row r="1107">
      <c r="A1107" s="1" t="inlineStr">
        <is>
          <t>95500240</t>
        </is>
      </c>
      <c r="B1107" s="2" t="inlineStr">
        <is>
          <t>879308799</t>
        </is>
      </c>
      <c r="C1107" s="3" t="inlineStr">
        <is>
          <t>Одежда для детей</t>
        </is>
      </c>
      <c r="D1107" s="2" t="inlineStr">
        <is>
          <t>Платья, майки, футболки детские для девочек</t>
        </is>
      </c>
      <c r="E1107" s="3" t="inlineStr">
        <is>
          <t>955 Топ детский для девочек</t>
        </is>
      </c>
      <c r="F1107" s="2" t="inlineStr">
        <is>
          <t>лето</t>
        </is>
      </c>
      <c r="G1107" s="3" t="inlineStr">
        <is>
          <t>kari</t>
        </is>
      </c>
      <c r="H1107" s="2" t="inlineStr">
        <is>
          <t>Зиннуров Ильнур</t>
        </is>
      </c>
      <c r="J1107" s="3" t="inlineStr">
        <is>
          <t>2026SS</t>
        </is>
      </c>
      <c r="K1107" s="3" t="n">
        <v>749</v>
      </c>
      <c r="L1107" s="3" t="n">
        <v>88</v>
      </c>
      <c r="M1107" s="3" t="n">
        <v>1</v>
      </c>
      <c r="N1107" s="4">
        <f>IFERROR(L1107/K1107,0)</f>
        <v/>
      </c>
      <c r="O1107" s="4">
        <f>IFERROR(M1107/L1107,0)</f>
        <v/>
      </c>
      <c r="P1107" t="n">
        <v>507</v>
      </c>
      <c r="Q1107" s="5" t="n">
        <v>1</v>
      </c>
      <c r="R1107" s="7" t="n">
        <v>0</v>
      </c>
      <c r="S1107" t="inlineStr">
        <is>
          <t>Мало показов</t>
        </is>
      </c>
      <c r="T1107">
        <f>IF(N1107&lt;$T$1*0.5,"Низшая четверть",IF(N1107&lt;$T$1,"Вторая четверть","Больше половины"))</f>
        <v/>
      </c>
      <c r="U1107">
        <f>IF(O1107&lt;$U$1*0.5,"Низшая четверть",IF(O1107&lt;$U$1,"Вторая четверть","Больше половины"))</f>
        <v/>
      </c>
      <c r="V1107">
        <f>IF(OR(N1107&lt;SUMIFS(L:L,R:R,1,E:E,E1107)/SUMIFS(K:K,R:R,1,E:E,E1107)*0.5,O1107&lt;SUMIFS(M:M,R:R,1,E:E,E1107)/SUMIFS(L:L,R:R,1,E:E,E1107)*0.5),"код для проверки","нормальный код")</f>
        <v/>
      </c>
      <c r="W1107">
        <f>IF(N1107&lt;SUMIFS(L:L,R:R,1,E:E,E1107)/SUMIFS(K:K,R:R,1,E:E,E1107)*0.5,"Низшая четверть",IF(N1107&lt;SUMIFS(L:L,R:R,1,E:E,E1107)/SUMIFS(K:K,R:R,1,E:E,E1107),"Вторая четверть","Больше половины"))</f>
        <v/>
      </c>
      <c r="X1107">
        <f>IF(O1107&lt;SUMIFS(M:M,R:R,1,E:E,E1107)/SUMIFS(L:L,R:R,1,E:E,E1107)*0.5,"Низшая четверть",IF(O1107&lt;SUMIFS(M:M,R:R,1,E:E,E1107)/SUMIFS(L:L,R:R,1,E:E,E1107),"Вторая четверть","Больше половины"))</f>
        <v/>
      </c>
      <c r="Y1107" t="n">
        <v>9</v>
      </c>
    </row>
    <row r="1108">
      <c r="A1108" s="1" t="inlineStr">
        <is>
          <t>20100160</t>
        </is>
      </c>
      <c r="B1108" s="2" t="inlineStr">
        <is>
          <t>211431680</t>
        </is>
      </c>
      <c r="C1108" s="3" t="inlineStr">
        <is>
          <t>Одежда для детей</t>
        </is>
      </c>
      <c r="D1108" s="2" t="inlineStr">
        <is>
          <t>Головные детские уборы для девочек</t>
        </is>
      </c>
      <c r="E1108" s="3" t="inlineStr">
        <is>
          <t>201 Бейсболка детская для девочек</t>
        </is>
      </c>
      <c r="F1108" s="2" t="inlineStr">
        <is>
          <t>весна, лето</t>
        </is>
      </c>
      <c r="G1108" s="3" t="inlineStr">
        <is>
          <t>kari</t>
        </is>
      </c>
      <c r="H1108" s="2" t="inlineStr">
        <is>
          <t>Никонорова Алина</t>
        </is>
      </c>
      <c r="J1108" s="3" t="inlineStr">
        <is>
          <t>2026SS</t>
        </is>
      </c>
      <c r="K1108" s="3" t="n">
        <v>747</v>
      </c>
      <c r="L1108" s="3" t="n">
        <v>175</v>
      </c>
      <c r="M1108" s="3" t="n">
        <v>2</v>
      </c>
      <c r="N1108" s="4">
        <f>IFERROR(L1108/K1108,0)</f>
        <v/>
      </c>
      <c r="O1108" s="4">
        <f>IFERROR(M1108/L1108,0)</f>
        <v/>
      </c>
      <c r="P1108" t="n">
        <v>0</v>
      </c>
      <c r="Q1108" s="5" t="n">
        <v>0</v>
      </c>
      <c r="R1108" s="7" t="n">
        <v>0</v>
      </c>
      <c r="S1108" t="inlineStr">
        <is>
          <t>Мало остатка</t>
        </is>
      </c>
      <c r="T1108">
        <f>IF(N1108&lt;$T$1*0.5,"Низшая четверть",IF(N1108&lt;$T$1,"Вторая четверть","Больше половины"))</f>
        <v/>
      </c>
      <c r="U1108">
        <f>IF(O1108&lt;$U$1*0.5,"Низшая четверть",IF(O1108&lt;$U$1,"Вторая четверть","Больше половины"))</f>
        <v/>
      </c>
      <c r="V1108">
        <f>IF(OR(N1108&lt;SUMIFS(L:L,R:R,1,E:E,E1108)/SUMIFS(K:K,R:R,1,E:E,E1108)*0.5,O1108&lt;SUMIFS(M:M,R:R,1,E:E,E1108)/SUMIFS(L:L,R:R,1,E:E,E1108)*0.5),"код для проверки","нормальный код")</f>
        <v/>
      </c>
      <c r="W1108">
        <f>IF(N1108&lt;SUMIFS(L:L,R:R,1,E:E,E1108)/SUMIFS(K:K,R:R,1,E:E,E1108)*0.5,"Низшая четверть",IF(N1108&lt;SUMIFS(L:L,R:R,1,E:E,E1108)/SUMIFS(K:K,R:R,1,E:E,E1108),"Вторая четверть","Больше половины"))</f>
        <v/>
      </c>
      <c r="X1108">
        <f>IF(O1108&lt;SUMIFS(M:M,R:R,1,E:E,E1108)/SUMIFS(L:L,R:R,1,E:E,E1108)*0.5,"Низшая четверть",IF(O1108&lt;SUMIFS(M:M,R:R,1,E:E,E1108)/SUMIFS(L:L,R:R,1,E:E,E1108),"Вторая четверть","Больше половины"))</f>
        <v/>
      </c>
      <c r="Y1108" t="n">
        <v>6</v>
      </c>
    </row>
    <row r="1109">
      <c r="A1109" s="1" t="inlineStr">
        <is>
          <t>19300500</t>
        </is>
      </c>
      <c r="B1109" s="2" t="inlineStr">
        <is>
          <t>917869430</t>
        </is>
      </c>
      <c r="C1109" s="3" t="inlineStr">
        <is>
          <t>Одежда для детей</t>
        </is>
      </c>
      <c r="D1109" s="2" t="inlineStr">
        <is>
          <t>Брюки детские для мальчиков</t>
        </is>
      </c>
      <c r="E1109" s="3" t="inlineStr">
        <is>
          <t>193 Шорты детские для мальчиков</t>
        </is>
      </c>
      <c r="F1109" s="2" t="inlineStr">
        <is>
          <t>лето</t>
        </is>
      </c>
      <c r="G1109" s="3" t="inlineStr">
        <is>
          <t>Kari KIDS</t>
        </is>
      </c>
      <c r="H1109" s="2" t="inlineStr">
        <is>
          <t>Зиннуров Ильнур</t>
        </is>
      </c>
      <c r="J1109" s="3" t="inlineStr">
        <is>
          <t>2026SS</t>
        </is>
      </c>
      <c r="K1109" s="3" t="n">
        <v>747</v>
      </c>
      <c r="L1109" s="3" t="n">
        <v>14</v>
      </c>
      <c r="M1109" s="3" t="n">
        <v>0</v>
      </c>
      <c r="N1109" s="4">
        <f>IFERROR(L1109/K1109,0)</f>
        <v/>
      </c>
      <c r="O1109" s="4">
        <f>IFERROR(M1109/L1109,0)</f>
        <v/>
      </c>
      <c r="P1109" t="n">
        <v>372</v>
      </c>
      <c r="Q1109" s="5" t="n">
        <v>1</v>
      </c>
      <c r="R1109" s="7" t="n">
        <v>0</v>
      </c>
      <c r="S1109" t="inlineStr">
        <is>
          <t>Мало показов</t>
        </is>
      </c>
      <c r="T1109">
        <f>IF(N1109&lt;$T$1*0.5,"Низшая четверть",IF(N1109&lt;$T$1,"Вторая четверть","Больше половины"))</f>
        <v/>
      </c>
      <c r="U1109">
        <f>IF(O1109&lt;$U$1*0.5,"Низшая четверть",IF(O1109&lt;$U$1,"Вторая четверть","Больше половины"))</f>
        <v/>
      </c>
      <c r="V1109">
        <f>IF(OR(N1109&lt;SUMIFS(L:L,R:R,1,E:E,E1109)/SUMIFS(K:K,R:R,1,E:E,E1109)*0.5,O1109&lt;SUMIFS(M:M,R:R,1,E:E,E1109)/SUMIFS(L:L,R:R,1,E:E,E1109)*0.5),"код для проверки","нормальный код")</f>
        <v/>
      </c>
      <c r="W1109">
        <f>IF(N1109&lt;SUMIFS(L:L,R:R,1,E:E,E1109)/SUMIFS(K:K,R:R,1,E:E,E1109)*0.5,"Низшая четверть",IF(N1109&lt;SUMIFS(L:L,R:R,1,E:E,E1109)/SUMIFS(K:K,R:R,1,E:E,E1109),"Вторая четверть","Больше половины"))</f>
        <v/>
      </c>
      <c r="X1109">
        <f>IF(O1109&lt;SUMIFS(M:M,R:R,1,E:E,E1109)/SUMIFS(L:L,R:R,1,E:E,E1109)*0.5,"Низшая четверть",IF(O1109&lt;SUMIFS(M:M,R:R,1,E:E,E1109)/SUMIFS(L:L,R:R,1,E:E,E1109),"Вторая четверть","Больше половины"))</f>
        <v/>
      </c>
      <c r="Y1109" t="n">
        <v>10</v>
      </c>
    </row>
    <row r="1110">
      <c r="A1110" s="1" t="inlineStr">
        <is>
          <t>310002R0</t>
        </is>
      </c>
      <c r="B1110" s="2" t="inlineStr">
        <is>
          <t>861413704</t>
        </is>
      </c>
      <c r="C1110" s="3" t="inlineStr">
        <is>
          <t>Одежда для детей</t>
        </is>
      </c>
      <c r="D1110" s="2" t="inlineStr">
        <is>
          <t>Футболки, майки, рубашки детские для мальчиков</t>
        </is>
      </c>
      <c r="E1110" s="3" t="inlineStr">
        <is>
          <t>310 Футболка детская для мальчиков</t>
        </is>
      </c>
      <c r="F1110" s="2" t="inlineStr">
        <is>
          <t>всесезонный</t>
        </is>
      </c>
      <c r="G1110" s="3" t="inlineStr">
        <is>
          <t>Kari KIDS</t>
        </is>
      </c>
      <c r="H1110" s="2" t="inlineStr">
        <is>
          <t>Зиннуров Ильнур</t>
        </is>
      </c>
      <c r="J1110" s="3" t="inlineStr">
        <is>
          <t>2026SS</t>
        </is>
      </c>
      <c r="K1110" s="3" t="n">
        <v>746</v>
      </c>
      <c r="L1110" s="3" t="n">
        <v>19</v>
      </c>
      <c r="M1110" s="3" t="n">
        <v>1</v>
      </c>
      <c r="N1110" s="4">
        <f>IFERROR(L1110/K1110,0)</f>
        <v/>
      </c>
      <c r="O1110" s="4">
        <f>IFERROR(M1110/L1110,0)</f>
        <v/>
      </c>
      <c r="P1110" t="n">
        <v>369</v>
      </c>
      <c r="Q1110" s="5" t="n">
        <v>1</v>
      </c>
      <c r="R1110" s="7" t="n">
        <v>0</v>
      </c>
      <c r="S1110" t="inlineStr">
        <is>
          <t>Мало показов</t>
        </is>
      </c>
      <c r="T1110">
        <f>IF(N1110&lt;$T$1*0.5,"Низшая четверть",IF(N1110&lt;$T$1,"Вторая четверть","Больше половины"))</f>
        <v/>
      </c>
      <c r="U1110">
        <f>IF(O1110&lt;$U$1*0.5,"Низшая четверть",IF(O1110&lt;$U$1,"Вторая четверть","Больше половины"))</f>
        <v/>
      </c>
      <c r="V1110">
        <f>IF(OR(N1110&lt;SUMIFS(L:L,R:R,1,E:E,E1110)/SUMIFS(K:K,R:R,1,E:E,E1110)*0.5,O1110&lt;SUMIFS(M:M,R:R,1,E:E,E1110)/SUMIFS(L:L,R:R,1,E:E,E1110)*0.5),"код для проверки","нормальный код")</f>
        <v/>
      </c>
      <c r="W1110">
        <f>IF(N1110&lt;SUMIFS(L:L,R:R,1,E:E,E1110)/SUMIFS(K:K,R:R,1,E:E,E1110)*0.5,"Низшая четверть",IF(N1110&lt;SUMIFS(L:L,R:R,1,E:E,E1110)/SUMIFS(K:K,R:R,1,E:E,E1110),"Вторая четверть","Больше половины"))</f>
        <v/>
      </c>
      <c r="X1110">
        <f>IF(O1110&lt;SUMIFS(M:M,R:R,1,E:E,E1110)/SUMIFS(L:L,R:R,1,E:E,E1110)*0.5,"Низшая четверть",IF(O1110&lt;SUMIFS(M:M,R:R,1,E:E,E1110)/SUMIFS(L:L,R:R,1,E:E,E1110),"Вторая четверть","Больше половины"))</f>
        <v/>
      </c>
      <c r="Y1110" t="n">
        <v>16</v>
      </c>
    </row>
    <row r="1111">
      <c r="A1111" s="1" t="inlineStr">
        <is>
          <t>44800090</t>
        </is>
      </c>
      <c r="B1111" s="2" t="inlineStr">
        <is>
          <t>879308869</t>
        </is>
      </c>
      <c r="C1111" s="3" t="inlineStr">
        <is>
          <t>Одежда для детей</t>
        </is>
      </c>
      <c r="D1111" s="2" t="inlineStr">
        <is>
          <t>Брюки детские для девочек</t>
        </is>
      </c>
      <c r="E1111" s="3" t="inlineStr">
        <is>
          <t>448 Брюки спортивные утепленные для девочек</t>
        </is>
      </c>
      <c r="F1111" s="2" t="inlineStr">
        <is>
          <t>весна, осень, зима</t>
        </is>
      </c>
      <c r="G1111" s="3" t="inlineStr">
        <is>
          <t>kari</t>
        </is>
      </c>
      <c r="H1111" s="2" t="inlineStr">
        <is>
          <t>Зиннуров Ильнур</t>
        </is>
      </c>
      <c r="J1111" s="3" t="inlineStr">
        <is>
          <t>2026SS</t>
        </is>
      </c>
      <c r="K1111" s="3" t="n">
        <v>745</v>
      </c>
      <c r="L1111" s="3" t="n">
        <v>25</v>
      </c>
      <c r="M1111" s="3" t="n">
        <v>2</v>
      </c>
      <c r="N1111" s="4">
        <f>IFERROR(L1111/K1111,0)</f>
        <v/>
      </c>
      <c r="O1111" s="4">
        <f>IFERROR(M1111/L1111,0)</f>
        <v/>
      </c>
      <c r="P1111" t="n">
        <v>328</v>
      </c>
      <c r="Q1111" s="5" t="n">
        <v>1</v>
      </c>
      <c r="R1111" s="7" t="n">
        <v>0</v>
      </c>
      <c r="S1111" t="inlineStr">
        <is>
          <t>Мало показов</t>
        </is>
      </c>
      <c r="T1111">
        <f>IF(N1111&lt;$T$1*0.5,"Низшая четверть",IF(N1111&lt;$T$1,"Вторая четверть","Больше половины"))</f>
        <v/>
      </c>
      <c r="U1111">
        <f>IF(O1111&lt;$U$1*0.5,"Низшая четверть",IF(O1111&lt;$U$1,"Вторая четверть","Больше половины"))</f>
        <v/>
      </c>
      <c r="V1111">
        <f>IF(OR(N1111&lt;SUMIFS(L:L,R:R,1,E:E,E1111)/SUMIFS(K:K,R:R,1,E:E,E1111)*0.5,O1111&lt;SUMIFS(M:M,R:R,1,E:E,E1111)/SUMIFS(L:L,R:R,1,E:E,E1111)*0.5),"код для проверки","нормальный код")</f>
        <v/>
      </c>
      <c r="W1111">
        <f>IF(N1111&lt;SUMIFS(L:L,R:R,1,E:E,E1111)/SUMIFS(K:K,R:R,1,E:E,E1111)*0.5,"Низшая четверть",IF(N1111&lt;SUMIFS(L:L,R:R,1,E:E,E1111)/SUMIFS(K:K,R:R,1,E:E,E1111),"Вторая четверть","Больше половины"))</f>
        <v/>
      </c>
      <c r="X1111">
        <f>IF(O1111&lt;SUMIFS(M:M,R:R,1,E:E,E1111)/SUMIFS(L:L,R:R,1,E:E,E1111)*0.5,"Низшая четверть",IF(O1111&lt;SUMIFS(M:M,R:R,1,E:E,E1111)/SUMIFS(L:L,R:R,1,E:E,E1111),"Вторая четверть","Больше половины"))</f>
        <v/>
      </c>
      <c r="Y1111" t="n">
        <v>12</v>
      </c>
    </row>
    <row r="1112">
      <c r="A1112" s="1" t="inlineStr">
        <is>
          <t>h1000140</t>
        </is>
      </c>
      <c r="B1112" s="2" t="inlineStr">
        <is>
          <t>859016003</t>
        </is>
      </c>
      <c r="C1112" s="3" t="inlineStr">
        <is>
          <t>Одежда и аксессуары</t>
        </is>
      </c>
      <c r="D1112" s="2" t="inlineStr">
        <is>
          <t>Футболки, рубашки мужские</t>
        </is>
      </c>
      <c r="E1112" s="3" t="inlineStr">
        <is>
          <t>h10 Футболка мужская</t>
        </is>
      </c>
      <c r="F1112" s="2" t="inlineStr">
        <is>
          <t>всесезонный</t>
        </is>
      </c>
      <c r="G1112" s="3" t="inlineStr">
        <is>
          <t>kari</t>
        </is>
      </c>
      <c r="H1112" s="2" t="inlineStr">
        <is>
          <t>Зиннуров Ильнур</t>
        </is>
      </c>
      <c r="J1112" s="3" t="inlineStr">
        <is>
          <t>2026SS</t>
        </is>
      </c>
      <c r="K1112" s="3" t="n">
        <v>742</v>
      </c>
      <c r="L1112" s="3" t="n">
        <v>15</v>
      </c>
      <c r="M1112" s="3" t="n">
        <v>0</v>
      </c>
      <c r="N1112" s="4">
        <f>IFERROR(L1112/K1112,0)</f>
        <v/>
      </c>
      <c r="O1112" s="4">
        <f>IFERROR(M1112/L1112,0)</f>
        <v/>
      </c>
      <c r="P1112" t="n">
        <v>120</v>
      </c>
      <c r="Q1112" s="5" t="n">
        <v>1</v>
      </c>
      <c r="R1112" s="7" t="n">
        <v>0</v>
      </c>
      <c r="S1112" t="inlineStr">
        <is>
          <t>Мало показов</t>
        </is>
      </c>
      <c r="T1112">
        <f>IF(N1112&lt;$T$1*0.5,"Низшая четверть",IF(N1112&lt;$T$1,"Вторая четверть","Больше половины"))</f>
        <v/>
      </c>
      <c r="U1112">
        <f>IF(O1112&lt;$U$1*0.5,"Низшая четверть",IF(O1112&lt;$U$1,"Вторая четверть","Больше половины"))</f>
        <v/>
      </c>
      <c r="V1112">
        <f>IF(OR(N1112&lt;SUMIFS(L:L,R:R,1,E:E,E1112)/SUMIFS(K:K,R:R,1,E:E,E1112)*0.5,O1112&lt;SUMIFS(M:M,R:R,1,E:E,E1112)/SUMIFS(L:L,R:R,1,E:E,E1112)*0.5),"код для проверки","нормальный код")</f>
        <v/>
      </c>
      <c r="W1112">
        <f>IF(N1112&lt;SUMIFS(L:L,R:R,1,E:E,E1112)/SUMIFS(K:K,R:R,1,E:E,E1112)*0.5,"Низшая четверть",IF(N1112&lt;SUMIFS(L:L,R:R,1,E:E,E1112)/SUMIFS(K:K,R:R,1,E:E,E1112),"Вторая четверть","Больше половины"))</f>
        <v/>
      </c>
      <c r="X1112">
        <f>IF(O1112&lt;SUMIFS(M:M,R:R,1,E:E,E1112)/SUMIFS(L:L,R:R,1,E:E,E1112)*0.5,"Низшая четверть",IF(O1112&lt;SUMIFS(M:M,R:R,1,E:E,E1112)/SUMIFS(L:L,R:R,1,E:E,E1112),"Вторая четверть","Больше половины"))</f>
        <v/>
      </c>
      <c r="Y1112" t="n">
        <v>22</v>
      </c>
    </row>
    <row r="1113">
      <c r="A1113" s="1" t="inlineStr">
        <is>
          <t>h7700170</t>
        </is>
      </c>
      <c r="B1113" s="2" t="inlineStr">
        <is>
          <t>782180991</t>
        </is>
      </c>
      <c r="C1113" s="3" t="inlineStr">
        <is>
          <t>Одежда и аксессуары</t>
        </is>
      </c>
      <c r="D1113" s="2" t="inlineStr">
        <is>
          <t>Купальники женские</t>
        </is>
      </c>
      <c r="E1113" s="3" t="inlineStr">
        <is>
          <t>h77 Одежда пляжная женская</t>
        </is>
      </c>
      <c r="F1113" s="2" t="inlineStr">
        <is>
          <t>лето</t>
        </is>
      </c>
      <c r="G1113" s="3" t="inlineStr">
        <is>
          <t>kari</t>
        </is>
      </c>
      <c r="H1113" s="2" t="inlineStr">
        <is>
          <t>Зиннуров Ильнур</t>
        </is>
      </c>
      <c r="J1113" s="3" t="inlineStr">
        <is>
          <t>2026SS</t>
        </is>
      </c>
      <c r="K1113" s="3" t="n">
        <v>741</v>
      </c>
      <c r="L1113" s="3" t="n">
        <v>104</v>
      </c>
      <c r="M1113" s="3" t="n">
        <v>0</v>
      </c>
      <c r="N1113" s="4">
        <f>IFERROR(L1113/K1113,0)</f>
        <v/>
      </c>
      <c r="O1113" s="4">
        <f>IFERROR(M1113/L1113,0)</f>
        <v/>
      </c>
      <c r="P1113" t="n">
        <v>1334</v>
      </c>
      <c r="Q1113" s="5" t="n">
        <v>1</v>
      </c>
      <c r="R1113" s="7" t="n">
        <v>0</v>
      </c>
      <c r="S1113" t="inlineStr">
        <is>
          <t>Мало показов</t>
        </is>
      </c>
      <c r="T1113">
        <f>IF(N1113&lt;$T$1*0.5,"Низшая четверть",IF(N1113&lt;$T$1,"Вторая четверть","Больше половины"))</f>
        <v/>
      </c>
      <c r="U1113">
        <f>IF(O1113&lt;$U$1*0.5,"Низшая четверть",IF(O1113&lt;$U$1,"Вторая четверть","Больше половины"))</f>
        <v/>
      </c>
      <c r="V1113">
        <f>IF(OR(N1113&lt;SUMIFS(L:L,R:R,1,E:E,E1113)/SUMIFS(K:K,R:R,1,E:E,E1113)*0.5,O1113&lt;SUMIFS(M:M,R:R,1,E:E,E1113)/SUMIFS(L:L,R:R,1,E:E,E1113)*0.5),"код для проверки","нормальный код")</f>
        <v/>
      </c>
      <c r="W1113">
        <f>IF(N1113&lt;SUMIFS(L:L,R:R,1,E:E,E1113)/SUMIFS(K:K,R:R,1,E:E,E1113)*0.5,"Низшая четверть",IF(N1113&lt;SUMIFS(L:L,R:R,1,E:E,E1113)/SUMIFS(K:K,R:R,1,E:E,E1113),"Вторая четверть","Больше половины"))</f>
        <v/>
      </c>
      <c r="X1113">
        <f>IF(O1113&lt;SUMIFS(M:M,R:R,1,E:E,E1113)/SUMIFS(L:L,R:R,1,E:E,E1113)*0.5,"Низшая четверть",IF(O1113&lt;SUMIFS(M:M,R:R,1,E:E,E1113)/SUMIFS(L:L,R:R,1,E:E,E1113),"Вторая четверть","Больше половины"))</f>
        <v/>
      </c>
      <c r="Y1113" t="n">
        <v>2</v>
      </c>
    </row>
    <row r="1114">
      <c r="A1114" s="1" t="inlineStr">
        <is>
          <t>h1000370</t>
        </is>
      </c>
      <c r="B1114" s="2" t="inlineStr">
        <is>
          <t>851029607</t>
        </is>
      </c>
      <c r="C1114" s="3" t="inlineStr">
        <is>
          <t>Одежда и аксессуары</t>
        </is>
      </c>
      <c r="D1114" s="2" t="inlineStr">
        <is>
          <t>Футболки, рубашки мужские</t>
        </is>
      </c>
      <c r="E1114" s="3" t="inlineStr">
        <is>
          <t>h10 Футболка мужская</t>
        </is>
      </c>
      <c r="F1114" s="2" t="inlineStr">
        <is>
          <t>всесезонный</t>
        </is>
      </c>
      <c r="G1114" s="3" t="inlineStr">
        <is>
          <t>kari</t>
        </is>
      </c>
      <c r="H1114" s="2" t="inlineStr">
        <is>
          <t>Зиннуров Ильнур</t>
        </is>
      </c>
      <c r="J1114" s="3" t="inlineStr">
        <is>
          <t>2026SS</t>
        </is>
      </c>
      <c r="K1114" s="3" t="n">
        <v>739</v>
      </c>
      <c r="L1114" s="3" t="n">
        <v>1256</v>
      </c>
      <c r="M1114" s="3" t="n">
        <v>9</v>
      </c>
      <c r="N1114" s="4">
        <f>IFERROR(L1114/K1114,0)</f>
        <v/>
      </c>
      <c r="O1114" s="4">
        <f>IFERROR(M1114/L1114,0)</f>
        <v/>
      </c>
      <c r="P1114" t="n">
        <v>328</v>
      </c>
      <c r="Q1114" s="5" t="n">
        <v>1</v>
      </c>
      <c r="R1114" s="7" t="n">
        <v>0</v>
      </c>
      <c r="S1114" t="inlineStr">
        <is>
          <t>Мало показов</t>
        </is>
      </c>
      <c r="T1114">
        <f>IF(N1114&lt;$T$1*0.5,"Низшая четверть",IF(N1114&lt;$T$1,"Вторая четверть","Больше половины"))</f>
        <v/>
      </c>
      <c r="U1114">
        <f>IF(O1114&lt;$U$1*0.5,"Низшая четверть",IF(O1114&lt;$U$1,"Вторая четверть","Больше половины"))</f>
        <v/>
      </c>
      <c r="V1114">
        <f>IF(OR(N1114&lt;SUMIFS(L:L,R:R,1,E:E,E1114)/SUMIFS(K:K,R:R,1,E:E,E1114)*0.5,O1114&lt;SUMIFS(M:M,R:R,1,E:E,E1114)/SUMIFS(L:L,R:R,1,E:E,E1114)*0.5),"код для проверки","нормальный код")</f>
        <v/>
      </c>
      <c r="W1114">
        <f>IF(N1114&lt;SUMIFS(L:L,R:R,1,E:E,E1114)/SUMIFS(K:K,R:R,1,E:E,E1114)*0.5,"Низшая четверть",IF(N1114&lt;SUMIFS(L:L,R:R,1,E:E,E1114)/SUMIFS(K:K,R:R,1,E:E,E1114),"Вторая четверть","Больше половины"))</f>
        <v/>
      </c>
      <c r="X1114">
        <f>IF(O1114&lt;SUMIFS(M:M,R:R,1,E:E,E1114)/SUMIFS(L:L,R:R,1,E:E,E1114)*0.5,"Низшая четверть",IF(O1114&lt;SUMIFS(M:M,R:R,1,E:E,E1114)/SUMIFS(L:L,R:R,1,E:E,E1114),"Вторая четверть","Больше половины"))</f>
        <v/>
      </c>
      <c r="Y1114" t="n">
        <v>24</v>
      </c>
    </row>
    <row r="1115">
      <c r="A1115" s="1" t="inlineStr">
        <is>
          <t>29100220</t>
        </is>
      </c>
      <c r="B1115" s="2" t="inlineStr">
        <is>
          <t>879308763</t>
        </is>
      </c>
      <c r="C1115" s="3" t="inlineStr">
        <is>
          <t>Одежда для детей</t>
        </is>
      </c>
      <c r="D1115" s="2" t="inlineStr">
        <is>
          <t>Брюки детские для мальчиков</t>
        </is>
      </c>
      <c r="E1115" s="3" t="inlineStr">
        <is>
          <t>291 Штаны детские для мальчиков</t>
        </is>
      </c>
      <c r="F1115" s="2" t="inlineStr">
        <is>
          <t>всесезонный</t>
        </is>
      </c>
      <c r="G1115" s="3" t="inlineStr">
        <is>
          <t>Kari KIDS</t>
        </is>
      </c>
      <c r="H1115" s="2" t="inlineStr">
        <is>
          <t>Зиннуров Ильнур</t>
        </is>
      </c>
      <c r="J1115" s="3" t="inlineStr">
        <is>
          <t>2026SS</t>
        </is>
      </c>
      <c r="K1115" s="3" t="n">
        <v>735</v>
      </c>
      <c r="L1115" s="3" t="n">
        <v>16</v>
      </c>
      <c r="M1115" s="3" t="n">
        <v>2</v>
      </c>
      <c r="N1115" s="4">
        <f>IFERROR(L1115/K1115,0)</f>
        <v/>
      </c>
      <c r="O1115" s="4">
        <f>IFERROR(M1115/L1115,0)</f>
        <v/>
      </c>
      <c r="P1115" t="n">
        <v>163</v>
      </c>
      <c r="Q1115" s="5" t="n">
        <v>0.8</v>
      </c>
      <c r="R1115" s="7" t="n">
        <v>0</v>
      </c>
      <c r="S1115" t="inlineStr">
        <is>
          <t>Мало показов</t>
        </is>
      </c>
      <c r="T1115">
        <f>IF(N1115&lt;$T$1*0.5,"Низшая четверть",IF(N1115&lt;$T$1,"Вторая четверть","Больше половины"))</f>
        <v/>
      </c>
      <c r="U1115">
        <f>IF(O1115&lt;$U$1*0.5,"Низшая четверть",IF(O1115&lt;$U$1,"Вторая четверть","Больше половины"))</f>
        <v/>
      </c>
      <c r="V1115">
        <f>IF(OR(N1115&lt;SUMIFS(L:L,R:R,1,E:E,E1115)/SUMIFS(K:K,R:R,1,E:E,E1115)*0.5,O1115&lt;SUMIFS(M:M,R:R,1,E:E,E1115)/SUMIFS(L:L,R:R,1,E:E,E1115)*0.5),"код для проверки","нормальный код")</f>
        <v/>
      </c>
      <c r="W1115">
        <f>IF(N1115&lt;SUMIFS(L:L,R:R,1,E:E,E1115)/SUMIFS(K:K,R:R,1,E:E,E1115)*0.5,"Низшая четверть",IF(N1115&lt;SUMIFS(L:L,R:R,1,E:E,E1115)/SUMIFS(K:K,R:R,1,E:E,E1115),"Вторая четверть","Больше половины"))</f>
        <v/>
      </c>
      <c r="X1115">
        <f>IF(O1115&lt;SUMIFS(M:M,R:R,1,E:E,E1115)/SUMIFS(L:L,R:R,1,E:E,E1115)*0.5,"Низшая четверть",IF(O1115&lt;SUMIFS(M:M,R:R,1,E:E,E1115)/SUMIFS(L:L,R:R,1,E:E,E1115),"Вторая четверть","Больше половины"))</f>
        <v/>
      </c>
      <c r="Y1115" t="n">
        <v>7</v>
      </c>
    </row>
    <row r="1116">
      <c r="A1116" s="1" t="inlineStr">
        <is>
          <t>h7700260</t>
        </is>
      </c>
      <c r="B1116" s="2" t="inlineStr">
        <is>
          <t>788918773</t>
        </is>
      </c>
      <c r="C1116" s="3" t="inlineStr">
        <is>
          <t>Одежда и аксессуары</t>
        </is>
      </c>
      <c r="D1116" s="2" t="inlineStr">
        <is>
          <t>Купальники женские</t>
        </is>
      </c>
      <c r="E1116" s="3" t="inlineStr">
        <is>
          <t>h77 Одежда пляжная женская</t>
        </is>
      </c>
      <c r="F1116" s="2" t="inlineStr">
        <is>
          <t>лето</t>
        </is>
      </c>
      <c r="G1116" s="3" t="inlineStr">
        <is>
          <t>kari</t>
        </is>
      </c>
      <c r="H1116" s="2" t="inlineStr">
        <is>
          <t>Зиннуров Ильнур</t>
        </is>
      </c>
      <c r="J1116" s="3" t="inlineStr">
        <is>
          <t>2026SS</t>
        </is>
      </c>
      <c r="K1116" s="3" t="n">
        <v>734</v>
      </c>
      <c r="L1116" s="3" t="n">
        <v>210</v>
      </c>
      <c r="M1116" s="3" t="n">
        <v>1</v>
      </c>
      <c r="N1116" s="4">
        <f>IFERROR(L1116/K1116,0)</f>
        <v/>
      </c>
      <c r="O1116" s="4">
        <f>IFERROR(M1116/L1116,0)</f>
        <v/>
      </c>
      <c r="P1116" t="n">
        <v>1296</v>
      </c>
      <c r="Q1116" s="5" t="n">
        <v>1</v>
      </c>
      <c r="R1116" s="7" t="n">
        <v>0</v>
      </c>
      <c r="S1116" t="inlineStr">
        <is>
          <t>Мало показов</t>
        </is>
      </c>
      <c r="T1116">
        <f>IF(N1116&lt;$T$1*0.5,"Низшая четверть",IF(N1116&lt;$T$1,"Вторая четверть","Больше половины"))</f>
        <v/>
      </c>
      <c r="U1116">
        <f>IF(O1116&lt;$U$1*0.5,"Низшая четверть",IF(O1116&lt;$U$1,"Вторая четверть","Больше половины"))</f>
        <v/>
      </c>
      <c r="V1116">
        <f>IF(OR(N1116&lt;SUMIFS(L:L,R:R,1,E:E,E1116)/SUMIFS(K:K,R:R,1,E:E,E1116)*0.5,O1116&lt;SUMIFS(M:M,R:R,1,E:E,E1116)/SUMIFS(L:L,R:R,1,E:E,E1116)*0.5),"код для проверки","нормальный код")</f>
        <v/>
      </c>
      <c r="W1116">
        <f>IF(N1116&lt;SUMIFS(L:L,R:R,1,E:E,E1116)/SUMIFS(K:K,R:R,1,E:E,E1116)*0.5,"Низшая четверть",IF(N1116&lt;SUMIFS(L:L,R:R,1,E:E,E1116)/SUMIFS(K:K,R:R,1,E:E,E1116),"Вторая четверть","Больше половины"))</f>
        <v/>
      </c>
      <c r="X1116">
        <f>IF(O1116&lt;SUMIFS(M:M,R:R,1,E:E,E1116)/SUMIFS(L:L,R:R,1,E:E,E1116)*0.5,"Низшая четверть",IF(O1116&lt;SUMIFS(M:M,R:R,1,E:E,E1116)/SUMIFS(L:L,R:R,1,E:E,E1116),"Вторая четверть","Больше половины"))</f>
        <v/>
      </c>
      <c r="Y1116" t="n">
        <v>9</v>
      </c>
    </row>
    <row r="1117">
      <c r="A1117" s="1" t="inlineStr">
        <is>
          <t>a8300050</t>
        </is>
      </c>
      <c r="B1117" s="2" t="inlineStr">
        <is>
          <t>914955430</t>
        </is>
      </c>
      <c r="C1117" s="3" t="inlineStr">
        <is>
          <t>Одежда для детей</t>
        </is>
      </c>
      <c r="D1117" s="2" t="inlineStr">
        <is>
          <t>Свитера детские для девочек</t>
        </is>
      </c>
      <c r="E1117" s="3" t="inlineStr">
        <is>
          <t>a83 Толстовка-худи утепленная для девочек</t>
        </is>
      </c>
      <c r="F1117" s="2" t="inlineStr">
        <is>
          <t>весна, осень, зима</t>
        </is>
      </c>
      <c r="G1117" s="3" t="inlineStr">
        <is>
          <t>kari</t>
        </is>
      </c>
      <c r="H1117" s="2" t="inlineStr">
        <is>
          <t>Зиннуров Ильнур</t>
        </is>
      </c>
      <c r="J1117" s="3" t="inlineStr">
        <is>
          <t>2026SS</t>
        </is>
      </c>
      <c r="K1117" s="3" t="n">
        <v>730</v>
      </c>
      <c r="L1117" s="3" t="n">
        <v>7</v>
      </c>
      <c r="M1117" s="3" t="n">
        <v>0</v>
      </c>
      <c r="N1117" s="4">
        <f>IFERROR(L1117/K1117,0)</f>
        <v/>
      </c>
      <c r="O1117" s="4">
        <f>IFERROR(M1117/L1117,0)</f>
        <v/>
      </c>
      <c r="P1117" t="n">
        <v>254</v>
      </c>
      <c r="Q1117" s="5" t="n">
        <v>0.8</v>
      </c>
      <c r="R1117" s="7" t="n">
        <v>0</v>
      </c>
      <c r="S1117" t="inlineStr">
        <is>
          <t>Мало показов</t>
        </is>
      </c>
      <c r="T1117">
        <f>IF(N1117&lt;$T$1*0.5,"Низшая четверть",IF(N1117&lt;$T$1,"Вторая четверть","Больше половины"))</f>
        <v/>
      </c>
      <c r="U1117">
        <f>IF(O1117&lt;$U$1*0.5,"Низшая четверть",IF(O1117&lt;$U$1,"Вторая четверть","Больше половины"))</f>
        <v/>
      </c>
      <c r="V1117">
        <f>IF(OR(N1117&lt;SUMIFS(L:L,R:R,1,E:E,E1117)/SUMIFS(K:K,R:R,1,E:E,E1117)*0.5,O1117&lt;SUMIFS(M:M,R:R,1,E:E,E1117)/SUMIFS(L:L,R:R,1,E:E,E1117)*0.5),"код для проверки","нормальный код")</f>
        <v/>
      </c>
      <c r="W1117">
        <f>IF(N1117&lt;SUMIFS(L:L,R:R,1,E:E,E1117)/SUMIFS(K:K,R:R,1,E:E,E1117)*0.5,"Низшая четверть",IF(N1117&lt;SUMIFS(L:L,R:R,1,E:E,E1117)/SUMIFS(K:K,R:R,1,E:E,E1117),"Вторая четверть","Больше половины"))</f>
        <v/>
      </c>
      <c r="X1117">
        <f>IF(O1117&lt;SUMIFS(M:M,R:R,1,E:E,E1117)/SUMIFS(L:L,R:R,1,E:E,E1117)*0.5,"Низшая четверть",IF(O1117&lt;SUMIFS(M:M,R:R,1,E:E,E1117)/SUMIFS(L:L,R:R,1,E:E,E1117),"Вторая четверть","Больше половины"))</f>
        <v/>
      </c>
      <c r="Y1117" t="n">
        <v>11</v>
      </c>
    </row>
    <row r="1118">
      <c r="A1118" s="1" t="inlineStr">
        <is>
          <t>h1000130</t>
        </is>
      </c>
      <c r="B1118" s="2" t="inlineStr">
        <is>
          <t>859016043</t>
        </is>
      </c>
      <c r="C1118" s="3" t="inlineStr">
        <is>
          <t>Одежда и аксессуары</t>
        </is>
      </c>
      <c r="D1118" s="2" t="inlineStr">
        <is>
          <t>Футболки, рубашки мужские</t>
        </is>
      </c>
      <c r="E1118" s="3" t="inlineStr">
        <is>
          <t>h10 Футболка мужская</t>
        </is>
      </c>
      <c r="F1118" s="2" t="inlineStr">
        <is>
          <t>всесезонный</t>
        </is>
      </c>
      <c r="G1118" s="3" t="inlineStr">
        <is>
          <t>kari</t>
        </is>
      </c>
      <c r="H1118" s="2" t="inlineStr">
        <is>
          <t>Зиннуров Ильнур</t>
        </is>
      </c>
      <c r="J1118" s="3" t="inlineStr">
        <is>
          <t>2026SS</t>
        </is>
      </c>
      <c r="K1118" s="3" t="n">
        <v>729</v>
      </c>
      <c r="L1118" s="3" t="n">
        <v>21</v>
      </c>
      <c r="M1118" s="3" t="n">
        <v>0</v>
      </c>
      <c r="N1118" s="4">
        <f>IFERROR(L1118/K1118,0)</f>
        <v/>
      </c>
      <c r="O1118" s="4">
        <f>IFERROR(M1118/L1118,0)</f>
        <v/>
      </c>
      <c r="P1118" t="n">
        <v>290</v>
      </c>
      <c r="Q1118" s="5" t="n">
        <v>1</v>
      </c>
      <c r="R1118" s="7" t="n">
        <v>0</v>
      </c>
      <c r="S1118" t="inlineStr">
        <is>
          <t>Мало показов</t>
        </is>
      </c>
      <c r="T1118">
        <f>IF(N1118&lt;$T$1*0.5,"Низшая четверть",IF(N1118&lt;$T$1,"Вторая четверть","Больше половины"))</f>
        <v/>
      </c>
      <c r="U1118">
        <f>IF(O1118&lt;$U$1*0.5,"Низшая четверть",IF(O1118&lt;$U$1,"Вторая четверть","Больше половины"))</f>
        <v/>
      </c>
      <c r="V1118">
        <f>IF(OR(N1118&lt;SUMIFS(L:L,R:R,1,E:E,E1118)/SUMIFS(K:K,R:R,1,E:E,E1118)*0.5,O1118&lt;SUMIFS(M:M,R:R,1,E:E,E1118)/SUMIFS(L:L,R:R,1,E:E,E1118)*0.5),"код для проверки","нормальный код")</f>
        <v/>
      </c>
      <c r="W1118">
        <f>IF(N1118&lt;SUMIFS(L:L,R:R,1,E:E,E1118)/SUMIFS(K:K,R:R,1,E:E,E1118)*0.5,"Низшая четверть",IF(N1118&lt;SUMIFS(L:L,R:R,1,E:E,E1118)/SUMIFS(K:K,R:R,1,E:E,E1118),"Вторая четверть","Больше половины"))</f>
        <v/>
      </c>
      <c r="X1118">
        <f>IF(O1118&lt;SUMIFS(M:M,R:R,1,E:E,E1118)/SUMIFS(L:L,R:R,1,E:E,E1118)*0.5,"Низшая четверть",IF(O1118&lt;SUMIFS(M:M,R:R,1,E:E,E1118)/SUMIFS(L:L,R:R,1,E:E,E1118),"Вторая четверть","Больше половины"))</f>
        <v/>
      </c>
      <c r="Y1118" t="n">
        <v>23</v>
      </c>
    </row>
    <row r="1119">
      <c r="A1119" s="1" t="inlineStr">
        <is>
          <t>h1000380</t>
        </is>
      </c>
      <c r="B1119" s="2" t="inlineStr">
        <is>
          <t>851029629</t>
        </is>
      </c>
      <c r="C1119" s="3" t="inlineStr">
        <is>
          <t>Одежда и аксессуары</t>
        </is>
      </c>
      <c r="D1119" s="2" t="inlineStr">
        <is>
          <t>Футболки, рубашки мужские</t>
        </is>
      </c>
      <c r="E1119" s="3" t="inlineStr">
        <is>
          <t>h10 Футболка мужская</t>
        </is>
      </c>
      <c r="F1119" s="2" t="inlineStr">
        <is>
          <t>всесезонный</t>
        </is>
      </c>
      <c r="G1119" s="3" t="inlineStr">
        <is>
          <t>kari</t>
        </is>
      </c>
      <c r="H1119" s="2" t="inlineStr">
        <is>
          <t>Зиннуров Ильнур</t>
        </is>
      </c>
      <c r="J1119" s="3" t="inlineStr">
        <is>
          <t>2026SS</t>
        </is>
      </c>
      <c r="K1119" s="3" t="n">
        <v>729</v>
      </c>
      <c r="L1119" s="3" t="n">
        <v>921</v>
      </c>
      <c r="M1119" s="3" t="n">
        <v>5</v>
      </c>
      <c r="N1119" s="4">
        <f>IFERROR(L1119/K1119,0)</f>
        <v/>
      </c>
      <c r="O1119" s="4">
        <f>IFERROR(M1119/L1119,0)</f>
        <v/>
      </c>
      <c r="P1119" t="n">
        <v>323</v>
      </c>
      <c r="Q1119" s="5" t="n">
        <v>1</v>
      </c>
      <c r="R1119" s="7" t="n">
        <v>0</v>
      </c>
      <c r="S1119" t="inlineStr">
        <is>
          <t>Мало показов</t>
        </is>
      </c>
      <c r="T1119">
        <f>IF(N1119&lt;$T$1*0.5,"Низшая четверть",IF(N1119&lt;$T$1,"Вторая четверть","Больше половины"))</f>
        <v/>
      </c>
      <c r="U1119">
        <f>IF(O1119&lt;$U$1*0.5,"Низшая четверть",IF(O1119&lt;$U$1,"Вторая четверть","Больше половины"))</f>
        <v/>
      </c>
      <c r="V1119">
        <f>IF(OR(N1119&lt;SUMIFS(L:L,R:R,1,E:E,E1119)/SUMIFS(K:K,R:R,1,E:E,E1119)*0.5,O1119&lt;SUMIFS(M:M,R:R,1,E:E,E1119)/SUMIFS(L:L,R:R,1,E:E,E1119)*0.5),"код для проверки","нормальный код")</f>
        <v/>
      </c>
      <c r="W1119">
        <f>IF(N1119&lt;SUMIFS(L:L,R:R,1,E:E,E1119)/SUMIFS(K:K,R:R,1,E:E,E1119)*0.5,"Низшая четверть",IF(N1119&lt;SUMIFS(L:L,R:R,1,E:E,E1119)/SUMIFS(K:K,R:R,1,E:E,E1119),"Вторая четверть","Больше половины"))</f>
        <v/>
      </c>
      <c r="X1119">
        <f>IF(O1119&lt;SUMIFS(M:M,R:R,1,E:E,E1119)/SUMIFS(L:L,R:R,1,E:E,E1119)*0.5,"Низшая четверть",IF(O1119&lt;SUMIFS(M:M,R:R,1,E:E,E1119)/SUMIFS(L:L,R:R,1,E:E,E1119),"Вторая четверть","Больше половины"))</f>
        <v/>
      </c>
      <c r="Y1119" t="n">
        <v>22</v>
      </c>
    </row>
    <row r="1120">
      <c r="A1120" s="1" t="inlineStr">
        <is>
          <t>310002N0</t>
        </is>
      </c>
      <c r="B1120" s="2" t="inlineStr">
        <is>
          <t>879308808</t>
        </is>
      </c>
      <c r="C1120" s="3" t="inlineStr">
        <is>
          <t>Одежда для детей</t>
        </is>
      </c>
      <c r="D1120" s="2" t="inlineStr">
        <is>
          <t>Футболки, майки, рубашки детские для мальчиков</t>
        </is>
      </c>
      <c r="E1120" s="3" t="inlineStr">
        <is>
          <t>310 Футболка детская для мальчиков</t>
        </is>
      </c>
      <c r="F1120" s="2" t="inlineStr">
        <is>
          <t>всесезонный</t>
        </is>
      </c>
      <c r="G1120" s="3" t="inlineStr">
        <is>
          <t>Kari KIDS</t>
        </is>
      </c>
      <c r="H1120" s="2" t="inlineStr">
        <is>
          <t>Зиннуров Ильнур</t>
        </is>
      </c>
      <c r="J1120" s="3" t="inlineStr">
        <is>
          <t>2026SS</t>
        </is>
      </c>
      <c r="K1120" s="3" t="n">
        <v>723</v>
      </c>
      <c r="L1120" s="3" t="n">
        <v>11</v>
      </c>
      <c r="M1120" s="3" t="n">
        <v>0</v>
      </c>
      <c r="N1120" s="4">
        <f>IFERROR(L1120/K1120,0)</f>
        <v/>
      </c>
      <c r="O1120" s="4">
        <f>IFERROR(M1120/L1120,0)</f>
        <v/>
      </c>
      <c r="P1120" t="n">
        <v>660</v>
      </c>
      <c r="Q1120" s="5" t="n">
        <v>1</v>
      </c>
      <c r="R1120" s="7" t="n">
        <v>0</v>
      </c>
      <c r="S1120" t="inlineStr">
        <is>
          <t>Мало показов</t>
        </is>
      </c>
      <c r="T1120">
        <f>IF(N1120&lt;$T$1*0.5,"Низшая четверть",IF(N1120&lt;$T$1,"Вторая четверть","Больше половины"))</f>
        <v/>
      </c>
      <c r="U1120">
        <f>IF(O1120&lt;$U$1*0.5,"Низшая четверть",IF(O1120&lt;$U$1,"Вторая четверть","Больше половины"))</f>
        <v/>
      </c>
      <c r="V1120">
        <f>IF(OR(N1120&lt;SUMIFS(L:L,R:R,1,E:E,E1120)/SUMIFS(K:K,R:R,1,E:E,E1120)*0.5,O1120&lt;SUMIFS(M:M,R:R,1,E:E,E1120)/SUMIFS(L:L,R:R,1,E:E,E1120)*0.5),"код для проверки","нормальный код")</f>
        <v/>
      </c>
      <c r="W1120">
        <f>IF(N1120&lt;SUMIFS(L:L,R:R,1,E:E,E1120)/SUMIFS(K:K,R:R,1,E:E,E1120)*0.5,"Низшая четверть",IF(N1120&lt;SUMIFS(L:L,R:R,1,E:E,E1120)/SUMIFS(K:K,R:R,1,E:E,E1120),"Вторая четверть","Больше половины"))</f>
        <v/>
      </c>
      <c r="X1120">
        <f>IF(O1120&lt;SUMIFS(M:M,R:R,1,E:E,E1120)/SUMIFS(L:L,R:R,1,E:E,E1120)*0.5,"Низшая четверть",IF(O1120&lt;SUMIFS(M:M,R:R,1,E:E,E1120)/SUMIFS(L:L,R:R,1,E:E,E1120),"Вторая четверть","Больше половины"))</f>
        <v/>
      </c>
      <c r="Y1120" t="n">
        <v>16</v>
      </c>
    </row>
    <row r="1121">
      <c r="A1121" s="1" t="inlineStr">
        <is>
          <t>88300340</t>
        </is>
      </c>
      <c r="B1121" s="2" t="inlineStr">
        <is>
          <t>879308858</t>
        </is>
      </c>
      <c r="C1121" s="3" t="inlineStr">
        <is>
          <t>Одежда для детей</t>
        </is>
      </c>
      <c r="D1121" s="2" t="inlineStr">
        <is>
          <t>Платья, майки, футболки детские для девочек</t>
        </is>
      </c>
      <c r="E1121" s="3" t="inlineStr">
        <is>
          <t>883 Футболка длинный рукав детская для девочек</t>
        </is>
      </c>
      <c r="F1121" s="2" t="inlineStr">
        <is>
          <t>всесезонный</t>
        </is>
      </c>
      <c r="G1121" s="3" t="inlineStr">
        <is>
          <t>kari</t>
        </is>
      </c>
      <c r="H1121" s="2" t="inlineStr">
        <is>
          <t>Зиннуров Ильнур</t>
        </is>
      </c>
      <c r="J1121" s="3" t="inlineStr">
        <is>
          <t>2026SS</t>
        </is>
      </c>
      <c r="K1121" s="3" t="n">
        <v>719</v>
      </c>
      <c r="L1121" s="3" t="n">
        <v>30</v>
      </c>
      <c r="M1121" s="3" t="n">
        <v>1</v>
      </c>
      <c r="N1121" s="4">
        <f>IFERROR(L1121/K1121,0)</f>
        <v/>
      </c>
      <c r="O1121" s="4">
        <f>IFERROR(M1121/L1121,0)</f>
        <v/>
      </c>
      <c r="P1121" t="n">
        <v>176</v>
      </c>
      <c r="Q1121" s="5" t="n">
        <v>1</v>
      </c>
      <c r="R1121" s="7" t="n">
        <v>0</v>
      </c>
      <c r="S1121" t="inlineStr">
        <is>
          <t>Мало показов</t>
        </is>
      </c>
      <c r="T1121">
        <f>IF(N1121&lt;$T$1*0.5,"Низшая четверть",IF(N1121&lt;$T$1,"Вторая четверть","Больше половины"))</f>
        <v/>
      </c>
      <c r="U1121">
        <f>IF(O1121&lt;$U$1*0.5,"Низшая четверть",IF(O1121&lt;$U$1,"Вторая четверть","Больше половины"))</f>
        <v/>
      </c>
      <c r="V1121">
        <f>IF(OR(N1121&lt;SUMIFS(L:L,R:R,1,E:E,E1121)/SUMIFS(K:K,R:R,1,E:E,E1121)*0.5,O1121&lt;SUMIFS(M:M,R:R,1,E:E,E1121)/SUMIFS(L:L,R:R,1,E:E,E1121)*0.5),"код для проверки","нормальный код")</f>
        <v/>
      </c>
      <c r="W1121">
        <f>IF(N1121&lt;SUMIFS(L:L,R:R,1,E:E,E1121)/SUMIFS(K:K,R:R,1,E:E,E1121)*0.5,"Низшая четверть",IF(N1121&lt;SUMIFS(L:L,R:R,1,E:E,E1121)/SUMIFS(K:K,R:R,1,E:E,E1121),"Вторая четверть","Больше половины"))</f>
        <v/>
      </c>
      <c r="X1121">
        <f>IF(O1121&lt;SUMIFS(M:M,R:R,1,E:E,E1121)/SUMIFS(L:L,R:R,1,E:E,E1121)*0.5,"Низшая четверть",IF(O1121&lt;SUMIFS(M:M,R:R,1,E:E,E1121)/SUMIFS(L:L,R:R,1,E:E,E1121),"Вторая четверть","Больше половины"))</f>
        <v/>
      </c>
      <c r="Y1121" t="n">
        <v>14</v>
      </c>
    </row>
    <row r="1122">
      <c r="A1122" s="1" t="inlineStr">
        <is>
          <t>h1000060</t>
        </is>
      </c>
      <c r="B1122" s="2" t="inlineStr">
        <is>
          <t>851029597</t>
        </is>
      </c>
      <c r="C1122" s="3" t="inlineStr">
        <is>
          <t>Одежда и аксессуары</t>
        </is>
      </c>
      <c r="D1122" s="2" t="inlineStr">
        <is>
          <t>Футболки, рубашки мужские</t>
        </is>
      </c>
      <c r="E1122" s="3" t="inlineStr">
        <is>
          <t>h10 Футболка мужская</t>
        </is>
      </c>
      <c r="F1122" s="2" t="inlineStr">
        <is>
          <t>всесезонный</t>
        </is>
      </c>
      <c r="G1122" s="3" t="inlineStr">
        <is>
          <t>kari</t>
        </is>
      </c>
      <c r="H1122" s="2" t="inlineStr">
        <is>
          <t>Зиннуров Ильнур</t>
        </is>
      </c>
      <c r="J1122" s="3" t="inlineStr">
        <is>
          <t>2026SS</t>
        </is>
      </c>
      <c r="K1122" s="3" t="n">
        <v>718</v>
      </c>
      <c r="L1122" s="3" t="n">
        <v>992</v>
      </c>
      <c r="M1122" s="3" t="n">
        <v>8</v>
      </c>
      <c r="N1122" s="4">
        <f>IFERROR(L1122/K1122,0)</f>
        <v/>
      </c>
      <c r="O1122" s="4">
        <f>IFERROR(M1122/L1122,0)</f>
        <v/>
      </c>
      <c r="P1122" t="n">
        <v>312</v>
      </c>
      <c r="Q1122" s="5" t="n">
        <v>0.8333333333333334</v>
      </c>
      <c r="R1122" s="7" t="n">
        <v>0</v>
      </c>
      <c r="S1122" t="inlineStr">
        <is>
          <t>Мало показов</t>
        </is>
      </c>
      <c r="T1122">
        <f>IF(N1122&lt;$T$1*0.5,"Низшая четверть",IF(N1122&lt;$T$1,"Вторая четверть","Больше половины"))</f>
        <v/>
      </c>
      <c r="U1122">
        <f>IF(O1122&lt;$U$1*0.5,"Низшая четверть",IF(O1122&lt;$U$1,"Вторая четверть","Больше половины"))</f>
        <v/>
      </c>
      <c r="V1122">
        <f>IF(OR(N1122&lt;SUMIFS(L:L,R:R,1,E:E,E1122)/SUMIFS(K:K,R:R,1,E:E,E1122)*0.5,O1122&lt;SUMIFS(M:M,R:R,1,E:E,E1122)/SUMIFS(L:L,R:R,1,E:E,E1122)*0.5),"код для проверки","нормальный код")</f>
        <v/>
      </c>
      <c r="W1122">
        <f>IF(N1122&lt;SUMIFS(L:L,R:R,1,E:E,E1122)/SUMIFS(K:K,R:R,1,E:E,E1122)*0.5,"Низшая четверть",IF(N1122&lt;SUMIFS(L:L,R:R,1,E:E,E1122)/SUMIFS(K:K,R:R,1,E:E,E1122),"Вторая четверть","Больше половины"))</f>
        <v/>
      </c>
      <c r="X1122">
        <f>IF(O1122&lt;SUMIFS(M:M,R:R,1,E:E,E1122)/SUMIFS(L:L,R:R,1,E:E,E1122)*0.5,"Низшая четверть",IF(O1122&lt;SUMIFS(M:M,R:R,1,E:E,E1122)/SUMIFS(L:L,R:R,1,E:E,E1122),"Вторая четверть","Больше половины"))</f>
        <v/>
      </c>
      <c r="Y1122" t="n">
        <v>23</v>
      </c>
    </row>
    <row r="1123">
      <c r="A1123" s="1" t="inlineStr">
        <is>
          <t>h1000120</t>
        </is>
      </c>
      <c r="B1123" s="2" t="inlineStr">
        <is>
          <t>859016034</t>
        </is>
      </c>
      <c r="C1123" s="3" t="inlineStr">
        <is>
          <t>Одежда и аксессуары</t>
        </is>
      </c>
      <c r="D1123" s="2" t="inlineStr">
        <is>
          <t>Футболки, рубашки мужские</t>
        </is>
      </c>
      <c r="E1123" s="3" t="inlineStr">
        <is>
          <t>h10 Футболка мужская</t>
        </is>
      </c>
      <c r="F1123" s="2" t="inlineStr">
        <is>
          <t>всесезонный</t>
        </is>
      </c>
      <c r="G1123" s="3" t="inlineStr">
        <is>
          <t>kari</t>
        </is>
      </c>
      <c r="H1123" s="2" t="inlineStr">
        <is>
          <t>Зиннуров Ильнур</t>
        </is>
      </c>
      <c r="J1123" s="3" t="inlineStr">
        <is>
          <t>2026SS</t>
        </is>
      </c>
      <c r="K1123" s="3" t="n">
        <v>718</v>
      </c>
      <c r="L1123" s="3" t="n">
        <v>18</v>
      </c>
      <c r="M1123" s="3" t="n">
        <v>0</v>
      </c>
      <c r="N1123" s="4">
        <f>IFERROR(L1123/K1123,0)</f>
        <v/>
      </c>
      <c r="O1123" s="4">
        <f>IFERROR(M1123/L1123,0)</f>
        <v/>
      </c>
      <c r="P1123" t="n">
        <v>340</v>
      </c>
      <c r="Q1123" s="5" t="n">
        <v>1</v>
      </c>
      <c r="R1123" s="7" t="n">
        <v>0</v>
      </c>
      <c r="S1123" t="inlineStr">
        <is>
          <t>Мало показов</t>
        </is>
      </c>
      <c r="T1123">
        <f>IF(N1123&lt;$T$1*0.5,"Низшая четверть",IF(N1123&lt;$T$1,"Вторая четверть","Больше половины"))</f>
        <v/>
      </c>
      <c r="U1123">
        <f>IF(O1123&lt;$U$1*0.5,"Низшая четверть",IF(O1123&lt;$U$1,"Вторая четверть","Больше половины"))</f>
        <v/>
      </c>
      <c r="V1123">
        <f>IF(OR(N1123&lt;SUMIFS(L:L,R:R,1,E:E,E1123)/SUMIFS(K:K,R:R,1,E:E,E1123)*0.5,O1123&lt;SUMIFS(M:M,R:R,1,E:E,E1123)/SUMIFS(L:L,R:R,1,E:E,E1123)*0.5),"код для проверки","нормальный код")</f>
        <v/>
      </c>
      <c r="W1123">
        <f>IF(N1123&lt;SUMIFS(L:L,R:R,1,E:E,E1123)/SUMIFS(K:K,R:R,1,E:E,E1123)*0.5,"Низшая четверть",IF(N1123&lt;SUMIFS(L:L,R:R,1,E:E,E1123)/SUMIFS(K:K,R:R,1,E:E,E1123),"Вторая четверть","Больше половины"))</f>
        <v/>
      </c>
      <c r="X1123">
        <f>IF(O1123&lt;SUMIFS(M:M,R:R,1,E:E,E1123)/SUMIFS(L:L,R:R,1,E:E,E1123)*0.5,"Низшая четверть",IF(O1123&lt;SUMIFS(M:M,R:R,1,E:E,E1123)/SUMIFS(L:L,R:R,1,E:E,E1123),"Вторая четверть","Больше половины"))</f>
        <v/>
      </c>
      <c r="Y1123" t="n">
        <v>23</v>
      </c>
    </row>
    <row r="1124">
      <c r="A1124" s="1" t="inlineStr">
        <is>
          <t>31400000</t>
        </is>
      </c>
      <c r="B1124" s="2" t="inlineStr">
        <is>
          <t>858780605</t>
        </is>
      </c>
      <c r="C1124" s="3" t="inlineStr">
        <is>
          <t>Одежда и аксессуары</t>
        </is>
      </c>
      <c r="D1124" s="2" t="inlineStr">
        <is>
          <t>Футболки, рубашки мужские</t>
        </is>
      </c>
      <c r="E1124" s="3" t="inlineStr">
        <is>
          <t>314 Рубашка короткий рукав мужская</t>
        </is>
      </c>
      <c r="F1124" s="2" t="inlineStr">
        <is>
          <t>лето</t>
        </is>
      </c>
      <c r="G1124" s="3" t="inlineStr">
        <is>
          <t>kari</t>
        </is>
      </c>
      <c r="H1124" s="2" t="n"/>
      <c r="J1124" s="3" t="inlineStr">
        <is>
          <t>2026SS</t>
        </is>
      </c>
      <c r="K1124" s="3" t="n">
        <v>715</v>
      </c>
      <c r="L1124" s="3" t="n">
        <v>24</v>
      </c>
      <c r="M1124" s="3" t="n">
        <v>0</v>
      </c>
      <c r="N1124" s="4">
        <f>IFERROR(L1124/K1124,0)</f>
        <v/>
      </c>
      <c r="O1124" s="4">
        <f>IFERROR(M1124/L1124,0)</f>
        <v/>
      </c>
      <c r="P1124" t="n">
        <v>265</v>
      </c>
      <c r="Q1124" s="5" t="n">
        <v>0.8333333333333334</v>
      </c>
      <c r="R1124" s="7" t="n">
        <v>0</v>
      </c>
      <c r="S1124" t="inlineStr">
        <is>
          <t>Мало показов</t>
        </is>
      </c>
      <c r="T1124">
        <f>IF(N1124&lt;$T$1*0.5,"Низшая четверть",IF(N1124&lt;$T$1,"Вторая четверть","Больше половины"))</f>
        <v/>
      </c>
      <c r="U1124">
        <f>IF(O1124&lt;$U$1*0.5,"Низшая четверть",IF(O1124&lt;$U$1,"Вторая четверть","Больше половины"))</f>
        <v/>
      </c>
      <c r="V1124">
        <f>IF(OR(N1124&lt;SUMIFS(L:L,R:R,1,E:E,E1124)/SUMIFS(K:K,R:R,1,E:E,E1124)*0.5,O1124&lt;SUMIFS(M:M,R:R,1,E:E,E1124)/SUMIFS(L:L,R:R,1,E:E,E1124)*0.5),"код для проверки","нормальный код")</f>
        <v/>
      </c>
      <c r="W1124">
        <f>IF(N1124&lt;SUMIFS(L:L,R:R,1,E:E,E1124)/SUMIFS(K:K,R:R,1,E:E,E1124)*0.5,"Низшая четверть",IF(N1124&lt;SUMIFS(L:L,R:R,1,E:E,E1124)/SUMIFS(K:K,R:R,1,E:E,E1124),"Вторая четверть","Больше половины"))</f>
        <v/>
      </c>
      <c r="X1124">
        <f>IF(O1124&lt;SUMIFS(M:M,R:R,1,E:E,E1124)/SUMIFS(L:L,R:R,1,E:E,E1124)*0.5,"Низшая четверть",IF(O1124&lt;SUMIFS(M:M,R:R,1,E:E,E1124)/SUMIFS(L:L,R:R,1,E:E,E1124),"Вторая четверть","Больше половины"))</f>
        <v/>
      </c>
      <c r="Y1124" t="n">
        <v>20</v>
      </c>
    </row>
    <row r="1125">
      <c r="A1125" s="1" t="inlineStr">
        <is>
          <t>310002M0</t>
        </is>
      </c>
      <c r="B1125" s="2" t="inlineStr">
        <is>
          <t>879308765</t>
        </is>
      </c>
      <c r="C1125" s="3" t="inlineStr">
        <is>
          <t>Одежда для детей</t>
        </is>
      </c>
      <c r="D1125" s="2" t="inlineStr">
        <is>
          <t>Футболки, майки, рубашки детские для мальчиков</t>
        </is>
      </c>
      <c r="E1125" s="3" t="inlineStr">
        <is>
          <t>310 Футболка детская для мальчиков</t>
        </is>
      </c>
      <c r="F1125" s="2" t="inlineStr">
        <is>
          <t>всесезонный</t>
        </is>
      </c>
      <c r="G1125" s="3" t="inlineStr">
        <is>
          <t>Kari KIDS</t>
        </is>
      </c>
      <c r="H1125" s="2" t="inlineStr">
        <is>
          <t>Зиннуров Ильнур</t>
        </is>
      </c>
      <c r="J1125" s="3" t="inlineStr">
        <is>
          <t>2026SS</t>
        </is>
      </c>
      <c r="K1125" s="3" t="n">
        <v>711</v>
      </c>
      <c r="L1125" s="3" t="n">
        <v>12</v>
      </c>
      <c r="M1125" s="3" t="n">
        <v>0</v>
      </c>
      <c r="N1125" s="4">
        <f>IFERROR(L1125/K1125,0)</f>
        <v/>
      </c>
      <c r="O1125" s="4">
        <f>IFERROR(M1125/L1125,0)</f>
        <v/>
      </c>
      <c r="P1125" t="n">
        <v>710</v>
      </c>
      <c r="Q1125" s="5" t="n">
        <v>1</v>
      </c>
      <c r="R1125" s="7" t="n">
        <v>0</v>
      </c>
      <c r="S1125" t="inlineStr">
        <is>
          <t>Мало показов</t>
        </is>
      </c>
      <c r="T1125">
        <f>IF(N1125&lt;$T$1*0.5,"Низшая четверть",IF(N1125&lt;$T$1,"Вторая четверть","Больше половины"))</f>
        <v/>
      </c>
      <c r="U1125">
        <f>IF(O1125&lt;$U$1*0.5,"Низшая четверть",IF(O1125&lt;$U$1,"Вторая четверть","Больше половины"))</f>
        <v/>
      </c>
      <c r="V1125">
        <f>IF(OR(N1125&lt;SUMIFS(L:L,R:R,1,E:E,E1125)/SUMIFS(K:K,R:R,1,E:E,E1125)*0.5,O1125&lt;SUMIFS(M:M,R:R,1,E:E,E1125)/SUMIFS(L:L,R:R,1,E:E,E1125)*0.5),"код для проверки","нормальный код")</f>
        <v/>
      </c>
      <c r="W1125">
        <f>IF(N1125&lt;SUMIFS(L:L,R:R,1,E:E,E1125)/SUMIFS(K:K,R:R,1,E:E,E1125)*0.5,"Низшая четверть",IF(N1125&lt;SUMIFS(L:L,R:R,1,E:E,E1125)/SUMIFS(K:K,R:R,1,E:E,E1125),"Вторая четверть","Больше половины"))</f>
        <v/>
      </c>
      <c r="X1125">
        <f>IF(O1125&lt;SUMIFS(M:M,R:R,1,E:E,E1125)/SUMIFS(L:L,R:R,1,E:E,E1125)*0.5,"Низшая четверть",IF(O1125&lt;SUMIFS(M:M,R:R,1,E:E,E1125)/SUMIFS(L:L,R:R,1,E:E,E1125),"Вторая четверть","Больше половины"))</f>
        <v/>
      </c>
      <c r="Y1125" t="n">
        <v>16</v>
      </c>
    </row>
    <row r="1126">
      <c r="A1126" s="1" t="inlineStr">
        <is>
          <t>19200100</t>
        </is>
      </c>
      <c r="B1126" s="2" t="inlineStr">
        <is>
          <t>926906711</t>
        </is>
      </c>
      <c r="C1126" s="3" t="inlineStr">
        <is>
          <t>Одежда для детей</t>
        </is>
      </c>
      <c r="D1126" s="2" t="inlineStr">
        <is>
          <t>Футболки, майки, рубашки детские для мальчиков</t>
        </is>
      </c>
      <c r="E1126" s="3" t="inlineStr">
        <is>
          <t>192 Рубашка детская для мальчиков</t>
        </is>
      </c>
      <c r="F1126" s="2" t="inlineStr">
        <is>
          <t>весна, лето</t>
        </is>
      </c>
      <c r="G1126" s="3" t="inlineStr">
        <is>
          <t>Kari KIDS</t>
        </is>
      </c>
      <c r="H1126" s="2" t="inlineStr">
        <is>
          <t>Зиннуров Ильнур</t>
        </is>
      </c>
      <c r="J1126" s="3" t="inlineStr">
        <is>
          <t>2026SS</t>
        </is>
      </c>
      <c r="K1126" s="3" t="n">
        <v>710</v>
      </c>
      <c r="L1126" s="3" t="n">
        <v>33</v>
      </c>
      <c r="M1126" s="3" t="n">
        <v>0</v>
      </c>
      <c r="N1126" s="4">
        <f>IFERROR(L1126/K1126,0)</f>
        <v/>
      </c>
      <c r="O1126" s="4">
        <f>IFERROR(M1126/L1126,0)</f>
        <v/>
      </c>
      <c r="P1126" t="n">
        <v>430</v>
      </c>
      <c r="Q1126" s="5" t="n">
        <v>1</v>
      </c>
      <c r="R1126" s="7" t="n">
        <v>0</v>
      </c>
      <c r="S1126" t="inlineStr">
        <is>
          <t>Мало показов</t>
        </is>
      </c>
      <c r="T1126">
        <f>IF(N1126&lt;$T$1*0.5,"Низшая четверть",IF(N1126&lt;$T$1,"Вторая четверть","Больше половины"))</f>
        <v/>
      </c>
      <c r="U1126">
        <f>IF(O1126&lt;$U$1*0.5,"Низшая четверть",IF(O1126&lt;$U$1,"Вторая четверть","Больше половины"))</f>
        <v/>
      </c>
      <c r="V1126">
        <f>IF(OR(N1126&lt;SUMIFS(L:L,R:R,1,E:E,E1126)/SUMIFS(K:K,R:R,1,E:E,E1126)*0.5,O1126&lt;SUMIFS(M:M,R:R,1,E:E,E1126)/SUMIFS(L:L,R:R,1,E:E,E1126)*0.5),"код для проверки","нормальный код")</f>
        <v/>
      </c>
      <c r="W1126">
        <f>IF(N1126&lt;SUMIFS(L:L,R:R,1,E:E,E1126)/SUMIFS(K:K,R:R,1,E:E,E1126)*0.5,"Низшая четверть",IF(N1126&lt;SUMIFS(L:L,R:R,1,E:E,E1126)/SUMIFS(K:K,R:R,1,E:E,E1126),"Вторая четверть","Больше половины"))</f>
        <v/>
      </c>
      <c r="X1126">
        <f>IF(O1126&lt;SUMIFS(M:M,R:R,1,E:E,E1126)/SUMIFS(L:L,R:R,1,E:E,E1126)*0.5,"Низшая четверть",IF(O1126&lt;SUMIFS(M:M,R:R,1,E:E,E1126)/SUMIFS(L:L,R:R,1,E:E,E1126),"Вторая четверть","Больше половины"))</f>
        <v/>
      </c>
      <c r="Y1126" t="n">
        <v>10</v>
      </c>
    </row>
    <row r="1127">
      <c r="A1127" s="1" t="inlineStr">
        <is>
          <t>h1000150</t>
        </is>
      </c>
      <c r="B1127" s="2" t="inlineStr">
        <is>
          <t>859016011</t>
        </is>
      </c>
      <c r="C1127" s="3" t="inlineStr">
        <is>
          <t>Одежда и аксессуары</t>
        </is>
      </c>
      <c r="D1127" s="2" t="inlineStr">
        <is>
          <t>Футболки, рубашки мужские</t>
        </is>
      </c>
      <c r="E1127" s="3" t="inlineStr">
        <is>
          <t>h10 Футболка мужская</t>
        </is>
      </c>
      <c r="F1127" s="2" t="inlineStr">
        <is>
          <t>всесезонный</t>
        </is>
      </c>
      <c r="G1127" s="3" t="inlineStr">
        <is>
          <t>kari</t>
        </is>
      </c>
      <c r="H1127" s="2" t="inlineStr">
        <is>
          <t>Зиннуров Ильнур</t>
        </is>
      </c>
      <c r="J1127" s="3" t="inlineStr">
        <is>
          <t>2026SS</t>
        </is>
      </c>
      <c r="K1127" s="3" t="n">
        <v>709</v>
      </c>
      <c r="L1127" s="3" t="n">
        <v>21</v>
      </c>
      <c r="M1127" s="3" t="n">
        <v>0</v>
      </c>
      <c r="N1127" s="4">
        <f>IFERROR(L1127/K1127,0)</f>
        <v/>
      </c>
      <c r="O1127" s="4">
        <f>IFERROR(M1127/L1127,0)</f>
        <v/>
      </c>
      <c r="P1127" t="n">
        <v>130</v>
      </c>
      <c r="Q1127" s="5" t="n">
        <v>1</v>
      </c>
      <c r="R1127" s="7" t="n">
        <v>0</v>
      </c>
      <c r="S1127" t="inlineStr">
        <is>
          <t>Мало показов</t>
        </is>
      </c>
      <c r="T1127">
        <f>IF(N1127&lt;$T$1*0.5,"Низшая четверть",IF(N1127&lt;$T$1,"Вторая четверть","Больше половины"))</f>
        <v/>
      </c>
      <c r="U1127">
        <f>IF(O1127&lt;$U$1*0.5,"Низшая четверть",IF(O1127&lt;$U$1,"Вторая четверть","Больше половины"))</f>
        <v/>
      </c>
      <c r="V1127">
        <f>IF(OR(N1127&lt;SUMIFS(L:L,R:R,1,E:E,E1127)/SUMIFS(K:K,R:R,1,E:E,E1127)*0.5,O1127&lt;SUMIFS(M:M,R:R,1,E:E,E1127)/SUMIFS(L:L,R:R,1,E:E,E1127)*0.5),"код для проверки","нормальный код")</f>
        <v/>
      </c>
      <c r="W1127">
        <f>IF(N1127&lt;SUMIFS(L:L,R:R,1,E:E,E1127)/SUMIFS(K:K,R:R,1,E:E,E1127)*0.5,"Низшая четверть",IF(N1127&lt;SUMIFS(L:L,R:R,1,E:E,E1127)/SUMIFS(K:K,R:R,1,E:E,E1127),"Вторая четверть","Больше половины"))</f>
        <v/>
      </c>
      <c r="X1127">
        <f>IF(O1127&lt;SUMIFS(M:M,R:R,1,E:E,E1127)/SUMIFS(L:L,R:R,1,E:E,E1127)*0.5,"Низшая четверть",IF(O1127&lt;SUMIFS(M:M,R:R,1,E:E,E1127)/SUMIFS(L:L,R:R,1,E:E,E1127),"Вторая четверть","Больше половины"))</f>
        <v/>
      </c>
      <c r="Y1127" t="n">
        <v>20</v>
      </c>
    </row>
    <row r="1128">
      <c r="A1128" s="1" t="inlineStr">
        <is>
          <t>a8300010</t>
        </is>
      </c>
      <c r="B1128" s="2" t="inlineStr">
        <is>
          <t>695216164</t>
        </is>
      </c>
      <c r="C1128" s="3" t="inlineStr">
        <is>
          <t>Одежда для детей</t>
        </is>
      </c>
      <c r="D1128" s="2" t="inlineStr">
        <is>
          <t>Свитера детские для девочек</t>
        </is>
      </c>
      <c r="E1128" s="3" t="inlineStr">
        <is>
          <t>a83 Толстовка-худи утепленная для девочек</t>
        </is>
      </c>
      <c r="F1128" s="2" t="inlineStr">
        <is>
          <t>весна, осень, зима</t>
        </is>
      </c>
      <c r="G1128" s="3" t="inlineStr">
        <is>
          <t>Kari KIDS</t>
        </is>
      </c>
      <c r="H1128" s="2" t="inlineStr">
        <is>
          <t>Зиннуров Ильнур</t>
        </is>
      </c>
      <c r="J1128" s="3" t="inlineStr">
        <is>
          <t>2026SS</t>
        </is>
      </c>
      <c r="K1128" s="3" t="n">
        <v>703</v>
      </c>
      <c r="L1128" s="3" t="n">
        <v>19</v>
      </c>
      <c r="M1128" s="3" t="n">
        <v>0</v>
      </c>
      <c r="N1128" s="4">
        <f>IFERROR(L1128/K1128,0)</f>
        <v/>
      </c>
      <c r="O1128" s="4">
        <f>IFERROR(M1128/L1128,0)</f>
        <v/>
      </c>
      <c r="P1128" t="n">
        <v>93</v>
      </c>
      <c r="Q1128" s="5" t="n">
        <v>1</v>
      </c>
      <c r="R1128" s="7" t="n">
        <v>0</v>
      </c>
      <c r="S1128" t="inlineStr">
        <is>
          <t>Мало показов</t>
        </is>
      </c>
      <c r="T1128">
        <f>IF(N1128&lt;$T$1*0.5,"Низшая четверть",IF(N1128&lt;$T$1,"Вторая четверть","Больше половины"))</f>
        <v/>
      </c>
      <c r="U1128">
        <f>IF(O1128&lt;$U$1*0.5,"Низшая четверть",IF(O1128&lt;$U$1,"Вторая четверть","Больше половины"))</f>
        <v/>
      </c>
      <c r="V1128">
        <f>IF(OR(N1128&lt;SUMIFS(L:L,R:R,1,E:E,E1128)/SUMIFS(K:K,R:R,1,E:E,E1128)*0.5,O1128&lt;SUMIFS(M:M,R:R,1,E:E,E1128)/SUMIFS(L:L,R:R,1,E:E,E1128)*0.5),"код для проверки","нормальный код")</f>
        <v/>
      </c>
      <c r="W1128">
        <f>IF(N1128&lt;SUMIFS(L:L,R:R,1,E:E,E1128)/SUMIFS(K:K,R:R,1,E:E,E1128)*0.5,"Низшая четверть",IF(N1128&lt;SUMIFS(L:L,R:R,1,E:E,E1128)/SUMIFS(K:K,R:R,1,E:E,E1128),"Вторая четверть","Больше половины"))</f>
        <v/>
      </c>
      <c r="X1128">
        <f>IF(O1128&lt;SUMIFS(M:M,R:R,1,E:E,E1128)/SUMIFS(L:L,R:R,1,E:E,E1128)*0.5,"Низшая четверть",IF(O1128&lt;SUMIFS(M:M,R:R,1,E:E,E1128)/SUMIFS(L:L,R:R,1,E:E,E1128),"Вторая четверть","Больше половины"))</f>
        <v/>
      </c>
      <c r="Y1128" t="n">
        <v>22</v>
      </c>
    </row>
    <row r="1129">
      <c r="A1129" s="1" t="inlineStr">
        <is>
          <t>31400020</t>
        </is>
      </c>
      <c r="B1129" s="2" t="inlineStr">
        <is>
          <t>858780618</t>
        </is>
      </c>
      <c r="C1129" s="3" t="inlineStr">
        <is>
          <t>Одежда и аксессуары</t>
        </is>
      </c>
      <c r="D1129" s="2" t="inlineStr">
        <is>
          <t>Футболки, рубашки мужские</t>
        </is>
      </c>
      <c r="E1129" s="3" t="inlineStr">
        <is>
          <t>314 Рубашка короткий рукав мужская</t>
        </is>
      </c>
      <c r="F1129" s="2" t="inlineStr">
        <is>
          <t>лето</t>
        </is>
      </c>
      <c r="G1129" s="3" t="inlineStr">
        <is>
          <t>kari</t>
        </is>
      </c>
      <c r="H1129" s="2" t="n"/>
      <c r="J1129" s="3" t="inlineStr">
        <is>
          <t>2026SS</t>
        </is>
      </c>
      <c r="K1129" s="3" t="n">
        <v>702</v>
      </c>
      <c r="L1129" s="3" t="n">
        <v>10</v>
      </c>
      <c r="M1129" s="3" t="n">
        <v>0</v>
      </c>
      <c r="N1129" s="4">
        <f>IFERROR(L1129/K1129,0)</f>
        <v/>
      </c>
      <c r="O1129" s="4">
        <f>IFERROR(M1129/L1129,0)</f>
        <v/>
      </c>
      <c r="P1129" t="n">
        <v>295</v>
      </c>
      <c r="Q1129" s="5" t="n">
        <v>0.8333333333333334</v>
      </c>
      <c r="R1129" s="7" t="n">
        <v>0</v>
      </c>
      <c r="S1129" t="inlineStr">
        <is>
          <t>Мало показов</t>
        </is>
      </c>
      <c r="T1129">
        <f>IF(N1129&lt;$T$1*0.5,"Низшая четверть",IF(N1129&lt;$T$1,"Вторая четверть","Больше половины"))</f>
        <v/>
      </c>
      <c r="U1129">
        <f>IF(O1129&lt;$U$1*0.5,"Низшая четверть",IF(O1129&lt;$U$1,"Вторая четверть","Больше половины"))</f>
        <v/>
      </c>
      <c r="V1129">
        <f>IF(OR(N1129&lt;SUMIFS(L:L,R:R,1,E:E,E1129)/SUMIFS(K:K,R:R,1,E:E,E1129)*0.5,O1129&lt;SUMIFS(M:M,R:R,1,E:E,E1129)/SUMIFS(L:L,R:R,1,E:E,E1129)*0.5),"код для проверки","нормальный код")</f>
        <v/>
      </c>
      <c r="W1129">
        <f>IF(N1129&lt;SUMIFS(L:L,R:R,1,E:E,E1129)/SUMIFS(K:K,R:R,1,E:E,E1129)*0.5,"Низшая четверть",IF(N1129&lt;SUMIFS(L:L,R:R,1,E:E,E1129)/SUMIFS(K:K,R:R,1,E:E,E1129),"Вторая четверть","Больше половины"))</f>
        <v/>
      </c>
      <c r="X1129">
        <f>IF(O1129&lt;SUMIFS(M:M,R:R,1,E:E,E1129)/SUMIFS(L:L,R:R,1,E:E,E1129)*0.5,"Низшая четверть",IF(O1129&lt;SUMIFS(M:M,R:R,1,E:E,E1129)/SUMIFS(L:L,R:R,1,E:E,E1129),"Вторая четверть","Больше половины"))</f>
        <v/>
      </c>
      <c r="Y1129" t="n">
        <v>18</v>
      </c>
    </row>
    <row r="1130">
      <c r="A1130" s="1" t="inlineStr">
        <is>
          <t>a8200050</t>
        </is>
      </c>
      <c r="B1130" s="2" t="inlineStr">
        <is>
          <t>879308835</t>
        </is>
      </c>
      <c r="C1130" s="3" t="inlineStr">
        <is>
          <t>Одежда для детей</t>
        </is>
      </c>
      <c r="D1130" s="2" t="inlineStr">
        <is>
          <t>Свитера детские для мальчиков</t>
        </is>
      </c>
      <c r="E1130" s="3" t="inlineStr">
        <is>
          <t>a82 Толстовка на молнии для мальчиков</t>
        </is>
      </c>
      <c r="F1130" s="2" t="inlineStr">
        <is>
          <t>весна, лето, осень</t>
        </is>
      </c>
      <c r="G1130" s="3" t="inlineStr">
        <is>
          <t>Kari KIDS</t>
        </is>
      </c>
      <c r="H1130" s="2" t="inlineStr">
        <is>
          <t>Зиннуров Ильнур</t>
        </is>
      </c>
      <c r="J1130" s="3" t="inlineStr">
        <is>
          <t>2026SS</t>
        </is>
      </c>
      <c r="K1130" s="3" t="n">
        <v>701</v>
      </c>
      <c r="L1130" s="3" t="n">
        <v>18</v>
      </c>
      <c r="M1130" s="3" t="n">
        <v>0</v>
      </c>
      <c r="N1130" s="4">
        <f>IFERROR(L1130/K1130,0)</f>
        <v/>
      </c>
      <c r="O1130" s="4">
        <f>IFERROR(M1130/L1130,0)</f>
        <v/>
      </c>
      <c r="P1130" t="n">
        <v>226</v>
      </c>
      <c r="Q1130" s="5" t="n">
        <v>0.8</v>
      </c>
      <c r="R1130" s="7" t="n">
        <v>0</v>
      </c>
      <c r="S1130" t="inlineStr">
        <is>
          <t>Мало показов</t>
        </is>
      </c>
      <c r="T1130">
        <f>IF(N1130&lt;$T$1*0.5,"Низшая четверть",IF(N1130&lt;$T$1,"Вторая четверть","Больше половины"))</f>
        <v/>
      </c>
      <c r="U1130">
        <f>IF(O1130&lt;$U$1*0.5,"Низшая четверть",IF(O1130&lt;$U$1,"Вторая четверть","Больше половины"))</f>
        <v/>
      </c>
      <c r="V1130">
        <f>IF(OR(N1130&lt;SUMIFS(L:L,R:R,1,E:E,E1130)/SUMIFS(K:K,R:R,1,E:E,E1130)*0.5,O1130&lt;SUMIFS(M:M,R:R,1,E:E,E1130)/SUMIFS(L:L,R:R,1,E:E,E1130)*0.5),"код для проверки","нормальный код")</f>
        <v/>
      </c>
      <c r="W1130">
        <f>IF(N1130&lt;SUMIFS(L:L,R:R,1,E:E,E1130)/SUMIFS(K:K,R:R,1,E:E,E1130)*0.5,"Низшая четверть",IF(N1130&lt;SUMIFS(L:L,R:R,1,E:E,E1130)/SUMIFS(K:K,R:R,1,E:E,E1130),"Вторая четверть","Больше половины"))</f>
        <v/>
      </c>
      <c r="X1130">
        <f>IF(O1130&lt;SUMIFS(M:M,R:R,1,E:E,E1130)/SUMIFS(L:L,R:R,1,E:E,E1130)*0.5,"Низшая четверть",IF(O1130&lt;SUMIFS(M:M,R:R,1,E:E,E1130)/SUMIFS(L:L,R:R,1,E:E,E1130),"Вторая четверть","Больше половины"))</f>
        <v/>
      </c>
      <c r="Y1130" t="n">
        <v>9</v>
      </c>
    </row>
    <row r="1131">
      <c r="A1131" s="1" t="inlineStr">
        <is>
          <t>310003M0</t>
        </is>
      </c>
      <c r="B1131" s="2" t="inlineStr">
        <is>
          <t>788334176</t>
        </is>
      </c>
      <c r="C1131" s="3" t="inlineStr">
        <is>
          <t>Одежда для детей</t>
        </is>
      </c>
      <c r="D1131" s="2" t="inlineStr">
        <is>
          <t>Футболки, майки, рубашки детские для мальчиков</t>
        </is>
      </c>
      <c r="E1131" s="3" t="inlineStr">
        <is>
          <t>310 Футболка детская для мальчиков</t>
        </is>
      </c>
      <c r="F1131" s="2" t="inlineStr">
        <is>
          <t>всесезонный</t>
        </is>
      </c>
      <c r="G1131" s="3" t="inlineStr">
        <is>
          <t>kari</t>
        </is>
      </c>
      <c r="H1131" s="2" t="inlineStr">
        <is>
          <t>Зиннуров Ильнур</t>
        </is>
      </c>
      <c r="J1131" s="3" t="inlineStr">
        <is>
          <t>2026SS</t>
        </is>
      </c>
      <c r="K1131" s="3" t="n">
        <v>699</v>
      </c>
      <c r="L1131" s="3" t="n">
        <v>55</v>
      </c>
      <c r="M1131" s="3" t="n">
        <v>1</v>
      </c>
      <c r="N1131" s="4">
        <f>IFERROR(L1131/K1131,0)</f>
        <v/>
      </c>
      <c r="O1131" s="4">
        <f>IFERROR(M1131/L1131,0)</f>
        <v/>
      </c>
      <c r="P1131" t="n">
        <v>82</v>
      </c>
      <c r="Q1131" s="5" t="n">
        <v>1</v>
      </c>
      <c r="R1131" s="7" t="n">
        <v>0</v>
      </c>
      <c r="S1131" t="inlineStr">
        <is>
          <t>Мало показов</t>
        </is>
      </c>
      <c r="T1131">
        <f>IF(N1131&lt;$T$1*0.5,"Низшая четверть",IF(N1131&lt;$T$1,"Вторая четверть","Больше половины"))</f>
        <v/>
      </c>
      <c r="U1131">
        <f>IF(O1131&lt;$U$1*0.5,"Низшая четверть",IF(O1131&lt;$U$1,"Вторая четверть","Больше половины"))</f>
        <v/>
      </c>
      <c r="V1131">
        <f>IF(OR(N1131&lt;SUMIFS(L:L,R:R,1,E:E,E1131)/SUMIFS(K:K,R:R,1,E:E,E1131)*0.5,O1131&lt;SUMIFS(M:M,R:R,1,E:E,E1131)/SUMIFS(L:L,R:R,1,E:E,E1131)*0.5),"код для проверки","нормальный код")</f>
        <v/>
      </c>
      <c r="W1131">
        <f>IF(N1131&lt;SUMIFS(L:L,R:R,1,E:E,E1131)/SUMIFS(K:K,R:R,1,E:E,E1131)*0.5,"Низшая четверть",IF(N1131&lt;SUMIFS(L:L,R:R,1,E:E,E1131)/SUMIFS(K:K,R:R,1,E:E,E1131),"Вторая четверть","Больше половины"))</f>
        <v/>
      </c>
      <c r="X1131">
        <f>IF(O1131&lt;SUMIFS(M:M,R:R,1,E:E,E1131)/SUMIFS(L:L,R:R,1,E:E,E1131)*0.5,"Низшая четверть",IF(O1131&lt;SUMIFS(M:M,R:R,1,E:E,E1131)/SUMIFS(L:L,R:R,1,E:E,E1131),"Вторая четверть","Больше половины"))</f>
        <v/>
      </c>
      <c r="Y1131" t="n">
        <v>17</v>
      </c>
    </row>
    <row r="1132">
      <c r="A1132" s="1" t="inlineStr">
        <is>
          <t>96500120</t>
        </is>
      </c>
      <c r="B1132" s="2" t="inlineStr">
        <is>
          <t>863950543</t>
        </is>
      </c>
      <c r="C1132" s="3" t="inlineStr">
        <is>
          <t>Одежда для детей</t>
        </is>
      </c>
      <c r="D1132" s="2" t="inlineStr">
        <is>
          <t>Одежда для новорожденных</t>
        </is>
      </c>
      <c r="E1132" s="3" t="inlineStr">
        <is>
          <t>965 Шорты для маленького мальчика</t>
        </is>
      </c>
      <c r="F1132" s="2" t="inlineStr">
        <is>
          <t>лето</t>
        </is>
      </c>
      <c r="G1132" s="3" t="inlineStr">
        <is>
          <t>Kari baby</t>
        </is>
      </c>
      <c r="H1132" s="2" t="inlineStr">
        <is>
          <t>Зиннуров Ильнур</t>
        </is>
      </c>
      <c r="J1132" s="3" t="inlineStr">
        <is>
          <t>2026SS</t>
        </is>
      </c>
      <c r="K1132" s="3" t="n">
        <v>698</v>
      </c>
      <c r="L1132" s="3" t="n">
        <v>35</v>
      </c>
      <c r="M1132" s="3" t="n">
        <v>2</v>
      </c>
      <c r="N1132" s="4">
        <f>IFERROR(L1132/K1132,0)</f>
        <v/>
      </c>
      <c r="O1132" s="4">
        <f>IFERROR(M1132/L1132,0)</f>
        <v/>
      </c>
      <c r="P1132" t="n">
        <v>179</v>
      </c>
      <c r="Q1132" s="5" t="n">
        <v>1</v>
      </c>
      <c r="R1132" s="7" t="n">
        <v>0</v>
      </c>
      <c r="S1132" t="inlineStr">
        <is>
          <t>Мало показов</t>
        </is>
      </c>
      <c r="T1132">
        <f>IF(N1132&lt;$T$1*0.5,"Низшая четверть",IF(N1132&lt;$T$1,"Вторая четверть","Больше половины"))</f>
        <v/>
      </c>
      <c r="U1132">
        <f>IF(O1132&lt;$U$1*0.5,"Низшая четверть",IF(O1132&lt;$U$1,"Вторая четверть","Больше половины"))</f>
        <v/>
      </c>
      <c r="V1132">
        <f>IF(OR(N1132&lt;SUMIFS(L:L,R:R,1,E:E,E1132)/SUMIFS(K:K,R:R,1,E:E,E1132)*0.5,O1132&lt;SUMIFS(M:M,R:R,1,E:E,E1132)/SUMIFS(L:L,R:R,1,E:E,E1132)*0.5),"код для проверки","нормальный код")</f>
        <v/>
      </c>
      <c r="W1132">
        <f>IF(N1132&lt;SUMIFS(L:L,R:R,1,E:E,E1132)/SUMIFS(K:K,R:R,1,E:E,E1132)*0.5,"Низшая четверть",IF(N1132&lt;SUMIFS(L:L,R:R,1,E:E,E1132)/SUMIFS(K:K,R:R,1,E:E,E1132),"Вторая четверть","Больше половины"))</f>
        <v/>
      </c>
      <c r="X1132">
        <f>IF(O1132&lt;SUMIFS(M:M,R:R,1,E:E,E1132)/SUMIFS(L:L,R:R,1,E:E,E1132)*0.5,"Низшая четверть",IF(O1132&lt;SUMIFS(M:M,R:R,1,E:E,E1132)/SUMIFS(L:L,R:R,1,E:E,E1132),"Вторая четверть","Больше половины"))</f>
        <v/>
      </c>
      <c r="Y1132" t="n">
        <v>10</v>
      </c>
    </row>
    <row r="1133">
      <c r="A1133" s="1" t="inlineStr">
        <is>
          <t>a8900110</t>
        </is>
      </c>
      <c r="B1133" s="2" t="inlineStr">
        <is>
          <t>762346869</t>
        </is>
      </c>
      <c r="C1133" s="3" t="inlineStr">
        <is>
          <t>Одежда для детей</t>
        </is>
      </c>
      <c r="D1133" s="2" t="inlineStr">
        <is>
          <t>Свитера детские для девочек</t>
        </is>
      </c>
      <c r="E1133" s="3" t="inlineStr">
        <is>
          <t>a89 Свитшот для девочки</t>
        </is>
      </c>
      <c r="F1133" s="2" t="inlineStr">
        <is>
          <t>весна, лето, осень</t>
        </is>
      </c>
      <c r="G1133" s="3" t="inlineStr">
        <is>
          <t>kari</t>
        </is>
      </c>
      <c r="H1133" s="2" t="inlineStr">
        <is>
          <t>Зиннуров Ильнур</t>
        </is>
      </c>
      <c r="J1133" s="3" t="inlineStr">
        <is>
          <t>2026SS</t>
        </is>
      </c>
      <c r="K1133" s="3" t="n">
        <v>697</v>
      </c>
      <c r="L1133" s="3" t="n">
        <v>41</v>
      </c>
      <c r="M1133" s="3" t="n">
        <v>0</v>
      </c>
      <c r="N1133" s="4">
        <f>IFERROR(L1133/K1133,0)</f>
        <v/>
      </c>
      <c r="O1133" s="4">
        <f>IFERROR(M1133/L1133,0)</f>
        <v/>
      </c>
      <c r="P1133" t="n">
        <v>689</v>
      </c>
      <c r="Q1133" s="5" t="n">
        <v>1</v>
      </c>
      <c r="R1133" s="7" t="n">
        <v>0</v>
      </c>
      <c r="S1133" t="inlineStr">
        <is>
          <t>Мало показов</t>
        </is>
      </c>
      <c r="T1133">
        <f>IF(N1133&lt;$T$1*0.5,"Низшая четверть",IF(N1133&lt;$T$1,"Вторая четверть","Больше половины"))</f>
        <v/>
      </c>
      <c r="U1133">
        <f>IF(O1133&lt;$U$1*0.5,"Низшая четверть",IF(O1133&lt;$U$1,"Вторая четверть","Больше половины"))</f>
        <v/>
      </c>
      <c r="V1133">
        <f>IF(OR(N1133&lt;SUMIFS(L:L,R:R,1,E:E,E1133)/SUMIFS(K:K,R:R,1,E:E,E1133)*0.5,O1133&lt;SUMIFS(M:M,R:R,1,E:E,E1133)/SUMIFS(L:L,R:R,1,E:E,E1133)*0.5),"код для проверки","нормальный код")</f>
        <v/>
      </c>
      <c r="W1133">
        <f>IF(N1133&lt;SUMIFS(L:L,R:R,1,E:E,E1133)/SUMIFS(K:K,R:R,1,E:E,E1133)*0.5,"Низшая четверть",IF(N1133&lt;SUMIFS(L:L,R:R,1,E:E,E1133)/SUMIFS(K:K,R:R,1,E:E,E1133),"Вторая четверть","Больше половины"))</f>
        <v/>
      </c>
      <c r="X1133">
        <f>IF(O1133&lt;SUMIFS(M:M,R:R,1,E:E,E1133)/SUMIFS(L:L,R:R,1,E:E,E1133)*0.5,"Низшая четверть",IF(O1133&lt;SUMIFS(M:M,R:R,1,E:E,E1133)/SUMIFS(L:L,R:R,1,E:E,E1133),"Вторая четверть","Больше половины"))</f>
        <v/>
      </c>
      <c r="Y1133" t="n">
        <v>18</v>
      </c>
    </row>
    <row r="1134">
      <c r="A1134" s="1" t="inlineStr">
        <is>
          <t>y5600010</t>
        </is>
      </c>
      <c r="B1134" s="2" t="inlineStr">
        <is>
          <t>879308722</t>
        </is>
      </c>
      <c r="C1134" s="3" t="inlineStr">
        <is>
          <t>Одежда для детей</t>
        </is>
      </c>
      <c r="D1134" s="2" t="inlineStr">
        <is>
          <t>Верхняя детская одежда для девочек</t>
        </is>
      </c>
      <c r="E1134" s="3" t="inlineStr">
        <is>
          <t>y56 Куртка для девочек облегченная</t>
        </is>
      </c>
      <c r="F1134" s="2" t="inlineStr">
        <is>
          <t>демисезонный</t>
        </is>
      </c>
      <c r="G1134" s="3" t="inlineStr">
        <is>
          <t>kari</t>
        </is>
      </c>
      <c r="H1134" s="2" t="inlineStr">
        <is>
          <t>Зиннуров Ильнур</t>
        </is>
      </c>
      <c r="J1134" s="3" t="inlineStr">
        <is>
          <t>2026SS</t>
        </is>
      </c>
      <c r="K1134" s="3" t="n">
        <v>696</v>
      </c>
      <c r="L1134" s="3" t="n">
        <v>30</v>
      </c>
      <c r="M1134" s="3" t="n">
        <v>1</v>
      </c>
      <c r="N1134" s="4">
        <f>IFERROR(L1134/K1134,0)</f>
        <v/>
      </c>
      <c r="O1134" s="4">
        <f>IFERROR(M1134/L1134,0)</f>
        <v/>
      </c>
      <c r="P1134" t="n">
        <v>298</v>
      </c>
      <c r="Q1134" s="5" t="n">
        <v>0.8571428571428571</v>
      </c>
      <c r="R1134" s="7" t="n">
        <v>0</v>
      </c>
      <c r="S1134" t="inlineStr">
        <is>
          <t>Мало показов</t>
        </is>
      </c>
      <c r="T1134">
        <f>IF(N1134&lt;$T$1*0.5,"Низшая четверть",IF(N1134&lt;$T$1,"Вторая четверть","Больше половины"))</f>
        <v/>
      </c>
      <c r="U1134">
        <f>IF(O1134&lt;$U$1*0.5,"Низшая четверть",IF(O1134&lt;$U$1,"Вторая четверть","Больше половины"))</f>
        <v/>
      </c>
      <c r="V1134">
        <f>IF(OR(N1134&lt;SUMIFS(L:L,R:R,1,E:E,E1134)/SUMIFS(K:K,R:R,1,E:E,E1134)*0.5,O1134&lt;SUMIFS(M:M,R:R,1,E:E,E1134)/SUMIFS(L:L,R:R,1,E:E,E1134)*0.5),"код для проверки","нормальный код")</f>
        <v/>
      </c>
      <c r="W1134">
        <f>IF(N1134&lt;SUMIFS(L:L,R:R,1,E:E,E1134)/SUMIFS(K:K,R:R,1,E:E,E1134)*0.5,"Низшая четверть",IF(N1134&lt;SUMIFS(L:L,R:R,1,E:E,E1134)/SUMIFS(K:K,R:R,1,E:E,E1134),"Вторая четверть","Больше половины"))</f>
        <v/>
      </c>
      <c r="X1134">
        <f>IF(O1134&lt;SUMIFS(M:M,R:R,1,E:E,E1134)/SUMIFS(L:L,R:R,1,E:E,E1134)*0.5,"Низшая четверть",IF(O1134&lt;SUMIFS(M:M,R:R,1,E:E,E1134)/SUMIFS(L:L,R:R,1,E:E,E1134),"Вторая четверть","Больше половины"))</f>
        <v/>
      </c>
      <c r="Y1134" t="n">
        <v>18</v>
      </c>
    </row>
    <row r="1135">
      <c r="A1135" s="1" t="inlineStr">
        <is>
          <t>53000130</t>
        </is>
      </c>
      <c r="B1135" s="2" t="inlineStr">
        <is>
          <t>820657734</t>
        </is>
      </c>
      <c r="C1135" s="3" t="inlineStr">
        <is>
          <t>Одежда для детей</t>
        </is>
      </c>
      <c r="D1135" s="2" t="inlineStr">
        <is>
          <t>Головные детские уборы для девочек</t>
        </is>
      </c>
      <c r="E1135" s="3" t="inlineStr">
        <is>
          <t>530 Панама детская для девочек</t>
        </is>
      </c>
      <c r="F1135" s="2" t="inlineStr">
        <is>
          <t>весна, лето</t>
        </is>
      </c>
      <c r="G1135" s="3" t="inlineStr">
        <is>
          <t>kari</t>
        </is>
      </c>
      <c r="H1135" s="2" t="inlineStr">
        <is>
          <t>Никонорова Алина</t>
        </is>
      </c>
      <c r="J1135" s="3" t="inlineStr">
        <is>
          <t>2026SS</t>
        </is>
      </c>
      <c r="K1135" s="3" t="n">
        <v>696</v>
      </c>
      <c r="L1135" s="3" t="n">
        <v>257</v>
      </c>
      <c r="M1135" s="3" t="n">
        <v>1</v>
      </c>
      <c r="N1135" s="4">
        <f>IFERROR(L1135/K1135,0)</f>
        <v/>
      </c>
      <c r="O1135" s="4">
        <f>IFERROR(M1135/L1135,0)</f>
        <v/>
      </c>
      <c r="P1135" t="n">
        <v>745</v>
      </c>
      <c r="Q1135" s="5" t="n">
        <v>0.6666666666666666</v>
      </c>
      <c r="R1135" s="7" t="n">
        <v>0</v>
      </c>
      <c r="S1135" t="inlineStr">
        <is>
          <t>Мало показов</t>
        </is>
      </c>
      <c r="T1135">
        <f>IF(N1135&lt;$T$1*0.5,"Низшая четверть",IF(N1135&lt;$T$1,"Вторая четверть","Больше половины"))</f>
        <v/>
      </c>
      <c r="U1135">
        <f>IF(O1135&lt;$U$1*0.5,"Низшая четверть",IF(O1135&lt;$U$1,"Вторая четверть","Больше половины"))</f>
        <v/>
      </c>
      <c r="V1135">
        <f>IF(OR(N1135&lt;SUMIFS(L:L,R:R,1,E:E,E1135)/SUMIFS(K:K,R:R,1,E:E,E1135)*0.5,O1135&lt;SUMIFS(M:M,R:R,1,E:E,E1135)/SUMIFS(L:L,R:R,1,E:E,E1135)*0.5),"код для проверки","нормальный код")</f>
        <v/>
      </c>
      <c r="W1135">
        <f>IF(N1135&lt;SUMIFS(L:L,R:R,1,E:E,E1135)/SUMIFS(K:K,R:R,1,E:E,E1135)*0.5,"Низшая четверть",IF(N1135&lt;SUMIFS(L:L,R:R,1,E:E,E1135)/SUMIFS(K:K,R:R,1,E:E,E1135),"Вторая четверть","Больше половины"))</f>
        <v/>
      </c>
      <c r="X1135">
        <f>IF(O1135&lt;SUMIFS(M:M,R:R,1,E:E,E1135)/SUMIFS(L:L,R:R,1,E:E,E1135)*0.5,"Низшая четверть",IF(O1135&lt;SUMIFS(M:M,R:R,1,E:E,E1135)/SUMIFS(L:L,R:R,1,E:E,E1135),"Вторая четверть","Больше половины"))</f>
        <v/>
      </c>
      <c r="Y1135" t="n">
        <v>6</v>
      </c>
    </row>
    <row r="1136">
      <c r="A1136" s="1" t="inlineStr">
        <is>
          <t>94500130</t>
        </is>
      </c>
      <c r="B1136" s="2" t="inlineStr">
        <is>
          <t>915625083</t>
        </is>
      </c>
      <c r="C1136" s="3" t="inlineStr">
        <is>
          <t>Одежда для детей</t>
        </is>
      </c>
      <c r="D1136" s="2" t="inlineStr">
        <is>
          <t>Одежда для новорожденных</t>
        </is>
      </c>
      <c r="E1136" s="3" t="inlineStr">
        <is>
          <t>945 Комплект одежды для маленького мальчика</t>
        </is>
      </c>
      <c r="F1136" s="2" t="inlineStr">
        <is>
          <t>всесезонный</t>
        </is>
      </c>
      <c r="G1136" s="3" t="inlineStr">
        <is>
          <t>Kari baby</t>
        </is>
      </c>
      <c r="H1136" s="2" t="inlineStr">
        <is>
          <t>Зиннуров Ильнур</t>
        </is>
      </c>
      <c r="J1136" s="3" t="inlineStr">
        <is>
          <t>2026SS</t>
        </is>
      </c>
      <c r="K1136" s="3" t="n">
        <v>690</v>
      </c>
      <c r="L1136" s="3" t="n">
        <v>55</v>
      </c>
      <c r="M1136" s="3" t="n">
        <v>1</v>
      </c>
      <c r="N1136" s="4">
        <f>IFERROR(L1136/K1136,0)</f>
        <v/>
      </c>
      <c r="O1136" s="4">
        <f>IFERROR(M1136/L1136,0)</f>
        <v/>
      </c>
      <c r="P1136" t="n">
        <v>79</v>
      </c>
      <c r="Q1136" s="5" t="n">
        <v>1</v>
      </c>
      <c r="R1136" s="7" t="n">
        <v>0</v>
      </c>
      <c r="S1136" t="inlineStr">
        <is>
          <t>Мало показов</t>
        </is>
      </c>
      <c r="T1136">
        <f>IF(N1136&lt;$T$1*0.5,"Низшая четверть",IF(N1136&lt;$T$1,"Вторая четверть","Больше половины"))</f>
        <v/>
      </c>
      <c r="U1136">
        <f>IF(O1136&lt;$U$1*0.5,"Низшая четверть",IF(O1136&lt;$U$1,"Вторая четверть","Больше половины"))</f>
        <v/>
      </c>
      <c r="V1136">
        <f>IF(OR(N1136&lt;SUMIFS(L:L,R:R,1,E:E,E1136)/SUMIFS(K:K,R:R,1,E:E,E1136)*0.5,O1136&lt;SUMIFS(M:M,R:R,1,E:E,E1136)/SUMIFS(L:L,R:R,1,E:E,E1136)*0.5),"код для проверки","нормальный код")</f>
        <v/>
      </c>
      <c r="W1136">
        <f>IF(N1136&lt;SUMIFS(L:L,R:R,1,E:E,E1136)/SUMIFS(K:K,R:R,1,E:E,E1136)*0.5,"Низшая четверть",IF(N1136&lt;SUMIFS(L:L,R:R,1,E:E,E1136)/SUMIFS(K:K,R:R,1,E:E,E1136),"Вторая четверть","Больше половины"))</f>
        <v/>
      </c>
      <c r="X1136">
        <f>IF(O1136&lt;SUMIFS(M:M,R:R,1,E:E,E1136)/SUMIFS(L:L,R:R,1,E:E,E1136)*0.5,"Низшая четверть",IF(O1136&lt;SUMIFS(M:M,R:R,1,E:E,E1136)/SUMIFS(L:L,R:R,1,E:E,E1136),"Вторая четверть","Больше половины"))</f>
        <v/>
      </c>
      <c r="Y1136" t="n">
        <v>17</v>
      </c>
    </row>
    <row r="1137">
      <c r="A1137" s="1" t="inlineStr">
        <is>
          <t>96200080</t>
        </is>
      </c>
      <c r="B1137" s="2" t="inlineStr">
        <is>
          <t>923939428</t>
        </is>
      </c>
      <c r="C1137" s="3" t="inlineStr">
        <is>
          <t>Одежда для детей</t>
        </is>
      </c>
      <c r="D1137" s="2" t="inlineStr">
        <is>
          <t>Одежда для новорожденных</t>
        </is>
      </c>
      <c r="E1137" s="3" t="inlineStr">
        <is>
          <t>962 Комплект летней одежды для маленького мальчика</t>
        </is>
      </c>
      <c r="F1137" s="2" t="inlineStr">
        <is>
          <t>весна, лето</t>
        </is>
      </c>
      <c r="G1137" s="3" t="inlineStr">
        <is>
          <t>Kari baby</t>
        </is>
      </c>
      <c r="H1137" s="2" t="inlineStr">
        <is>
          <t>Зиннуров Ильнур</t>
        </is>
      </c>
      <c r="J1137" s="3" t="inlineStr">
        <is>
          <t>2026SS</t>
        </is>
      </c>
      <c r="K1137" s="3" t="n">
        <v>683</v>
      </c>
      <c r="L1137" s="3" t="n">
        <v>29</v>
      </c>
      <c r="M1137" s="3" t="n">
        <v>0</v>
      </c>
      <c r="N1137" s="4">
        <f>IFERROR(L1137/K1137,0)</f>
        <v/>
      </c>
      <c r="O1137" s="4">
        <f>IFERROR(M1137/L1137,0)</f>
        <v/>
      </c>
      <c r="P1137" t="n">
        <v>100</v>
      </c>
      <c r="Q1137" s="5" t="n">
        <v>1</v>
      </c>
      <c r="R1137" s="7" t="n">
        <v>0</v>
      </c>
      <c r="S1137" t="inlineStr">
        <is>
          <t>Мало показов</t>
        </is>
      </c>
      <c r="T1137">
        <f>IF(N1137&lt;$T$1*0.5,"Низшая четверть",IF(N1137&lt;$T$1,"Вторая четверть","Больше половины"))</f>
        <v/>
      </c>
      <c r="U1137">
        <f>IF(O1137&lt;$U$1*0.5,"Низшая четверть",IF(O1137&lt;$U$1,"Вторая четверть","Больше половины"))</f>
        <v/>
      </c>
      <c r="V1137">
        <f>IF(OR(N1137&lt;SUMIFS(L:L,R:R,1,E:E,E1137)/SUMIFS(K:K,R:R,1,E:E,E1137)*0.5,O1137&lt;SUMIFS(M:M,R:R,1,E:E,E1137)/SUMIFS(L:L,R:R,1,E:E,E1137)*0.5),"код для проверки","нормальный код")</f>
        <v/>
      </c>
      <c r="W1137">
        <f>IF(N1137&lt;SUMIFS(L:L,R:R,1,E:E,E1137)/SUMIFS(K:K,R:R,1,E:E,E1137)*0.5,"Низшая четверть",IF(N1137&lt;SUMIFS(L:L,R:R,1,E:E,E1137)/SUMIFS(K:K,R:R,1,E:E,E1137),"Вторая четверть","Больше половины"))</f>
        <v/>
      </c>
      <c r="X1137">
        <f>IF(O1137&lt;SUMIFS(M:M,R:R,1,E:E,E1137)/SUMIFS(L:L,R:R,1,E:E,E1137)*0.5,"Низшая четверть",IF(O1137&lt;SUMIFS(M:M,R:R,1,E:E,E1137)/SUMIFS(L:L,R:R,1,E:E,E1137),"Вторая четверть","Больше половины"))</f>
        <v/>
      </c>
      <c r="Y1137" t="n">
        <v>12</v>
      </c>
    </row>
    <row r="1138">
      <c r="A1138" s="1" t="inlineStr">
        <is>
          <t>19300380</t>
        </is>
      </c>
      <c r="B1138" s="2" t="inlineStr">
        <is>
          <t>796555423</t>
        </is>
      </c>
      <c r="C1138" s="3" t="inlineStr">
        <is>
          <t>Одежда для детей</t>
        </is>
      </c>
      <c r="D1138" s="2" t="inlineStr">
        <is>
          <t>Брюки детские для мальчиков</t>
        </is>
      </c>
      <c r="E1138" s="3" t="inlineStr">
        <is>
          <t>193 Шорты детские для мальчиков</t>
        </is>
      </c>
      <c r="F1138" s="2" t="inlineStr">
        <is>
          <t>лето</t>
        </is>
      </c>
      <c r="G1138" s="3" t="inlineStr">
        <is>
          <t>kari</t>
        </is>
      </c>
      <c r="H1138" s="2" t="inlineStr">
        <is>
          <t>Зиннуров Ильнур</t>
        </is>
      </c>
      <c r="J1138" s="3" t="inlineStr">
        <is>
          <t>2026SS</t>
        </is>
      </c>
      <c r="K1138" s="3" t="n">
        <v>683</v>
      </c>
      <c r="L1138" s="3" t="n">
        <v>25</v>
      </c>
      <c r="M1138" s="3" t="n">
        <v>1</v>
      </c>
      <c r="N1138" s="4">
        <f>IFERROR(L1138/K1138,0)</f>
        <v/>
      </c>
      <c r="O1138" s="4">
        <f>IFERROR(M1138/L1138,0)</f>
        <v/>
      </c>
      <c r="P1138" t="n">
        <v>219</v>
      </c>
      <c r="Q1138" s="5" t="n">
        <v>1</v>
      </c>
      <c r="R1138" s="7" t="n">
        <v>0</v>
      </c>
      <c r="S1138" t="inlineStr">
        <is>
          <t>Мало показов</t>
        </is>
      </c>
      <c r="T1138">
        <f>IF(N1138&lt;$T$1*0.5,"Низшая четверть",IF(N1138&lt;$T$1,"Вторая четверть","Больше половины"))</f>
        <v/>
      </c>
      <c r="U1138">
        <f>IF(O1138&lt;$U$1*0.5,"Низшая четверть",IF(O1138&lt;$U$1,"Вторая четверть","Больше половины"))</f>
        <v/>
      </c>
      <c r="V1138">
        <f>IF(OR(N1138&lt;SUMIFS(L:L,R:R,1,E:E,E1138)/SUMIFS(K:K,R:R,1,E:E,E1138)*0.5,O1138&lt;SUMIFS(M:M,R:R,1,E:E,E1138)/SUMIFS(L:L,R:R,1,E:E,E1138)*0.5),"код для проверки","нормальный код")</f>
        <v/>
      </c>
      <c r="W1138">
        <f>IF(N1138&lt;SUMIFS(L:L,R:R,1,E:E,E1138)/SUMIFS(K:K,R:R,1,E:E,E1138)*0.5,"Низшая четверть",IF(N1138&lt;SUMIFS(L:L,R:R,1,E:E,E1138)/SUMIFS(K:K,R:R,1,E:E,E1138),"Вторая четверть","Больше половины"))</f>
        <v/>
      </c>
      <c r="X1138">
        <f>IF(O1138&lt;SUMIFS(M:M,R:R,1,E:E,E1138)/SUMIFS(L:L,R:R,1,E:E,E1138)*0.5,"Низшая четверть",IF(O1138&lt;SUMIFS(M:M,R:R,1,E:E,E1138)/SUMIFS(L:L,R:R,1,E:E,E1138),"Вторая четверть","Больше половины"))</f>
        <v/>
      </c>
      <c r="Y1138" t="n">
        <v>17</v>
      </c>
    </row>
    <row r="1139">
      <c r="A1139" s="1" t="inlineStr">
        <is>
          <t>310001Q0</t>
        </is>
      </c>
      <c r="B1139" s="2" t="inlineStr">
        <is>
          <t>932503715</t>
        </is>
      </c>
      <c r="C1139" s="3" t="inlineStr">
        <is>
          <t>Одежда для детей</t>
        </is>
      </c>
      <c r="D1139" s="2" t="inlineStr">
        <is>
          <t>Футболки, майки, рубашки детские для мальчиков</t>
        </is>
      </c>
      <c r="E1139" s="3" t="inlineStr">
        <is>
          <t>310 Футболка детская для мальчиков</t>
        </is>
      </c>
      <c r="F1139" s="2" t="inlineStr">
        <is>
          <t>всесезонный</t>
        </is>
      </c>
      <c r="G1139" s="3" t="inlineStr">
        <is>
          <t>Kari KIDS</t>
        </is>
      </c>
      <c r="H1139" s="2" t="inlineStr">
        <is>
          <t>Зиннуров Ильнур</t>
        </is>
      </c>
      <c r="J1139" s="3" t="inlineStr">
        <is>
          <t>2026SS</t>
        </is>
      </c>
      <c r="K1139" s="3" t="n">
        <v>679</v>
      </c>
      <c r="L1139" s="3" t="n">
        <v>12</v>
      </c>
      <c r="M1139" s="3" t="n">
        <v>0</v>
      </c>
      <c r="N1139" s="4">
        <f>IFERROR(L1139/K1139,0)</f>
        <v/>
      </c>
      <c r="O1139" s="4">
        <f>IFERROR(M1139/L1139,0)</f>
        <v/>
      </c>
      <c r="P1139" t="n">
        <v>120</v>
      </c>
      <c r="Q1139" s="5" t="n">
        <v>0.2</v>
      </c>
      <c r="R1139" s="7" t="n">
        <v>0</v>
      </c>
      <c r="S1139" t="inlineStr">
        <is>
          <t>Мало показов</t>
        </is>
      </c>
      <c r="T1139">
        <f>IF(N1139&lt;$T$1*0.5,"Низшая четверть",IF(N1139&lt;$T$1,"Вторая четверть","Больше половины"))</f>
        <v/>
      </c>
      <c r="U1139">
        <f>IF(O1139&lt;$U$1*0.5,"Низшая четверть",IF(O1139&lt;$U$1,"Вторая четверть","Больше половины"))</f>
        <v/>
      </c>
      <c r="V1139">
        <f>IF(OR(N1139&lt;SUMIFS(L:L,R:R,1,E:E,E1139)/SUMIFS(K:K,R:R,1,E:E,E1139)*0.5,O1139&lt;SUMIFS(M:M,R:R,1,E:E,E1139)/SUMIFS(L:L,R:R,1,E:E,E1139)*0.5),"код для проверки","нормальный код")</f>
        <v/>
      </c>
      <c r="W1139">
        <f>IF(N1139&lt;SUMIFS(L:L,R:R,1,E:E,E1139)/SUMIFS(K:K,R:R,1,E:E,E1139)*0.5,"Низшая четверть",IF(N1139&lt;SUMIFS(L:L,R:R,1,E:E,E1139)/SUMIFS(K:K,R:R,1,E:E,E1139),"Вторая четверть","Больше половины"))</f>
        <v/>
      </c>
      <c r="X1139">
        <f>IF(O1139&lt;SUMIFS(M:M,R:R,1,E:E,E1139)/SUMIFS(L:L,R:R,1,E:E,E1139)*0.5,"Низшая четверть",IF(O1139&lt;SUMIFS(M:M,R:R,1,E:E,E1139)/SUMIFS(L:L,R:R,1,E:E,E1139),"Вторая четверть","Больше половины"))</f>
        <v/>
      </c>
      <c r="Y1139" t="n">
        <v>6</v>
      </c>
    </row>
    <row r="1140">
      <c r="A1140" s="1" t="inlineStr">
        <is>
          <t>h7700290</t>
        </is>
      </c>
      <c r="B1140" s="2" t="inlineStr">
        <is>
          <t>817624478</t>
        </is>
      </c>
      <c r="C1140" s="3" t="inlineStr">
        <is>
          <t>Одежда и аксессуары</t>
        </is>
      </c>
      <c r="D1140" s="2" t="inlineStr">
        <is>
          <t>Купальники женские</t>
        </is>
      </c>
      <c r="E1140" s="3" t="inlineStr">
        <is>
          <t>h77 Одежда пляжная женская</t>
        </is>
      </c>
      <c r="F1140" s="2" t="inlineStr">
        <is>
          <t>лето</t>
        </is>
      </c>
      <c r="G1140" s="3" t="inlineStr">
        <is>
          <t>kari</t>
        </is>
      </c>
      <c r="H1140" s="2" t="inlineStr">
        <is>
          <t>Зиннуров Ильнур</t>
        </is>
      </c>
      <c r="J1140" s="3" t="inlineStr">
        <is>
          <t>2026SS</t>
        </is>
      </c>
      <c r="K1140" s="3" t="n">
        <v>678</v>
      </c>
      <c r="L1140" s="3" t="n">
        <v>200</v>
      </c>
      <c r="M1140" s="3" t="n">
        <v>1</v>
      </c>
      <c r="N1140" s="4">
        <f>IFERROR(L1140/K1140,0)</f>
        <v/>
      </c>
      <c r="O1140" s="4">
        <f>IFERROR(M1140/L1140,0)</f>
        <v/>
      </c>
      <c r="P1140" t="n">
        <v>460</v>
      </c>
      <c r="Q1140" s="5" t="n">
        <v>0.8</v>
      </c>
      <c r="R1140" s="7" t="n">
        <v>0</v>
      </c>
      <c r="S1140" t="inlineStr">
        <is>
          <t>Мало показов</t>
        </is>
      </c>
      <c r="T1140">
        <f>IF(N1140&lt;$T$1*0.5,"Низшая четверть",IF(N1140&lt;$T$1,"Вторая четверть","Больше половины"))</f>
        <v/>
      </c>
      <c r="U1140">
        <f>IF(O1140&lt;$U$1*0.5,"Низшая четверть",IF(O1140&lt;$U$1,"Вторая четверть","Больше половины"))</f>
        <v/>
      </c>
      <c r="V1140">
        <f>IF(OR(N1140&lt;SUMIFS(L:L,R:R,1,E:E,E1140)/SUMIFS(K:K,R:R,1,E:E,E1140)*0.5,O1140&lt;SUMIFS(M:M,R:R,1,E:E,E1140)/SUMIFS(L:L,R:R,1,E:E,E1140)*0.5),"код для проверки","нормальный код")</f>
        <v/>
      </c>
      <c r="W1140">
        <f>IF(N1140&lt;SUMIFS(L:L,R:R,1,E:E,E1140)/SUMIFS(K:K,R:R,1,E:E,E1140)*0.5,"Низшая четверть",IF(N1140&lt;SUMIFS(L:L,R:R,1,E:E,E1140)/SUMIFS(K:K,R:R,1,E:E,E1140),"Вторая четверть","Больше половины"))</f>
        <v/>
      </c>
      <c r="X1140">
        <f>IF(O1140&lt;SUMIFS(M:M,R:R,1,E:E,E1140)/SUMIFS(L:L,R:R,1,E:E,E1140)*0.5,"Низшая четверть",IF(O1140&lt;SUMIFS(M:M,R:R,1,E:E,E1140)/SUMIFS(L:L,R:R,1,E:E,E1140),"Вторая четверть","Больше половины"))</f>
        <v/>
      </c>
      <c r="Y1140" t="n">
        <v>7</v>
      </c>
    </row>
    <row r="1141">
      <c r="A1141" s="1" t="inlineStr">
        <is>
          <t>310002H0</t>
        </is>
      </c>
      <c r="B1141" s="2" t="inlineStr">
        <is>
          <t>932503588</t>
        </is>
      </c>
      <c r="C1141" s="3" t="inlineStr">
        <is>
          <t>Одежда для детей</t>
        </is>
      </c>
      <c r="D1141" s="2" t="inlineStr">
        <is>
          <t>Футболки, майки, рубашки детские для мальчиков</t>
        </is>
      </c>
      <c r="E1141" s="3" t="inlineStr">
        <is>
          <t>310 Футболка детская для мальчиков</t>
        </is>
      </c>
      <c r="F1141" s="2" t="inlineStr">
        <is>
          <t>всесезонный</t>
        </is>
      </c>
      <c r="G1141" s="3" t="inlineStr">
        <is>
          <t>Kari KIDS</t>
        </is>
      </c>
      <c r="H1141" s="2" t="inlineStr">
        <is>
          <t>Зиннуров Ильнур</t>
        </is>
      </c>
      <c r="J1141" s="3" t="inlineStr">
        <is>
          <t>2026SS</t>
        </is>
      </c>
      <c r="K1141" s="3" t="n">
        <v>678</v>
      </c>
      <c r="L1141" s="3" t="n">
        <v>5</v>
      </c>
      <c r="M1141" s="3" t="n">
        <v>0</v>
      </c>
      <c r="N1141" s="4">
        <f>IFERROR(L1141/K1141,0)</f>
        <v/>
      </c>
      <c r="O1141" s="4">
        <f>IFERROR(M1141/L1141,0)</f>
        <v/>
      </c>
      <c r="P1141" t="n">
        <v>364</v>
      </c>
      <c r="Q1141" s="5" t="n">
        <v>0.8</v>
      </c>
      <c r="R1141" s="7" t="n">
        <v>0</v>
      </c>
      <c r="S1141" t="inlineStr">
        <is>
          <t>Мало показов</t>
        </is>
      </c>
      <c r="T1141">
        <f>IF(N1141&lt;$T$1*0.5,"Низшая четверть",IF(N1141&lt;$T$1,"Вторая четверть","Больше половины"))</f>
        <v/>
      </c>
      <c r="U1141">
        <f>IF(O1141&lt;$U$1*0.5,"Низшая четверть",IF(O1141&lt;$U$1,"Вторая четверть","Больше половины"))</f>
        <v/>
      </c>
      <c r="V1141">
        <f>IF(OR(N1141&lt;SUMIFS(L:L,R:R,1,E:E,E1141)/SUMIFS(K:K,R:R,1,E:E,E1141)*0.5,O1141&lt;SUMIFS(M:M,R:R,1,E:E,E1141)/SUMIFS(L:L,R:R,1,E:E,E1141)*0.5),"код для проверки","нормальный код")</f>
        <v/>
      </c>
      <c r="W1141">
        <f>IF(N1141&lt;SUMIFS(L:L,R:R,1,E:E,E1141)/SUMIFS(K:K,R:R,1,E:E,E1141)*0.5,"Низшая четверть",IF(N1141&lt;SUMIFS(L:L,R:R,1,E:E,E1141)/SUMIFS(K:K,R:R,1,E:E,E1141),"Вторая четверть","Больше половины"))</f>
        <v/>
      </c>
      <c r="X1141">
        <f>IF(O1141&lt;SUMIFS(M:M,R:R,1,E:E,E1141)/SUMIFS(L:L,R:R,1,E:E,E1141)*0.5,"Низшая четверть",IF(O1141&lt;SUMIFS(M:M,R:R,1,E:E,E1141)/SUMIFS(L:L,R:R,1,E:E,E1141),"Вторая четверть","Больше половины"))</f>
        <v/>
      </c>
      <c r="Y1141" t="n">
        <v>15</v>
      </c>
    </row>
    <row r="1142">
      <c r="A1142" s="1" t="inlineStr">
        <is>
          <t>310003L0</t>
        </is>
      </c>
      <c r="B1142" s="2" t="inlineStr">
        <is>
          <t>847884045</t>
        </is>
      </c>
      <c r="C1142" s="3" t="inlineStr">
        <is>
          <t>Одежда для детей</t>
        </is>
      </c>
      <c r="D1142" s="2" t="inlineStr">
        <is>
          <t>Футболки, майки, рубашки детские для мальчиков</t>
        </is>
      </c>
      <c r="E1142" s="3" t="inlineStr">
        <is>
          <t>310 Футболка детская для мальчиков</t>
        </is>
      </c>
      <c r="F1142" s="2" t="inlineStr">
        <is>
          <t>всесезонный</t>
        </is>
      </c>
      <c r="G1142" s="3" t="inlineStr">
        <is>
          <t>kari</t>
        </is>
      </c>
      <c r="H1142" s="2" t="inlineStr">
        <is>
          <t>Зиннуров Ильнур</t>
        </is>
      </c>
      <c r="J1142" s="3" t="inlineStr">
        <is>
          <t>2026SS</t>
        </is>
      </c>
      <c r="K1142" s="3" t="n">
        <v>675</v>
      </c>
      <c r="L1142" s="3" t="n">
        <v>5</v>
      </c>
      <c r="M1142" s="3" t="n">
        <v>0</v>
      </c>
      <c r="N1142" s="4">
        <f>IFERROR(L1142/K1142,0)</f>
        <v/>
      </c>
      <c r="O1142" s="4">
        <f>IFERROR(M1142/L1142,0)</f>
        <v/>
      </c>
      <c r="P1142" t="n">
        <v>445</v>
      </c>
      <c r="Q1142" s="5" t="n">
        <v>1</v>
      </c>
      <c r="R1142" s="7" t="n">
        <v>0</v>
      </c>
      <c r="S1142" t="inlineStr">
        <is>
          <t>Мало показов</t>
        </is>
      </c>
      <c r="T1142">
        <f>IF(N1142&lt;$T$1*0.5,"Низшая четверть",IF(N1142&lt;$T$1,"Вторая четверть","Больше половины"))</f>
        <v/>
      </c>
      <c r="U1142">
        <f>IF(O1142&lt;$U$1*0.5,"Низшая четверть",IF(O1142&lt;$U$1,"Вторая четверть","Больше половины"))</f>
        <v/>
      </c>
      <c r="V1142">
        <f>IF(OR(N1142&lt;SUMIFS(L:L,R:R,1,E:E,E1142)/SUMIFS(K:K,R:R,1,E:E,E1142)*0.5,O1142&lt;SUMIFS(M:M,R:R,1,E:E,E1142)/SUMIFS(L:L,R:R,1,E:E,E1142)*0.5),"код для проверки","нормальный код")</f>
        <v/>
      </c>
      <c r="W1142">
        <f>IF(N1142&lt;SUMIFS(L:L,R:R,1,E:E,E1142)/SUMIFS(K:K,R:R,1,E:E,E1142)*0.5,"Низшая четверть",IF(N1142&lt;SUMIFS(L:L,R:R,1,E:E,E1142)/SUMIFS(K:K,R:R,1,E:E,E1142),"Вторая четверть","Больше половины"))</f>
        <v/>
      </c>
      <c r="X1142">
        <f>IF(O1142&lt;SUMIFS(M:M,R:R,1,E:E,E1142)/SUMIFS(L:L,R:R,1,E:E,E1142)*0.5,"Низшая четверть",IF(O1142&lt;SUMIFS(M:M,R:R,1,E:E,E1142)/SUMIFS(L:L,R:R,1,E:E,E1142),"Вторая четверть","Больше половины"))</f>
        <v/>
      </c>
      <c r="Y1142" t="n">
        <v>19</v>
      </c>
    </row>
    <row r="1143">
      <c r="A1143" s="1" t="inlineStr">
        <is>
          <t>20200400</t>
        </is>
      </c>
      <c r="B1143" s="2" t="inlineStr">
        <is>
          <t>932995619</t>
        </is>
      </c>
      <c r="C1143" s="3" t="inlineStr">
        <is>
          <t>Одежда для детей</t>
        </is>
      </c>
      <c r="D1143" s="2" t="inlineStr">
        <is>
          <t>Головные уборы детские для мальчиков</t>
        </is>
      </c>
      <c r="E1143" s="3" t="inlineStr">
        <is>
          <t>202 Бейсболка детская для мальчиков</t>
        </is>
      </c>
      <c r="F1143" s="2" t="inlineStr">
        <is>
          <t>весна, лето</t>
        </is>
      </c>
      <c r="G1143" s="3" t="inlineStr">
        <is>
          <t>kari</t>
        </is>
      </c>
      <c r="H1143" s="2" t="inlineStr">
        <is>
          <t>Никонорова Алина</t>
        </is>
      </c>
      <c r="J1143" s="3" t="inlineStr">
        <is>
          <t>2026SS</t>
        </is>
      </c>
      <c r="K1143" s="3" t="n">
        <v>660</v>
      </c>
      <c r="L1143" s="3" t="n">
        <v>63</v>
      </c>
      <c r="M1143" s="3" t="n">
        <v>1</v>
      </c>
      <c r="N1143" s="4">
        <f>IFERROR(L1143/K1143,0)</f>
        <v/>
      </c>
      <c r="O1143" s="4">
        <f>IFERROR(M1143/L1143,0)</f>
        <v/>
      </c>
      <c r="P1143" t="n">
        <v>399</v>
      </c>
      <c r="Q1143" s="5" t="n">
        <v>1</v>
      </c>
      <c r="R1143" s="7" t="n">
        <v>0</v>
      </c>
      <c r="S1143" t="inlineStr">
        <is>
          <t>Мало показов</t>
        </is>
      </c>
      <c r="T1143">
        <f>IF(N1143&lt;$T$1*0.5,"Низшая четверть",IF(N1143&lt;$T$1,"Вторая четверть","Больше половины"))</f>
        <v/>
      </c>
      <c r="U1143">
        <f>IF(O1143&lt;$U$1*0.5,"Низшая четверть",IF(O1143&lt;$U$1,"Вторая четверть","Больше половины"))</f>
        <v/>
      </c>
      <c r="V1143">
        <f>IF(OR(N1143&lt;SUMIFS(L:L,R:R,1,E:E,E1143)/SUMIFS(K:K,R:R,1,E:E,E1143)*0.5,O1143&lt;SUMIFS(M:M,R:R,1,E:E,E1143)/SUMIFS(L:L,R:R,1,E:E,E1143)*0.5),"код для проверки","нормальный код")</f>
        <v/>
      </c>
      <c r="W1143">
        <f>IF(N1143&lt;SUMIFS(L:L,R:R,1,E:E,E1143)/SUMIFS(K:K,R:R,1,E:E,E1143)*0.5,"Низшая четверть",IF(N1143&lt;SUMIFS(L:L,R:R,1,E:E,E1143)/SUMIFS(K:K,R:R,1,E:E,E1143),"Вторая четверть","Больше половины"))</f>
        <v/>
      </c>
      <c r="X1143">
        <f>IF(O1143&lt;SUMIFS(M:M,R:R,1,E:E,E1143)/SUMIFS(L:L,R:R,1,E:E,E1143)*0.5,"Низшая четверть",IF(O1143&lt;SUMIFS(M:M,R:R,1,E:E,E1143)/SUMIFS(L:L,R:R,1,E:E,E1143),"Вторая четверть","Больше половины"))</f>
        <v/>
      </c>
      <c r="Y1143" t="n">
        <v>8</v>
      </c>
    </row>
    <row r="1144">
      <c r="A1144" s="1" t="inlineStr">
        <is>
          <t>93700090</t>
        </is>
      </c>
      <c r="B1144" s="2" t="inlineStr">
        <is>
          <t>848722539</t>
        </is>
      </c>
      <c r="C1144" s="3" t="inlineStr">
        <is>
          <t>Одежда для детей</t>
        </is>
      </c>
      <c r="D1144" s="2" t="inlineStr">
        <is>
          <t>Одежда для новорожденных</t>
        </is>
      </c>
      <c r="E1144" s="3" t="inlineStr">
        <is>
          <t>937 Боди с коротким рукавом для мальчиков</t>
        </is>
      </c>
      <c r="F1144" s="2" t="inlineStr">
        <is>
          <t>всесезонный</t>
        </is>
      </c>
      <c r="G1144" s="3" t="inlineStr">
        <is>
          <t>Kari baby</t>
        </is>
      </c>
      <c r="H1144" s="2" t="inlineStr">
        <is>
          <t>Зиннуров Ильнур</t>
        </is>
      </c>
      <c r="J1144" s="3" t="inlineStr">
        <is>
          <t>2026SS</t>
        </is>
      </c>
      <c r="K1144" s="3" t="n">
        <v>652</v>
      </c>
      <c r="L1144" s="3" t="n">
        <v>268</v>
      </c>
      <c r="M1144" s="3" t="n">
        <v>11</v>
      </c>
      <c r="N1144" s="4">
        <f>IFERROR(L1144/K1144,0)</f>
        <v/>
      </c>
      <c r="O1144" s="4">
        <f>IFERROR(M1144/L1144,0)</f>
        <v/>
      </c>
      <c r="P1144" t="n">
        <v>210</v>
      </c>
      <c r="Q1144" s="5" t="n">
        <v>1</v>
      </c>
      <c r="R1144" s="7" t="n">
        <v>0</v>
      </c>
      <c r="S1144" t="inlineStr">
        <is>
          <t>Мало показов</t>
        </is>
      </c>
      <c r="T1144">
        <f>IF(N1144&lt;$T$1*0.5,"Низшая четверть",IF(N1144&lt;$T$1,"Вторая четверть","Больше половины"))</f>
        <v/>
      </c>
      <c r="U1144">
        <f>IF(O1144&lt;$U$1*0.5,"Низшая четверть",IF(O1144&lt;$U$1,"Вторая четверть","Больше половины"))</f>
        <v/>
      </c>
      <c r="V1144">
        <f>IF(OR(N1144&lt;SUMIFS(L:L,R:R,1,E:E,E1144)/SUMIFS(K:K,R:R,1,E:E,E1144)*0.5,O1144&lt;SUMIFS(M:M,R:R,1,E:E,E1144)/SUMIFS(L:L,R:R,1,E:E,E1144)*0.5),"код для проверки","нормальный код")</f>
        <v/>
      </c>
      <c r="W1144">
        <f>IF(N1144&lt;SUMIFS(L:L,R:R,1,E:E,E1144)/SUMIFS(K:K,R:R,1,E:E,E1144)*0.5,"Низшая четверть",IF(N1144&lt;SUMIFS(L:L,R:R,1,E:E,E1144)/SUMIFS(K:K,R:R,1,E:E,E1144),"Вторая четверть","Больше половины"))</f>
        <v/>
      </c>
      <c r="X1144">
        <f>IF(O1144&lt;SUMIFS(M:M,R:R,1,E:E,E1144)/SUMIFS(L:L,R:R,1,E:E,E1144)*0.5,"Низшая четверть",IF(O1144&lt;SUMIFS(M:M,R:R,1,E:E,E1144)/SUMIFS(L:L,R:R,1,E:E,E1144),"Вторая четверть","Больше половины"))</f>
        <v/>
      </c>
      <c r="Y1144" t="n">
        <v>13</v>
      </c>
    </row>
    <row r="1145">
      <c r="A1145" s="1" t="inlineStr">
        <is>
          <t>h1300120</t>
        </is>
      </c>
      <c r="B1145" s="2" t="inlineStr">
        <is>
          <t>879344464</t>
        </is>
      </c>
      <c r="C1145" s="3" t="inlineStr">
        <is>
          <t>Одежда и аксессуары</t>
        </is>
      </c>
      <c r="D1145" s="2" t="inlineStr">
        <is>
          <t>Брюки, шорты женские</t>
        </is>
      </c>
      <c r="E1145" s="3" t="inlineStr">
        <is>
          <t>h13 Шорты женские</t>
        </is>
      </c>
      <c r="F1145" s="2" t="inlineStr">
        <is>
          <t>весна, лето</t>
        </is>
      </c>
      <c r="G1145" s="3" t="inlineStr">
        <is>
          <t>kari</t>
        </is>
      </c>
      <c r="H1145" s="2" t="inlineStr">
        <is>
          <t>Зиннуров Ильнур</t>
        </is>
      </c>
      <c r="J1145" s="3" t="inlineStr">
        <is>
          <t>2026SS</t>
        </is>
      </c>
      <c r="K1145" s="3" t="n">
        <v>649</v>
      </c>
      <c r="L1145" s="3" t="n">
        <v>20</v>
      </c>
      <c r="M1145" s="3" t="n">
        <v>0</v>
      </c>
      <c r="N1145" s="4">
        <f>IFERROR(L1145/K1145,0)</f>
        <v/>
      </c>
      <c r="O1145" s="4">
        <f>IFERROR(M1145/L1145,0)</f>
        <v/>
      </c>
      <c r="P1145" t="n">
        <v>894</v>
      </c>
      <c r="Q1145" s="5" t="n">
        <v>1</v>
      </c>
      <c r="R1145" s="7" t="n">
        <v>0</v>
      </c>
      <c r="S1145" t="inlineStr">
        <is>
          <t>Мало показов</t>
        </is>
      </c>
      <c r="T1145">
        <f>IF(N1145&lt;$T$1*0.5,"Низшая четверть",IF(N1145&lt;$T$1,"Вторая четверть","Больше половины"))</f>
        <v/>
      </c>
      <c r="U1145">
        <f>IF(O1145&lt;$U$1*0.5,"Низшая четверть",IF(O1145&lt;$U$1,"Вторая четверть","Больше половины"))</f>
        <v/>
      </c>
      <c r="V1145">
        <f>IF(OR(N1145&lt;SUMIFS(L:L,R:R,1,E:E,E1145)/SUMIFS(K:K,R:R,1,E:E,E1145)*0.5,O1145&lt;SUMIFS(M:M,R:R,1,E:E,E1145)/SUMIFS(L:L,R:R,1,E:E,E1145)*0.5),"код для проверки","нормальный код")</f>
        <v/>
      </c>
      <c r="W1145">
        <f>IF(N1145&lt;SUMIFS(L:L,R:R,1,E:E,E1145)/SUMIFS(K:K,R:R,1,E:E,E1145)*0.5,"Низшая четверть",IF(N1145&lt;SUMIFS(L:L,R:R,1,E:E,E1145)/SUMIFS(K:K,R:R,1,E:E,E1145),"Вторая четверть","Больше половины"))</f>
        <v/>
      </c>
      <c r="X1145">
        <f>IF(O1145&lt;SUMIFS(M:M,R:R,1,E:E,E1145)/SUMIFS(L:L,R:R,1,E:E,E1145)*0.5,"Низшая четверть",IF(O1145&lt;SUMIFS(M:M,R:R,1,E:E,E1145)/SUMIFS(L:L,R:R,1,E:E,E1145),"Вторая четверть","Больше половины"))</f>
        <v/>
      </c>
      <c r="Y1145" t="n">
        <v>11</v>
      </c>
    </row>
    <row r="1146">
      <c r="A1146" s="1" t="inlineStr">
        <is>
          <t>56100220</t>
        </is>
      </c>
      <c r="B1146" s="2" t="inlineStr">
        <is>
          <t>918261408</t>
        </is>
      </c>
      <c r="C1146" s="3" t="inlineStr">
        <is>
          <t>Одежда для детей</t>
        </is>
      </c>
      <c r="D1146" s="2" t="inlineStr">
        <is>
          <t>Нижнее белье детское для мальчиков</t>
        </is>
      </c>
      <c r="E1146" s="3" t="inlineStr">
        <is>
          <t>561 Майка детская для мальчиков</t>
        </is>
      </c>
      <c r="F1146" s="2" t="inlineStr">
        <is>
          <t>всесезонный</t>
        </is>
      </c>
      <c r="G1146" s="3" t="inlineStr">
        <is>
          <t>Kari KIDS</t>
        </is>
      </c>
      <c r="H1146" s="2" t="inlineStr">
        <is>
          <t>Зиннуров Ильнур</t>
        </is>
      </c>
      <c r="J1146" s="3" t="inlineStr">
        <is>
          <t>2026SS</t>
        </is>
      </c>
      <c r="K1146" s="3" t="n">
        <v>646</v>
      </c>
      <c r="L1146" s="3" t="n">
        <v>6</v>
      </c>
      <c r="M1146" s="3" t="n">
        <v>0</v>
      </c>
      <c r="N1146" s="4">
        <f>IFERROR(L1146/K1146,0)</f>
        <v/>
      </c>
      <c r="O1146" s="4">
        <f>IFERROR(M1146/L1146,0)</f>
        <v/>
      </c>
      <c r="P1146" t="n">
        <v>725</v>
      </c>
      <c r="Q1146" s="5" t="n">
        <v>1</v>
      </c>
      <c r="R1146" s="7" t="n">
        <v>0</v>
      </c>
      <c r="S1146" t="inlineStr">
        <is>
          <t>Мало показов</t>
        </is>
      </c>
      <c r="T1146">
        <f>IF(N1146&lt;$T$1*0.5,"Низшая четверть",IF(N1146&lt;$T$1,"Вторая четверть","Больше половины"))</f>
        <v/>
      </c>
      <c r="U1146">
        <f>IF(O1146&lt;$U$1*0.5,"Низшая четверть",IF(O1146&lt;$U$1,"Вторая четверть","Больше половины"))</f>
        <v/>
      </c>
      <c r="V1146">
        <f>IF(OR(N1146&lt;SUMIFS(L:L,R:R,1,E:E,E1146)/SUMIFS(K:K,R:R,1,E:E,E1146)*0.5,O1146&lt;SUMIFS(M:M,R:R,1,E:E,E1146)/SUMIFS(L:L,R:R,1,E:E,E1146)*0.5),"код для проверки","нормальный код")</f>
        <v/>
      </c>
      <c r="W1146">
        <f>IF(N1146&lt;SUMIFS(L:L,R:R,1,E:E,E1146)/SUMIFS(K:K,R:R,1,E:E,E1146)*0.5,"Низшая четверть",IF(N1146&lt;SUMIFS(L:L,R:R,1,E:E,E1146)/SUMIFS(K:K,R:R,1,E:E,E1146),"Вторая четверть","Больше половины"))</f>
        <v/>
      </c>
      <c r="X1146">
        <f>IF(O1146&lt;SUMIFS(M:M,R:R,1,E:E,E1146)/SUMIFS(L:L,R:R,1,E:E,E1146)*0.5,"Низшая четверть",IF(O1146&lt;SUMIFS(M:M,R:R,1,E:E,E1146)/SUMIFS(L:L,R:R,1,E:E,E1146),"Вторая четверть","Больше половины"))</f>
        <v/>
      </c>
      <c r="Y1146" t="n">
        <v>9</v>
      </c>
    </row>
    <row r="1147">
      <c r="A1147" s="1" t="inlineStr">
        <is>
          <t>56100230</t>
        </is>
      </c>
      <c r="B1147" s="2" t="inlineStr">
        <is>
          <t>918261417</t>
        </is>
      </c>
      <c r="C1147" s="3" t="inlineStr">
        <is>
          <t>Одежда для детей</t>
        </is>
      </c>
      <c r="D1147" s="2" t="inlineStr">
        <is>
          <t>Нижнее белье детское для мальчиков</t>
        </is>
      </c>
      <c r="E1147" s="3" t="inlineStr">
        <is>
          <t>561 Майка детская для мальчиков</t>
        </is>
      </c>
      <c r="F1147" s="2" t="inlineStr">
        <is>
          <t>всесезонный</t>
        </is>
      </c>
      <c r="G1147" s="3" t="inlineStr">
        <is>
          <t>Kari KIDS</t>
        </is>
      </c>
      <c r="H1147" s="2" t="inlineStr">
        <is>
          <t>Зиннуров Ильнур</t>
        </is>
      </c>
      <c r="J1147" s="3" t="inlineStr">
        <is>
          <t>2026SS</t>
        </is>
      </c>
      <c r="K1147" s="3" t="n">
        <v>641</v>
      </c>
      <c r="L1147" s="3" t="n">
        <v>12</v>
      </c>
      <c r="M1147" s="3" t="n">
        <v>0</v>
      </c>
      <c r="N1147" s="4">
        <f>IFERROR(L1147/K1147,0)</f>
        <v/>
      </c>
      <c r="O1147" s="4">
        <f>IFERROR(M1147/L1147,0)</f>
        <v/>
      </c>
      <c r="P1147" t="n">
        <v>700</v>
      </c>
      <c r="Q1147" s="5" t="n">
        <v>1</v>
      </c>
      <c r="R1147" s="7" t="n">
        <v>0</v>
      </c>
      <c r="S1147" t="inlineStr">
        <is>
          <t>Мало показов</t>
        </is>
      </c>
      <c r="T1147">
        <f>IF(N1147&lt;$T$1*0.5,"Низшая четверть",IF(N1147&lt;$T$1,"Вторая четверть","Больше половины"))</f>
        <v/>
      </c>
      <c r="U1147">
        <f>IF(O1147&lt;$U$1*0.5,"Низшая четверть",IF(O1147&lt;$U$1,"Вторая четверть","Больше половины"))</f>
        <v/>
      </c>
      <c r="V1147">
        <f>IF(OR(N1147&lt;SUMIFS(L:L,R:R,1,E:E,E1147)/SUMIFS(K:K,R:R,1,E:E,E1147)*0.5,O1147&lt;SUMIFS(M:M,R:R,1,E:E,E1147)/SUMIFS(L:L,R:R,1,E:E,E1147)*0.5),"код для проверки","нормальный код")</f>
        <v/>
      </c>
      <c r="W1147">
        <f>IF(N1147&lt;SUMIFS(L:L,R:R,1,E:E,E1147)/SUMIFS(K:K,R:R,1,E:E,E1147)*0.5,"Низшая четверть",IF(N1147&lt;SUMIFS(L:L,R:R,1,E:E,E1147)/SUMIFS(K:K,R:R,1,E:E,E1147),"Вторая четверть","Больше половины"))</f>
        <v/>
      </c>
      <c r="X1147">
        <f>IF(O1147&lt;SUMIFS(M:M,R:R,1,E:E,E1147)/SUMIFS(L:L,R:R,1,E:E,E1147)*0.5,"Низшая четверть",IF(O1147&lt;SUMIFS(M:M,R:R,1,E:E,E1147)/SUMIFS(L:L,R:R,1,E:E,E1147),"Вторая четверть","Больше половины"))</f>
        <v/>
      </c>
      <c r="Y1147" t="n">
        <v>14</v>
      </c>
    </row>
    <row r="1148">
      <c r="A1148" s="1" t="inlineStr">
        <is>
          <t>310002Q0</t>
        </is>
      </c>
      <c r="B1148" s="2" t="inlineStr">
        <is>
          <t>879308807</t>
        </is>
      </c>
      <c r="C1148" s="3" t="inlineStr">
        <is>
          <t>Одежда для детей</t>
        </is>
      </c>
      <c r="D1148" s="2" t="inlineStr">
        <is>
          <t>Футболки, майки, рубашки детские для мальчиков</t>
        </is>
      </c>
      <c r="E1148" s="3" t="inlineStr">
        <is>
          <t>310 Футболка детская для мальчиков</t>
        </is>
      </c>
      <c r="F1148" s="2" t="inlineStr">
        <is>
          <t>всесезонный</t>
        </is>
      </c>
      <c r="G1148" s="3" t="inlineStr">
        <is>
          <t>Kari KIDS</t>
        </is>
      </c>
      <c r="H1148" s="2" t="inlineStr">
        <is>
          <t>Зиннуров Ильнур</t>
        </is>
      </c>
      <c r="J1148" s="3" t="inlineStr">
        <is>
          <t>2026SS</t>
        </is>
      </c>
      <c r="K1148" s="3" t="n">
        <v>641</v>
      </c>
      <c r="L1148" s="3" t="n">
        <v>17</v>
      </c>
      <c r="M1148" s="3" t="n">
        <v>0</v>
      </c>
      <c r="N1148" s="4">
        <f>IFERROR(L1148/K1148,0)</f>
        <v/>
      </c>
      <c r="O1148" s="4">
        <f>IFERROR(M1148/L1148,0)</f>
        <v/>
      </c>
      <c r="P1148" t="n">
        <v>679</v>
      </c>
      <c r="Q1148" s="5" t="n">
        <v>1</v>
      </c>
      <c r="R1148" s="7" t="n">
        <v>0</v>
      </c>
      <c r="S1148" t="inlineStr">
        <is>
          <t>Мало показов</t>
        </is>
      </c>
      <c r="T1148">
        <f>IF(N1148&lt;$T$1*0.5,"Низшая четверть",IF(N1148&lt;$T$1,"Вторая четверть","Больше половины"))</f>
        <v/>
      </c>
      <c r="U1148">
        <f>IF(O1148&lt;$U$1*0.5,"Низшая четверть",IF(O1148&lt;$U$1,"Вторая четверть","Больше половины"))</f>
        <v/>
      </c>
      <c r="V1148">
        <f>IF(OR(N1148&lt;SUMIFS(L:L,R:R,1,E:E,E1148)/SUMIFS(K:K,R:R,1,E:E,E1148)*0.5,O1148&lt;SUMIFS(M:M,R:R,1,E:E,E1148)/SUMIFS(L:L,R:R,1,E:E,E1148)*0.5),"код для проверки","нормальный код")</f>
        <v/>
      </c>
      <c r="W1148">
        <f>IF(N1148&lt;SUMIFS(L:L,R:R,1,E:E,E1148)/SUMIFS(K:K,R:R,1,E:E,E1148)*0.5,"Низшая четверть",IF(N1148&lt;SUMIFS(L:L,R:R,1,E:E,E1148)/SUMIFS(K:K,R:R,1,E:E,E1148),"Вторая четверть","Больше половины"))</f>
        <v/>
      </c>
      <c r="X1148">
        <f>IF(O1148&lt;SUMIFS(M:M,R:R,1,E:E,E1148)/SUMIFS(L:L,R:R,1,E:E,E1148)*0.5,"Низшая четверть",IF(O1148&lt;SUMIFS(M:M,R:R,1,E:E,E1148)/SUMIFS(L:L,R:R,1,E:E,E1148),"Вторая четверть","Больше половины"))</f>
        <v/>
      </c>
      <c r="Y1148" t="n">
        <v>19</v>
      </c>
    </row>
    <row r="1149">
      <c r="A1149" s="1" t="inlineStr">
        <is>
          <t>a6000660</t>
        </is>
      </c>
      <c r="B1149" s="2" t="inlineStr">
        <is>
          <t>932503597</t>
        </is>
      </c>
      <c r="C1149" s="3" t="inlineStr">
        <is>
          <t>Одежда для детей</t>
        </is>
      </c>
      <c r="D1149" s="2" t="inlineStr">
        <is>
          <t>Платья, майки, футболки детские для девочек</t>
        </is>
      </c>
      <c r="E1149" s="3" t="inlineStr">
        <is>
          <t>a60 Футболка детская для девочек</t>
        </is>
      </c>
      <c r="F1149" s="2" t="inlineStr">
        <is>
          <t>всесезонный</t>
        </is>
      </c>
      <c r="G1149" s="3" t="inlineStr">
        <is>
          <t>kari</t>
        </is>
      </c>
      <c r="H1149" s="2" t="inlineStr">
        <is>
          <t>Зиннуров Ильнур</t>
        </is>
      </c>
      <c r="J1149" s="3" t="inlineStr">
        <is>
          <t>2026SS</t>
        </is>
      </c>
      <c r="K1149" s="3" t="n">
        <v>637</v>
      </c>
      <c r="L1149" s="3" t="n">
        <v>7</v>
      </c>
      <c r="M1149" s="3" t="n">
        <v>0</v>
      </c>
      <c r="N1149" s="4">
        <f>IFERROR(L1149/K1149,0)</f>
        <v/>
      </c>
      <c r="O1149" s="4">
        <f>IFERROR(M1149/L1149,0)</f>
        <v/>
      </c>
      <c r="P1149" t="n">
        <v>1</v>
      </c>
      <c r="Q1149" s="5" t="n">
        <v>0.1111111111111111</v>
      </c>
      <c r="R1149" s="7" t="n">
        <v>0</v>
      </c>
      <c r="S1149" t="inlineStr">
        <is>
          <t>Мало остатка</t>
        </is>
      </c>
      <c r="T1149">
        <f>IF(N1149&lt;$T$1*0.5,"Низшая четверть",IF(N1149&lt;$T$1,"Вторая четверть","Больше половины"))</f>
        <v/>
      </c>
      <c r="U1149">
        <f>IF(O1149&lt;$U$1*0.5,"Низшая четверть",IF(O1149&lt;$U$1,"Вторая четверть","Больше половины"))</f>
        <v/>
      </c>
      <c r="V1149">
        <f>IF(OR(N1149&lt;SUMIFS(L:L,R:R,1,E:E,E1149)/SUMIFS(K:K,R:R,1,E:E,E1149)*0.5,O1149&lt;SUMIFS(M:M,R:R,1,E:E,E1149)/SUMIFS(L:L,R:R,1,E:E,E1149)*0.5),"код для проверки","нормальный код")</f>
        <v/>
      </c>
      <c r="W1149">
        <f>IF(N1149&lt;SUMIFS(L:L,R:R,1,E:E,E1149)/SUMIFS(K:K,R:R,1,E:E,E1149)*0.5,"Низшая четверть",IF(N1149&lt;SUMIFS(L:L,R:R,1,E:E,E1149)/SUMIFS(K:K,R:R,1,E:E,E1149),"Вторая четверть","Больше половины"))</f>
        <v/>
      </c>
      <c r="X1149">
        <f>IF(O1149&lt;SUMIFS(M:M,R:R,1,E:E,E1149)/SUMIFS(L:L,R:R,1,E:E,E1149)*0.5,"Низшая четверть",IF(O1149&lt;SUMIFS(M:M,R:R,1,E:E,E1149)/SUMIFS(L:L,R:R,1,E:E,E1149),"Вторая четверть","Больше половины"))</f>
        <v/>
      </c>
      <c r="Y1149" t="n">
        <v>7</v>
      </c>
    </row>
    <row r="1150">
      <c r="A1150" s="1" t="inlineStr">
        <is>
          <t>30300000</t>
        </is>
      </c>
      <c r="B1150" s="2" t="inlineStr">
        <is>
          <t>926145651</t>
        </is>
      </c>
      <c r="C1150" s="3" t="inlineStr">
        <is>
          <t>Одежда для детей</t>
        </is>
      </c>
      <c r="D1150" s="2" t="inlineStr">
        <is>
          <t>Платья, майки, футболки детские для девочек</t>
        </is>
      </c>
      <c r="E1150" s="3" t="inlineStr">
        <is>
          <t>303 Юбка летняя детская</t>
        </is>
      </c>
      <c r="F1150" s="2" t="inlineStr">
        <is>
          <t>лето</t>
        </is>
      </c>
      <c r="G1150" s="3" t="inlineStr">
        <is>
          <t>kari</t>
        </is>
      </c>
      <c r="H1150" s="2" t="inlineStr">
        <is>
          <t>Зиннуров Ильнур</t>
        </is>
      </c>
      <c r="J1150" s="3" t="inlineStr">
        <is>
          <t>2026SS</t>
        </is>
      </c>
      <c r="K1150" s="3" t="n">
        <v>631</v>
      </c>
      <c r="L1150" s="3" t="n">
        <v>16</v>
      </c>
      <c r="M1150" s="3" t="n">
        <v>0</v>
      </c>
      <c r="N1150" s="4">
        <f>IFERROR(L1150/K1150,0)</f>
        <v/>
      </c>
      <c r="O1150" s="4">
        <f>IFERROR(M1150/L1150,0)</f>
        <v/>
      </c>
      <c r="P1150" t="n">
        <v>872</v>
      </c>
      <c r="Q1150" s="5" t="n">
        <v>1</v>
      </c>
      <c r="R1150" s="7" t="n">
        <v>0</v>
      </c>
      <c r="S1150" t="inlineStr">
        <is>
          <t>Мало показов</t>
        </is>
      </c>
      <c r="T1150">
        <f>IF(N1150&lt;$T$1*0.5,"Низшая четверть",IF(N1150&lt;$T$1,"Вторая четверть","Больше половины"))</f>
        <v/>
      </c>
      <c r="U1150">
        <f>IF(O1150&lt;$U$1*0.5,"Низшая четверть",IF(O1150&lt;$U$1,"Вторая четверть","Больше половины"))</f>
        <v/>
      </c>
      <c r="V1150">
        <f>IF(OR(N1150&lt;SUMIFS(L:L,R:R,1,E:E,E1150)/SUMIFS(K:K,R:R,1,E:E,E1150)*0.5,O1150&lt;SUMIFS(M:M,R:R,1,E:E,E1150)/SUMIFS(L:L,R:R,1,E:E,E1150)*0.5),"код для проверки","нормальный код")</f>
        <v/>
      </c>
      <c r="W1150">
        <f>IF(N1150&lt;SUMIFS(L:L,R:R,1,E:E,E1150)/SUMIFS(K:K,R:R,1,E:E,E1150)*0.5,"Низшая четверть",IF(N1150&lt;SUMIFS(L:L,R:R,1,E:E,E1150)/SUMIFS(K:K,R:R,1,E:E,E1150),"Вторая четверть","Больше половины"))</f>
        <v/>
      </c>
      <c r="X1150">
        <f>IF(O1150&lt;SUMIFS(M:M,R:R,1,E:E,E1150)/SUMIFS(L:L,R:R,1,E:E,E1150)*0.5,"Низшая четверть",IF(O1150&lt;SUMIFS(M:M,R:R,1,E:E,E1150)/SUMIFS(L:L,R:R,1,E:E,E1150),"Вторая четверть","Больше половины"))</f>
        <v/>
      </c>
      <c r="Y1150" t="n">
        <v>6</v>
      </c>
    </row>
    <row r="1151">
      <c r="A1151" s="1" t="inlineStr">
        <is>
          <t>y5000080</t>
        </is>
      </c>
      <c r="B1151" s="2" t="inlineStr">
        <is>
          <t>913194189</t>
        </is>
      </c>
      <c r="C1151" s="3" t="inlineStr">
        <is>
          <t>Одежда для детей</t>
        </is>
      </c>
      <c r="D1151" s="2" t="inlineStr">
        <is>
          <t>Спортивная детская одежда для мальчиков</t>
        </is>
      </c>
      <c r="E1151" s="3" t="inlineStr">
        <is>
          <t>y50 Комплект летней одежды для мальчиков</t>
        </is>
      </c>
      <c r="F1151" s="2" t="inlineStr">
        <is>
          <t>весна, лето</t>
        </is>
      </c>
      <c r="G1151" s="3" t="inlineStr">
        <is>
          <t>kari</t>
        </is>
      </c>
      <c r="H1151" s="2" t="inlineStr">
        <is>
          <t>Зиннуров Ильнур</t>
        </is>
      </c>
      <c r="J1151" s="3" t="inlineStr">
        <is>
          <t>2026SS</t>
        </is>
      </c>
      <c r="K1151" s="3" t="n">
        <v>625</v>
      </c>
      <c r="L1151" s="3" t="n">
        <v>57</v>
      </c>
      <c r="M1151" s="3" t="n">
        <v>1</v>
      </c>
      <c r="N1151" s="4">
        <f>IFERROR(L1151/K1151,0)</f>
        <v/>
      </c>
      <c r="O1151" s="4">
        <f>IFERROR(M1151/L1151,0)</f>
        <v/>
      </c>
      <c r="P1151" t="n">
        <v>560</v>
      </c>
      <c r="Q1151" s="5" t="n">
        <v>1</v>
      </c>
      <c r="R1151" s="7" t="n">
        <v>0</v>
      </c>
      <c r="S1151" t="inlineStr">
        <is>
          <t>Мало показов</t>
        </is>
      </c>
      <c r="T1151">
        <f>IF(N1151&lt;$T$1*0.5,"Низшая четверть",IF(N1151&lt;$T$1,"Вторая четверть","Больше половины"))</f>
        <v/>
      </c>
      <c r="U1151">
        <f>IF(O1151&lt;$U$1*0.5,"Низшая четверть",IF(O1151&lt;$U$1,"Вторая четверть","Больше половины"))</f>
        <v/>
      </c>
      <c r="V1151">
        <f>IF(OR(N1151&lt;SUMIFS(L:L,R:R,1,E:E,E1151)/SUMIFS(K:K,R:R,1,E:E,E1151)*0.5,O1151&lt;SUMIFS(M:M,R:R,1,E:E,E1151)/SUMIFS(L:L,R:R,1,E:E,E1151)*0.5),"код для проверки","нормальный код")</f>
        <v/>
      </c>
      <c r="W1151">
        <f>IF(N1151&lt;SUMIFS(L:L,R:R,1,E:E,E1151)/SUMIFS(K:K,R:R,1,E:E,E1151)*0.5,"Низшая четверть",IF(N1151&lt;SUMIFS(L:L,R:R,1,E:E,E1151)/SUMIFS(K:K,R:R,1,E:E,E1151),"Вторая четверть","Больше половины"))</f>
        <v/>
      </c>
      <c r="X1151">
        <f>IF(O1151&lt;SUMIFS(M:M,R:R,1,E:E,E1151)/SUMIFS(L:L,R:R,1,E:E,E1151)*0.5,"Низшая четверть",IF(O1151&lt;SUMIFS(M:M,R:R,1,E:E,E1151)/SUMIFS(L:L,R:R,1,E:E,E1151),"Вторая четверть","Больше половины"))</f>
        <v/>
      </c>
      <c r="Y1151" t="n">
        <v>21</v>
      </c>
    </row>
    <row r="1152">
      <c r="A1152" s="1" t="inlineStr">
        <is>
          <t>a60000D0</t>
        </is>
      </c>
      <c r="B1152" s="2" t="inlineStr">
        <is>
          <t>847884069</t>
        </is>
      </c>
      <c r="C1152" s="3" t="inlineStr">
        <is>
          <t>Одежда для детей</t>
        </is>
      </c>
      <c r="D1152" s="2" t="inlineStr">
        <is>
          <t>Платья, майки, футболки детские для девочек</t>
        </is>
      </c>
      <c r="E1152" s="3" t="inlineStr">
        <is>
          <t>a60 Футболка детская для девочек</t>
        </is>
      </c>
      <c r="F1152" s="2" t="inlineStr">
        <is>
          <t>всесезонный</t>
        </is>
      </c>
      <c r="G1152" s="3" t="inlineStr">
        <is>
          <t>kari</t>
        </is>
      </c>
      <c r="H1152" s="2" t="inlineStr">
        <is>
          <t>Зиннуров Ильнур</t>
        </is>
      </c>
      <c r="J1152" s="3" t="inlineStr">
        <is>
          <t>2026SS</t>
        </is>
      </c>
      <c r="K1152" s="3" t="n">
        <v>625</v>
      </c>
      <c r="L1152" s="3" t="n">
        <v>26</v>
      </c>
      <c r="M1152" s="3" t="n">
        <v>0</v>
      </c>
      <c r="N1152" s="4">
        <f>IFERROR(L1152/K1152,0)</f>
        <v/>
      </c>
      <c r="O1152" s="4">
        <f>IFERROR(M1152/L1152,0)</f>
        <v/>
      </c>
      <c r="P1152" t="n">
        <v>778</v>
      </c>
      <c r="Q1152" s="5" t="n">
        <v>1</v>
      </c>
      <c r="R1152" s="7" t="n">
        <v>0</v>
      </c>
      <c r="S1152" t="inlineStr">
        <is>
          <t>Мало показов</t>
        </is>
      </c>
      <c r="T1152">
        <f>IF(N1152&lt;$T$1*0.5,"Низшая четверть",IF(N1152&lt;$T$1,"Вторая четверть","Больше половины"))</f>
        <v/>
      </c>
      <c r="U1152">
        <f>IF(O1152&lt;$U$1*0.5,"Низшая четверть",IF(O1152&lt;$U$1,"Вторая четверть","Больше половины"))</f>
        <v/>
      </c>
      <c r="V1152">
        <f>IF(OR(N1152&lt;SUMIFS(L:L,R:R,1,E:E,E1152)/SUMIFS(K:K,R:R,1,E:E,E1152)*0.5,O1152&lt;SUMIFS(M:M,R:R,1,E:E,E1152)/SUMIFS(L:L,R:R,1,E:E,E1152)*0.5),"код для проверки","нормальный код")</f>
        <v/>
      </c>
      <c r="W1152">
        <f>IF(N1152&lt;SUMIFS(L:L,R:R,1,E:E,E1152)/SUMIFS(K:K,R:R,1,E:E,E1152)*0.5,"Низшая четверть",IF(N1152&lt;SUMIFS(L:L,R:R,1,E:E,E1152)/SUMIFS(K:K,R:R,1,E:E,E1152),"Вторая четверть","Больше половины"))</f>
        <v/>
      </c>
      <c r="X1152">
        <f>IF(O1152&lt;SUMIFS(M:M,R:R,1,E:E,E1152)/SUMIFS(L:L,R:R,1,E:E,E1152)*0.5,"Низшая четверть",IF(O1152&lt;SUMIFS(M:M,R:R,1,E:E,E1152)/SUMIFS(L:L,R:R,1,E:E,E1152),"Вторая четверть","Больше половины"))</f>
        <v/>
      </c>
      <c r="Y1152" t="n">
        <v>14</v>
      </c>
    </row>
    <row r="1153">
      <c r="A1153" s="1" t="inlineStr">
        <is>
          <t>31400050</t>
        </is>
      </c>
      <c r="B1153" s="2" t="inlineStr">
        <is>
          <t>889709095</t>
        </is>
      </c>
      <c r="C1153" s="3" t="inlineStr">
        <is>
          <t>Одежда и аксессуары</t>
        </is>
      </c>
      <c r="D1153" s="2" t="inlineStr">
        <is>
          <t>Футболки, рубашки мужские</t>
        </is>
      </c>
      <c r="E1153" s="3" t="inlineStr">
        <is>
          <t>314 Рубашка короткий рукав мужская</t>
        </is>
      </c>
      <c r="F1153" s="2" t="inlineStr">
        <is>
          <t>лето</t>
        </is>
      </c>
      <c r="G1153" s="3" t="inlineStr">
        <is>
          <t>kari</t>
        </is>
      </c>
      <c r="H1153" s="2" t="n"/>
      <c r="J1153" s="3" t="inlineStr">
        <is>
          <t>2026SS</t>
        </is>
      </c>
      <c r="K1153" s="3" t="n">
        <v>616</v>
      </c>
      <c r="L1153" s="3" t="n">
        <v>13</v>
      </c>
      <c r="M1153" s="3" t="n">
        <v>0</v>
      </c>
      <c r="N1153" s="4">
        <f>IFERROR(L1153/K1153,0)</f>
        <v/>
      </c>
      <c r="O1153" s="4">
        <f>IFERROR(M1153/L1153,0)</f>
        <v/>
      </c>
      <c r="P1153" t="n">
        <v>250</v>
      </c>
      <c r="Q1153" s="5" t="n">
        <v>1</v>
      </c>
      <c r="R1153" s="7" t="n">
        <v>0</v>
      </c>
      <c r="S1153" t="inlineStr">
        <is>
          <t>Мало показов</t>
        </is>
      </c>
      <c r="T1153">
        <f>IF(N1153&lt;$T$1*0.5,"Низшая четверть",IF(N1153&lt;$T$1,"Вторая четверть","Больше половины"))</f>
        <v/>
      </c>
      <c r="U1153">
        <f>IF(O1153&lt;$U$1*0.5,"Низшая четверть",IF(O1153&lt;$U$1,"Вторая четверть","Больше половины"))</f>
        <v/>
      </c>
      <c r="V1153">
        <f>IF(OR(N1153&lt;SUMIFS(L:L,R:R,1,E:E,E1153)/SUMIFS(K:K,R:R,1,E:E,E1153)*0.5,O1153&lt;SUMIFS(M:M,R:R,1,E:E,E1153)/SUMIFS(L:L,R:R,1,E:E,E1153)*0.5),"код для проверки","нормальный код")</f>
        <v/>
      </c>
      <c r="W1153">
        <f>IF(N1153&lt;SUMIFS(L:L,R:R,1,E:E,E1153)/SUMIFS(K:K,R:R,1,E:E,E1153)*0.5,"Низшая четверть",IF(N1153&lt;SUMIFS(L:L,R:R,1,E:E,E1153)/SUMIFS(K:K,R:R,1,E:E,E1153),"Вторая четверть","Больше половины"))</f>
        <v/>
      </c>
      <c r="X1153">
        <f>IF(O1153&lt;SUMIFS(M:M,R:R,1,E:E,E1153)/SUMIFS(L:L,R:R,1,E:E,E1153)*0.5,"Низшая четверть",IF(O1153&lt;SUMIFS(M:M,R:R,1,E:E,E1153)/SUMIFS(L:L,R:R,1,E:E,E1153),"Вторая четверть","Больше половины"))</f>
        <v/>
      </c>
      <c r="Y1153" t="n">
        <v>9</v>
      </c>
    </row>
    <row r="1154">
      <c r="A1154" s="1" t="inlineStr">
        <is>
          <t>310003G0</t>
        </is>
      </c>
      <c r="B1154" s="2" t="inlineStr">
        <is>
          <t>901657760</t>
        </is>
      </c>
      <c r="C1154" s="3" t="inlineStr">
        <is>
          <t>Одежда для детей</t>
        </is>
      </c>
      <c r="D1154" s="2" t="inlineStr">
        <is>
          <t>Футболки, майки, рубашки детские для мальчиков</t>
        </is>
      </c>
      <c r="E1154" s="3" t="inlineStr">
        <is>
          <t>310 Футболка детская для мальчиков</t>
        </is>
      </c>
      <c r="F1154" s="2" t="inlineStr">
        <is>
          <t>всесезонный</t>
        </is>
      </c>
      <c r="G1154" s="3" t="inlineStr">
        <is>
          <t>kari</t>
        </is>
      </c>
      <c r="H1154" s="2" t="inlineStr">
        <is>
          <t>Зиннуров Ильнур</t>
        </is>
      </c>
      <c r="J1154" s="3" t="inlineStr">
        <is>
          <t>2026SS</t>
        </is>
      </c>
      <c r="K1154" s="3" t="n">
        <v>612</v>
      </c>
      <c r="L1154" s="3" t="n">
        <v>16</v>
      </c>
      <c r="M1154" s="3" t="n">
        <v>0</v>
      </c>
      <c r="N1154" s="4">
        <f>IFERROR(L1154/K1154,0)</f>
        <v/>
      </c>
      <c r="O1154" s="4">
        <f>IFERROR(M1154/L1154,0)</f>
        <v/>
      </c>
      <c r="P1154" t="n">
        <v>920</v>
      </c>
      <c r="Q1154" s="5" t="n">
        <v>1</v>
      </c>
      <c r="R1154" s="7" t="n">
        <v>0</v>
      </c>
      <c r="S1154" t="inlineStr">
        <is>
          <t>Мало показов</t>
        </is>
      </c>
      <c r="T1154">
        <f>IF(N1154&lt;$T$1*0.5,"Низшая четверть",IF(N1154&lt;$T$1,"Вторая четверть","Больше половины"))</f>
        <v/>
      </c>
      <c r="U1154">
        <f>IF(O1154&lt;$U$1*0.5,"Низшая четверть",IF(O1154&lt;$U$1,"Вторая четверть","Больше половины"))</f>
        <v/>
      </c>
      <c r="V1154">
        <f>IF(OR(N1154&lt;SUMIFS(L:L,R:R,1,E:E,E1154)/SUMIFS(K:K,R:R,1,E:E,E1154)*0.5,O1154&lt;SUMIFS(M:M,R:R,1,E:E,E1154)/SUMIFS(L:L,R:R,1,E:E,E1154)*0.5),"код для проверки","нормальный код")</f>
        <v/>
      </c>
      <c r="W1154">
        <f>IF(N1154&lt;SUMIFS(L:L,R:R,1,E:E,E1154)/SUMIFS(K:K,R:R,1,E:E,E1154)*0.5,"Низшая четверть",IF(N1154&lt;SUMIFS(L:L,R:R,1,E:E,E1154)/SUMIFS(K:K,R:R,1,E:E,E1154),"Вторая четверть","Больше половины"))</f>
        <v/>
      </c>
      <c r="X1154">
        <f>IF(O1154&lt;SUMIFS(M:M,R:R,1,E:E,E1154)/SUMIFS(L:L,R:R,1,E:E,E1154)*0.5,"Низшая четверть",IF(O1154&lt;SUMIFS(M:M,R:R,1,E:E,E1154)/SUMIFS(L:L,R:R,1,E:E,E1154),"Вторая четверть","Больше половины"))</f>
        <v/>
      </c>
      <c r="Y1154" t="n">
        <v>15</v>
      </c>
    </row>
    <row r="1155">
      <c r="A1155" s="1" t="inlineStr">
        <is>
          <t>h1000090</t>
        </is>
      </c>
      <c r="B1155" s="2" t="inlineStr">
        <is>
          <t>797520146</t>
        </is>
      </c>
      <c r="C1155" s="3" t="inlineStr">
        <is>
          <t>Одежда и аксессуары</t>
        </is>
      </c>
      <c r="D1155" s="2" t="inlineStr">
        <is>
          <t>Футболки, рубашки мужские</t>
        </is>
      </c>
      <c r="E1155" s="3" t="inlineStr">
        <is>
          <t>h10 Футболка мужская</t>
        </is>
      </c>
      <c r="F1155" s="2" t="inlineStr">
        <is>
          <t>всесезонный</t>
        </is>
      </c>
      <c r="G1155" s="3" t="inlineStr">
        <is>
          <t>kari</t>
        </is>
      </c>
      <c r="H1155" s="2" t="inlineStr">
        <is>
          <t>Зиннуров Ильнур</t>
        </is>
      </c>
      <c r="J1155" s="3" t="inlineStr">
        <is>
          <t>2026SS</t>
        </is>
      </c>
      <c r="K1155" s="3" t="n">
        <v>607</v>
      </c>
      <c r="L1155" s="3" t="n">
        <v>978</v>
      </c>
      <c r="M1155" s="3" t="n">
        <v>1</v>
      </c>
      <c r="N1155" s="4">
        <f>IFERROR(L1155/K1155,0)</f>
        <v/>
      </c>
      <c r="O1155" s="4">
        <f>IFERROR(M1155/L1155,0)</f>
        <v/>
      </c>
      <c r="P1155" t="n">
        <v>239</v>
      </c>
      <c r="Q1155" s="5" t="n">
        <v>0.8</v>
      </c>
      <c r="R1155" s="7" t="n">
        <v>0</v>
      </c>
      <c r="S1155" t="inlineStr">
        <is>
          <t>Мало показов</t>
        </is>
      </c>
      <c r="T1155">
        <f>IF(N1155&lt;$T$1*0.5,"Низшая четверть",IF(N1155&lt;$T$1,"Вторая четверть","Больше половины"))</f>
        <v/>
      </c>
      <c r="U1155">
        <f>IF(O1155&lt;$U$1*0.5,"Низшая четверть",IF(O1155&lt;$U$1,"Вторая четверть","Больше половины"))</f>
        <v/>
      </c>
      <c r="V1155">
        <f>IF(OR(N1155&lt;SUMIFS(L:L,R:R,1,E:E,E1155)/SUMIFS(K:K,R:R,1,E:E,E1155)*0.5,O1155&lt;SUMIFS(M:M,R:R,1,E:E,E1155)/SUMIFS(L:L,R:R,1,E:E,E1155)*0.5),"код для проверки","нормальный код")</f>
        <v/>
      </c>
      <c r="W1155">
        <f>IF(N1155&lt;SUMIFS(L:L,R:R,1,E:E,E1155)/SUMIFS(K:K,R:R,1,E:E,E1155)*0.5,"Низшая четверть",IF(N1155&lt;SUMIFS(L:L,R:R,1,E:E,E1155)/SUMIFS(K:K,R:R,1,E:E,E1155),"Вторая четверть","Больше половины"))</f>
        <v/>
      </c>
      <c r="X1155">
        <f>IF(O1155&lt;SUMIFS(M:M,R:R,1,E:E,E1155)/SUMIFS(L:L,R:R,1,E:E,E1155)*0.5,"Низшая четверть",IF(O1155&lt;SUMIFS(M:M,R:R,1,E:E,E1155)/SUMIFS(L:L,R:R,1,E:E,E1155),"Вторая четверть","Больше половины"))</f>
        <v/>
      </c>
      <c r="Y1155" t="n">
        <v>21</v>
      </c>
    </row>
    <row r="1156">
      <c r="A1156" s="1" t="inlineStr">
        <is>
          <t>a6000670</t>
        </is>
      </c>
      <c r="B1156" s="2" t="inlineStr">
        <is>
          <t>932503629</t>
        </is>
      </c>
      <c r="C1156" s="3" t="inlineStr">
        <is>
          <t>Одежда для детей</t>
        </is>
      </c>
      <c r="D1156" s="2" t="inlineStr">
        <is>
          <t>Платья, майки, футболки детские для девочек</t>
        </is>
      </c>
      <c r="E1156" s="3" t="inlineStr">
        <is>
          <t>a60 Футболка детская для девочек</t>
        </is>
      </c>
      <c r="F1156" s="2" t="inlineStr">
        <is>
          <t>всесезонный</t>
        </is>
      </c>
      <c r="G1156" s="3" t="inlineStr">
        <is>
          <t>kari</t>
        </is>
      </c>
      <c r="H1156" s="2" t="inlineStr">
        <is>
          <t>Зиннуров Ильнур</t>
        </is>
      </c>
      <c r="J1156" s="3" t="inlineStr">
        <is>
          <t>2026SS</t>
        </is>
      </c>
      <c r="K1156" s="3" t="n">
        <v>602</v>
      </c>
      <c r="L1156" s="3" t="n">
        <v>6</v>
      </c>
      <c r="M1156" s="3" t="n">
        <v>0</v>
      </c>
      <c r="N1156" s="4">
        <f>IFERROR(L1156/K1156,0)</f>
        <v/>
      </c>
      <c r="O1156" s="4">
        <f>IFERROR(M1156/L1156,0)</f>
        <v/>
      </c>
      <c r="P1156" t="n">
        <v>0</v>
      </c>
      <c r="Q1156" s="5" t="n">
        <v>0</v>
      </c>
      <c r="R1156" s="7" t="n">
        <v>0</v>
      </c>
      <c r="S1156" t="inlineStr">
        <is>
          <t>Мало остатка</t>
        </is>
      </c>
      <c r="T1156">
        <f>IF(N1156&lt;$T$1*0.5,"Низшая четверть",IF(N1156&lt;$T$1,"Вторая четверть","Больше половины"))</f>
        <v/>
      </c>
      <c r="U1156">
        <f>IF(O1156&lt;$U$1*0.5,"Низшая четверть",IF(O1156&lt;$U$1,"Вторая четверть","Больше половины"))</f>
        <v/>
      </c>
      <c r="V1156">
        <f>IF(OR(N1156&lt;SUMIFS(L:L,R:R,1,E:E,E1156)/SUMIFS(K:K,R:R,1,E:E,E1156)*0.5,O1156&lt;SUMIFS(M:M,R:R,1,E:E,E1156)/SUMIFS(L:L,R:R,1,E:E,E1156)*0.5),"код для проверки","нормальный код")</f>
        <v/>
      </c>
      <c r="W1156">
        <f>IF(N1156&lt;SUMIFS(L:L,R:R,1,E:E,E1156)/SUMIFS(K:K,R:R,1,E:E,E1156)*0.5,"Низшая четверть",IF(N1156&lt;SUMIFS(L:L,R:R,1,E:E,E1156)/SUMIFS(K:K,R:R,1,E:E,E1156),"Вторая четверть","Больше половины"))</f>
        <v/>
      </c>
      <c r="X1156">
        <f>IF(O1156&lt;SUMIFS(M:M,R:R,1,E:E,E1156)/SUMIFS(L:L,R:R,1,E:E,E1156)*0.5,"Низшая четверть",IF(O1156&lt;SUMIFS(M:M,R:R,1,E:E,E1156)/SUMIFS(L:L,R:R,1,E:E,E1156),"Вторая четверть","Больше половины"))</f>
        <v/>
      </c>
      <c r="Y1156" t="n">
        <v>7</v>
      </c>
    </row>
    <row r="1157">
      <c r="A1157" s="1" t="inlineStr">
        <is>
          <t>19400270</t>
        </is>
      </c>
      <c r="B1157" s="2" t="inlineStr">
        <is>
          <t>863205302</t>
        </is>
      </c>
      <c r="C1157" s="3" t="inlineStr">
        <is>
          <t>Одежда для детей</t>
        </is>
      </c>
      <c r="D1157" s="2" t="inlineStr">
        <is>
          <t>Брюки детские для девочек</t>
        </is>
      </c>
      <c r="E1157" s="3" t="inlineStr">
        <is>
          <t>194 Шорты детские для девочек</t>
        </is>
      </c>
      <c r="F1157" s="2" t="inlineStr">
        <is>
          <t>лето</t>
        </is>
      </c>
      <c r="G1157" s="3" t="inlineStr">
        <is>
          <t>kari</t>
        </is>
      </c>
      <c r="H1157" s="2" t="inlineStr">
        <is>
          <t>Зиннуров Ильнур</t>
        </is>
      </c>
      <c r="J1157" s="3" t="inlineStr">
        <is>
          <t>2026SS</t>
        </is>
      </c>
      <c r="K1157" s="3" t="n">
        <v>596</v>
      </c>
      <c r="L1157" s="3" t="n">
        <v>38</v>
      </c>
      <c r="M1157" s="3" t="n">
        <v>4</v>
      </c>
      <c r="N1157" s="4">
        <f>IFERROR(L1157/K1157,0)</f>
        <v/>
      </c>
      <c r="O1157" s="4">
        <f>IFERROR(M1157/L1157,0)</f>
        <v/>
      </c>
      <c r="P1157" t="n">
        <v>1255</v>
      </c>
      <c r="Q1157" s="5" t="n">
        <v>1</v>
      </c>
      <c r="R1157" s="7" t="n">
        <v>0</v>
      </c>
      <c r="S1157" t="inlineStr">
        <is>
          <t>Мало показов</t>
        </is>
      </c>
      <c r="T1157">
        <f>IF(N1157&lt;$T$1*0.5,"Низшая четверть",IF(N1157&lt;$T$1,"Вторая четверть","Больше половины"))</f>
        <v/>
      </c>
      <c r="U1157">
        <f>IF(O1157&lt;$U$1*0.5,"Низшая четверть",IF(O1157&lt;$U$1,"Вторая четверть","Больше половины"))</f>
        <v/>
      </c>
      <c r="V1157">
        <f>IF(OR(N1157&lt;SUMIFS(L:L,R:R,1,E:E,E1157)/SUMIFS(K:K,R:R,1,E:E,E1157)*0.5,O1157&lt;SUMIFS(M:M,R:R,1,E:E,E1157)/SUMIFS(L:L,R:R,1,E:E,E1157)*0.5),"код для проверки","нормальный код")</f>
        <v/>
      </c>
      <c r="W1157">
        <f>IF(N1157&lt;SUMIFS(L:L,R:R,1,E:E,E1157)/SUMIFS(K:K,R:R,1,E:E,E1157)*0.5,"Низшая четверть",IF(N1157&lt;SUMIFS(L:L,R:R,1,E:E,E1157)/SUMIFS(K:K,R:R,1,E:E,E1157),"Вторая четверть","Больше половины"))</f>
        <v/>
      </c>
      <c r="X1157">
        <f>IF(O1157&lt;SUMIFS(M:M,R:R,1,E:E,E1157)/SUMIFS(L:L,R:R,1,E:E,E1157)*0.5,"Низшая четверть",IF(O1157&lt;SUMIFS(M:M,R:R,1,E:E,E1157)/SUMIFS(L:L,R:R,1,E:E,E1157),"Вторая четверть","Больше половины"))</f>
        <v/>
      </c>
      <c r="Y1157" t="n">
        <v>16</v>
      </c>
    </row>
    <row r="1158">
      <c r="A1158" s="1" t="inlineStr">
        <is>
          <t>23200100</t>
        </is>
      </c>
      <c r="B1158" s="2" t="inlineStr">
        <is>
          <t>913192742</t>
        </is>
      </c>
      <c r="C1158" s="3" t="inlineStr">
        <is>
          <t>Одежда для детей</t>
        </is>
      </c>
      <c r="D1158" s="2" t="inlineStr">
        <is>
          <t>Нижнее белье детское для мальчиков</t>
        </is>
      </c>
      <c r="E1158" s="3" t="inlineStr">
        <is>
          <t>232 Пижама детская для мальчиков</t>
        </is>
      </c>
      <c r="F1158" s="2" t="inlineStr">
        <is>
          <t>всесезонный</t>
        </is>
      </c>
      <c r="G1158" s="3" t="inlineStr">
        <is>
          <t>kari</t>
        </is>
      </c>
      <c r="H1158" s="2" t="inlineStr">
        <is>
          <t>Зиннуров Ильнур</t>
        </is>
      </c>
      <c r="J1158" s="3" t="inlineStr">
        <is>
          <t>2026SS</t>
        </is>
      </c>
      <c r="K1158" s="3" t="n">
        <v>595</v>
      </c>
      <c r="L1158" s="3" t="n">
        <v>11</v>
      </c>
      <c r="M1158" s="3" t="n">
        <v>1</v>
      </c>
      <c r="N1158" s="4">
        <f>IFERROR(L1158/K1158,0)</f>
        <v/>
      </c>
      <c r="O1158" s="4">
        <f>IFERROR(M1158/L1158,0)</f>
        <v/>
      </c>
      <c r="P1158" t="n">
        <v>818</v>
      </c>
      <c r="Q1158" s="5" t="n">
        <v>0.875</v>
      </c>
      <c r="R1158" s="7" t="n">
        <v>0</v>
      </c>
      <c r="S1158" t="inlineStr">
        <is>
          <t>Мало показов</t>
        </is>
      </c>
      <c r="T1158">
        <f>IF(N1158&lt;$T$1*0.5,"Низшая четверть",IF(N1158&lt;$T$1,"Вторая четверть","Больше половины"))</f>
        <v/>
      </c>
      <c r="U1158">
        <f>IF(O1158&lt;$U$1*0.5,"Низшая четверть",IF(O1158&lt;$U$1,"Вторая четверть","Больше половины"))</f>
        <v/>
      </c>
      <c r="V1158">
        <f>IF(OR(N1158&lt;SUMIFS(L:L,R:R,1,E:E,E1158)/SUMIFS(K:K,R:R,1,E:E,E1158)*0.5,O1158&lt;SUMIFS(M:M,R:R,1,E:E,E1158)/SUMIFS(L:L,R:R,1,E:E,E1158)*0.5),"код для проверки","нормальный код")</f>
        <v/>
      </c>
      <c r="W1158">
        <f>IF(N1158&lt;SUMIFS(L:L,R:R,1,E:E,E1158)/SUMIFS(K:K,R:R,1,E:E,E1158)*0.5,"Низшая четверть",IF(N1158&lt;SUMIFS(L:L,R:R,1,E:E,E1158)/SUMIFS(K:K,R:R,1,E:E,E1158),"Вторая четверть","Больше половины"))</f>
        <v/>
      </c>
      <c r="X1158">
        <f>IF(O1158&lt;SUMIFS(M:M,R:R,1,E:E,E1158)/SUMIFS(L:L,R:R,1,E:E,E1158)*0.5,"Низшая четверть",IF(O1158&lt;SUMIFS(M:M,R:R,1,E:E,E1158)/SUMIFS(L:L,R:R,1,E:E,E1158),"Вторая четверть","Больше половины"))</f>
        <v/>
      </c>
      <c r="Y1158" t="n">
        <v>15</v>
      </c>
    </row>
    <row r="1159">
      <c r="A1159" s="1" t="inlineStr">
        <is>
          <t>310004D0</t>
        </is>
      </c>
      <c r="B1159" s="2" t="inlineStr">
        <is>
          <t>917592391</t>
        </is>
      </c>
      <c r="C1159" s="3" t="inlineStr">
        <is>
          <t>Одежда для детей</t>
        </is>
      </c>
      <c r="D1159" s="2" t="inlineStr">
        <is>
          <t>Футболки, майки, рубашки детские для мальчиков</t>
        </is>
      </c>
      <c r="E1159" s="3" t="inlineStr">
        <is>
          <t>310 Футболка детская для мальчиков</t>
        </is>
      </c>
      <c r="F1159" s="2" t="inlineStr">
        <is>
          <t>всесезонный</t>
        </is>
      </c>
      <c r="G1159" s="3" t="inlineStr">
        <is>
          <t>Kari KIDS</t>
        </is>
      </c>
      <c r="H1159" s="2" t="inlineStr">
        <is>
          <t>Зиннуров Ильнур</t>
        </is>
      </c>
      <c r="J1159" s="3" t="inlineStr">
        <is>
          <t>2026SS</t>
        </is>
      </c>
      <c r="K1159" s="3" t="n">
        <v>594</v>
      </c>
      <c r="L1159" s="3" t="n">
        <v>3</v>
      </c>
      <c r="M1159" s="3" t="n">
        <v>0</v>
      </c>
      <c r="N1159" s="4">
        <f>IFERROR(L1159/K1159,0)</f>
        <v/>
      </c>
      <c r="O1159" s="4">
        <f>IFERROR(M1159/L1159,0)</f>
        <v/>
      </c>
      <c r="P1159" t="n">
        <v>700</v>
      </c>
      <c r="Q1159" s="5" t="n">
        <v>1</v>
      </c>
      <c r="R1159" s="7" t="n">
        <v>0</v>
      </c>
      <c r="S1159" t="inlineStr">
        <is>
          <t>Мало показов</t>
        </is>
      </c>
      <c r="T1159">
        <f>IF(N1159&lt;$T$1*0.5,"Низшая четверть",IF(N1159&lt;$T$1,"Вторая четверть","Больше половины"))</f>
        <v/>
      </c>
      <c r="U1159">
        <f>IF(O1159&lt;$U$1*0.5,"Низшая четверть",IF(O1159&lt;$U$1,"Вторая четверть","Больше половины"))</f>
        <v/>
      </c>
      <c r="V1159">
        <f>IF(OR(N1159&lt;SUMIFS(L:L,R:R,1,E:E,E1159)/SUMIFS(K:K,R:R,1,E:E,E1159)*0.5,O1159&lt;SUMIFS(M:M,R:R,1,E:E,E1159)/SUMIFS(L:L,R:R,1,E:E,E1159)*0.5),"код для проверки","нормальный код")</f>
        <v/>
      </c>
      <c r="W1159">
        <f>IF(N1159&lt;SUMIFS(L:L,R:R,1,E:E,E1159)/SUMIFS(K:K,R:R,1,E:E,E1159)*0.5,"Низшая четверть",IF(N1159&lt;SUMIFS(L:L,R:R,1,E:E,E1159)/SUMIFS(K:K,R:R,1,E:E,E1159),"Вторая четверть","Больше половины"))</f>
        <v/>
      </c>
      <c r="X1159">
        <f>IF(O1159&lt;SUMIFS(M:M,R:R,1,E:E,E1159)/SUMIFS(L:L,R:R,1,E:E,E1159)*0.5,"Низшая четверть",IF(O1159&lt;SUMIFS(M:M,R:R,1,E:E,E1159)/SUMIFS(L:L,R:R,1,E:E,E1159),"Вторая четверть","Больше половины"))</f>
        <v/>
      </c>
      <c r="Y1159" t="n">
        <v>10</v>
      </c>
    </row>
    <row r="1160">
      <c r="A1160" s="1" t="inlineStr">
        <is>
          <t>a6000710</t>
        </is>
      </c>
      <c r="B1160" s="2" t="inlineStr">
        <is>
          <t>932503522</t>
        </is>
      </c>
      <c r="C1160" s="3" t="inlineStr">
        <is>
          <t>Одежда для детей</t>
        </is>
      </c>
      <c r="D1160" s="2" t="inlineStr">
        <is>
          <t>Платья, майки, футболки детские для девочек</t>
        </is>
      </c>
      <c r="E1160" s="3" t="inlineStr">
        <is>
          <t>a60 Футболка детская для девочек</t>
        </is>
      </c>
      <c r="F1160" s="2" t="inlineStr">
        <is>
          <t>всесезонный</t>
        </is>
      </c>
      <c r="G1160" s="3" t="inlineStr">
        <is>
          <t>kari</t>
        </is>
      </c>
      <c r="H1160" s="2" t="inlineStr">
        <is>
          <t>Зиннуров Ильнур</t>
        </is>
      </c>
      <c r="J1160" s="3" t="inlineStr">
        <is>
          <t>2026SS</t>
        </is>
      </c>
      <c r="K1160" s="3" t="n">
        <v>592</v>
      </c>
      <c r="L1160" s="3" t="n">
        <v>9</v>
      </c>
      <c r="M1160" s="3" t="n">
        <v>0</v>
      </c>
      <c r="N1160" s="4">
        <f>IFERROR(L1160/K1160,0)</f>
        <v/>
      </c>
      <c r="O1160" s="4">
        <f>IFERROR(M1160/L1160,0)</f>
        <v/>
      </c>
      <c r="P1160" t="n">
        <v>5</v>
      </c>
      <c r="Q1160" s="5" t="n">
        <v>0.5555555555555556</v>
      </c>
      <c r="R1160" s="7" t="n">
        <v>0</v>
      </c>
      <c r="S1160" t="inlineStr">
        <is>
          <t>Мало остатка</t>
        </is>
      </c>
      <c r="T1160">
        <f>IF(N1160&lt;$T$1*0.5,"Низшая четверть",IF(N1160&lt;$T$1,"Вторая четверть","Больше половины"))</f>
        <v/>
      </c>
      <c r="U1160">
        <f>IF(O1160&lt;$U$1*0.5,"Низшая четверть",IF(O1160&lt;$U$1,"Вторая четверть","Больше половины"))</f>
        <v/>
      </c>
      <c r="V1160">
        <f>IF(OR(N1160&lt;SUMIFS(L:L,R:R,1,E:E,E1160)/SUMIFS(K:K,R:R,1,E:E,E1160)*0.5,O1160&lt;SUMIFS(M:M,R:R,1,E:E,E1160)/SUMIFS(L:L,R:R,1,E:E,E1160)*0.5),"код для проверки","нормальный код")</f>
        <v/>
      </c>
      <c r="W1160">
        <f>IF(N1160&lt;SUMIFS(L:L,R:R,1,E:E,E1160)/SUMIFS(K:K,R:R,1,E:E,E1160)*0.5,"Низшая четверть",IF(N1160&lt;SUMIFS(L:L,R:R,1,E:E,E1160)/SUMIFS(K:K,R:R,1,E:E,E1160),"Вторая четверть","Больше половины"))</f>
        <v/>
      </c>
      <c r="X1160">
        <f>IF(O1160&lt;SUMIFS(M:M,R:R,1,E:E,E1160)/SUMIFS(L:L,R:R,1,E:E,E1160)*0.5,"Низшая четверть",IF(O1160&lt;SUMIFS(M:M,R:R,1,E:E,E1160)/SUMIFS(L:L,R:R,1,E:E,E1160),"Вторая четверть","Больше половины"))</f>
        <v/>
      </c>
      <c r="Y1160" t="n">
        <v>8</v>
      </c>
    </row>
    <row r="1161">
      <c r="A1161" s="1" t="inlineStr">
        <is>
          <t>h1000160</t>
        </is>
      </c>
      <c r="B1161" s="2" t="inlineStr">
        <is>
          <t>879308752</t>
        </is>
      </c>
      <c r="C1161" s="3" t="inlineStr">
        <is>
          <t>Одежда и аксессуары</t>
        </is>
      </c>
      <c r="D1161" s="2" t="inlineStr">
        <is>
          <t>Футболки, рубашки мужские</t>
        </is>
      </c>
      <c r="E1161" s="3" t="inlineStr">
        <is>
          <t>h10 Футболка мужская</t>
        </is>
      </c>
      <c r="F1161" s="2" t="inlineStr">
        <is>
          <t>всесезонный</t>
        </is>
      </c>
      <c r="G1161" s="3" t="inlineStr">
        <is>
          <t>kari</t>
        </is>
      </c>
      <c r="H1161" s="2" t="inlineStr">
        <is>
          <t>Зиннуров Ильнур</t>
        </is>
      </c>
      <c r="J1161" s="3" t="inlineStr">
        <is>
          <t>2026SS</t>
        </is>
      </c>
      <c r="K1161" s="3" t="n">
        <v>591</v>
      </c>
      <c r="L1161" s="3" t="n">
        <v>36</v>
      </c>
      <c r="M1161" s="3" t="n">
        <v>0</v>
      </c>
      <c r="N1161" s="4">
        <f>IFERROR(L1161/K1161,0)</f>
        <v/>
      </c>
      <c r="O1161" s="4">
        <f>IFERROR(M1161/L1161,0)</f>
        <v/>
      </c>
      <c r="P1161" t="n">
        <v>400</v>
      </c>
      <c r="Q1161" s="5" t="n">
        <v>1</v>
      </c>
      <c r="R1161" s="7" t="n">
        <v>0</v>
      </c>
      <c r="S1161" t="inlineStr">
        <is>
          <t>Мало показов</t>
        </is>
      </c>
      <c r="T1161">
        <f>IF(N1161&lt;$T$1*0.5,"Низшая четверть",IF(N1161&lt;$T$1,"Вторая четверть","Больше половины"))</f>
        <v/>
      </c>
      <c r="U1161">
        <f>IF(O1161&lt;$U$1*0.5,"Низшая четверть",IF(O1161&lt;$U$1,"Вторая четверть","Больше половины"))</f>
        <v/>
      </c>
      <c r="V1161">
        <f>IF(OR(N1161&lt;SUMIFS(L:L,R:R,1,E:E,E1161)/SUMIFS(K:K,R:R,1,E:E,E1161)*0.5,O1161&lt;SUMIFS(M:M,R:R,1,E:E,E1161)/SUMIFS(L:L,R:R,1,E:E,E1161)*0.5),"код для проверки","нормальный код")</f>
        <v/>
      </c>
      <c r="W1161">
        <f>IF(N1161&lt;SUMIFS(L:L,R:R,1,E:E,E1161)/SUMIFS(K:K,R:R,1,E:E,E1161)*0.5,"Низшая четверть",IF(N1161&lt;SUMIFS(L:L,R:R,1,E:E,E1161)/SUMIFS(K:K,R:R,1,E:E,E1161),"Вторая четверть","Больше половины"))</f>
        <v/>
      </c>
      <c r="X1161">
        <f>IF(O1161&lt;SUMIFS(M:M,R:R,1,E:E,E1161)/SUMIFS(L:L,R:R,1,E:E,E1161)*0.5,"Низшая четверть",IF(O1161&lt;SUMIFS(M:M,R:R,1,E:E,E1161)/SUMIFS(L:L,R:R,1,E:E,E1161),"Вторая четверть","Больше половины"))</f>
        <v/>
      </c>
      <c r="Y1161" t="n">
        <v>20</v>
      </c>
    </row>
    <row r="1162">
      <c r="A1162" s="1" t="inlineStr">
        <is>
          <t>a60000J0</t>
        </is>
      </c>
      <c r="B1162" s="2" t="inlineStr">
        <is>
          <t>901241002</t>
        </is>
      </c>
      <c r="C1162" s="3" t="inlineStr">
        <is>
          <t>Одежда для детей</t>
        </is>
      </c>
      <c r="D1162" s="2" t="inlineStr">
        <is>
          <t>Платья, майки, футболки детские для девочек</t>
        </is>
      </c>
      <c r="E1162" s="3" t="inlineStr">
        <is>
          <t>a60 Футболка детская для девочек</t>
        </is>
      </c>
      <c r="F1162" s="2" t="inlineStr">
        <is>
          <t>всесезонный</t>
        </is>
      </c>
      <c r="G1162" s="3" t="inlineStr">
        <is>
          <t>Kari KIDS</t>
        </is>
      </c>
      <c r="H1162" s="2" t="inlineStr">
        <is>
          <t>Зиннуров Ильнур</t>
        </is>
      </c>
      <c r="J1162" s="3" t="inlineStr">
        <is>
          <t>2026SS</t>
        </is>
      </c>
      <c r="K1162" s="3" t="n">
        <v>590</v>
      </c>
      <c r="L1162" s="3" t="n">
        <v>18</v>
      </c>
      <c r="M1162" s="3" t="n">
        <v>1</v>
      </c>
      <c r="N1162" s="4">
        <f>IFERROR(L1162/K1162,0)</f>
        <v/>
      </c>
      <c r="O1162" s="4">
        <f>IFERROR(M1162/L1162,0)</f>
        <v/>
      </c>
      <c r="P1162" t="n">
        <v>698</v>
      </c>
      <c r="Q1162" s="5" t="n">
        <v>1</v>
      </c>
      <c r="R1162" s="7" t="n">
        <v>0</v>
      </c>
      <c r="S1162" t="inlineStr">
        <is>
          <t>Мало показов</t>
        </is>
      </c>
      <c r="T1162">
        <f>IF(N1162&lt;$T$1*0.5,"Низшая четверть",IF(N1162&lt;$T$1,"Вторая четверть","Больше половины"))</f>
        <v/>
      </c>
      <c r="U1162">
        <f>IF(O1162&lt;$U$1*0.5,"Низшая четверть",IF(O1162&lt;$U$1,"Вторая четверть","Больше половины"))</f>
        <v/>
      </c>
      <c r="V1162">
        <f>IF(OR(N1162&lt;SUMIFS(L:L,R:R,1,E:E,E1162)/SUMIFS(K:K,R:R,1,E:E,E1162)*0.5,O1162&lt;SUMIFS(M:M,R:R,1,E:E,E1162)/SUMIFS(L:L,R:R,1,E:E,E1162)*0.5),"код для проверки","нормальный код")</f>
        <v/>
      </c>
      <c r="W1162">
        <f>IF(N1162&lt;SUMIFS(L:L,R:R,1,E:E,E1162)/SUMIFS(K:K,R:R,1,E:E,E1162)*0.5,"Низшая четверть",IF(N1162&lt;SUMIFS(L:L,R:R,1,E:E,E1162)/SUMIFS(K:K,R:R,1,E:E,E1162),"Вторая четверть","Больше половины"))</f>
        <v/>
      </c>
      <c r="X1162">
        <f>IF(O1162&lt;SUMIFS(M:M,R:R,1,E:E,E1162)/SUMIFS(L:L,R:R,1,E:E,E1162)*0.5,"Низшая четверть",IF(O1162&lt;SUMIFS(M:M,R:R,1,E:E,E1162)/SUMIFS(L:L,R:R,1,E:E,E1162),"Вторая четверть","Больше половины"))</f>
        <v/>
      </c>
      <c r="Y1162" t="n">
        <v>12</v>
      </c>
    </row>
    <row r="1163">
      <c r="A1163" s="1" t="inlineStr">
        <is>
          <t>29709040</t>
        </is>
      </c>
      <c r="B1163" s="2" t="inlineStr">
        <is>
          <t>475734576</t>
        </is>
      </c>
      <c r="C1163" s="3" t="inlineStr">
        <is>
          <t>Одежда для детей</t>
        </is>
      </c>
      <c r="D1163" s="2" t="inlineStr">
        <is>
          <t>Пиджаки, костюмы детские для девочек</t>
        </is>
      </c>
      <c r="E1163" s="3" t="inlineStr">
        <is>
          <t>297 Кофта детская для девочек</t>
        </is>
      </c>
      <c r="F1163" s="2" t="inlineStr">
        <is>
          <t>осень, зима</t>
        </is>
      </c>
      <c r="G1163" s="3" t="inlineStr">
        <is>
          <t>kari</t>
        </is>
      </c>
      <c r="H1163" s="2" t="inlineStr">
        <is>
          <t>Зиннуров Ильнур</t>
        </is>
      </c>
      <c r="J1163" s="3" t="inlineStr">
        <is>
          <t>2026SS</t>
        </is>
      </c>
      <c r="K1163" s="3" t="n">
        <v>583</v>
      </c>
      <c r="L1163" s="3" t="n">
        <v>393</v>
      </c>
      <c r="M1163" s="3" t="n">
        <v>2</v>
      </c>
      <c r="N1163" s="4">
        <f>IFERROR(L1163/K1163,0)</f>
        <v/>
      </c>
      <c r="O1163" s="4">
        <f>IFERROR(M1163/L1163,0)</f>
        <v/>
      </c>
      <c r="P1163" t="n">
        <v>0</v>
      </c>
      <c r="Q1163" s="5" t="n">
        <v>0.2</v>
      </c>
      <c r="R1163" s="7" t="n">
        <v>0</v>
      </c>
      <c r="S1163" t="inlineStr">
        <is>
          <t>Мало остатка</t>
        </is>
      </c>
      <c r="T1163">
        <f>IF(N1163&lt;$T$1*0.5,"Низшая четверть",IF(N1163&lt;$T$1,"Вторая четверть","Больше половины"))</f>
        <v/>
      </c>
      <c r="U1163">
        <f>IF(O1163&lt;$U$1*0.5,"Низшая четверть",IF(O1163&lt;$U$1,"Вторая четверть","Больше половины"))</f>
        <v/>
      </c>
      <c r="V1163">
        <f>IF(OR(N1163&lt;SUMIFS(L:L,R:R,1,E:E,E1163)/SUMIFS(K:K,R:R,1,E:E,E1163)*0.5,O1163&lt;SUMIFS(M:M,R:R,1,E:E,E1163)/SUMIFS(L:L,R:R,1,E:E,E1163)*0.5),"код для проверки","нормальный код")</f>
        <v/>
      </c>
      <c r="W1163">
        <f>IF(N1163&lt;SUMIFS(L:L,R:R,1,E:E,E1163)/SUMIFS(K:K,R:R,1,E:E,E1163)*0.5,"Низшая четверть",IF(N1163&lt;SUMIFS(L:L,R:R,1,E:E,E1163)/SUMIFS(K:K,R:R,1,E:E,E1163),"Вторая четверть","Больше половины"))</f>
        <v/>
      </c>
      <c r="X1163">
        <f>IF(O1163&lt;SUMIFS(M:M,R:R,1,E:E,E1163)/SUMIFS(L:L,R:R,1,E:E,E1163)*0.5,"Низшая четверть",IF(O1163&lt;SUMIFS(M:M,R:R,1,E:E,E1163)/SUMIFS(L:L,R:R,1,E:E,E1163),"Вторая четверть","Больше половины"))</f>
        <v/>
      </c>
      <c r="Y1163" t="n">
        <v>15</v>
      </c>
    </row>
    <row r="1164">
      <c r="A1164" s="1" t="inlineStr">
        <is>
          <t>a6000520</t>
        </is>
      </c>
      <c r="B1164" s="2" t="inlineStr">
        <is>
          <t>914676207</t>
        </is>
      </c>
      <c r="C1164" s="3" t="inlineStr">
        <is>
          <t>Одежда для детей</t>
        </is>
      </c>
      <c r="D1164" s="2" t="inlineStr">
        <is>
          <t>Платья, майки, футболки детские для девочек</t>
        </is>
      </c>
      <c r="E1164" s="3" t="inlineStr">
        <is>
          <t>a60 Футболка детская для девочек</t>
        </is>
      </c>
      <c r="F1164" s="2" t="inlineStr">
        <is>
          <t>всесезонный</t>
        </is>
      </c>
      <c r="G1164" s="3" t="inlineStr">
        <is>
          <t>kari</t>
        </is>
      </c>
      <c r="H1164" s="2" t="inlineStr">
        <is>
          <t>Зиннуров Ильнур</t>
        </is>
      </c>
      <c r="J1164" s="3" t="inlineStr">
        <is>
          <t>2026SS</t>
        </is>
      </c>
      <c r="K1164" s="3" t="n">
        <v>568</v>
      </c>
      <c r="L1164" s="3" t="n">
        <v>42</v>
      </c>
      <c r="M1164" s="3" t="n">
        <v>0</v>
      </c>
      <c r="N1164" s="4">
        <f>IFERROR(L1164/K1164,0)</f>
        <v/>
      </c>
      <c r="O1164" s="4">
        <f>IFERROR(M1164/L1164,0)</f>
        <v/>
      </c>
      <c r="P1164" t="n">
        <v>151</v>
      </c>
      <c r="Q1164" s="5" t="n">
        <v>0.5555555555555556</v>
      </c>
      <c r="R1164" s="7" t="n">
        <v>0</v>
      </c>
      <c r="S1164" t="inlineStr">
        <is>
          <t>Мало показов</t>
        </is>
      </c>
      <c r="T1164">
        <f>IF(N1164&lt;$T$1*0.5,"Низшая четверть",IF(N1164&lt;$T$1,"Вторая четверть","Больше половины"))</f>
        <v/>
      </c>
      <c r="U1164">
        <f>IF(O1164&lt;$U$1*0.5,"Низшая четверть",IF(O1164&lt;$U$1,"Вторая четверть","Больше половины"))</f>
        <v/>
      </c>
      <c r="V1164">
        <f>IF(OR(N1164&lt;SUMIFS(L:L,R:R,1,E:E,E1164)/SUMIFS(K:K,R:R,1,E:E,E1164)*0.5,O1164&lt;SUMIFS(M:M,R:R,1,E:E,E1164)/SUMIFS(L:L,R:R,1,E:E,E1164)*0.5),"код для проверки","нормальный код")</f>
        <v/>
      </c>
      <c r="W1164">
        <f>IF(N1164&lt;SUMIFS(L:L,R:R,1,E:E,E1164)/SUMIFS(K:K,R:R,1,E:E,E1164)*0.5,"Низшая четверть",IF(N1164&lt;SUMIFS(L:L,R:R,1,E:E,E1164)/SUMIFS(K:K,R:R,1,E:E,E1164),"Вторая четверть","Больше половины"))</f>
        <v/>
      </c>
      <c r="X1164">
        <f>IF(O1164&lt;SUMIFS(M:M,R:R,1,E:E,E1164)/SUMIFS(L:L,R:R,1,E:E,E1164)*0.5,"Низшая четверть",IF(O1164&lt;SUMIFS(M:M,R:R,1,E:E,E1164)/SUMIFS(L:L,R:R,1,E:E,E1164),"Вторая четверть","Больше половины"))</f>
        <v/>
      </c>
      <c r="Y1164" t="n">
        <v>9</v>
      </c>
    </row>
    <row r="1165">
      <c r="A1165" s="1" t="inlineStr">
        <is>
          <t>a6000500</t>
        </is>
      </c>
      <c r="B1165" s="2" t="inlineStr">
        <is>
          <t>914676205</t>
        </is>
      </c>
      <c r="C1165" s="3" t="inlineStr">
        <is>
          <t>Одежда для детей</t>
        </is>
      </c>
      <c r="D1165" s="2" t="inlineStr">
        <is>
          <t>Платья, майки, футболки детские для девочек</t>
        </is>
      </c>
      <c r="E1165" s="3" t="inlineStr">
        <is>
          <t>a60 Футболка детская для девочек</t>
        </is>
      </c>
      <c r="F1165" s="2" t="inlineStr">
        <is>
          <t>всесезонный</t>
        </is>
      </c>
      <c r="G1165" s="3" t="inlineStr">
        <is>
          <t>kari</t>
        </is>
      </c>
      <c r="H1165" s="2" t="inlineStr">
        <is>
          <t>Зиннуров Ильнур</t>
        </is>
      </c>
      <c r="J1165" s="3" t="inlineStr">
        <is>
          <t>2026SS</t>
        </is>
      </c>
      <c r="K1165" s="3" t="n">
        <v>567</v>
      </c>
      <c r="L1165" s="3" t="n">
        <v>0</v>
      </c>
      <c r="M1165" s="3" t="n">
        <v>0</v>
      </c>
      <c r="N1165" s="4">
        <f>IFERROR(L1165/K1165,0)</f>
        <v/>
      </c>
      <c r="O1165" s="4">
        <f>IFERROR(M1165/L1165,0)</f>
        <v/>
      </c>
      <c r="P1165" t="n">
        <v>155</v>
      </c>
      <c r="Q1165" s="5" t="n">
        <v>0.5555555555555556</v>
      </c>
      <c r="R1165" s="7" t="n">
        <v>0</v>
      </c>
      <c r="S1165" t="inlineStr">
        <is>
          <t>Мало показов</t>
        </is>
      </c>
      <c r="T1165">
        <f>IF(N1165&lt;$T$1*0.5,"Низшая четверть",IF(N1165&lt;$T$1,"Вторая четверть","Больше половины"))</f>
        <v/>
      </c>
      <c r="U1165">
        <f>IF(O1165&lt;$U$1*0.5,"Низшая четверть",IF(O1165&lt;$U$1,"Вторая четверть","Больше половины"))</f>
        <v/>
      </c>
      <c r="V1165">
        <f>IF(OR(N1165&lt;SUMIFS(L:L,R:R,1,E:E,E1165)/SUMIFS(K:K,R:R,1,E:E,E1165)*0.5,O1165&lt;SUMIFS(M:M,R:R,1,E:E,E1165)/SUMIFS(L:L,R:R,1,E:E,E1165)*0.5),"код для проверки","нормальный код")</f>
        <v/>
      </c>
      <c r="W1165">
        <f>IF(N1165&lt;SUMIFS(L:L,R:R,1,E:E,E1165)/SUMIFS(K:K,R:R,1,E:E,E1165)*0.5,"Низшая четверть",IF(N1165&lt;SUMIFS(L:L,R:R,1,E:E,E1165)/SUMIFS(K:K,R:R,1,E:E,E1165),"Вторая четверть","Больше половины"))</f>
        <v/>
      </c>
      <c r="X1165">
        <f>IF(O1165&lt;SUMIFS(M:M,R:R,1,E:E,E1165)/SUMIFS(L:L,R:R,1,E:E,E1165)*0.5,"Низшая четверть",IF(O1165&lt;SUMIFS(M:M,R:R,1,E:E,E1165)/SUMIFS(L:L,R:R,1,E:E,E1165),"Вторая четверть","Больше половины"))</f>
        <v/>
      </c>
      <c r="Y1165" t="n">
        <v>8</v>
      </c>
    </row>
    <row r="1166">
      <c r="A1166" s="1" t="inlineStr">
        <is>
          <t>23100110</t>
        </is>
      </c>
      <c r="B1166" s="2" t="inlineStr">
        <is>
          <t>917283116</t>
        </is>
      </c>
      <c r="C1166" s="3" t="inlineStr">
        <is>
          <t>Одежда для детей</t>
        </is>
      </c>
      <c r="D1166" s="2" t="inlineStr">
        <is>
          <t>Нижнее белье детское для девочек</t>
        </is>
      </c>
      <c r="E1166" s="3" t="inlineStr">
        <is>
          <t>231 Пижама детская для девочек</t>
        </is>
      </c>
      <c r="F1166" s="2" t="inlineStr">
        <is>
          <t>всесезонный</t>
        </is>
      </c>
      <c r="G1166" s="3" t="inlineStr">
        <is>
          <t>kari</t>
        </is>
      </c>
      <c r="H1166" s="2" t="inlineStr">
        <is>
          <t>Зиннуров Ильнур</t>
        </is>
      </c>
      <c r="J1166" s="3" t="inlineStr">
        <is>
          <t>2026SS</t>
        </is>
      </c>
      <c r="K1166" s="3" t="n">
        <v>567</v>
      </c>
      <c r="L1166" s="3" t="n">
        <v>53</v>
      </c>
      <c r="M1166" s="3" t="n">
        <v>1</v>
      </c>
      <c r="N1166" s="4">
        <f>IFERROR(L1166/K1166,0)</f>
        <v/>
      </c>
      <c r="O1166" s="4">
        <f>IFERROR(M1166/L1166,0)</f>
        <v/>
      </c>
      <c r="P1166" t="n">
        <v>518</v>
      </c>
      <c r="Q1166" s="5" t="n">
        <v>1</v>
      </c>
      <c r="R1166" s="7" t="n">
        <v>0</v>
      </c>
      <c r="S1166" t="inlineStr">
        <is>
          <t>Мало показов</t>
        </is>
      </c>
      <c r="T1166">
        <f>IF(N1166&lt;$T$1*0.5,"Низшая четверть",IF(N1166&lt;$T$1,"Вторая четверть","Больше половины"))</f>
        <v/>
      </c>
      <c r="U1166">
        <f>IF(O1166&lt;$U$1*0.5,"Низшая четверть",IF(O1166&lt;$U$1,"Вторая четверть","Больше половины"))</f>
        <v/>
      </c>
      <c r="V1166">
        <f>IF(OR(N1166&lt;SUMIFS(L:L,R:R,1,E:E,E1166)/SUMIFS(K:K,R:R,1,E:E,E1166)*0.5,O1166&lt;SUMIFS(M:M,R:R,1,E:E,E1166)/SUMIFS(L:L,R:R,1,E:E,E1166)*0.5),"код для проверки","нормальный код")</f>
        <v/>
      </c>
      <c r="W1166">
        <f>IF(N1166&lt;SUMIFS(L:L,R:R,1,E:E,E1166)/SUMIFS(K:K,R:R,1,E:E,E1166)*0.5,"Низшая четверть",IF(N1166&lt;SUMIFS(L:L,R:R,1,E:E,E1166)/SUMIFS(K:K,R:R,1,E:E,E1166),"Вторая четверть","Больше половины"))</f>
        <v/>
      </c>
      <c r="X1166">
        <f>IF(O1166&lt;SUMIFS(M:M,R:R,1,E:E,E1166)/SUMIFS(L:L,R:R,1,E:E,E1166)*0.5,"Низшая четверть",IF(O1166&lt;SUMIFS(M:M,R:R,1,E:E,E1166)/SUMIFS(L:L,R:R,1,E:E,E1166),"Вторая четверть","Больше половины"))</f>
        <v/>
      </c>
      <c r="Y1166" t="n">
        <v>26</v>
      </c>
    </row>
    <row r="1167">
      <c r="A1167" s="1" t="inlineStr">
        <is>
          <t>23200120</t>
        </is>
      </c>
      <c r="B1167" s="2" t="inlineStr">
        <is>
          <t>907776042</t>
        </is>
      </c>
      <c r="C1167" s="3" t="inlineStr">
        <is>
          <t>Одежда для детей</t>
        </is>
      </c>
      <c r="D1167" s="2" t="inlineStr">
        <is>
          <t>Нижнее белье детское для мальчиков</t>
        </is>
      </c>
      <c r="E1167" s="3" t="inlineStr">
        <is>
          <t>232 Пижама детская для мальчиков</t>
        </is>
      </c>
      <c r="F1167" s="2" t="inlineStr">
        <is>
          <t>всесезонный</t>
        </is>
      </c>
      <c r="G1167" s="3" t="inlineStr">
        <is>
          <t>kari</t>
        </is>
      </c>
      <c r="H1167" s="2" t="inlineStr">
        <is>
          <t>Зиннуров Ильнур</t>
        </is>
      </c>
      <c r="J1167" s="3" t="inlineStr">
        <is>
          <t>2026SS</t>
        </is>
      </c>
      <c r="K1167" s="3" t="n">
        <v>563</v>
      </c>
      <c r="L1167" s="3" t="n">
        <v>9</v>
      </c>
      <c r="M1167" s="3" t="n">
        <v>0</v>
      </c>
      <c r="N1167" s="4">
        <f>IFERROR(L1167/K1167,0)</f>
        <v/>
      </c>
      <c r="O1167" s="4">
        <f>IFERROR(M1167/L1167,0)</f>
        <v/>
      </c>
      <c r="P1167" t="n">
        <v>920</v>
      </c>
      <c r="Q1167" s="5" t="n">
        <v>1</v>
      </c>
      <c r="R1167" s="7" t="n">
        <v>0</v>
      </c>
      <c r="S1167" t="inlineStr">
        <is>
          <t>Мало показов</t>
        </is>
      </c>
      <c r="T1167">
        <f>IF(N1167&lt;$T$1*0.5,"Низшая четверть",IF(N1167&lt;$T$1,"Вторая четверть","Больше половины"))</f>
        <v/>
      </c>
      <c r="U1167">
        <f>IF(O1167&lt;$U$1*0.5,"Низшая четверть",IF(O1167&lt;$U$1,"Вторая четверть","Больше половины"))</f>
        <v/>
      </c>
      <c r="V1167">
        <f>IF(OR(N1167&lt;SUMIFS(L:L,R:R,1,E:E,E1167)/SUMIFS(K:K,R:R,1,E:E,E1167)*0.5,O1167&lt;SUMIFS(M:M,R:R,1,E:E,E1167)/SUMIFS(L:L,R:R,1,E:E,E1167)*0.5),"код для проверки","нормальный код")</f>
        <v/>
      </c>
      <c r="W1167">
        <f>IF(N1167&lt;SUMIFS(L:L,R:R,1,E:E,E1167)/SUMIFS(K:K,R:R,1,E:E,E1167)*0.5,"Низшая четверть",IF(N1167&lt;SUMIFS(L:L,R:R,1,E:E,E1167)/SUMIFS(K:K,R:R,1,E:E,E1167),"Вторая четверть","Больше половины"))</f>
        <v/>
      </c>
      <c r="X1167">
        <f>IF(O1167&lt;SUMIFS(M:M,R:R,1,E:E,E1167)/SUMIFS(L:L,R:R,1,E:E,E1167)*0.5,"Низшая четверть",IF(O1167&lt;SUMIFS(M:M,R:R,1,E:E,E1167)/SUMIFS(L:L,R:R,1,E:E,E1167),"Вторая четверть","Больше половины"))</f>
        <v/>
      </c>
      <c r="Y1167" t="n">
        <v>16</v>
      </c>
    </row>
    <row r="1168">
      <c r="A1168" s="1" t="inlineStr">
        <is>
          <t>a6000700</t>
        </is>
      </c>
      <c r="B1168" s="2" t="inlineStr">
        <is>
          <t>932503665</t>
        </is>
      </c>
      <c r="C1168" s="3" t="inlineStr">
        <is>
          <t>Одежда для детей</t>
        </is>
      </c>
      <c r="D1168" s="2" t="inlineStr">
        <is>
          <t>Платья, майки, футболки детские для девочек</t>
        </is>
      </c>
      <c r="E1168" s="3" t="inlineStr">
        <is>
          <t>a60 Футболка детская для девочек</t>
        </is>
      </c>
      <c r="F1168" s="2" t="inlineStr">
        <is>
          <t>всесезонный</t>
        </is>
      </c>
      <c r="G1168" s="3" t="inlineStr">
        <is>
          <t>kari</t>
        </is>
      </c>
      <c r="H1168" s="2" t="inlineStr">
        <is>
          <t>Зиннуров Ильнур</t>
        </is>
      </c>
      <c r="J1168" s="3" t="inlineStr">
        <is>
          <t>2026SS</t>
        </is>
      </c>
      <c r="K1168" s="3" t="n">
        <v>562</v>
      </c>
      <c r="L1168" s="3" t="n">
        <v>13</v>
      </c>
      <c r="M1168" s="3" t="n">
        <v>0</v>
      </c>
      <c r="N1168" s="4">
        <f>IFERROR(L1168/K1168,0)</f>
        <v/>
      </c>
      <c r="O1168" s="4">
        <f>IFERROR(M1168/L1168,0)</f>
        <v/>
      </c>
      <c r="P1168" t="n">
        <v>300</v>
      </c>
      <c r="Q1168" s="5" t="n">
        <v>0.5555555555555556</v>
      </c>
      <c r="R1168" s="7" t="n">
        <v>0</v>
      </c>
      <c r="S1168" t="inlineStr">
        <is>
          <t>Мало показов</t>
        </is>
      </c>
      <c r="T1168">
        <f>IF(N1168&lt;$T$1*0.5,"Низшая четверть",IF(N1168&lt;$T$1,"Вторая четверть","Больше половины"))</f>
        <v/>
      </c>
      <c r="U1168">
        <f>IF(O1168&lt;$U$1*0.5,"Низшая четверть",IF(O1168&lt;$U$1,"Вторая четверть","Больше половины"))</f>
        <v/>
      </c>
      <c r="V1168">
        <f>IF(OR(N1168&lt;SUMIFS(L:L,R:R,1,E:E,E1168)/SUMIFS(K:K,R:R,1,E:E,E1168)*0.5,O1168&lt;SUMIFS(M:M,R:R,1,E:E,E1168)/SUMIFS(L:L,R:R,1,E:E,E1168)*0.5),"код для проверки","нормальный код")</f>
        <v/>
      </c>
      <c r="W1168">
        <f>IF(N1168&lt;SUMIFS(L:L,R:R,1,E:E,E1168)/SUMIFS(K:K,R:R,1,E:E,E1168)*0.5,"Низшая четверть",IF(N1168&lt;SUMIFS(L:L,R:R,1,E:E,E1168)/SUMIFS(K:K,R:R,1,E:E,E1168),"Вторая четверть","Больше половины"))</f>
        <v/>
      </c>
      <c r="X1168">
        <f>IF(O1168&lt;SUMIFS(M:M,R:R,1,E:E,E1168)/SUMIFS(L:L,R:R,1,E:E,E1168)*0.5,"Низшая четверть",IF(O1168&lt;SUMIFS(M:M,R:R,1,E:E,E1168)/SUMIFS(L:L,R:R,1,E:E,E1168),"Вторая четверть","Больше половины"))</f>
        <v/>
      </c>
      <c r="Y1168" t="n">
        <v>8</v>
      </c>
    </row>
    <row r="1169">
      <c r="A1169" s="1" t="inlineStr">
        <is>
          <t>31400040</t>
        </is>
      </c>
      <c r="B1169" s="2" t="inlineStr">
        <is>
          <t>889709091</t>
        </is>
      </c>
      <c r="C1169" s="3" t="inlineStr">
        <is>
          <t>Одежда и аксессуары</t>
        </is>
      </c>
      <c r="D1169" s="2" t="inlineStr">
        <is>
          <t>Футболки, рубашки мужские</t>
        </is>
      </c>
      <c r="E1169" s="3" t="inlineStr">
        <is>
          <t>314 Рубашка короткий рукав мужская</t>
        </is>
      </c>
      <c r="F1169" s="2" t="inlineStr">
        <is>
          <t>лето</t>
        </is>
      </c>
      <c r="G1169" s="3" t="inlineStr">
        <is>
          <t>kari</t>
        </is>
      </c>
      <c r="H1169" s="2" t="n"/>
      <c r="J1169" s="3" t="inlineStr">
        <is>
          <t>2026SS</t>
        </is>
      </c>
      <c r="K1169" s="3" t="n">
        <v>557</v>
      </c>
      <c r="L1169" s="3" t="n">
        <v>14</v>
      </c>
      <c r="M1169" s="3" t="n">
        <v>0</v>
      </c>
      <c r="N1169" s="4">
        <f>IFERROR(L1169/K1169,0)</f>
        <v/>
      </c>
      <c r="O1169" s="4">
        <f>IFERROR(M1169/L1169,0)</f>
        <v/>
      </c>
      <c r="P1169" t="n">
        <v>249</v>
      </c>
      <c r="Q1169" s="5" t="n">
        <v>1</v>
      </c>
      <c r="R1169" s="7" t="n">
        <v>0</v>
      </c>
      <c r="S1169" t="inlineStr">
        <is>
          <t>Мало показов</t>
        </is>
      </c>
      <c r="T1169">
        <f>IF(N1169&lt;$T$1*0.5,"Низшая четверть",IF(N1169&lt;$T$1,"Вторая четверть","Больше половины"))</f>
        <v/>
      </c>
      <c r="U1169">
        <f>IF(O1169&lt;$U$1*0.5,"Низшая четверть",IF(O1169&lt;$U$1,"Вторая четверть","Больше половины"))</f>
        <v/>
      </c>
      <c r="V1169">
        <f>IF(OR(N1169&lt;SUMIFS(L:L,R:R,1,E:E,E1169)/SUMIFS(K:K,R:R,1,E:E,E1169)*0.5,O1169&lt;SUMIFS(M:M,R:R,1,E:E,E1169)/SUMIFS(L:L,R:R,1,E:E,E1169)*0.5),"код для проверки","нормальный код")</f>
        <v/>
      </c>
      <c r="W1169">
        <f>IF(N1169&lt;SUMIFS(L:L,R:R,1,E:E,E1169)/SUMIFS(K:K,R:R,1,E:E,E1169)*0.5,"Низшая четверть",IF(N1169&lt;SUMIFS(L:L,R:R,1,E:E,E1169)/SUMIFS(K:K,R:R,1,E:E,E1169),"Вторая четверть","Больше половины"))</f>
        <v/>
      </c>
      <c r="X1169">
        <f>IF(O1169&lt;SUMIFS(M:M,R:R,1,E:E,E1169)/SUMIFS(L:L,R:R,1,E:E,E1169)*0.5,"Низшая четверть",IF(O1169&lt;SUMIFS(M:M,R:R,1,E:E,E1169)/SUMIFS(L:L,R:R,1,E:E,E1169),"Вторая четверть","Больше половины"))</f>
        <v/>
      </c>
      <c r="Y1169" t="n">
        <v>8</v>
      </c>
    </row>
    <row r="1170">
      <c r="A1170" s="1" t="inlineStr">
        <is>
          <t>h0500040</t>
        </is>
      </c>
      <c r="B1170" s="2" t="inlineStr">
        <is>
          <t>850546543</t>
        </is>
      </c>
      <c r="C1170" s="3" t="inlineStr">
        <is>
          <t>Одежда и аксессуары</t>
        </is>
      </c>
      <c r="D1170" s="2" t="inlineStr">
        <is>
          <t>Брюки, шорты мужские</t>
        </is>
      </c>
      <c r="E1170" s="3" t="inlineStr">
        <is>
          <t>h05 Брюки мужские</t>
        </is>
      </c>
      <c r="F1170" s="2" t="inlineStr">
        <is>
          <t>всесезонный</t>
        </is>
      </c>
      <c r="G1170" s="3" t="inlineStr">
        <is>
          <t>kari</t>
        </is>
      </c>
      <c r="H1170" s="2" t="inlineStr">
        <is>
          <t>Зиннуров Ильнур</t>
        </is>
      </c>
      <c r="J1170" s="3" t="inlineStr">
        <is>
          <t>2026SS</t>
        </is>
      </c>
      <c r="K1170" s="3" t="n">
        <v>552</v>
      </c>
      <c r="L1170" s="3" t="n">
        <v>18</v>
      </c>
      <c r="M1170" s="3" t="n">
        <v>1</v>
      </c>
      <c r="N1170" s="4">
        <f>IFERROR(L1170/K1170,0)</f>
        <v/>
      </c>
      <c r="O1170" s="4">
        <f>IFERROR(M1170/L1170,0)</f>
        <v/>
      </c>
      <c r="P1170" t="n">
        <v>98</v>
      </c>
      <c r="Q1170" s="5" t="n">
        <v>0.7142857142857143</v>
      </c>
      <c r="R1170" s="7" t="n">
        <v>0</v>
      </c>
      <c r="S1170" t="inlineStr">
        <is>
          <t>Мало показов</t>
        </is>
      </c>
      <c r="T1170">
        <f>IF(N1170&lt;$T$1*0.5,"Низшая четверть",IF(N1170&lt;$T$1,"Вторая четверть","Больше половины"))</f>
        <v/>
      </c>
      <c r="U1170">
        <f>IF(O1170&lt;$U$1*0.5,"Низшая четверть",IF(O1170&lt;$U$1,"Вторая четверть","Больше половины"))</f>
        <v/>
      </c>
      <c r="V1170">
        <f>IF(OR(N1170&lt;SUMIFS(L:L,R:R,1,E:E,E1170)/SUMIFS(K:K,R:R,1,E:E,E1170)*0.5,O1170&lt;SUMIFS(M:M,R:R,1,E:E,E1170)/SUMIFS(L:L,R:R,1,E:E,E1170)*0.5),"код для проверки","нормальный код")</f>
        <v/>
      </c>
      <c r="W1170">
        <f>IF(N1170&lt;SUMIFS(L:L,R:R,1,E:E,E1170)/SUMIFS(K:K,R:R,1,E:E,E1170)*0.5,"Низшая четверть",IF(N1170&lt;SUMIFS(L:L,R:R,1,E:E,E1170)/SUMIFS(K:K,R:R,1,E:E,E1170),"Вторая четверть","Больше половины"))</f>
        <v/>
      </c>
      <c r="X1170">
        <f>IF(O1170&lt;SUMIFS(M:M,R:R,1,E:E,E1170)/SUMIFS(L:L,R:R,1,E:E,E1170)*0.5,"Низшая четверть",IF(O1170&lt;SUMIFS(M:M,R:R,1,E:E,E1170)/SUMIFS(L:L,R:R,1,E:E,E1170),"Вторая четверть","Больше половины"))</f>
        <v/>
      </c>
      <c r="Y1170" t="n">
        <v>16</v>
      </c>
    </row>
    <row r="1171">
      <c r="A1171" s="1" t="inlineStr">
        <is>
          <t>23100080</t>
        </is>
      </c>
      <c r="B1171" s="2" t="inlineStr">
        <is>
          <t>879308849</t>
        </is>
      </c>
      <c r="C1171" s="3" t="inlineStr">
        <is>
          <t>Одежда для детей</t>
        </is>
      </c>
      <c r="D1171" s="2" t="inlineStr">
        <is>
          <t>Нижнее белье детское для девочек</t>
        </is>
      </c>
      <c r="E1171" s="3" t="inlineStr">
        <is>
          <t>231 Пижама детская для девочек</t>
        </is>
      </c>
      <c r="F1171" s="2" t="inlineStr">
        <is>
          <t>всесезонный</t>
        </is>
      </c>
      <c r="G1171" s="3" t="inlineStr">
        <is>
          <t>kari</t>
        </is>
      </c>
      <c r="H1171" s="2" t="inlineStr">
        <is>
          <t>Зиннуров Ильнур</t>
        </is>
      </c>
      <c r="J1171" s="3" t="inlineStr">
        <is>
          <t>2026SS</t>
        </is>
      </c>
      <c r="K1171" s="3" t="n">
        <v>549</v>
      </c>
      <c r="L1171" s="3" t="n">
        <v>39</v>
      </c>
      <c r="M1171" s="3" t="n">
        <v>1</v>
      </c>
      <c r="N1171" s="4">
        <f>IFERROR(L1171/K1171,0)</f>
        <v/>
      </c>
      <c r="O1171" s="4">
        <f>IFERROR(M1171/L1171,0)</f>
        <v/>
      </c>
      <c r="P1171" t="n">
        <v>920</v>
      </c>
      <c r="Q1171" s="5" t="n">
        <v>1</v>
      </c>
      <c r="R1171" s="7" t="n">
        <v>0</v>
      </c>
      <c r="S1171" t="inlineStr">
        <is>
          <t>Мало показов</t>
        </is>
      </c>
      <c r="T1171">
        <f>IF(N1171&lt;$T$1*0.5,"Низшая четверть",IF(N1171&lt;$T$1,"Вторая четверть","Больше половины"))</f>
        <v/>
      </c>
      <c r="U1171">
        <f>IF(O1171&lt;$U$1*0.5,"Низшая четверть",IF(O1171&lt;$U$1,"Вторая четверть","Больше половины"))</f>
        <v/>
      </c>
      <c r="V1171">
        <f>IF(OR(N1171&lt;SUMIFS(L:L,R:R,1,E:E,E1171)/SUMIFS(K:K,R:R,1,E:E,E1171)*0.5,O1171&lt;SUMIFS(M:M,R:R,1,E:E,E1171)/SUMIFS(L:L,R:R,1,E:E,E1171)*0.5),"код для проверки","нормальный код")</f>
        <v/>
      </c>
      <c r="W1171">
        <f>IF(N1171&lt;SUMIFS(L:L,R:R,1,E:E,E1171)/SUMIFS(K:K,R:R,1,E:E,E1171)*0.5,"Низшая четверть",IF(N1171&lt;SUMIFS(L:L,R:R,1,E:E,E1171)/SUMIFS(K:K,R:R,1,E:E,E1171),"Вторая четверть","Больше половины"))</f>
        <v/>
      </c>
      <c r="X1171">
        <f>IF(O1171&lt;SUMIFS(M:M,R:R,1,E:E,E1171)/SUMIFS(L:L,R:R,1,E:E,E1171)*0.5,"Низшая четверть",IF(O1171&lt;SUMIFS(M:M,R:R,1,E:E,E1171)/SUMIFS(L:L,R:R,1,E:E,E1171),"Вторая четверть","Больше половины"))</f>
        <v/>
      </c>
      <c r="Y1171" t="n">
        <v>8</v>
      </c>
    </row>
    <row r="1172">
      <c r="A1172" s="1" t="inlineStr">
        <is>
          <t>19300490</t>
        </is>
      </c>
      <c r="B1172" s="2" t="inlineStr">
        <is>
          <t>837333723</t>
        </is>
      </c>
      <c r="C1172" s="3" t="inlineStr">
        <is>
          <t>Одежда для детей</t>
        </is>
      </c>
      <c r="D1172" s="2" t="inlineStr">
        <is>
          <t>Брюки детские для мальчиков</t>
        </is>
      </c>
      <c r="E1172" s="3" t="inlineStr">
        <is>
          <t>193 Шорты детские для мальчиков</t>
        </is>
      </c>
      <c r="F1172" s="2" t="inlineStr">
        <is>
          <t>лето</t>
        </is>
      </c>
      <c r="G1172" s="3" t="inlineStr">
        <is>
          <t>kari</t>
        </is>
      </c>
      <c r="H1172" s="2" t="inlineStr">
        <is>
          <t>Зиннуров Ильнур</t>
        </is>
      </c>
      <c r="J1172" s="3" t="inlineStr">
        <is>
          <t>2026SS</t>
        </is>
      </c>
      <c r="K1172" s="3" t="n">
        <v>547</v>
      </c>
      <c r="L1172" s="3" t="n">
        <v>17</v>
      </c>
      <c r="M1172" s="3" t="n">
        <v>1</v>
      </c>
      <c r="N1172" s="4">
        <f>IFERROR(L1172/K1172,0)</f>
        <v/>
      </c>
      <c r="O1172" s="4">
        <f>IFERROR(M1172/L1172,0)</f>
        <v/>
      </c>
      <c r="P1172" t="n">
        <v>279</v>
      </c>
      <c r="Q1172" s="5" t="n">
        <v>1</v>
      </c>
      <c r="R1172" s="7" t="n">
        <v>0</v>
      </c>
      <c r="S1172" t="inlineStr">
        <is>
          <t>Мало показов</t>
        </is>
      </c>
      <c r="T1172">
        <f>IF(N1172&lt;$T$1*0.5,"Низшая четверть",IF(N1172&lt;$T$1,"Вторая четверть","Больше половины"))</f>
        <v/>
      </c>
      <c r="U1172">
        <f>IF(O1172&lt;$U$1*0.5,"Низшая четверть",IF(O1172&lt;$U$1,"Вторая четверть","Больше половины"))</f>
        <v/>
      </c>
      <c r="V1172">
        <f>IF(OR(N1172&lt;SUMIFS(L:L,R:R,1,E:E,E1172)/SUMIFS(K:K,R:R,1,E:E,E1172)*0.5,O1172&lt;SUMIFS(M:M,R:R,1,E:E,E1172)/SUMIFS(L:L,R:R,1,E:E,E1172)*0.5),"код для проверки","нормальный код")</f>
        <v/>
      </c>
      <c r="W1172">
        <f>IF(N1172&lt;SUMIFS(L:L,R:R,1,E:E,E1172)/SUMIFS(K:K,R:R,1,E:E,E1172)*0.5,"Низшая четверть",IF(N1172&lt;SUMIFS(L:L,R:R,1,E:E,E1172)/SUMIFS(K:K,R:R,1,E:E,E1172),"Вторая четверть","Больше половины"))</f>
        <v/>
      </c>
      <c r="X1172">
        <f>IF(O1172&lt;SUMIFS(M:M,R:R,1,E:E,E1172)/SUMIFS(L:L,R:R,1,E:E,E1172)*0.5,"Низшая четверть",IF(O1172&lt;SUMIFS(M:M,R:R,1,E:E,E1172)/SUMIFS(L:L,R:R,1,E:E,E1172),"Вторая четверть","Больше половины"))</f>
        <v/>
      </c>
      <c r="Y1172" t="n">
        <v>10</v>
      </c>
    </row>
    <row r="1173">
      <c r="A1173" s="1" t="inlineStr">
        <is>
          <t>20200300</t>
        </is>
      </c>
      <c r="B1173" s="2" t="inlineStr">
        <is>
          <t>926108704</t>
        </is>
      </c>
      <c r="C1173" s="3" t="inlineStr">
        <is>
          <t>Одежда для детей</t>
        </is>
      </c>
      <c r="D1173" s="2" t="inlineStr">
        <is>
          <t>Головные уборы детские для мальчиков</t>
        </is>
      </c>
      <c r="E1173" s="3" t="inlineStr">
        <is>
          <t>202 Бейсболка детская для мальчиков</t>
        </is>
      </c>
      <c r="F1173" s="2" t="inlineStr">
        <is>
          <t>весна, лето</t>
        </is>
      </c>
      <c r="G1173" s="3" t="inlineStr">
        <is>
          <t>kari</t>
        </is>
      </c>
      <c r="H1173" s="2" t="inlineStr">
        <is>
          <t>Никонорова Алина</t>
        </is>
      </c>
      <c r="J1173" s="3" t="inlineStr">
        <is>
          <t>2026SS</t>
        </is>
      </c>
      <c r="K1173" s="3" t="n">
        <v>546</v>
      </c>
      <c r="L1173" s="3" t="n">
        <v>101</v>
      </c>
      <c r="M1173" s="3" t="n">
        <v>1</v>
      </c>
      <c r="N1173" s="4">
        <f>IFERROR(L1173/K1173,0)</f>
        <v/>
      </c>
      <c r="O1173" s="4">
        <f>IFERROR(M1173/L1173,0)</f>
        <v/>
      </c>
      <c r="P1173" t="n">
        <v>399</v>
      </c>
      <c r="Q1173" s="5" t="n">
        <v>1</v>
      </c>
      <c r="R1173" s="7" t="n">
        <v>0</v>
      </c>
      <c r="S1173" t="inlineStr">
        <is>
          <t>Мало показов</t>
        </is>
      </c>
      <c r="T1173">
        <f>IF(N1173&lt;$T$1*0.5,"Низшая четверть",IF(N1173&lt;$T$1,"Вторая четверть","Больше половины"))</f>
        <v/>
      </c>
      <c r="U1173">
        <f>IF(O1173&lt;$U$1*0.5,"Низшая четверть",IF(O1173&lt;$U$1,"Вторая четверть","Больше половины"))</f>
        <v/>
      </c>
      <c r="V1173">
        <f>IF(OR(N1173&lt;SUMIFS(L:L,R:R,1,E:E,E1173)/SUMIFS(K:K,R:R,1,E:E,E1173)*0.5,O1173&lt;SUMIFS(M:M,R:R,1,E:E,E1173)/SUMIFS(L:L,R:R,1,E:E,E1173)*0.5),"код для проверки","нормальный код")</f>
        <v/>
      </c>
      <c r="W1173">
        <f>IF(N1173&lt;SUMIFS(L:L,R:R,1,E:E,E1173)/SUMIFS(K:K,R:R,1,E:E,E1173)*0.5,"Низшая четверть",IF(N1173&lt;SUMIFS(L:L,R:R,1,E:E,E1173)/SUMIFS(K:K,R:R,1,E:E,E1173),"Вторая четверть","Больше половины"))</f>
        <v/>
      </c>
      <c r="X1173">
        <f>IF(O1173&lt;SUMIFS(M:M,R:R,1,E:E,E1173)/SUMIFS(L:L,R:R,1,E:E,E1173)*0.5,"Низшая четверть",IF(O1173&lt;SUMIFS(M:M,R:R,1,E:E,E1173)/SUMIFS(L:L,R:R,1,E:E,E1173),"Вторая четверть","Больше половины"))</f>
        <v/>
      </c>
      <c r="Y1173" t="n">
        <v>12</v>
      </c>
    </row>
    <row r="1174">
      <c r="A1174" s="1" t="inlineStr">
        <is>
          <t>93600070</t>
        </is>
      </c>
      <c r="B1174" s="2" t="inlineStr">
        <is>
          <t>924182366</t>
        </is>
      </c>
      <c r="C1174" s="3" t="inlineStr">
        <is>
          <t>Одежда для детей</t>
        </is>
      </c>
      <c r="D1174" s="2" t="inlineStr">
        <is>
          <t>Одежда для новорожденных</t>
        </is>
      </c>
      <c r="E1174" s="3" t="inlineStr">
        <is>
          <t>936 Боди с длинным рукавом для мальчиков</t>
        </is>
      </c>
      <c r="F1174" s="2" t="inlineStr">
        <is>
          <t>всесезонный</t>
        </is>
      </c>
      <c r="G1174" s="3" t="inlineStr">
        <is>
          <t>Kari baby</t>
        </is>
      </c>
      <c r="H1174" s="2" t="inlineStr">
        <is>
          <t>Зиннуров Ильнур</t>
        </is>
      </c>
      <c r="J1174" s="3" t="inlineStr">
        <is>
          <t>2026SS</t>
        </is>
      </c>
      <c r="K1174" s="3" t="n">
        <v>530</v>
      </c>
      <c r="L1174" s="3" t="n">
        <v>15</v>
      </c>
      <c r="M1174" s="3" t="n">
        <v>0</v>
      </c>
      <c r="N1174" s="4">
        <f>IFERROR(L1174/K1174,0)</f>
        <v/>
      </c>
      <c r="O1174" s="4">
        <f>IFERROR(M1174/L1174,0)</f>
        <v/>
      </c>
      <c r="P1174" t="n">
        <v>220</v>
      </c>
      <c r="Q1174" s="5" t="n">
        <v>1</v>
      </c>
      <c r="R1174" s="7" t="n">
        <v>0</v>
      </c>
      <c r="S1174" t="inlineStr">
        <is>
          <t>Мало показов</t>
        </is>
      </c>
      <c r="T1174">
        <f>IF(N1174&lt;$T$1*0.5,"Низшая четверть",IF(N1174&lt;$T$1,"Вторая четверть","Больше половины"))</f>
        <v/>
      </c>
      <c r="U1174">
        <f>IF(O1174&lt;$U$1*0.5,"Низшая четверть",IF(O1174&lt;$U$1,"Вторая четверть","Больше половины"))</f>
        <v/>
      </c>
      <c r="V1174">
        <f>IF(OR(N1174&lt;SUMIFS(L:L,R:R,1,E:E,E1174)/SUMIFS(K:K,R:R,1,E:E,E1174)*0.5,O1174&lt;SUMIFS(M:M,R:R,1,E:E,E1174)/SUMIFS(L:L,R:R,1,E:E,E1174)*0.5),"код для проверки","нормальный код")</f>
        <v/>
      </c>
      <c r="W1174">
        <f>IF(N1174&lt;SUMIFS(L:L,R:R,1,E:E,E1174)/SUMIFS(K:K,R:R,1,E:E,E1174)*0.5,"Низшая четверть",IF(N1174&lt;SUMIFS(L:L,R:R,1,E:E,E1174)/SUMIFS(K:K,R:R,1,E:E,E1174),"Вторая четверть","Больше половины"))</f>
        <v/>
      </c>
      <c r="X1174">
        <f>IF(O1174&lt;SUMIFS(M:M,R:R,1,E:E,E1174)/SUMIFS(L:L,R:R,1,E:E,E1174)*0.5,"Низшая четверть",IF(O1174&lt;SUMIFS(M:M,R:R,1,E:E,E1174)/SUMIFS(L:L,R:R,1,E:E,E1174),"Вторая четверть","Больше половины"))</f>
        <v/>
      </c>
      <c r="Y1174" t="n">
        <v>27</v>
      </c>
    </row>
    <row r="1175">
      <c r="A1175" s="1" t="inlineStr">
        <is>
          <t>93800100</t>
        </is>
      </c>
      <c r="B1175" s="2" t="inlineStr">
        <is>
          <t>933463205</t>
        </is>
      </c>
      <c r="C1175" s="3" t="inlineStr">
        <is>
          <t>Одежда для детей</t>
        </is>
      </c>
      <c r="D1175" s="2" t="inlineStr">
        <is>
          <t>Одежда для новорожденных</t>
        </is>
      </c>
      <c r="E1175" s="3" t="inlineStr">
        <is>
          <t>938 Комбинезон для маленького мальчика</t>
        </is>
      </c>
      <c r="F1175" s="2" t="inlineStr">
        <is>
          <t>всесезонный</t>
        </is>
      </c>
      <c r="G1175" s="3" t="inlineStr">
        <is>
          <t>Kari baby</t>
        </is>
      </c>
      <c r="H1175" s="2" t="inlineStr">
        <is>
          <t>Зиннуров Ильнур</t>
        </is>
      </c>
      <c r="J1175" s="3" t="inlineStr">
        <is>
          <t>2026SS</t>
        </is>
      </c>
      <c r="K1175" s="3" t="n">
        <v>523</v>
      </c>
      <c r="L1175" s="3" t="n">
        <v>10</v>
      </c>
      <c r="M1175" s="3" t="n">
        <v>0</v>
      </c>
      <c r="N1175" s="4">
        <f>IFERROR(L1175/K1175,0)</f>
        <v/>
      </c>
      <c r="O1175" s="4">
        <f>IFERROR(M1175/L1175,0)</f>
        <v/>
      </c>
      <c r="P1175" t="n">
        <v>240</v>
      </c>
      <c r="Q1175" s="5" t="n">
        <v>1</v>
      </c>
      <c r="R1175" s="7" t="n">
        <v>0</v>
      </c>
      <c r="S1175" t="inlineStr">
        <is>
          <t>Мало показов</t>
        </is>
      </c>
      <c r="T1175">
        <f>IF(N1175&lt;$T$1*0.5,"Низшая четверть",IF(N1175&lt;$T$1,"Вторая четверть","Больше половины"))</f>
        <v/>
      </c>
      <c r="U1175">
        <f>IF(O1175&lt;$U$1*0.5,"Низшая четверть",IF(O1175&lt;$U$1,"Вторая четверть","Больше половины"))</f>
        <v/>
      </c>
      <c r="V1175">
        <f>IF(OR(N1175&lt;SUMIFS(L:L,R:R,1,E:E,E1175)/SUMIFS(K:K,R:R,1,E:E,E1175)*0.5,O1175&lt;SUMIFS(M:M,R:R,1,E:E,E1175)/SUMIFS(L:L,R:R,1,E:E,E1175)*0.5),"код для проверки","нормальный код")</f>
        <v/>
      </c>
      <c r="W1175">
        <f>IF(N1175&lt;SUMIFS(L:L,R:R,1,E:E,E1175)/SUMIFS(K:K,R:R,1,E:E,E1175)*0.5,"Низшая четверть",IF(N1175&lt;SUMIFS(L:L,R:R,1,E:E,E1175)/SUMIFS(K:K,R:R,1,E:E,E1175),"Вторая четверть","Больше половины"))</f>
        <v/>
      </c>
      <c r="X1175">
        <f>IF(O1175&lt;SUMIFS(M:M,R:R,1,E:E,E1175)/SUMIFS(L:L,R:R,1,E:E,E1175)*0.5,"Низшая четверть",IF(O1175&lt;SUMIFS(M:M,R:R,1,E:E,E1175)/SUMIFS(L:L,R:R,1,E:E,E1175),"Вторая четверть","Больше половины"))</f>
        <v/>
      </c>
      <c r="Y1175" t="n">
        <v>15</v>
      </c>
    </row>
    <row r="1176">
      <c r="A1176" s="1" t="inlineStr">
        <is>
          <t>93800110</t>
        </is>
      </c>
      <c r="B1176" s="2" t="inlineStr">
        <is>
          <t>933463222</t>
        </is>
      </c>
      <c r="C1176" s="3" t="inlineStr">
        <is>
          <t>Одежда для детей</t>
        </is>
      </c>
      <c r="D1176" s="2" t="inlineStr">
        <is>
          <t>Одежда для новорожденных</t>
        </is>
      </c>
      <c r="E1176" s="3" t="inlineStr">
        <is>
          <t>938 Комбинезон для маленького мальчика</t>
        </is>
      </c>
      <c r="F1176" s="2" t="inlineStr">
        <is>
          <t>всесезонный</t>
        </is>
      </c>
      <c r="G1176" s="3" t="inlineStr">
        <is>
          <t>Kari baby</t>
        </is>
      </c>
      <c r="H1176" s="2" t="inlineStr">
        <is>
          <t>Зиннуров Ильнур</t>
        </is>
      </c>
      <c r="J1176" s="3" t="inlineStr">
        <is>
          <t>2026SS</t>
        </is>
      </c>
      <c r="K1176" s="3" t="n">
        <v>510</v>
      </c>
      <c r="L1176" s="3" t="n">
        <v>7</v>
      </c>
      <c r="M1176" s="3" t="n">
        <v>0</v>
      </c>
      <c r="N1176" s="4">
        <f>IFERROR(L1176/K1176,0)</f>
        <v/>
      </c>
      <c r="O1176" s="4">
        <f>IFERROR(M1176/L1176,0)</f>
        <v/>
      </c>
      <c r="P1176" t="n">
        <v>200</v>
      </c>
      <c r="Q1176" s="5" t="n">
        <v>1</v>
      </c>
      <c r="R1176" s="7" t="n">
        <v>0</v>
      </c>
      <c r="S1176" t="inlineStr">
        <is>
          <t>Мало показов</t>
        </is>
      </c>
      <c r="T1176">
        <f>IF(N1176&lt;$T$1*0.5,"Низшая четверть",IF(N1176&lt;$T$1,"Вторая четверть","Больше половины"))</f>
        <v/>
      </c>
      <c r="U1176">
        <f>IF(O1176&lt;$U$1*0.5,"Низшая четверть",IF(O1176&lt;$U$1,"Вторая четверть","Больше половины"))</f>
        <v/>
      </c>
      <c r="V1176">
        <f>IF(OR(N1176&lt;SUMIFS(L:L,R:R,1,E:E,E1176)/SUMIFS(K:K,R:R,1,E:E,E1176)*0.5,O1176&lt;SUMIFS(M:M,R:R,1,E:E,E1176)/SUMIFS(L:L,R:R,1,E:E,E1176)*0.5),"код для проверки","нормальный код")</f>
        <v/>
      </c>
      <c r="W1176">
        <f>IF(N1176&lt;SUMIFS(L:L,R:R,1,E:E,E1176)/SUMIFS(K:K,R:R,1,E:E,E1176)*0.5,"Низшая четверть",IF(N1176&lt;SUMIFS(L:L,R:R,1,E:E,E1176)/SUMIFS(K:K,R:R,1,E:E,E1176),"Вторая четверть","Больше половины"))</f>
        <v/>
      </c>
      <c r="X1176">
        <f>IF(O1176&lt;SUMIFS(M:M,R:R,1,E:E,E1176)/SUMIFS(L:L,R:R,1,E:E,E1176)*0.5,"Низшая четверть",IF(O1176&lt;SUMIFS(M:M,R:R,1,E:E,E1176)/SUMIFS(L:L,R:R,1,E:E,E1176),"Вторая четверть","Больше половины"))</f>
        <v/>
      </c>
      <c r="Y1176" t="n">
        <v>13</v>
      </c>
    </row>
    <row r="1177">
      <c r="A1177" s="1" t="inlineStr">
        <is>
          <t>19300400</t>
        </is>
      </c>
      <c r="B1177" s="2" t="inlineStr">
        <is>
          <t>901505646</t>
        </is>
      </c>
      <c r="C1177" s="3" t="inlineStr">
        <is>
          <t>Одежда для детей</t>
        </is>
      </c>
      <c r="D1177" s="2" t="inlineStr">
        <is>
          <t>Брюки детские для мальчиков</t>
        </is>
      </c>
      <c r="E1177" s="3" t="inlineStr">
        <is>
          <t>193 Шорты детские для мальчиков</t>
        </is>
      </c>
      <c r="F1177" s="2" t="inlineStr">
        <is>
          <t>лето</t>
        </is>
      </c>
      <c r="G1177" s="3" t="inlineStr">
        <is>
          <t>kari</t>
        </is>
      </c>
      <c r="H1177" s="2" t="inlineStr">
        <is>
          <t>Зиннуров Ильнур</t>
        </is>
      </c>
      <c r="J1177" s="3" t="inlineStr">
        <is>
          <t>2026SS</t>
        </is>
      </c>
      <c r="K1177" s="3" t="n">
        <v>507</v>
      </c>
      <c r="L1177" s="3" t="n">
        <v>9</v>
      </c>
      <c r="M1177" s="3" t="n">
        <v>0</v>
      </c>
      <c r="N1177" s="4">
        <f>IFERROR(L1177/K1177,0)</f>
        <v/>
      </c>
      <c r="O1177" s="4">
        <f>IFERROR(M1177/L1177,0)</f>
        <v/>
      </c>
      <c r="P1177" t="n">
        <v>1060</v>
      </c>
      <c r="Q1177" s="5" t="n">
        <v>1</v>
      </c>
      <c r="R1177" s="7" t="n">
        <v>0</v>
      </c>
      <c r="S1177" t="inlineStr">
        <is>
          <t>Мало показов</t>
        </is>
      </c>
      <c r="T1177">
        <f>IF(N1177&lt;$T$1*0.5,"Низшая четверть",IF(N1177&lt;$T$1,"Вторая четверть","Больше половины"))</f>
        <v/>
      </c>
      <c r="U1177">
        <f>IF(O1177&lt;$U$1*0.5,"Низшая четверть",IF(O1177&lt;$U$1,"Вторая четверть","Больше половины"))</f>
        <v/>
      </c>
      <c r="V1177">
        <f>IF(OR(N1177&lt;SUMIFS(L:L,R:R,1,E:E,E1177)/SUMIFS(K:K,R:R,1,E:E,E1177)*0.5,O1177&lt;SUMIFS(M:M,R:R,1,E:E,E1177)/SUMIFS(L:L,R:R,1,E:E,E1177)*0.5),"код для проверки","нормальный код")</f>
        <v/>
      </c>
      <c r="W1177">
        <f>IF(N1177&lt;SUMIFS(L:L,R:R,1,E:E,E1177)/SUMIFS(K:K,R:R,1,E:E,E1177)*0.5,"Низшая четверть",IF(N1177&lt;SUMIFS(L:L,R:R,1,E:E,E1177)/SUMIFS(K:K,R:R,1,E:E,E1177),"Вторая четверть","Больше половины"))</f>
        <v/>
      </c>
      <c r="X1177">
        <f>IF(O1177&lt;SUMIFS(M:M,R:R,1,E:E,E1177)/SUMIFS(L:L,R:R,1,E:E,E1177)*0.5,"Низшая четверть",IF(O1177&lt;SUMIFS(M:M,R:R,1,E:E,E1177)/SUMIFS(L:L,R:R,1,E:E,E1177),"Вторая четверть","Больше половины"))</f>
        <v/>
      </c>
      <c r="Y1177" t="n">
        <v>15</v>
      </c>
    </row>
    <row r="1178">
      <c r="A1178" s="1" t="inlineStr">
        <is>
          <t>07200790</t>
        </is>
      </c>
      <c r="B1178" s="2" t="inlineStr">
        <is>
          <t>895955628</t>
        </is>
      </c>
      <c r="C1178" s="3" t="inlineStr">
        <is>
          <t>Одежда и аксессуары</t>
        </is>
      </c>
      <c r="D1178" s="2" t="inlineStr">
        <is>
          <t>Нижнее белье женское</t>
        </is>
      </c>
      <c r="E1178" s="3" t="inlineStr">
        <is>
          <t>072 Трусы женские</t>
        </is>
      </c>
      <c r="F1178" s="2" t="inlineStr">
        <is>
          <t>всесезонный</t>
        </is>
      </c>
      <c r="G1178" s="3" t="inlineStr">
        <is>
          <t>kari</t>
        </is>
      </c>
      <c r="H1178" s="2" t="inlineStr">
        <is>
          <t>Никонорова Алина</t>
        </is>
      </c>
      <c r="J1178" s="3" t="inlineStr">
        <is>
          <t>2026SS</t>
        </is>
      </c>
      <c r="K1178" s="3" t="n">
        <v>506</v>
      </c>
      <c r="L1178" s="3" t="n">
        <v>101</v>
      </c>
      <c r="M1178" s="3" t="n">
        <v>1</v>
      </c>
      <c r="N1178" s="4">
        <f>IFERROR(L1178/K1178,0)</f>
        <v/>
      </c>
      <c r="O1178" s="4">
        <f>IFERROR(M1178/L1178,0)</f>
        <v/>
      </c>
      <c r="P1178" t="n">
        <v>2051</v>
      </c>
      <c r="Q1178" s="5" t="n">
        <v>1</v>
      </c>
      <c r="R1178" s="7" t="n">
        <v>0</v>
      </c>
      <c r="S1178" t="inlineStr">
        <is>
          <t>Мало показов</t>
        </is>
      </c>
      <c r="T1178">
        <f>IF(N1178&lt;$T$1*0.5,"Низшая четверть",IF(N1178&lt;$T$1,"Вторая четверть","Больше половины"))</f>
        <v/>
      </c>
      <c r="U1178">
        <f>IF(O1178&lt;$U$1*0.5,"Низшая четверть",IF(O1178&lt;$U$1,"Вторая четверть","Больше половины"))</f>
        <v/>
      </c>
      <c r="V1178">
        <f>IF(OR(N1178&lt;SUMIFS(L:L,R:R,1,E:E,E1178)/SUMIFS(K:K,R:R,1,E:E,E1178)*0.5,O1178&lt;SUMIFS(M:M,R:R,1,E:E,E1178)/SUMIFS(L:L,R:R,1,E:E,E1178)*0.5),"код для проверки","нормальный код")</f>
        <v/>
      </c>
      <c r="W1178">
        <f>IF(N1178&lt;SUMIFS(L:L,R:R,1,E:E,E1178)/SUMIFS(K:K,R:R,1,E:E,E1178)*0.5,"Низшая четверть",IF(N1178&lt;SUMIFS(L:L,R:R,1,E:E,E1178)/SUMIFS(K:K,R:R,1,E:E,E1178),"Вторая четверть","Больше половины"))</f>
        <v/>
      </c>
      <c r="X1178">
        <f>IF(O1178&lt;SUMIFS(M:M,R:R,1,E:E,E1178)/SUMIFS(L:L,R:R,1,E:E,E1178)*0.5,"Низшая четверть",IF(O1178&lt;SUMIFS(M:M,R:R,1,E:E,E1178)/SUMIFS(L:L,R:R,1,E:E,E1178),"Вторая четверть","Больше половины"))</f>
        <v/>
      </c>
      <c r="Y1178" t="n">
        <v>19</v>
      </c>
    </row>
    <row r="1179">
      <c r="A1179" s="1" t="inlineStr">
        <is>
          <t>a6000780</t>
        </is>
      </c>
      <c r="B1179" s="2" t="inlineStr">
        <is>
          <t>852386841</t>
        </is>
      </c>
      <c r="C1179" s="3" t="inlineStr">
        <is>
          <t>Одежда для детей</t>
        </is>
      </c>
      <c r="D1179" s="2" t="inlineStr">
        <is>
          <t>Платья, майки, футболки детские для девочек</t>
        </is>
      </c>
      <c r="E1179" s="3" t="inlineStr">
        <is>
          <t>a60 Футболка детская для девочек</t>
        </is>
      </c>
      <c r="F1179" s="2" t="inlineStr">
        <is>
          <t>всесезонный</t>
        </is>
      </c>
      <c r="G1179" s="3" t="inlineStr">
        <is>
          <t>kari</t>
        </is>
      </c>
      <c r="H1179" s="2" t="inlineStr">
        <is>
          <t>Зиннуров Ильнур</t>
        </is>
      </c>
      <c r="J1179" s="3" t="inlineStr">
        <is>
          <t>2026SS</t>
        </is>
      </c>
      <c r="K1179" s="3" t="n">
        <v>504</v>
      </c>
      <c r="L1179" s="3" t="n">
        <v>8</v>
      </c>
      <c r="M1179" s="3" t="n">
        <v>0</v>
      </c>
      <c r="N1179" s="4">
        <f>IFERROR(L1179/K1179,0)</f>
        <v/>
      </c>
      <c r="O1179" s="4">
        <f>IFERROR(M1179/L1179,0)</f>
        <v/>
      </c>
      <c r="P1179" t="n">
        <v>691</v>
      </c>
      <c r="Q1179" s="5" t="n">
        <v>1</v>
      </c>
      <c r="R1179" s="7" t="n">
        <v>0</v>
      </c>
      <c r="S1179" t="inlineStr">
        <is>
          <t>Мало показов</t>
        </is>
      </c>
      <c r="T1179">
        <f>IF(N1179&lt;$T$1*0.5,"Низшая четверть",IF(N1179&lt;$T$1,"Вторая четверть","Больше половины"))</f>
        <v/>
      </c>
      <c r="U1179">
        <f>IF(O1179&lt;$U$1*0.5,"Низшая четверть",IF(O1179&lt;$U$1,"Вторая четверть","Больше половины"))</f>
        <v/>
      </c>
      <c r="V1179">
        <f>IF(OR(N1179&lt;SUMIFS(L:L,R:R,1,E:E,E1179)/SUMIFS(K:K,R:R,1,E:E,E1179)*0.5,O1179&lt;SUMIFS(M:M,R:R,1,E:E,E1179)/SUMIFS(L:L,R:R,1,E:E,E1179)*0.5),"код для проверки","нормальный код")</f>
        <v/>
      </c>
      <c r="W1179">
        <f>IF(N1179&lt;SUMIFS(L:L,R:R,1,E:E,E1179)/SUMIFS(K:K,R:R,1,E:E,E1179)*0.5,"Низшая четверть",IF(N1179&lt;SUMIFS(L:L,R:R,1,E:E,E1179)/SUMIFS(K:K,R:R,1,E:E,E1179),"Вторая четверть","Больше половины"))</f>
        <v/>
      </c>
      <c r="X1179">
        <f>IF(O1179&lt;SUMIFS(M:M,R:R,1,E:E,E1179)/SUMIFS(L:L,R:R,1,E:E,E1179)*0.5,"Низшая четверть",IF(O1179&lt;SUMIFS(M:M,R:R,1,E:E,E1179)/SUMIFS(L:L,R:R,1,E:E,E1179),"Вторая четверть","Больше половины"))</f>
        <v/>
      </c>
      <c r="Y1179" t="n">
        <v>13</v>
      </c>
    </row>
    <row r="1180">
      <c r="A1180" s="1" t="inlineStr">
        <is>
          <t>h0108010</t>
        </is>
      </c>
      <c r="B1180" s="2" t="inlineStr">
        <is>
          <t>360618192</t>
        </is>
      </c>
      <c r="C1180" s="3" t="inlineStr">
        <is>
          <t>Одежда и аксессуары</t>
        </is>
      </c>
      <c r="D1180" s="2" t="inlineStr">
        <is>
          <t>Свитера мужские</t>
        </is>
      </c>
      <c r="E1180" s="3" t="inlineStr">
        <is>
          <t>h01 Толстовка мужская</t>
        </is>
      </c>
      <c r="F1180" s="2" t="inlineStr">
        <is>
          <t>всесезонный</t>
        </is>
      </c>
      <c r="G1180" s="3" t="inlineStr">
        <is>
          <t>kari</t>
        </is>
      </c>
      <c r="H1180" s="2" t="inlineStr">
        <is>
          <t>Зиннуров Ильнур</t>
        </is>
      </c>
      <c r="J1180" s="3" t="inlineStr">
        <is>
          <t>2026SS</t>
        </is>
      </c>
      <c r="K1180" s="3" t="n">
        <v>500</v>
      </c>
      <c r="L1180" s="3" t="n">
        <v>138</v>
      </c>
      <c r="M1180" s="3" t="n">
        <v>4</v>
      </c>
      <c r="N1180" s="4">
        <f>IFERROR(L1180/K1180,0)</f>
        <v/>
      </c>
      <c r="O1180" s="4">
        <f>IFERROR(M1180/L1180,0)</f>
        <v/>
      </c>
      <c r="P1180" t="n">
        <v>0</v>
      </c>
      <c r="Q1180" s="5" t="n">
        <v>0.2</v>
      </c>
      <c r="R1180" s="7" t="n">
        <v>0</v>
      </c>
      <c r="S1180" t="inlineStr">
        <is>
          <t>Мало остатка</t>
        </is>
      </c>
      <c r="T1180">
        <f>IF(N1180&lt;$T$1*0.5,"Низшая четверть",IF(N1180&lt;$T$1,"Вторая четверть","Больше половины"))</f>
        <v/>
      </c>
      <c r="U1180">
        <f>IF(O1180&lt;$U$1*0.5,"Низшая четверть",IF(O1180&lt;$U$1,"Вторая четверть","Больше половины"))</f>
        <v/>
      </c>
      <c r="V1180">
        <f>IF(OR(N1180&lt;SUMIFS(L:L,R:R,1,E:E,E1180)/SUMIFS(K:K,R:R,1,E:E,E1180)*0.5,O1180&lt;SUMIFS(M:M,R:R,1,E:E,E1180)/SUMIFS(L:L,R:R,1,E:E,E1180)*0.5),"код для проверки","нормальный код")</f>
        <v/>
      </c>
      <c r="W1180">
        <f>IF(N1180&lt;SUMIFS(L:L,R:R,1,E:E,E1180)/SUMIFS(K:K,R:R,1,E:E,E1180)*0.5,"Низшая четверть",IF(N1180&lt;SUMIFS(L:L,R:R,1,E:E,E1180)/SUMIFS(K:K,R:R,1,E:E,E1180),"Вторая четверть","Больше половины"))</f>
        <v/>
      </c>
      <c r="X1180">
        <f>IF(O1180&lt;SUMIFS(M:M,R:R,1,E:E,E1180)/SUMIFS(L:L,R:R,1,E:E,E1180)*0.5,"Низшая четверть",IF(O1180&lt;SUMIFS(M:M,R:R,1,E:E,E1180)/SUMIFS(L:L,R:R,1,E:E,E1180),"Вторая четверть","Больше половины"))</f>
        <v/>
      </c>
      <c r="Y1180" t="n">
        <v>8</v>
      </c>
    </row>
    <row r="1181">
      <c r="A1181" s="1" t="inlineStr">
        <is>
          <t>310003N0</t>
        </is>
      </c>
      <c r="B1181" s="2" t="inlineStr">
        <is>
          <t>851029675</t>
        </is>
      </c>
      <c r="C1181" s="3" t="inlineStr">
        <is>
          <t>Одежда для детей</t>
        </is>
      </c>
      <c r="D1181" s="2" t="inlineStr">
        <is>
          <t>Футболки, майки, рубашки детские для мальчиков</t>
        </is>
      </c>
      <c r="E1181" s="3" t="inlineStr">
        <is>
          <t>310 Футболка детская для мальчиков</t>
        </is>
      </c>
      <c r="F1181" s="2" t="inlineStr">
        <is>
          <t>всесезонный</t>
        </is>
      </c>
      <c r="G1181" s="3" t="inlineStr">
        <is>
          <t>kari</t>
        </is>
      </c>
      <c r="H1181" s="2" t="inlineStr">
        <is>
          <t>Зиннуров Ильнур</t>
        </is>
      </c>
      <c r="J1181" s="3" t="inlineStr">
        <is>
          <t>2026SS</t>
        </is>
      </c>
      <c r="K1181" s="3" t="n">
        <v>495</v>
      </c>
      <c r="L1181" s="3" t="n">
        <v>8</v>
      </c>
      <c r="M1181" s="3" t="n">
        <v>0</v>
      </c>
      <c r="N1181" s="4">
        <f>IFERROR(L1181/K1181,0)</f>
        <v/>
      </c>
      <c r="O1181" s="4">
        <f>IFERROR(M1181/L1181,0)</f>
        <v/>
      </c>
      <c r="P1181" t="n">
        <v>414</v>
      </c>
      <c r="Q1181" s="5" t="n">
        <v>1</v>
      </c>
      <c r="R1181" s="7" t="n">
        <v>0</v>
      </c>
      <c r="S1181" t="inlineStr">
        <is>
          <t>Мало показов</t>
        </is>
      </c>
      <c r="T1181">
        <f>IF(N1181&lt;$T$1*0.5,"Низшая четверть",IF(N1181&lt;$T$1,"Вторая четверть","Больше половины"))</f>
        <v/>
      </c>
      <c r="U1181">
        <f>IF(O1181&lt;$U$1*0.5,"Низшая четверть",IF(O1181&lt;$U$1,"Вторая четверть","Больше половины"))</f>
        <v/>
      </c>
      <c r="V1181">
        <f>IF(OR(N1181&lt;SUMIFS(L:L,R:R,1,E:E,E1181)/SUMIFS(K:K,R:R,1,E:E,E1181)*0.5,O1181&lt;SUMIFS(M:M,R:R,1,E:E,E1181)/SUMIFS(L:L,R:R,1,E:E,E1181)*0.5),"код для проверки","нормальный код")</f>
        <v/>
      </c>
      <c r="W1181">
        <f>IF(N1181&lt;SUMIFS(L:L,R:R,1,E:E,E1181)/SUMIFS(K:K,R:R,1,E:E,E1181)*0.5,"Низшая четверть",IF(N1181&lt;SUMIFS(L:L,R:R,1,E:E,E1181)/SUMIFS(K:K,R:R,1,E:E,E1181),"Вторая четверть","Больше половины"))</f>
        <v/>
      </c>
      <c r="X1181">
        <f>IF(O1181&lt;SUMIFS(M:M,R:R,1,E:E,E1181)/SUMIFS(L:L,R:R,1,E:E,E1181)*0.5,"Низшая четверть",IF(O1181&lt;SUMIFS(M:M,R:R,1,E:E,E1181)/SUMIFS(L:L,R:R,1,E:E,E1181),"Вторая четверть","Больше половины"))</f>
        <v/>
      </c>
      <c r="Y1181" t="n">
        <v>17</v>
      </c>
    </row>
    <row r="1182">
      <c r="A1182" s="1" t="inlineStr">
        <is>
          <t>u0100020</t>
        </is>
      </c>
      <c r="B1182" s="2" t="inlineStr">
        <is>
          <t>759752236</t>
        </is>
      </c>
      <c r="C1182" s="3" t="inlineStr">
        <is>
          <t>Одежда и аксессуары</t>
        </is>
      </c>
      <c r="D1182" s="2" t="inlineStr">
        <is>
          <t>Нижнее белье женское</t>
        </is>
      </c>
      <c r="E1182" s="3" t="inlineStr">
        <is>
          <t>u01 Бюстгальтер женский</t>
        </is>
      </c>
      <c r="F1182" s="2" t="inlineStr">
        <is>
          <t>всесезонный</t>
        </is>
      </c>
      <c r="G1182" s="3" t="inlineStr">
        <is>
          <t>kari</t>
        </is>
      </c>
      <c r="H1182" s="2" t="inlineStr">
        <is>
          <t>Никонорова Алина</t>
        </is>
      </c>
      <c r="J1182" s="3" t="inlineStr">
        <is>
          <t>2026SS</t>
        </is>
      </c>
      <c r="K1182" s="3" t="n">
        <v>493</v>
      </c>
      <c r="L1182" s="3" t="n">
        <v>33</v>
      </c>
      <c r="M1182" s="3" t="n">
        <v>1</v>
      </c>
      <c r="N1182" s="4">
        <f>IFERROR(L1182/K1182,0)</f>
        <v/>
      </c>
      <c r="O1182" s="4">
        <f>IFERROR(M1182/L1182,0)</f>
        <v/>
      </c>
      <c r="P1182" t="n">
        <v>1650</v>
      </c>
      <c r="Q1182" s="5" t="n">
        <v>1</v>
      </c>
      <c r="R1182" s="7" t="n">
        <v>0</v>
      </c>
      <c r="S1182" t="inlineStr">
        <is>
          <t>Мало показов</t>
        </is>
      </c>
      <c r="T1182">
        <f>IF(N1182&lt;$T$1*0.5,"Низшая четверть",IF(N1182&lt;$T$1,"Вторая четверть","Больше половины"))</f>
        <v/>
      </c>
      <c r="U1182">
        <f>IF(O1182&lt;$U$1*0.5,"Низшая четверть",IF(O1182&lt;$U$1,"Вторая четверть","Больше половины"))</f>
        <v/>
      </c>
      <c r="V1182">
        <f>IF(OR(N1182&lt;SUMIFS(L:L,R:R,1,E:E,E1182)/SUMIFS(K:K,R:R,1,E:E,E1182)*0.5,O1182&lt;SUMIFS(M:M,R:R,1,E:E,E1182)/SUMIFS(L:L,R:R,1,E:E,E1182)*0.5),"код для проверки","нормальный код")</f>
        <v/>
      </c>
      <c r="W1182">
        <f>IF(N1182&lt;SUMIFS(L:L,R:R,1,E:E,E1182)/SUMIFS(K:K,R:R,1,E:E,E1182)*0.5,"Низшая четверть",IF(N1182&lt;SUMIFS(L:L,R:R,1,E:E,E1182)/SUMIFS(K:K,R:R,1,E:E,E1182),"Вторая четверть","Больше половины"))</f>
        <v/>
      </c>
      <c r="X1182">
        <f>IF(O1182&lt;SUMIFS(M:M,R:R,1,E:E,E1182)/SUMIFS(L:L,R:R,1,E:E,E1182)*0.5,"Низшая четверть",IF(O1182&lt;SUMIFS(M:M,R:R,1,E:E,E1182)/SUMIFS(L:L,R:R,1,E:E,E1182),"Вторая четверть","Больше половины"))</f>
        <v/>
      </c>
      <c r="Y1182" t="n">
        <v>17</v>
      </c>
    </row>
    <row r="1183">
      <c r="A1183" s="1" t="inlineStr">
        <is>
          <t>a60000K0</t>
        </is>
      </c>
      <c r="B1183" s="2" t="inlineStr">
        <is>
          <t>901241047</t>
        </is>
      </c>
      <c r="C1183" s="3" t="inlineStr">
        <is>
          <t>Одежда для детей</t>
        </is>
      </c>
      <c r="D1183" s="2" t="inlineStr">
        <is>
          <t>Платья, майки, футболки детские для девочек</t>
        </is>
      </c>
      <c r="E1183" s="3" t="inlineStr">
        <is>
          <t>a60 Футболка детская для девочек</t>
        </is>
      </c>
      <c r="F1183" s="2" t="inlineStr">
        <is>
          <t>всесезонный</t>
        </is>
      </c>
      <c r="G1183" s="3" t="inlineStr">
        <is>
          <t>kari</t>
        </is>
      </c>
      <c r="H1183" s="2" t="inlineStr">
        <is>
          <t>Зиннуров Ильнур</t>
        </is>
      </c>
      <c r="J1183" s="3" t="inlineStr">
        <is>
          <t>2026SS</t>
        </is>
      </c>
      <c r="K1183" s="3" t="n">
        <v>493</v>
      </c>
      <c r="L1183" s="3" t="n">
        <v>3</v>
      </c>
      <c r="M1183" s="3" t="n">
        <v>0</v>
      </c>
      <c r="N1183" s="4">
        <f>IFERROR(L1183/K1183,0)</f>
        <v/>
      </c>
      <c r="O1183" s="4">
        <f>IFERROR(M1183/L1183,0)</f>
        <v/>
      </c>
      <c r="P1183" t="n">
        <v>950</v>
      </c>
      <c r="Q1183" s="5" t="n">
        <v>1</v>
      </c>
      <c r="R1183" s="7" t="n">
        <v>0</v>
      </c>
      <c r="S1183" t="inlineStr">
        <is>
          <t>Мало показов</t>
        </is>
      </c>
      <c r="T1183">
        <f>IF(N1183&lt;$T$1*0.5,"Низшая четверть",IF(N1183&lt;$T$1,"Вторая четверть","Больше половины"))</f>
        <v/>
      </c>
      <c r="U1183">
        <f>IF(O1183&lt;$U$1*0.5,"Низшая четверть",IF(O1183&lt;$U$1,"Вторая четверть","Больше половины"))</f>
        <v/>
      </c>
      <c r="V1183">
        <f>IF(OR(N1183&lt;SUMIFS(L:L,R:R,1,E:E,E1183)/SUMIFS(K:K,R:R,1,E:E,E1183)*0.5,O1183&lt;SUMIFS(M:M,R:R,1,E:E,E1183)/SUMIFS(L:L,R:R,1,E:E,E1183)*0.5),"код для проверки","нормальный код")</f>
        <v/>
      </c>
      <c r="W1183">
        <f>IF(N1183&lt;SUMIFS(L:L,R:R,1,E:E,E1183)/SUMIFS(K:K,R:R,1,E:E,E1183)*0.5,"Низшая четверть",IF(N1183&lt;SUMIFS(L:L,R:R,1,E:E,E1183)/SUMIFS(K:K,R:R,1,E:E,E1183),"Вторая четверть","Больше половины"))</f>
        <v/>
      </c>
      <c r="X1183">
        <f>IF(O1183&lt;SUMIFS(M:M,R:R,1,E:E,E1183)/SUMIFS(L:L,R:R,1,E:E,E1183)*0.5,"Низшая четверть",IF(O1183&lt;SUMIFS(M:M,R:R,1,E:E,E1183)/SUMIFS(L:L,R:R,1,E:E,E1183),"Вторая четверть","Больше половины"))</f>
        <v/>
      </c>
      <c r="Y1183" t="n">
        <v>14</v>
      </c>
    </row>
    <row r="1184">
      <c r="A1184" s="1" t="inlineStr">
        <is>
          <t>95500340</t>
        </is>
      </c>
      <c r="B1184" s="2" t="inlineStr">
        <is>
          <t>852386846</t>
        </is>
      </c>
      <c r="C1184" s="3" t="inlineStr">
        <is>
          <t>Одежда для детей</t>
        </is>
      </c>
      <c r="D1184" s="2" t="inlineStr">
        <is>
          <t>Платья, майки, футболки детские для девочек</t>
        </is>
      </c>
      <c r="E1184" s="3" t="inlineStr">
        <is>
          <t>955 Топ детский для девочек</t>
        </is>
      </c>
      <c r="F1184" s="2" t="inlineStr">
        <is>
          <t>лето</t>
        </is>
      </c>
      <c r="G1184" s="3" t="inlineStr">
        <is>
          <t>kari</t>
        </is>
      </c>
      <c r="H1184" s="2" t="inlineStr">
        <is>
          <t>Зиннуров Ильнур</t>
        </is>
      </c>
      <c r="J1184" s="3" t="inlineStr">
        <is>
          <t>2026SS</t>
        </is>
      </c>
      <c r="K1184" s="3" t="n">
        <v>490</v>
      </c>
      <c r="L1184" s="3" t="n">
        <v>13</v>
      </c>
      <c r="M1184" s="3" t="n">
        <v>0</v>
      </c>
      <c r="N1184" s="4">
        <f>IFERROR(L1184/K1184,0)</f>
        <v/>
      </c>
      <c r="O1184" s="4">
        <f>IFERROR(M1184/L1184,0)</f>
        <v/>
      </c>
      <c r="P1184" t="n">
        <v>480</v>
      </c>
      <c r="Q1184" s="5" t="n">
        <v>1</v>
      </c>
      <c r="R1184" s="7" t="n">
        <v>0</v>
      </c>
      <c r="S1184" t="inlineStr">
        <is>
          <t>Мало показов</t>
        </is>
      </c>
      <c r="T1184">
        <f>IF(N1184&lt;$T$1*0.5,"Низшая четверть",IF(N1184&lt;$T$1,"Вторая четверть","Больше половины"))</f>
        <v/>
      </c>
      <c r="U1184">
        <f>IF(O1184&lt;$U$1*0.5,"Низшая четверть",IF(O1184&lt;$U$1,"Вторая четверть","Больше половины"))</f>
        <v/>
      </c>
      <c r="V1184">
        <f>IF(OR(N1184&lt;SUMIFS(L:L,R:R,1,E:E,E1184)/SUMIFS(K:K,R:R,1,E:E,E1184)*0.5,O1184&lt;SUMIFS(M:M,R:R,1,E:E,E1184)/SUMIFS(L:L,R:R,1,E:E,E1184)*0.5),"код для проверки","нормальный код")</f>
        <v/>
      </c>
      <c r="W1184">
        <f>IF(N1184&lt;SUMIFS(L:L,R:R,1,E:E,E1184)/SUMIFS(K:K,R:R,1,E:E,E1184)*0.5,"Низшая четверть",IF(N1184&lt;SUMIFS(L:L,R:R,1,E:E,E1184)/SUMIFS(K:K,R:R,1,E:E,E1184),"Вторая четверть","Больше половины"))</f>
        <v/>
      </c>
      <c r="X1184">
        <f>IF(O1184&lt;SUMIFS(M:M,R:R,1,E:E,E1184)/SUMIFS(L:L,R:R,1,E:E,E1184)*0.5,"Низшая четверть",IF(O1184&lt;SUMIFS(M:M,R:R,1,E:E,E1184)/SUMIFS(L:L,R:R,1,E:E,E1184),"Вторая четверть","Больше половины"))</f>
        <v/>
      </c>
      <c r="Y1184" t="n">
        <v>17</v>
      </c>
    </row>
    <row r="1185">
      <c r="A1185" s="1" t="inlineStr">
        <is>
          <t>h0500010</t>
        </is>
      </c>
      <c r="B1185" s="2" t="inlineStr">
        <is>
          <t>850546531</t>
        </is>
      </c>
      <c r="C1185" s="3" t="inlineStr">
        <is>
          <t>Одежда и аксессуары</t>
        </is>
      </c>
      <c r="D1185" s="2" t="inlineStr">
        <is>
          <t>Брюки, шорты мужские</t>
        </is>
      </c>
      <c r="E1185" s="3" t="inlineStr">
        <is>
          <t>h05 Брюки мужские</t>
        </is>
      </c>
      <c r="F1185" s="2" t="inlineStr">
        <is>
          <t>всесезонный</t>
        </is>
      </c>
      <c r="G1185" s="3" t="inlineStr">
        <is>
          <t>kari</t>
        </is>
      </c>
      <c r="H1185" s="2" t="inlineStr">
        <is>
          <t>Зиннуров Ильнур</t>
        </is>
      </c>
      <c r="J1185" s="3" t="inlineStr">
        <is>
          <t>2026SS</t>
        </is>
      </c>
      <c r="K1185" s="3" t="n">
        <v>485</v>
      </c>
      <c r="L1185" s="3" t="n">
        <v>7</v>
      </c>
      <c r="M1185" s="3" t="n">
        <v>0</v>
      </c>
      <c r="N1185" s="4">
        <f>IFERROR(L1185/K1185,0)</f>
        <v/>
      </c>
      <c r="O1185" s="4">
        <f>IFERROR(M1185/L1185,0)</f>
        <v/>
      </c>
      <c r="P1185" t="n">
        <v>100</v>
      </c>
      <c r="Q1185" s="5" t="n">
        <v>0.7142857142857143</v>
      </c>
      <c r="R1185" s="7" t="n">
        <v>0</v>
      </c>
      <c r="S1185" t="inlineStr">
        <is>
          <t>Мало показов</t>
        </is>
      </c>
      <c r="T1185">
        <f>IF(N1185&lt;$T$1*0.5,"Низшая четверть",IF(N1185&lt;$T$1,"Вторая четверть","Больше половины"))</f>
        <v/>
      </c>
      <c r="U1185">
        <f>IF(O1185&lt;$U$1*0.5,"Низшая четверть",IF(O1185&lt;$U$1,"Вторая четверть","Больше половины"))</f>
        <v/>
      </c>
      <c r="V1185">
        <f>IF(OR(N1185&lt;SUMIFS(L:L,R:R,1,E:E,E1185)/SUMIFS(K:K,R:R,1,E:E,E1185)*0.5,O1185&lt;SUMIFS(M:M,R:R,1,E:E,E1185)/SUMIFS(L:L,R:R,1,E:E,E1185)*0.5),"код для проверки","нормальный код")</f>
        <v/>
      </c>
      <c r="W1185">
        <f>IF(N1185&lt;SUMIFS(L:L,R:R,1,E:E,E1185)/SUMIFS(K:K,R:R,1,E:E,E1185)*0.5,"Низшая четверть",IF(N1185&lt;SUMIFS(L:L,R:R,1,E:E,E1185)/SUMIFS(K:K,R:R,1,E:E,E1185),"Вторая четверть","Больше половины"))</f>
        <v/>
      </c>
      <c r="X1185">
        <f>IF(O1185&lt;SUMIFS(M:M,R:R,1,E:E,E1185)/SUMIFS(L:L,R:R,1,E:E,E1185)*0.5,"Низшая четверть",IF(O1185&lt;SUMIFS(M:M,R:R,1,E:E,E1185)/SUMIFS(L:L,R:R,1,E:E,E1185),"Вторая четверть","Больше половины"))</f>
        <v/>
      </c>
      <c r="Y1185" t="n">
        <v>18</v>
      </c>
    </row>
    <row r="1186">
      <c r="A1186" s="1" t="inlineStr">
        <is>
          <t>95500350</t>
        </is>
      </c>
      <c r="B1186" s="2" t="inlineStr">
        <is>
          <t>852386790</t>
        </is>
      </c>
      <c r="C1186" s="3" t="inlineStr">
        <is>
          <t>Одежда для детей</t>
        </is>
      </c>
      <c r="D1186" s="2" t="inlineStr">
        <is>
          <t>Платья, майки, футболки детские для девочек</t>
        </is>
      </c>
      <c r="E1186" s="3" t="inlineStr">
        <is>
          <t>955 Топ детский для девочек</t>
        </is>
      </c>
      <c r="F1186" s="2" t="inlineStr">
        <is>
          <t>лето</t>
        </is>
      </c>
      <c r="G1186" s="3" t="inlineStr">
        <is>
          <t>kari</t>
        </is>
      </c>
      <c r="H1186" s="2" t="inlineStr">
        <is>
          <t>Зиннуров Ильнур</t>
        </is>
      </c>
      <c r="J1186" s="3" t="inlineStr">
        <is>
          <t>2026SS</t>
        </is>
      </c>
      <c r="K1186" s="3" t="n">
        <v>481</v>
      </c>
      <c r="L1186" s="3" t="n">
        <v>10</v>
      </c>
      <c r="M1186" s="3" t="n">
        <v>0</v>
      </c>
      <c r="N1186" s="4">
        <f>IFERROR(L1186/K1186,0)</f>
        <v/>
      </c>
      <c r="O1186" s="4">
        <f>IFERROR(M1186/L1186,0)</f>
        <v/>
      </c>
      <c r="P1186" t="n">
        <v>450</v>
      </c>
      <c r="Q1186" s="5" t="n">
        <v>1</v>
      </c>
      <c r="R1186" s="7" t="n">
        <v>0</v>
      </c>
      <c r="S1186" t="inlineStr">
        <is>
          <t>Мало показов</t>
        </is>
      </c>
      <c r="T1186">
        <f>IF(N1186&lt;$T$1*0.5,"Низшая четверть",IF(N1186&lt;$T$1,"Вторая четверть","Больше половины"))</f>
        <v/>
      </c>
      <c r="U1186">
        <f>IF(O1186&lt;$U$1*0.5,"Низшая четверть",IF(O1186&lt;$U$1,"Вторая четверть","Больше половины"))</f>
        <v/>
      </c>
      <c r="V1186">
        <f>IF(OR(N1186&lt;SUMIFS(L:L,R:R,1,E:E,E1186)/SUMIFS(K:K,R:R,1,E:E,E1186)*0.5,O1186&lt;SUMIFS(M:M,R:R,1,E:E,E1186)/SUMIFS(L:L,R:R,1,E:E,E1186)*0.5),"код для проверки","нормальный код")</f>
        <v/>
      </c>
      <c r="W1186">
        <f>IF(N1186&lt;SUMIFS(L:L,R:R,1,E:E,E1186)/SUMIFS(K:K,R:R,1,E:E,E1186)*0.5,"Низшая четверть",IF(N1186&lt;SUMIFS(L:L,R:R,1,E:E,E1186)/SUMIFS(K:K,R:R,1,E:E,E1186),"Вторая четверть","Больше половины"))</f>
        <v/>
      </c>
      <c r="X1186">
        <f>IF(O1186&lt;SUMIFS(M:M,R:R,1,E:E,E1186)/SUMIFS(L:L,R:R,1,E:E,E1186)*0.5,"Низшая четверть",IF(O1186&lt;SUMIFS(M:M,R:R,1,E:E,E1186)/SUMIFS(L:L,R:R,1,E:E,E1186),"Вторая четверть","Больше половины"))</f>
        <v/>
      </c>
      <c r="Y1186" t="n">
        <v>17</v>
      </c>
    </row>
    <row r="1187">
      <c r="A1187" s="1" t="inlineStr">
        <is>
          <t>95500330</t>
        </is>
      </c>
      <c r="B1187" s="2" t="inlineStr">
        <is>
          <t>852386797</t>
        </is>
      </c>
      <c r="C1187" s="3" t="inlineStr">
        <is>
          <t>Одежда для детей</t>
        </is>
      </c>
      <c r="D1187" s="2" t="inlineStr">
        <is>
          <t>Платья, майки, футболки детские для девочек</t>
        </is>
      </c>
      <c r="E1187" s="3" t="inlineStr">
        <is>
          <t>955 Топ детский для девочек</t>
        </is>
      </c>
      <c r="F1187" s="2" t="inlineStr">
        <is>
          <t>лето</t>
        </is>
      </c>
      <c r="G1187" s="3" t="inlineStr">
        <is>
          <t>kari</t>
        </is>
      </c>
      <c r="H1187" s="2" t="inlineStr">
        <is>
          <t>Зиннуров Ильнур</t>
        </is>
      </c>
      <c r="J1187" s="3" t="inlineStr">
        <is>
          <t>2026SS</t>
        </is>
      </c>
      <c r="K1187" s="3" t="n">
        <v>481</v>
      </c>
      <c r="L1187" s="3" t="n">
        <v>12</v>
      </c>
      <c r="M1187" s="3" t="n">
        <v>0</v>
      </c>
      <c r="N1187" s="4">
        <f>IFERROR(L1187/K1187,0)</f>
        <v/>
      </c>
      <c r="O1187" s="4">
        <f>IFERROR(M1187/L1187,0)</f>
        <v/>
      </c>
      <c r="P1187" t="n">
        <v>401</v>
      </c>
      <c r="Q1187" s="5" t="n">
        <v>1</v>
      </c>
      <c r="R1187" s="7" t="n">
        <v>0</v>
      </c>
      <c r="S1187" t="inlineStr">
        <is>
          <t>Мало показов</t>
        </is>
      </c>
      <c r="T1187">
        <f>IF(N1187&lt;$T$1*0.5,"Низшая четверть",IF(N1187&lt;$T$1,"Вторая четверть","Больше половины"))</f>
        <v/>
      </c>
      <c r="U1187">
        <f>IF(O1187&lt;$U$1*0.5,"Низшая четверть",IF(O1187&lt;$U$1,"Вторая четверть","Больше половины"))</f>
        <v/>
      </c>
      <c r="V1187">
        <f>IF(OR(N1187&lt;SUMIFS(L:L,R:R,1,E:E,E1187)/SUMIFS(K:K,R:R,1,E:E,E1187)*0.5,O1187&lt;SUMIFS(M:M,R:R,1,E:E,E1187)/SUMIFS(L:L,R:R,1,E:E,E1187)*0.5),"код для проверки","нормальный код")</f>
        <v/>
      </c>
      <c r="W1187">
        <f>IF(N1187&lt;SUMIFS(L:L,R:R,1,E:E,E1187)/SUMIFS(K:K,R:R,1,E:E,E1187)*0.5,"Низшая четверть",IF(N1187&lt;SUMIFS(L:L,R:R,1,E:E,E1187)/SUMIFS(K:K,R:R,1,E:E,E1187),"Вторая четверть","Больше половины"))</f>
        <v/>
      </c>
      <c r="X1187">
        <f>IF(O1187&lt;SUMIFS(M:M,R:R,1,E:E,E1187)/SUMIFS(L:L,R:R,1,E:E,E1187)*0.5,"Низшая четверть",IF(O1187&lt;SUMIFS(M:M,R:R,1,E:E,E1187)/SUMIFS(L:L,R:R,1,E:E,E1187),"Вторая четверть","Больше половины"))</f>
        <v/>
      </c>
      <c r="Y1187" t="n">
        <v>20</v>
      </c>
    </row>
    <row r="1188">
      <c r="A1188" s="1" t="inlineStr">
        <is>
          <t>19300280</t>
        </is>
      </c>
      <c r="B1188" s="2" t="inlineStr">
        <is>
          <t>910240403</t>
        </is>
      </c>
      <c r="C1188" s="3" t="inlineStr">
        <is>
          <t>Одежда для детей</t>
        </is>
      </c>
      <c r="D1188" s="2" t="inlineStr">
        <is>
          <t>Брюки детские для мальчиков</t>
        </is>
      </c>
      <c r="E1188" s="3" t="inlineStr">
        <is>
          <t>193 Шорты детские для мальчиков</t>
        </is>
      </c>
      <c r="F1188" s="2" t="inlineStr">
        <is>
          <t>лето</t>
        </is>
      </c>
      <c r="G1188" s="3" t="inlineStr">
        <is>
          <t>kari</t>
        </is>
      </c>
      <c r="H1188" s="2" t="inlineStr">
        <is>
          <t>Зиннуров Ильнур</t>
        </is>
      </c>
      <c r="J1188" s="3" t="inlineStr">
        <is>
          <t>2026SS</t>
        </is>
      </c>
      <c r="K1188" s="3" t="n">
        <v>481</v>
      </c>
      <c r="L1188" s="3" t="n">
        <v>18</v>
      </c>
      <c r="M1188" s="3" t="n">
        <v>1</v>
      </c>
      <c r="N1188" s="4">
        <f>IFERROR(L1188/K1188,0)</f>
        <v/>
      </c>
      <c r="O1188" s="4">
        <f>IFERROR(M1188/L1188,0)</f>
        <v/>
      </c>
      <c r="P1188" t="n">
        <v>1958</v>
      </c>
      <c r="Q1188" s="5" t="n">
        <v>1</v>
      </c>
      <c r="R1188" s="7" t="n">
        <v>0</v>
      </c>
      <c r="S1188" t="inlineStr">
        <is>
          <t>Мало показов</t>
        </is>
      </c>
      <c r="T1188">
        <f>IF(N1188&lt;$T$1*0.5,"Низшая четверть",IF(N1188&lt;$T$1,"Вторая четверть","Больше половины"))</f>
        <v/>
      </c>
      <c r="U1188">
        <f>IF(O1188&lt;$U$1*0.5,"Низшая четверть",IF(O1188&lt;$U$1,"Вторая четверть","Больше половины"))</f>
        <v/>
      </c>
      <c r="V1188">
        <f>IF(OR(N1188&lt;SUMIFS(L:L,R:R,1,E:E,E1188)/SUMIFS(K:K,R:R,1,E:E,E1188)*0.5,O1188&lt;SUMIFS(M:M,R:R,1,E:E,E1188)/SUMIFS(L:L,R:R,1,E:E,E1188)*0.5),"код для проверки","нормальный код")</f>
        <v/>
      </c>
      <c r="W1188">
        <f>IF(N1188&lt;SUMIFS(L:L,R:R,1,E:E,E1188)/SUMIFS(K:K,R:R,1,E:E,E1188)*0.5,"Низшая четверть",IF(N1188&lt;SUMIFS(L:L,R:R,1,E:E,E1188)/SUMIFS(K:K,R:R,1,E:E,E1188),"Вторая четверть","Больше половины"))</f>
        <v/>
      </c>
      <c r="X1188">
        <f>IF(O1188&lt;SUMIFS(M:M,R:R,1,E:E,E1188)/SUMIFS(L:L,R:R,1,E:E,E1188)*0.5,"Низшая четверть",IF(O1188&lt;SUMIFS(M:M,R:R,1,E:E,E1188)/SUMIFS(L:L,R:R,1,E:E,E1188),"Вторая четверть","Больше половины"))</f>
        <v/>
      </c>
      <c r="Y1188" t="n">
        <v>10</v>
      </c>
    </row>
    <row r="1189">
      <c r="A1189" s="1" t="inlineStr">
        <is>
          <t>90000070</t>
        </is>
      </c>
      <c r="B1189" s="2" t="inlineStr">
        <is>
          <t>915513264</t>
        </is>
      </c>
      <c r="C1189" s="3" t="inlineStr">
        <is>
          <t>Одежда для детей</t>
        </is>
      </c>
      <c r="D1189" s="2" t="inlineStr">
        <is>
          <t>Одежда для новорожденных</t>
        </is>
      </c>
      <c r="E1189" s="3" t="inlineStr">
        <is>
          <t>900 Штанишки для маленького мальчика</t>
        </is>
      </c>
      <c r="F1189" s="2" t="inlineStr">
        <is>
          <t>всесезонный</t>
        </is>
      </c>
      <c r="G1189" s="3" t="inlineStr">
        <is>
          <t>Kari baby</t>
        </is>
      </c>
      <c r="H1189" s="2" t="inlineStr">
        <is>
          <t>Зиннуров Ильнур</t>
        </is>
      </c>
      <c r="J1189" s="3" t="inlineStr">
        <is>
          <t>2026SS</t>
        </is>
      </c>
      <c r="K1189" s="3" t="n">
        <v>480</v>
      </c>
      <c r="L1189" s="3" t="n">
        <v>46</v>
      </c>
      <c r="M1189" s="3" t="n">
        <v>1</v>
      </c>
      <c r="N1189" s="4">
        <f>IFERROR(L1189/K1189,0)</f>
        <v/>
      </c>
      <c r="O1189" s="4">
        <f>IFERROR(M1189/L1189,0)</f>
        <v/>
      </c>
      <c r="P1189" t="n">
        <v>200</v>
      </c>
      <c r="Q1189" s="5" t="n">
        <v>1</v>
      </c>
      <c r="R1189" s="7" t="n">
        <v>0</v>
      </c>
      <c r="S1189" t="inlineStr">
        <is>
          <t>Мало показов</t>
        </is>
      </c>
      <c r="T1189">
        <f>IF(N1189&lt;$T$1*0.5,"Низшая четверть",IF(N1189&lt;$T$1,"Вторая четверть","Больше половины"))</f>
        <v/>
      </c>
      <c r="U1189">
        <f>IF(O1189&lt;$U$1*0.5,"Низшая четверть",IF(O1189&lt;$U$1,"Вторая четверть","Больше половины"))</f>
        <v/>
      </c>
      <c r="V1189">
        <f>IF(OR(N1189&lt;SUMIFS(L:L,R:R,1,E:E,E1189)/SUMIFS(K:K,R:R,1,E:E,E1189)*0.5,O1189&lt;SUMIFS(M:M,R:R,1,E:E,E1189)/SUMIFS(L:L,R:R,1,E:E,E1189)*0.5),"код для проверки","нормальный код")</f>
        <v/>
      </c>
      <c r="W1189">
        <f>IF(N1189&lt;SUMIFS(L:L,R:R,1,E:E,E1189)/SUMIFS(K:K,R:R,1,E:E,E1189)*0.5,"Низшая четверть",IF(N1189&lt;SUMIFS(L:L,R:R,1,E:E,E1189)/SUMIFS(K:K,R:R,1,E:E,E1189),"Вторая четверть","Больше половины"))</f>
        <v/>
      </c>
      <c r="X1189">
        <f>IF(O1189&lt;SUMIFS(M:M,R:R,1,E:E,E1189)/SUMIFS(L:L,R:R,1,E:E,E1189)*0.5,"Низшая четверть",IF(O1189&lt;SUMIFS(M:M,R:R,1,E:E,E1189)/SUMIFS(L:L,R:R,1,E:E,E1189),"Вторая четверть","Больше половины"))</f>
        <v/>
      </c>
      <c r="Y1189" t="n">
        <v>19</v>
      </c>
    </row>
    <row r="1190">
      <c r="A1190" s="1" t="inlineStr">
        <is>
          <t>93600060</t>
        </is>
      </c>
      <c r="B1190" s="2" t="inlineStr">
        <is>
          <t>848722531</t>
        </is>
      </c>
      <c r="C1190" s="3" t="inlineStr">
        <is>
          <t>Одежда для детей</t>
        </is>
      </c>
      <c r="D1190" s="2" t="inlineStr">
        <is>
          <t>Одежда для новорожденных</t>
        </is>
      </c>
      <c r="E1190" s="3" t="inlineStr">
        <is>
          <t>936 Боди с длинным рукавом для мальчиков</t>
        </is>
      </c>
      <c r="F1190" s="2" t="inlineStr">
        <is>
          <t>всесезонный</t>
        </is>
      </c>
      <c r="G1190" s="3" t="inlineStr">
        <is>
          <t>Kari baby</t>
        </is>
      </c>
      <c r="H1190" s="2" t="inlineStr">
        <is>
          <t>Зиннуров Ильнур</t>
        </is>
      </c>
      <c r="J1190" s="3" t="inlineStr">
        <is>
          <t>2026SS</t>
        </is>
      </c>
      <c r="K1190" s="3" t="n">
        <v>479</v>
      </c>
      <c r="L1190" s="3" t="n">
        <v>198</v>
      </c>
      <c r="M1190" s="3" t="n">
        <v>4</v>
      </c>
      <c r="N1190" s="4">
        <f>IFERROR(L1190/K1190,0)</f>
        <v/>
      </c>
      <c r="O1190" s="4">
        <f>IFERROR(M1190/L1190,0)</f>
        <v/>
      </c>
      <c r="P1190" t="n">
        <v>237</v>
      </c>
      <c r="Q1190" s="5" t="n">
        <v>1</v>
      </c>
      <c r="R1190" s="7" t="n">
        <v>0</v>
      </c>
      <c r="S1190" t="inlineStr">
        <is>
          <t>Мало показов</t>
        </is>
      </c>
      <c r="T1190">
        <f>IF(N1190&lt;$T$1*0.5,"Низшая четверть",IF(N1190&lt;$T$1,"Вторая четверть","Больше половины"))</f>
        <v/>
      </c>
      <c r="U1190">
        <f>IF(O1190&lt;$U$1*0.5,"Низшая четверть",IF(O1190&lt;$U$1,"Вторая четверть","Больше половины"))</f>
        <v/>
      </c>
      <c r="V1190">
        <f>IF(OR(N1190&lt;SUMIFS(L:L,R:R,1,E:E,E1190)/SUMIFS(K:K,R:R,1,E:E,E1190)*0.5,O1190&lt;SUMIFS(M:M,R:R,1,E:E,E1190)/SUMIFS(L:L,R:R,1,E:E,E1190)*0.5),"код для проверки","нормальный код")</f>
        <v/>
      </c>
      <c r="W1190">
        <f>IF(N1190&lt;SUMIFS(L:L,R:R,1,E:E,E1190)/SUMIFS(K:K,R:R,1,E:E,E1190)*0.5,"Низшая четверть",IF(N1190&lt;SUMIFS(L:L,R:R,1,E:E,E1190)/SUMIFS(K:K,R:R,1,E:E,E1190),"Вторая четверть","Больше половины"))</f>
        <v/>
      </c>
      <c r="X1190">
        <f>IF(O1190&lt;SUMIFS(M:M,R:R,1,E:E,E1190)/SUMIFS(L:L,R:R,1,E:E,E1190)*0.5,"Низшая четверть",IF(O1190&lt;SUMIFS(M:M,R:R,1,E:E,E1190)/SUMIFS(L:L,R:R,1,E:E,E1190),"Вторая четверть","Больше половины"))</f>
        <v/>
      </c>
      <c r="Y1190" t="n">
        <v>14</v>
      </c>
    </row>
    <row r="1191">
      <c r="A1191" s="1" t="inlineStr">
        <is>
          <t>20200180</t>
        </is>
      </c>
      <c r="B1191" s="2" t="inlineStr">
        <is>
          <t>211431712</t>
        </is>
      </c>
      <c r="C1191" s="3" t="inlineStr">
        <is>
          <t>Одежда для детей</t>
        </is>
      </c>
      <c r="D1191" s="2" t="inlineStr">
        <is>
          <t>Головные уборы детские для мальчиков</t>
        </is>
      </c>
      <c r="E1191" s="3" t="inlineStr">
        <is>
          <t>202 Бейсболка детская для мальчиков</t>
        </is>
      </c>
      <c r="F1191" s="2" t="inlineStr">
        <is>
          <t>весна, лето</t>
        </is>
      </c>
      <c r="G1191" s="3" t="inlineStr">
        <is>
          <t>kari</t>
        </is>
      </c>
      <c r="H1191" s="2" t="inlineStr">
        <is>
          <t>Никонорова Алина</t>
        </is>
      </c>
      <c r="J1191" s="3" t="inlineStr">
        <is>
          <t>2026SS</t>
        </is>
      </c>
      <c r="K1191" s="3" t="n">
        <v>475</v>
      </c>
      <c r="L1191" s="3" t="n">
        <v>55</v>
      </c>
      <c r="M1191" s="3" t="n">
        <v>1</v>
      </c>
      <c r="N1191" s="4">
        <f>IFERROR(L1191/K1191,0)</f>
        <v/>
      </c>
      <c r="O1191" s="4">
        <f>IFERROR(M1191/L1191,0)</f>
        <v/>
      </c>
      <c r="P1191" t="n">
        <v>0</v>
      </c>
      <c r="Q1191" s="5" t="n">
        <v>0</v>
      </c>
      <c r="R1191" s="7" t="n">
        <v>0</v>
      </c>
      <c r="S1191" t="inlineStr">
        <is>
          <t>Мало остатка</t>
        </is>
      </c>
      <c r="T1191">
        <f>IF(N1191&lt;$T$1*0.5,"Низшая четверть",IF(N1191&lt;$T$1,"Вторая четверть","Больше половины"))</f>
        <v/>
      </c>
      <c r="U1191">
        <f>IF(O1191&lt;$U$1*0.5,"Низшая четверть",IF(O1191&lt;$U$1,"Вторая четверть","Больше половины"))</f>
        <v/>
      </c>
      <c r="V1191">
        <f>IF(OR(N1191&lt;SUMIFS(L:L,R:R,1,E:E,E1191)/SUMIFS(K:K,R:R,1,E:E,E1191)*0.5,O1191&lt;SUMIFS(M:M,R:R,1,E:E,E1191)/SUMIFS(L:L,R:R,1,E:E,E1191)*0.5),"код для проверки","нормальный код")</f>
        <v/>
      </c>
      <c r="W1191">
        <f>IF(N1191&lt;SUMIFS(L:L,R:R,1,E:E,E1191)/SUMIFS(K:K,R:R,1,E:E,E1191)*0.5,"Низшая четверть",IF(N1191&lt;SUMIFS(L:L,R:R,1,E:E,E1191)/SUMIFS(K:K,R:R,1,E:E,E1191),"Вторая четверть","Больше половины"))</f>
        <v/>
      </c>
      <c r="X1191">
        <f>IF(O1191&lt;SUMIFS(M:M,R:R,1,E:E,E1191)/SUMIFS(L:L,R:R,1,E:E,E1191)*0.5,"Низшая четверть",IF(O1191&lt;SUMIFS(M:M,R:R,1,E:E,E1191)/SUMIFS(L:L,R:R,1,E:E,E1191),"Вторая четверть","Больше половины"))</f>
        <v/>
      </c>
      <c r="Y1191" t="n">
        <v>7</v>
      </c>
    </row>
    <row r="1192">
      <c r="A1192" s="1" t="inlineStr">
        <is>
          <t>a6000510</t>
        </is>
      </c>
      <c r="B1192" s="2" t="inlineStr">
        <is>
          <t>914676219</t>
        </is>
      </c>
      <c r="C1192" s="3" t="inlineStr">
        <is>
          <t>Одежда для детей</t>
        </is>
      </c>
      <c r="D1192" s="2" t="inlineStr">
        <is>
          <t>Платья, майки, футболки детские для девочек</t>
        </is>
      </c>
      <c r="E1192" s="3" t="inlineStr">
        <is>
          <t>a60 Футболка детская для девочек</t>
        </is>
      </c>
      <c r="F1192" s="2" t="inlineStr">
        <is>
          <t>всесезонный</t>
        </is>
      </c>
      <c r="G1192" s="3" t="inlineStr">
        <is>
          <t>kari</t>
        </is>
      </c>
      <c r="H1192" s="2" t="inlineStr">
        <is>
          <t>Зиннуров Ильнур</t>
        </is>
      </c>
      <c r="J1192" s="3" t="inlineStr">
        <is>
          <t>2026SS</t>
        </is>
      </c>
      <c r="K1192" s="3" t="n">
        <v>465</v>
      </c>
      <c r="L1192" s="3" t="n">
        <v>7</v>
      </c>
      <c r="M1192" s="3" t="n">
        <v>0</v>
      </c>
      <c r="N1192" s="4">
        <f>IFERROR(L1192/K1192,0)</f>
        <v/>
      </c>
      <c r="O1192" s="4">
        <f>IFERROR(M1192/L1192,0)</f>
        <v/>
      </c>
      <c r="P1192" t="n">
        <v>151</v>
      </c>
      <c r="Q1192" s="5" t="n">
        <v>0.5555555555555556</v>
      </c>
      <c r="R1192" s="7" t="n">
        <v>0</v>
      </c>
      <c r="S1192" t="inlineStr">
        <is>
          <t>Мало показов</t>
        </is>
      </c>
      <c r="T1192">
        <f>IF(N1192&lt;$T$1*0.5,"Низшая четверть",IF(N1192&lt;$T$1,"Вторая четверть","Больше половины"))</f>
        <v/>
      </c>
      <c r="U1192">
        <f>IF(O1192&lt;$U$1*0.5,"Низшая четверть",IF(O1192&lt;$U$1,"Вторая четверть","Больше половины"))</f>
        <v/>
      </c>
      <c r="V1192">
        <f>IF(OR(N1192&lt;SUMIFS(L:L,R:R,1,E:E,E1192)/SUMIFS(K:K,R:R,1,E:E,E1192)*0.5,O1192&lt;SUMIFS(M:M,R:R,1,E:E,E1192)/SUMIFS(L:L,R:R,1,E:E,E1192)*0.5),"код для проверки","нормальный код")</f>
        <v/>
      </c>
      <c r="W1192">
        <f>IF(N1192&lt;SUMIFS(L:L,R:R,1,E:E,E1192)/SUMIFS(K:K,R:R,1,E:E,E1192)*0.5,"Низшая четверть",IF(N1192&lt;SUMIFS(L:L,R:R,1,E:E,E1192)/SUMIFS(K:K,R:R,1,E:E,E1192),"Вторая четверть","Больше половины"))</f>
        <v/>
      </c>
      <c r="X1192">
        <f>IF(O1192&lt;SUMIFS(M:M,R:R,1,E:E,E1192)/SUMIFS(L:L,R:R,1,E:E,E1192)*0.5,"Низшая четверть",IF(O1192&lt;SUMIFS(M:M,R:R,1,E:E,E1192)/SUMIFS(L:L,R:R,1,E:E,E1192),"Вторая четверть","Больше половины"))</f>
        <v/>
      </c>
      <c r="Y1192" t="n">
        <v>8</v>
      </c>
    </row>
    <row r="1193">
      <c r="A1193" s="1" t="inlineStr">
        <is>
          <t>u0100010</t>
        </is>
      </c>
      <c r="B1193" s="2" t="inlineStr">
        <is>
          <t>759752234</t>
        </is>
      </c>
      <c r="C1193" s="3" t="inlineStr">
        <is>
          <t>Одежда и аксессуары</t>
        </is>
      </c>
      <c r="D1193" s="2" t="inlineStr">
        <is>
          <t>Нижнее белье женское</t>
        </is>
      </c>
      <c r="E1193" s="3" t="inlineStr">
        <is>
          <t>u01 Бюстгальтер женский</t>
        </is>
      </c>
      <c r="F1193" s="2" t="inlineStr">
        <is>
          <t>всесезонный</t>
        </is>
      </c>
      <c r="G1193" s="3" t="inlineStr">
        <is>
          <t>kari</t>
        </is>
      </c>
      <c r="H1193" s="2" t="inlineStr">
        <is>
          <t>Никонорова Алина</t>
        </is>
      </c>
      <c r="J1193" s="3" t="inlineStr">
        <is>
          <t>2026SS</t>
        </is>
      </c>
      <c r="K1193" s="3" t="n">
        <v>463</v>
      </c>
      <c r="L1193" s="3" t="n">
        <v>86</v>
      </c>
      <c r="M1193" s="3" t="n">
        <v>0</v>
      </c>
      <c r="N1193" s="4">
        <f>IFERROR(L1193/K1193,0)</f>
        <v/>
      </c>
      <c r="O1193" s="4">
        <f>IFERROR(M1193/L1193,0)</f>
        <v/>
      </c>
      <c r="P1193" t="n">
        <v>1948</v>
      </c>
      <c r="Q1193" s="5" t="n">
        <v>1</v>
      </c>
      <c r="R1193" s="7" t="n">
        <v>0</v>
      </c>
      <c r="S1193" t="inlineStr">
        <is>
          <t>Мало показов</t>
        </is>
      </c>
      <c r="T1193">
        <f>IF(N1193&lt;$T$1*0.5,"Низшая четверть",IF(N1193&lt;$T$1,"Вторая четверть","Больше половины"))</f>
        <v/>
      </c>
      <c r="U1193">
        <f>IF(O1193&lt;$U$1*0.5,"Низшая четверть",IF(O1193&lt;$U$1,"Вторая четверть","Больше половины"))</f>
        <v/>
      </c>
      <c r="V1193">
        <f>IF(OR(N1193&lt;SUMIFS(L:L,R:R,1,E:E,E1193)/SUMIFS(K:K,R:R,1,E:E,E1193)*0.5,O1193&lt;SUMIFS(M:M,R:R,1,E:E,E1193)/SUMIFS(L:L,R:R,1,E:E,E1193)*0.5),"код для проверки","нормальный код")</f>
        <v/>
      </c>
      <c r="W1193">
        <f>IF(N1193&lt;SUMIFS(L:L,R:R,1,E:E,E1193)/SUMIFS(K:K,R:R,1,E:E,E1193)*0.5,"Низшая четверть",IF(N1193&lt;SUMIFS(L:L,R:R,1,E:E,E1193)/SUMIFS(K:K,R:R,1,E:E,E1193),"Вторая четверть","Больше половины"))</f>
        <v/>
      </c>
      <c r="X1193">
        <f>IF(O1193&lt;SUMIFS(M:M,R:R,1,E:E,E1193)/SUMIFS(L:L,R:R,1,E:E,E1193)*0.5,"Низшая четверть",IF(O1193&lt;SUMIFS(M:M,R:R,1,E:E,E1193)/SUMIFS(L:L,R:R,1,E:E,E1193),"Вторая четверть","Больше половины"))</f>
        <v/>
      </c>
      <c r="Y1193" t="n">
        <v>10</v>
      </c>
    </row>
    <row r="1194">
      <c r="A1194" s="1" t="inlineStr">
        <is>
          <t>a7800060</t>
        </is>
      </c>
      <c r="B1194" s="2" t="inlineStr">
        <is>
          <t>914955425</t>
        </is>
      </c>
      <c r="C1194" s="3" t="inlineStr">
        <is>
          <t>Одежда для детей</t>
        </is>
      </c>
      <c r="D1194" s="2" t="inlineStr">
        <is>
          <t>Свитера детские для мальчиков</t>
        </is>
      </c>
      <c r="E1194" s="3" t="inlineStr">
        <is>
          <t>a78 Толстовка-худи для мальчиков</t>
        </is>
      </c>
      <c r="F1194" s="2" t="inlineStr">
        <is>
          <t>весна, лето, осень</t>
        </is>
      </c>
      <c r="G1194" s="3" t="inlineStr">
        <is>
          <t>Kari KIDS</t>
        </is>
      </c>
      <c r="H1194" s="2" t="inlineStr">
        <is>
          <t>Зиннуров Ильнур</t>
        </is>
      </c>
      <c r="J1194" s="3" t="inlineStr">
        <is>
          <t>2026SS</t>
        </is>
      </c>
      <c r="K1194" s="3" t="n">
        <v>458</v>
      </c>
      <c r="L1194" s="3" t="n">
        <v>7</v>
      </c>
      <c r="M1194" s="3" t="n">
        <v>0</v>
      </c>
      <c r="N1194" s="4">
        <f>IFERROR(L1194/K1194,0)</f>
        <v/>
      </c>
      <c r="O1194" s="4">
        <f>IFERROR(M1194/L1194,0)</f>
        <v/>
      </c>
      <c r="P1194" t="n">
        <v>209</v>
      </c>
      <c r="Q1194" s="5" t="n">
        <v>0.6</v>
      </c>
      <c r="R1194" s="7" t="n">
        <v>0</v>
      </c>
      <c r="S1194" t="inlineStr">
        <is>
          <t>Мало показов</t>
        </is>
      </c>
      <c r="T1194">
        <f>IF(N1194&lt;$T$1*0.5,"Низшая четверть",IF(N1194&lt;$T$1,"Вторая четверть","Больше половины"))</f>
        <v/>
      </c>
      <c r="U1194">
        <f>IF(O1194&lt;$U$1*0.5,"Низшая четверть",IF(O1194&lt;$U$1,"Вторая четверть","Больше половины"))</f>
        <v/>
      </c>
      <c r="V1194">
        <f>IF(OR(N1194&lt;SUMIFS(L:L,R:R,1,E:E,E1194)/SUMIFS(K:K,R:R,1,E:E,E1194)*0.5,O1194&lt;SUMIFS(M:M,R:R,1,E:E,E1194)/SUMIFS(L:L,R:R,1,E:E,E1194)*0.5),"код для проверки","нормальный код")</f>
        <v/>
      </c>
      <c r="W1194">
        <f>IF(N1194&lt;SUMIFS(L:L,R:R,1,E:E,E1194)/SUMIFS(K:K,R:R,1,E:E,E1194)*0.5,"Низшая четверть",IF(N1194&lt;SUMIFS(L:L,R:R,1,E:E,E1194)/SUMIFS(K:K,R:R,1,E:E,E1194),"Вторая четверть","Больше половины"))</f>
        <v/>
      </c>
      <c r="X1194">
        <f>IF(O1194&lt;SUMIFS(M:M,R:R,1,E:E,E1194)/SUMIFS(L:L,R:R,1,E:E,E1194)*0.5,"Низшая четверть",IF(O1194&lt;SUMIFS(M:M,R:R,1,E:E,E1194)/SUMIFS(L:L,R:R,1,E:E,E1194),"Вторая четверть","Больше половины"))</f>
        <v/>
      </c>
      <c r="Y1194" t="n">
        <v>18</v>
      </c>
    </row>
    <row r="1195">
      <c r="A1195" s="1" t="inlineStr">
        <is>
          <t>53000080</t>
        </is>
      </c>
      <c r="B1195" s="2" t="inlineStr">
        <is>
          <t>371244782</t>
        </is>
      </c>
      <c r="C1195" s="3" t="inlineStr">
        <is>
          <t>Одежда для детей</t>
        </is>
      </c>
      <c r="D1195" s="2" t="inlineStr">
        <is>
          <t>Головные детские уборы для девочек</t>
        </is>
      </c>
      <c r="E1195" s="3" t="inlineStr">
        <is>
          <t>530 Панама детская для девочек</t>
        </is>
      </c>
      <c r="F1195" s="2" t="inlineStr">
        <is>
          <t>весна, лето</t>
        </is>
      </c>
      <c r="G1195" s="3" t="inlineStr">
        <is>
          <t>kari</t>
        </is>
      </c>
      <c r="H1195" s="2" t="inlineStr">
        <is>
          <t>Никонорова Алина</t>
        </is>
      </c>
      <c r="J1195" s="3" t="inlineStr">
        <is>
          <t>2026SS</t>
        </is>
      </c>
      <c r="K1195" s="3" t="n">
        <v>445</v>
      </c>
      <c r="L1195" s="3" t="n">
        <v>99</v>
      </c>
      <c r="M1195" s="3" t="n">
        <v>3</v>
      </c>
      <c r="N1195" s="4">
        <f>IFERROR(L1195/K1195,0)</f>
        <v/>
      </c>
      <c r="O1195" s="4">
        <f>IFERROR(M1195/L1195,0)</f>
        <v/>
      </c>
      <c r="P1195" t="n">
        <v>0</v>
      </c>
      <c r="Q1195" s="5" t="n">
        <v>0</v>
      </c>
      <c r="R1195" s="7" t="n">
        <v>0</v>
      </c>
      <c r="S1195" t="inlineStr">
        <is>
          <t>Мало остатка</t>
        </is>
      </c>
      <c r="T1195">
        <f>IF(N1195&lt;$T$1*0.5,"Низшая четверть",IF(N1195&lt;$T$1,"Вторая четверть","Больше половины"))</f>
        <v/>
      </c>
      <c r="U1195">
        <f>IF(O1195&lt;$U$1*0.5,"Низшая четверть",IF(O1195&lt;$U$1,"Вторая четверть","Больше половины"))</f>
        <v/>
      </c>
      <c r="V1195">
        <f>IF(OR(N1195&lt;SUMIFS(L:L,R:R,1,E:E,E1195)/SUMIFS(K:K,R:R,1,E:E,E1195)*0.5,O1195&lt;SUMIFS(M:M,R:R,1,E:E,E1195)/SUMIFS(L:L,R:R,1,E:E,E1195)*0.5),"код для проверки","нормальный код")</f>
        <v/>
      </c>
      <c r="W1195">
        <f>IF(N1195&lt;SUMIFS(L:L,R:R,1,E:E,E1195)/SUMIFS(K:K,R:R,1,E:E,E1195)*0.5,"Низшая четверть",IF(N1195&lt;SUMIFS(L:L,R:R,1,E:E,E1195)/SUMIFS(K:K,R:R,1,E:E,E1195),"Вторая четверть","Больше половины"))</f>
        <v/>
      </c>
      <c r="X1195">
        <f>IF(O1195&lt;SUMIFS(M:M,R:R,1,E:E,E1195)/SUMIFS(L:L,R:R,1,E:E,E1195)*0.5,"Низшая четверть",IF(O1195&lt;SUMIFS(M:M,R:R,1,E:E,E1195)/SUMIFS(L:L,R:R,1,E:E,E1195),"Вторая четверть","Больше половины"))</f>
        <v/>
      </c>
      <c r="Y1195" t="n">
        <v>6</v>
      </c>
    </row>
    <row r="1196">
      <c r="A1196" s="1" t="inlineStr">
        <is>
          <t>310002U0</t>
        </is>
      </c>
      <c r="B1196" s="2" t="inlineStr">
        <is>
          <t>847884215</t>
        </is>
      </c>
      <c r="C1196" s="3" t="inlineStr">
        <is>
          <t>Одежда для детей</t>
        </is>
      </c>
      <c r="D1196" s="2" t="inlineStr">
        <is>
          <t>Футболки, майки, рубашки детские для мальчиков</t>
        </is>
      </c>
      <c r="E1196" s="3" t="inlineStr">
        <is>
          <t>310 Футболка детская для мальчиков</t>
        </is>
      </c>
      <c r="F1196" s="2" t="inlineStr">
        <is>
          <t>всесезонный</t>
        </is>
      </c>
      <c r="G1196" s="3" t="inlineStr">
        <is>
          <t>kari</t>
        </is>
      </c>
      <c r="H1196" s="2" t="inlineStr">
        <is>
          <t>Зиннуров Ильнур</t>
        </is>
      </c>
      <c r="J1196" s="3" t="inlineStr">
        <is>
          <t>2026SS</t>
        </is>
      </c>
      <c r="K1196" s="3" t="n">
        <v>426</v>
      </c>
      <c r="L1196" s="3" t="n">
        <v>11</v>
      </c>
      <c r="M1196" s="3" t="n">
        <v>0</v>
      </c>
      <c r="N1196" s="4">
        <f>IFERROR(L1196/K1196,0)</f>
        <v/>
      </c>
      <c r="O1196" s="4">
        <f>IFERROR(M1196/L1196,0)</f>
        <v/>
      </c>
      <c r="P1196" t="n">
        <v>338</v>
      </c>
      <c r="Q1196" s="5" t="n">
        <v>1</v>
      </c>
      <c r="R1196" s="7" t="n">
        <v>0</v>
      </c>
      <c r="S1196" t="inlineStr">
        <is>
          <t>Мало показов</t>
        </is>
      </c>
      <c r="T1196">
        <f>IF(N1196&lt;$T$1*0.5,"Низшая четверть",IF(N1196&lt;$T$1,"Вторая четверть","Больше половины"))</f>
        <v/>
      </c>
      <c r="U1196">
        <f>IF(O1196&lt;$U$1*0.5,"Низшая четверть",IF(O1196&lt;$U$1,"Вторая четверть","Больше половины"))</f>
        <v/>
      </c>
      <c r="V1196">
        <f>IF(OR(N1196&lt;SUMIFS(L:L,R:R,1,E:E,E1196)/SUMIFS(K:K,R:R,1,E:E,E1196)*0.5,O1196&lt;SUMIFS(M:M,R:R,1,E:E,E1196)/SUMIFS(L:L,R:R,1,E:E,E1196)*0.5),"код для проверки","нормальный код")</f>
        <v/>
      </c>
      <c r="W1196">
        <f>IF(N1196&lt;SUMIFS(L:L,R:R,1,E:E,E1196)/SUMIFS(K:K,R:R,1,E:E,E1196)*0.5,"Низшая четверть",IF(N1196&lt;SUMIFS(L:L,R:R,1,E:E,E1196)/SUMIFS(K:K,R:R,1,E:E,E1196),"Вторая четверть","Больше половины"))</f>
        <v/>
      </c>
      <c r="X1196">
        <f>IF(O1196&lt;SUMIFS(M:M,R:R,1,E:E,E1196)/SUMIFS(L:L,R:R,1,E:E,E1196)*0.5,"Низшая четверть",IF(O1196&lt;SUMIFS(M:M,R:R,1,E:E,E1196)/SUMIFS(L:L,R:R,1,E:E,E1196),"Вторая четверть","Больше половины"))</f>
        <v/>
      </c>
      <c r="Y1196" t="n">
        <v>17</v>
      </c>
    </row>
    <row r="1197">
      <c r="A1197" s="1" t="inlineStr">
        <is>
          <t>88300270</t>
        </is>
      </c>
      <c r="B1197" s="2" t="inlineStr">
        <is>
          <t>697438293</t>
        </is>
      </c>
      <c r="C1197" s="3" t="inlineStr">
        <is>
          <t>Одежда для детей</t>
        </is>
      </c>
      <c r="D1197" s="2" t="inlineStr">
        <is>
          <t>Платья, майки, футболки детские для девочек</t>
        </is>
      </c>
      <c r="E1197" s="3" t="inlineStr">
        <is>
          <t>883 Футболка длинный рукав детская для девочек</t>
        </is>
      </c>
      <c r="F1197" s="2" t="inlineStr">
        <is>
          <t>всесезонный</t>
        </is>
      </c>
      <c r="G1197" s="3" t="inlineStr">
        <is>
          <t>Kari KIDS</t>
        </is>
      </c>
      <c r="H1197" s="2" t="inlineStr">
        <is>
          <t>Зиннуров Ильнур</t>
        </is>
      </c>
      <c r="J1197" s="3" t="inlineStr">
        <is>
          <t>2026SS</t>
        </is>
      </c>
      <c r="K1197" s="3" t="n">
        <v>423</v>
      </c>
      <c r="L1197" s="3" t="n">
        <v>61</v>
      </c>
      <c r="M1197" s="3" t="n">
        <v>0</v>
      </c>
      <c r="N1197" s="4">
        <f>IFERROR(L1197/K1197,0)</f>
        <v/>
      </c>
      <c r="O1197" s="4">
        <f>IFERROR(M1197/L1197,0)</f>
        <v/>
      </c>
      <c r="P1197" t="n">
        <v>1</v>
      </c>
      <c r="Q1197" s="5" t="n">
        <v>0.2</v>
      </c>
      <c r="R1197" s="7" t="n">
        <v>0</v>
      </c>
      <c r="S1197" t="inlineStr">
        <is>
          <t>Мало остатка</t>
        </is>
      </c>
      <c r="T1197">
        <f>IF(N1197&lt;$T$1*0.5,"Низшая четверть",IF(N1197&lt;$T$1,"Вторая четверть","Больше половины"))</f>
        <v/>
      </c>
      <c r="U1197">
        <f>IF(O1197&lt;$U$1*0.5,"Низшая четверть",IF(O1197&lt;$U$1,"Вторая четверть","Больше половины"))</f>
        <v/>
      </c>
      <c r="V1197">
        <f>IF(OR(N1197&lt;SUMIFS(L:L,R:R,1,E:E,E1197)/SUMIFS(K:K,R:R,1,E:E,E1197)*0.5,O1197&lt;SUMIFS(M:M,R:R,1,E:E,E1197)/SUMIFS(L:L,R:R,1,E:E,E1197)*0.5),"код для проверки","нормальный код")</f>
        <v/>
      </c>
      <c r="W1197">
        <f>IF(N1197&lt;SUMIFS(L:L,R:R,1,E:E,E1197)/SUMIFS(K:K,R:R,1,E:E,E1197)*0.5,"Низшая четверть",IF(N1197&lt;SUMIFS(L:L,R:R,1,E:E,E1197)/SUMIFS(K:K,R:R,1,E:E,E1197),"Вторая четверть","Больше половины"))</f>
        <v/>
      </c>
      <c r="X1197">
        <f>IF(O1197&lt;SUMIFS(M:M,R:R,1,E:E,E1197)/SUMIFS(L:L,R:R,1,E:E,E1197)*0.5,"Низшая четверть",IF(O1197&lt;SUMIFS(M:M,R:R,1,E:E,E1197)/SUMIFS(L:L,R:R,1,E:E,E1197),"Вторая четверть","Больше половины"))</f>
        <v/>
      </c>
      <c r="Y1197" t="n">
        <v>25</v>
      </c>
    </row>
    <row r="1198">
      <c r="A1198" s="1" t="inlineStr">
        <is>
          <t>a6000800</t>
        </is>
      </c>
      <c r="B1198" s="2" t="inlineStr">
        <is>
          <t>914676211</t>
        </is>
      </c>
      <c r="C1198" s="3" t="inlineStr">
        <is>
          <t>Одежда для детей</t>
        </is>
      </c>
      <c r="D1198" s="2" t="inlineStr">
        <is>
          <t>Платья, майки, футболки детские для девочек</t>
        </is>
      </c>
      <c r="E1198" s="3" t="inlineStr">
        <is>
          <t>a60 Футболка детская для девочек</t>
        </is>
      </c>
      <c r="F1198" s="2" t="inlineStr">
        <is>
          <t>всесезонный</t>
        </is>
      </c>
      <c r="G1198" s="3" t="inlineStr">
        <is>
          <t>kari</t>
        </is>
      </c>
      <c r="H1198" s="2" t="inlineStr">
        <is>
          <t>Зиннуров Ильнур</t>
        </is>
      </c>
      <c r="J1198" s="3" t="inlineStr">
        <is>
          <t>2026SS</t>
        </is>
      </c>
      <c r="K1198" s="3" t="n">
        <v>415</v>
      </c>
      <c r="L1198" s="3" t="n">
        <v>6</v>
      </c>
      <c r="M1198" s="3" t="n">
        <v>0</v>
      </c>
      <c r="N1198" s="4">
        <f>IFERROR(L1198/K1198,0)</f>
        <v/>
      </c>
      <c r="O1198" s="4">
        <f>IFERROR(M1198/L1198,0)</f>
        <v/>
      </c>
      <c r="P1198" t="n">
        <v>300</v>
      </c>
      <c r="Q1198" s="5" t="n">
        <v>1</v>
      </c>
      <c r="R1198" s="7" t="n">
        <v>0</v>
      </c>
      <c r="S1198" t="inlineStr">
        <is>
          <t>Мало показов</t>
        </is>
      </c>
      <c r="T1198">
        <f>IF(N1198&lt;$T$1*0.5,"Низшая четверть",IF(N1198&lt;$T$1,"Вторая четверть","Больше половины"))</f>
        <v/>
      </c>
      <c r="U1198">
        <f>IF(O1198&lt;$U$1*0.5,"Низшая четверть",IF(O1198&lt;$U$1,"Вторая четверть","Больше половины"))</f>
        <v/>
      </c>
      <c r="V1198">
        <f>IF(OR(N1198&lt;SUMIFS(L:L,R:R,1,E:E,E1198)/SUMIFS(K:K,R:R,1,E:E,E1198)*0.5,O1198&lt;SUMIFS(M:M,R:R,1,E:E,E1198)/SUMIFS(L:L,R:R,1,E:E,E1198)*0.5),"код для проверки","нормальный код")</f>
        <v/>
      </c>
      <c r="W1198">
        <f>IF(N1198&lt;SUMIFS(L:L,R:R,1,E:E,E1198)/SUMIFS(K:K,R:R,1,E:E,E1198)*0.5,"Низшая четверть",IF(N1198&lt;SUMIFS(L:L,R:R,1,E:E,E1198)/SUMIFS(K:K,R:R,1,E:E,E1198),"Вторая четверть","Больше половины"))</f>
        <v/>
      </c>
      <c r="X1198">
        <f>IF(O1198&lt;SUMIFS(M:M,R:R,1,E:E,E1198)/SUMIFS(L:L,R:R,1,E:E,E1198)*0.5,"Низшая четверть",IF(O1198&lt;SUMIFS(M:M,R:R,1,E:E,E1198)/SUMIFS(L:L,R:R,1,E:E,E1198),"Вторая четверть","Больше половины"))</f>
        <v/>
      </c>
      <c r="Y1198" t="n">
        <v>24</v>
      </c>
    </row>
    <row r="1199">
      <c r="A1199" s="1" t="inlineStr">
        <is>
          <t>310001A0</t>
        </is>
      </c>
      <c r="B1199" s="2" t="inlineStr">
        <is>
          <t>932503667</t>
        </is>
      </c>
      <c r="C1199" s="3" t="inlineStr">
        <is>
          <t>Одежда для детей</t>
        </is>
      </c>
      <c r="D1199" s="2" t="inlineStr">
        <is>
          <t>Футболки, майки, рубашки детские для мальчиков</t>
        </is>
      </c>
      <c r="E1199" s="3" t="inlineStr">
        <is>
          <t>310 Футболка детская для мальчиков</t>
        </is>
      </c>
      <c r="F1199" s="2" t="inlineStr">
        <is>
          <t>всесезонный</t>
        </is>
      </c>
      <c r="G1199" s="3" t="inlineStr">
        <is>
          <t>kari</t>
        </is>
      </c>
      <c r="H1199" s="2" t="inlineStr">
        <is>
          <t>Зиннуров Ильнур</t>
        </is>
      </c>
      <c r="J1199" s="3" t="inlineStr">
        <is>
          <t>2026SS</t>
        </is>
      </c>
      <c r="K1199" s="3" t="n">
        <v>415</v>
      </c>
      <c r="L1199" s="3" t="n">
        <v>7</v>
      </c>
      <c r="M1199" s="3" t="n">
        <v>0</v>
      </c>
      <c r="N1199" s="4">
        <f>IFERROR(L1199/K1199,0)</f>
        <v/>
      </c>
      <c r="O1199" s="4">
        <f>IFERROR(M1199/L1199,0)</f>
        <v/>
      </c>
      <c r="P1199" t="n">
        <v>0</v>
      </c>
      <c r="Q1199" s="5" t="n">
        <v>0</v>
      </c>
      <c r="R1199" s="7" t="n">
        <v>0</v>
      </c>
      <c r="S1199" t="inlineStr">
        <is>
          <t>Мало остатка</t>
        </is>
      </c>
      <c r="T1199">
        <f>IF(N1199&lt;$T$1*0.5,"Низшая четверть",IF(N1199&lt;$T$1,"Вторая четверть","Больше половины"))</f>
        <v/>
      </c>
      <c r="U1199">
        <f>IF(O1199&lt;$U$1*0.5,"Низшая четверть",IF(O1199&lt;$U$1,"Вторая четверть","Больше половины"))</f>
        <v/>
      </c>
      <c r="V1199">
        <f>IF(OR(N1199&lt;SUMIFS(L:L,R:R,1,E:E,E1199)/SUMIFS(K:K,R:R,1,E:E,E1199)*0.5,O1199&lt;SUMIFS(M:M,R:R,1,E:E,E1199)/SUMIFS(L:L,R:R,1,E:E,E1199)*0.5),"код для проверки","нормальный код")</f>
        <v/>
      </c>
      <c r="W1199">
        <f>IF(N1199&lt;SUMIFS(L:L,R:R,1,E:E,E1199)/SUMIFS(K:K,R:R,1,E:E,E1199)*0.5,"Низшая четверть",IF(N1199&lt;SUMIFS(L:L,R:R,1,E:E,E1199)/SUMIFS(K:K,R:R,1,E:E,E1199),"Вторая четверть","Больше половины"))</f>
        <v/>
      </c>
      <c r="X1199">
        <f>IF(O1199&lt;SUMIFS(M:M,R:R,1,E:E,E1199)/SUMIFS(L:L,R:R,1,E:E,E1199)*0.5,"Низшая четверть",IF(O1199&lt;SUMIFS(M:M,R:R,1,E:E,E1199)/SUMIFS(L:L,R:R,1,E:E,E1199),"Вторая четверть","Больше половины"))</f>
        <v/>
      </c>
      <c r="Y1199" t="n">
        <v>12</v>
      </c>
    </row>
    <row r="1200">
      <c r="A1200" s="1" t="inlineStr">
        <is>
          <t>u0100000</t>
        </is>
      </c>
      <c r="B1200" s="2" t="inlineStr">
        <is>
          <t>759752232</t>
        </is>
      </c>
      <c r="C1200" s="3" t="inlineStr">
        <is>
          <t>Одежда и аксессуары</t>
        </is>
      </c>
      <c r="D1200" s="2" t="inlineStr">
        <is>
          <t>Нижнее белье женское</t>
        </is>
      </c>
      <c r="E1200" s="3" t="inlineStr">
        <is>
          <t>u01 Бюстгальтер женский</t>
        </is>
      </c>
      <c r="F1200" s="2" t="inlineStr">
        <is>
          <t>всесезонный</t>
        </is>
      </c>
      <c r="G1200" s="3" t="inlineStr">
        <is>
          <t>kari</t>
        </is>
      </c>
      <c r="H1200" s="2" t="inlineStr">
        <is>
          <t>Никонорова Алина</t>
        </is>
      </c>
      <c r="J1200" s="3" t="inlineStr">
        <is>
          <t>2026SS</t>
        </is>
      </c>
      <c r="K1200" s="3" t="n">
        <v>408</v>
      </c>
      <c r="L1200" s="3" t="n">
        <v>98</v>
      </c>
      <c r="M1200" s="3" t="n">
        <v>2</v>
      </c>
      <c r="N1200" s="4">
        <f>IFERROR(L1200/K1200,0)</f>
        <v/>
      </c>
      <c r="O1200" s="4">
        <f>IFERROR(M1200/L1200,0)</f>
        <v/>
      </c>
      <c r="P1200" t="n">
        <v>1498</v>
      </c>
      <c r="Q1200" s="5" t="n">
        <v>1</v>
      </c>
      <c r="R1200" s="7" t="n">
        <v>0</v>
      </c>
      <c r="S1200" t="inlineStr">
        <is>
          <t>Мало показов</t>
        </is>
      </c>
      <c r="T1200">
        <f>IF(N1200&lt;$T$1*0.5,"Низшая четверть",IF(N1200&lt;$T$1,"Вторая четверть","Больше половины"))</f>
        <v/>
      </c>
      <c r="U1200">
        <f>IF(O1200&lt;$U$1*0.5,"Низшая четверть",IF(O1200&lt;$U$1,"Вторая четверть","Больше половины"))</f>
        <v/>
      </c>
      <c r="V1200">
        <f>IF(OR(N1200&lt;SUMIFS(L:L,R:R,1,E:E,E1200)/SUMIFS(K:K,R:R,1,E:E,E1200)*0.5,O1200&lt;SUMIFS(M:M,R:R,1,E:E,E1200)/SUMIFS(L:L,R:R,1,E:E,E1200)*0.5),"код для проверки","нормальный код")</f>
        <v/>
      </c>
      <c r="W1200">
        <f>IF(N1200&lt;SUMIFS(L:L,R:R,1,E:E,E1200)/SUMIFS(K:K,R:R,1,E:E,E1200)*0.5,"Низшая четверть",IF(N1200&lt;SUMIFS(L:L,R:R,1,E:E,E1200)/SUMIFS(K:K,R:R,1,E:E,E1200),"Вторая четверть","Больше половины"))</f>
        <v/>
      </c>
      <c r="X1200">
        <f>IF(O1200&lt;SUMIFS(M:M,R:R,1,E:E,E1200)/SUMIFS(L:L,R:R,1,E:E,E1200)*0.5,"Низшая четверть",IF(O1200&lt;SUMIFS(M:M,R:R,1,E:E,E1200)/SUMIFS(L:L,R:R,1,E:E,E1200),"Вторая четверть","Больше половины"))</f>
        <v/>
      </c>
      <c r="Y1200" t="n">
        <v>14</v>
      </c>
    </row>
    <row r="1201">
      <c r="A1201" s="1" t="inlineStr">
        <is>
          <t>a8300060</t>
        </is>
      </c>
      <c r="B1201" s="2" t="inlineStr">
        <is>
          <t>914955446</t>
        </is>
      </c>
      <c r="C1201" s="3" t="inlineStr">
        <is>
          <t>Одежда для детей</t>
        </is>
      </c>
      <c r="D1201" s="2" t="inlineStr">
        <is>
          <t>Свитера детские для девочек</t>
        </is>
      </c>
      <c r="E1201" s="3" t="inlineStr">
        <is>
          <t>a83 Толстовка-худи утепленная для девочек</t>
        </is>
      </c>
      <c r="F1201" s="2" t="inlineStr">
        <is>
          <t>весна, осень, зима</t>
        </is>
      </c>
      <c r="G1201" s="3" t="inlineStr">
        <is>
          <t>kari</t>
        </is>
      </c>
      <c r="H1201" s="2" t="inlineStr">
        <is>
          <t>Зиннуров Ильнур</t>
        </is>
      </c>
      <c r="J1201" s="3" t="inlineStr">
        <is>
          <t>2026SS</t>
        </is>
      </c>
      <c r="K1201" s="3" t="n">
        <v>398</v>
      </c>
      <c r="L1201" s="3" t="n">
        <v>1</v>
      </c>
      <c r="M1201" s="3" t="n">
        <v>0</v>
      </c>
      <c r="N1201" s="4">
        <f>IFERROR(L1201/K1201,0)</f>
        <v/>
      </c>
      <c r="O1201" s="4">
        <f>IFERROR(M1201/L1201,0)</f>
        <v/>
      </c>
      <c r="P1201" t="n">
        <v>180</v>
      </c>
      <c r="Q1201" s="5" t="n">
        <v>0.8</v>
      </c>
      <c r="R1201" s="7" t="n">
        <v>0</v>
      </c>
      <c r="S1201" t="inlineStr">
        <is>
          <t>Мало показов</t>
        </is>
      </c>
      <c r="T1201">
        <f>IF(N1201&lt;$T$1*0.5,"Низшая четверть",IF(N1201&lt;$T$1,"Вторая четверть","Больше половины"))</f>
        <v/>
      </c>
      <c r="U1201">
        <f>IF(O1201&lt;$U$1*0.5,"Низшая четверть",IF(O1201&lt;$U$1,"Вторая четверть","Больше половины"))</f>
        <v/>
      </c>
      <c r="V1201">
        <f>IF(OR(N1201&lt;SUMIFS(L:L,R:R,1,E:E,E1201)/SUMIFS(K:K,R:R,1,E:E,E1201)*0.5,O1201&lt;SUMIFS(M:M,R:R,1,E:E,E1201)/SUMIFS(L:L,R:R,1,E:E,E1201)*0.5),"код для проверки","нормальный код")</f>
        <v/>
      </c>
      <c r="W1201">
        <f>IF(N1201&lt;SUMIFS(L:L,R:R,1,E:E,E1201)/SUMIFS(K:K,R:R,1,E:E,E1201)*0.5,"Низшая четверть",IF(N1201&lt;SUMIFS(L:L,R:R,1,E:E,E1201)/SUMIFS(K:K,R:R,1,E:E,E1201),"Вторая четверть","Больше половины"))</f>
        <v/>
      </c>
      <c r="X1201">
        <f>IF(O1201&lt;SUMIFS(M:M,R:R,1,E:E,E1201)/SUMIFS(L:L,R:R,1,E:E,E1201)*0.5,"Низшая четверть",IF(O1201&lt;SUMIFS(M:M,R:R,1,E:E,E1201)/SUMIFS(L:L,R:R,1,E:E,E1201),"Вторая четверть","Больше половины"))</f>
        <v/>
      </c>
      <c r="Y1201" t="n">
        <v>9</v>
      </c>
    </row>
    <row r="1202">
      <c r="A1202" s="1" t="inlineStr">
        <is>
          <t>94500140</t>
        </is>
      </c>
      <c r="B1202" s="2" t="inlineStr">
        <is>
          <t>915625092</t>
        </is>
      </c>
      <c r="C1202" s="3" t="inlineStr">
        <is>
          <t>Одежда для детей</t>
        </is>
      </c>
      <c r="D1202" s="2" t="inlineStr">
        <is>
          <t>Одежда для новорожденных</t>
        </is>
      </c>
      <c r="E1202" s="3" t="inlineStr">
        <is>
          <t>945 Комплект одежды для маленького мальчика</t>
        </is>
      </c>
      <c r="F1202" s="2" t="inlineStr">
        <is>
          <t>всесезонный</t>
        </is>
      </c>
      <c r="G1202" s="3" t="inlineStr">
        <is>
          <t>Kari baby</t>
        </is>
      </c>
      <c r="H1202" s="2" t="inlineStr">
        <is>
          <t>Зиннуров Ильнур</t>
        </is>
      </c>
      <c r="J1202" s="3" t="inlineStr">
        <is>
          <t>2026SS</t>
        </is>
      </c>
      <c r="K1202" s="3" t="n">
        <v>397</v>
      </c>
      <c r="L1202" s="3" t="n">
        <v>20</v>
      </c>
      <c r="M1202" s="3" t="n">
        <v>1</v>
      </c>
      <c r="N1202" s="4">
        <f>IFERROR(L1202/K1202,0)</f>
        <v/>
      </c>
      <c r="O1202" s="4">
        <f>IFERROR(M1202/L1202,0)</f>
        <v/>
      </c>
      <c r="P1202" t="n">
        <v>238</v>
      </c>
      <c r="Q1202" s="5" t="n">
        <v>1</v>
      </c>
      <c r="R1202" s="7" t="n">
        <v>0</v>
      </c>
      <c r="S1202" t="inlineStr">
        <is>
          <t>Мало показов</t>
        </is>
      </c>
      <c r="T1202">
        <f>IF(N1202&lt;$T$1*0.5,"Низшая четверть",IF(N1202&lt;$T$1,"Вторая четверть","Больше половины"))</f>
        <v/>
      </c>
      <c r="U1202">
        <f>IF(O1202&lt;$U$1*0.5,"Низшая четверть",IF(O1202&lt;$U$1,"Вторая четверть","Больше половины"))</f>
        <v/>
      </c>
      <c r="V1202">
        <f>IF(OR(N1202&lt;SUMIFS(L:L,R:R,1,E:E,E1202)/SUMIFS(K:K,R:R,1,E:E,E1202)*0.5,O1202&lt;SUMIFS(M:M,R:R,1,E:E,E1202)/SUMIFS(L:L,R:R,1,E:E,E1202)*0.5),"код для проверки","нормальный код")</f>
        <v/>
      </c>
      <c r="W1202">
        <f>IF(N1202&lt;SUMIFS(L:L,R:R,1,E:E,E1202)/SUMIFS(K:K,R:R,1,E:E,E1202)*0.5,"Низшая четверть",IF(N1202&lt;SUMIFS(L:L,R:R,1,E:E,E1202)/SUMIFS(K:K,R:R,1,E:E,E1202),"Вторая четверть","Больше половины"))</f>
        <v/>
      </c>
      <c r="X1202">
        <f>IF(O1202&lt;SUMIFS(M:M,R:R,1,E:E,E1202)/SUMIFS(L:L,R:R,1,E:E,E1202)*0.5,"Низшая четверть",IF(O1202&lt;SUMIFS(M:M,R:R,1,E:E,E1202)/SUMIFS(L:L,R:R,1,E:E,E1202),"Вторая четверть","Больше половины"))</f>
        <v/>
      </c>
      <c r="Y1202" t="n">
        <v>26</v>
      </c>
    </row>
    <row r="1203">
      <c r="A1203" s="1" t="inlineStr">
        <is>
          <t>23100120</t>
        </is>
      </c>
      <c r="B1203" s="2" t="inlineStr">
        <is>
          <t>927139326</t>
        </is>
      </c>
      <c r="C1203" s="3" t="inlineStr">
        <is>
          <t>Одежда для детей</t>
        </is>
      </c>
      <c r="D1203" s="2" t="inlineStr">
        <is>
          <t>Нижнее белье детское для девочек</t>
        </is>
      </c>
      <c r="E1203" s="3" t="inlineStr">
        <is>
          <t>231 Пижама детская для девочек</t>
        </is>
      </c>
      <c r="F1203" s="2" t="inlineStr">
        <is>
          <t>всесезонный</t>
        </is>
      </c>
      <c r="G1203" s="3" t="inlineStr">
        <is>
          <t>kari</t>
        </is>
      </c>
      <c r="H1203" s="2" t="inlineStr">
        <is>
          <t>Зиннуров Ильнур</t>
        </is>
      </c>
      <c r="J1203" s="3" t="inlineStr">
        <is>
          <t>2026SS</t>
        </is>
      </c>
      <c r="K1203" s="3" t="n">
        <v>397</v>
      </c>
      <c r="L1203" s="3" t="n">
        <v>60</v>
      </c>
      <c r="M1203" s="3" t="n">
        <v>1</v>
      </c>
      <c r="N1203" s="4">
        <f>IFERROR(L1203/K1203,0)</f>
        <v/>
      </c>
      <c r="O1203" s="4">
        <f>IFERROR(M1203/L1203,0)</f>
        <v/>
      </c>
      <c r="P1203" t="n">
        <v>714</v>
      </c>
      <c r="Q1203" s="5" t="n">
        <v>1</v>
      </c>
      <c r="R1203" s="7" t="n">
        <v>0</v>
      </c>
      <c r="S1203" t="inlineStr">
        <is>
          <t>Мало показов</t>
        </is>
      </c>
      <c r="T1203">
        <f>IF(N1203&lt;$T$1*0.5,"Низшая четверть",IF(N1203&lt;$T$1,"Вторая четверть","Больше половины"))</f>
        <v/>
      </c>
      <c r="U1203">
        <f>IF(O1203&lt;$U$1*0.5,"Низшая четверть",IF(O1203&lt;$U$1,"Вторая четверть","Больше половины"))</f>
        <v/>
      </c>
      <c r="V1203">
        <f>IF(OR(N1203&lt;SUMIFS(L:L,R:R,1,E:E,E1203)/SUMIFS(K:K,R:R,1,E:E,E1203)*0.5,O1203&lt;SUMIFS(M:M,R:R,1,E:E,E1203)/SUMIFS(L:L,R:R,1,E:E,E1203)*0.5),"код для проверки","нормальный код")</f>
        <v/>
      </c>
      <c r="W1203">
        <f>IF(N1203&lt;SUMIFS(L:L,R:R,1,E:E,E1203)/SUMIFS(K:K,R:R,1,E:E,E1203)*0.5,"Низшая четверть",IF(N1203&lt;SUMIFS(L:L,R:R,1,E:E,E1203)/SUMIFS(K:K,R:R,1,E:E,E1203),"Вторая четверть","Больше половины"))</f>
        <v/>
      </c>
      <c r="X1203">
        <f>IF(O1203&lt;SUMIFS(M:M,R:R,1,E:E,E1203)/SUMIFS(L:L,R:R,1,E:E,E1203)*0.5,"Низшая четверть",IF(O1203&lt;SUMIFS(M:M,R:R,1,E:E,E1203)/SUMIFS(L:L,R:R,1,E:E,E1203),"Вторая четверть","Больше половины"))</f>
        <v/>
      </c>
      <c r="Y1203" t="n">
        <v>26</v>
      </c>
    </row>
    <row r="1204">
      <c r="A1204" s="1" t="inlineStr">
        <is>
          <t>07300610</t>
        </is>
      </c>
      <c r="B1204" s="2" t="inlineStr">
        <is>
          <t>917331579</t>
        </is>
      </c>
      <c r="C1204" s="3" t="inlineStr">
        <is>
          <t>Одежда и аксессуары</t>
        </is>
      </c>
      <c r="D1204" s="2" t="inlineStr">
        <is>
          <t>Нижнее белье мужское</t>
        </is>
      </c>
      <c r="E1204" s="3" t="inlineStr">
        <is>
          <t>073 Трусы мужские</t>
        </is>
      </c>
      <c r="F1204" s="2" t="inlineStr">
        <is>
          <t>всесезонный</t>
        </is>
      </c>
      <c r="G1204" s="3" t="inlineStr">
        <is>
          <t>kari</t>
        </is>
      </c>
      <c r="H1204" s="2" t="inlineStr">
        <is>
          <t>Никонорова Алина</t>
        </is>
      </c>
      <c r="J1204" s="3" t="inlineStr">
        <is>
          <t>2026SS</t>
        </is>
      </c>
      <c r="K1204" s="3" t="n">
        <v>394</v>
      </c>
      <c r="L1204" s="3" t="n">
        <v>21</v>
      </c>
      <c r="M1204" s="3" t="n">
        <v>0</v>
      </c>
      <c r="N1204" s="4">
        <f>IFERROR(L1204/K1204,0)</f>
        <v/>
      </c>
      <c r="O1204" s="4">
        <f>IFERROR(M1204/L1204,0)</f>
        <v/>
      </c>
      <c r="P1204" t="n">
        <v>3420</v>
      </c>
      <c r="Q1204" s="5" t="n">
        <v>1</v>
      </c>
      <c r="R1204" s="7" t="n">
        <v>0</v>
      </c>
      <c r="S1204" t="inlineStr">
        <is>
          <t>Мало показов</t>
        </is>
      </c>
      <c r="T1204">
        <f>IF(N1204&lt;$T$1*0.5,"Низшая четверть",IF(N1204&lt;$T$1,"Вторая четверть","Больше половины"))</f>
        <v/>
      </c>
      <c r="U1204">
        <f>IF(O1204&lt;$U$1*0.5,"Низшая четверть",IF(O1204&lt;$U$1,"Вторая четверть","Больше половины"))</f>
        <v/>
      </c>
      <c r="V1204">
        <f>IF(OR(N1204&lt;SUMIFS(L:L,R:R,1,E:E,E1204)/SUMIFS(K:K,R:R,1,E:E,E1204)*0.5,O1204&lt;SUMIFS(M:M,R:R,1,E:E,E1204)/SUMIFS(L:L,R:R,1,E:E,E1204)*0.5),"код для проверки","нормальный код")</f>
        <v/>
      </c>
      <c r="W1204">
        <f>IF(N1204&lt;SUMIFS(L:L,R:R,1,E:E,E1204)/SUMIFS(K:K,R:R,1,E:E,E1204)*0.5,"Низшая четверть",IF(N1204&lt;SUMIFS(L:L,R:R,1,E:E,E1204)/SUMIFS(K:K,R:R,1,E:E,E1204),"Вторая четверть","Больше половины"))</f>
        <v/>
      </c>
      <c r="X1204">
        <f>IF(O1204&lt;SUMIFS(M:M,R:R,1,E:E,E1204)/SUMIFS(L:L,R:R,1,E:E,E1204)*0.5,"Низшая четверть",IF(O1204&lt;SUMIFS(M:M,R:R,1,E:E,E1204)/SUMIFS(L:L,R:R,1,E:E,E1204),"Вторая четверть","Больше половины"))</f>
        <v/>
      </c>
      <c r="Y1204" t="n">
        <v>20</v>
      </c>
    </row>
    <row r="1205">
      <c r="A1205" s="1" t="inlineStr">
        <is>
          <t>07300600</t>
        </is>
      </c>
      <c r="B1205" s="2" t="inlineStr">
        <is>
          <t>917331570</t>
        </is>
      </c>
      <c r="C1205" s="3" t="inlineStr">
        <is>
          <t>Одежда и аксессуары</t>
        </is>
      </c>
      <c r="D1205" s="2" t="inlineStr">
        <is>
          <t>Нижнее белье мужское</t>
        </is>
      </c>
      <c r="E1205" s="3" t="inlineStr">
        <is>
          <t>073 Трусы мужские</t>
        </is>
      </c>
      <c r="F1205" s="2" t="inlineStr">
        <is>
          <t>всесезонный</t>
        </is>
      </c>
      <c r="G1205" s="3" t="inlineStr">
        <is>
          <t>kari</t>
        </is>
      </c>
      <c r="H1205" s="2" t="inlineStr">
        <is>
          <t>Никонорова Алина</t>
        </is>
      </c>
      <c r="J1205" s="3" t="inlineStr">
        <is>
          <t>2026SS</t>
        </is>
      </c>
      <c r="K1205" s="3" t="n">
        <v>388</v>
      </c>
      <c r="L1205" s="3" t="n">
        <v>19</v>
      </c>
      <c r="M1205" s="3" t="n">
        <v>0</v>
      </c>
      <c r="N1205" s="4">
        <f>IFERROR(L1205/K1205,0)</f>
        <v/>
      </c>
      <c r="O1205" s="4">
        <f>IFERROR(M1205/L1205,0)</f>
        <v/>
      </c>
      <c r="P1205" t="n">
        <v>1980</v>
      </c>
      <c r="Q1205" s="5" t="n">
        <v>1</v>
      </c>
      <c r="R1205" s="7" t="n">
        <v>0</v>
      </c>
      <c r="S1205" t="inlineStr">
        <is>
          <t>Мало показов</t>
        </is>
      </c>
      <c r="T1205">
        <f>IF(N1205&lt;$T$1*0.5,"Низшая четверть",IF(N1205&lt;$T$1,"Вторая четверть","Больше половины"))</f>
        <v/>
      </c>
      <c r="U1205">
        <f>IF(O1205&lt;$U$1*0.5,"Низшая четверть",IF(O1205&lt;$U$1,"Вторая четверть","Больше половины"))</f>
        <v/>
      </c>
      <c r="V1205">
        <f>IF(OR(N1205&lt;SUMIFS(L:L,R:R,1,E:E,E1205)/SUMIFS(K:K,R:R,1,E:E,E1205)*0.5,O1205&lt;SUMIFS(M:M,R:R,1,E:E,E1205)/SUMIFS(L:L,R:R,1,E:E,E1205)*0.5),"код для проверки","нормальный код")</f>
        <v/>
      </c>
      <c r="W1205">
        <f>IF(N1205&lt;SUMIFS(L:L,R:R,1,E:E,E1205)/SUMIFS(K:K,R:R,1,E:E,E1205)*0.5,"Низшая четверть",IF(N1205&lt;SUMIFS(L:L,R:R,1,E:E,E1205)/SUMIFS(K:K,R:R,1,E:E,E1205),"Вторая четверть","Больше половины"))</f>
        <v/>
      </c>
      <c r="X1205">
        <f>IF(O1205&lt;SUMIFS(M:M,R:R,1,E:E,E1205)/SUMIFS(L:L,R:R,1,E:E,E1205)*0.5,"Низшая четверть",IF(O1205&lt;SUMIFS(M:M,R:R,1,E:E,E1205)/SUMIFS(L:L,R:R,1,E:E,E1205),"Вторая четверть","Больше половины"))</f>
        <v/>
      </c>
      <c r="Y1205" t="n">
        <v>19</v>
      </c>
    </row>
    <row r="1206">
      <c r="A1206" s="1" t="inlineStr">
        <is>
          <t>h1100020</t>
        </is>
      </c>
      <c r="B1206" s="2" t="inlineStr">
        <is>
          <t>898039383</t>
        </is>
      </c>
      <c r="C1206" s="3" t="inlineStr">
        <is>
          <t>Одежда и аксессуары</t>
        </is>
      </c>
      <c r="D1206" s="2" t="inlineStr">
        <is>
          <t>Брюки, шорты мужские</t>
        </is>
      </c>
      <c r="E1206" s="3" t="inlineStr">
        <is>
          <t>h11 Шорты мужские</t>
        </is>
      </c>
      <c r="F1206" s="2" t="inlineStr">
        <is>
          <t>весна, лето</t>
        </is>
      </c>
      <c r="G1206" s="3" t="inlineStr">
        <is>
          <t>kari</t>
        </is>
      </c>
      <c r="H1206" s="2" t="inlineStr">
        <is>
          <t>Зиннуров Ильнур</t>
        </is>
      </c>
      <c r="J1206" s="3" t="inlineStr">
        <is>
          <t>2026SS</t>
        </is>
      </c>
      <c r="K1206" s="3" t="n">
        <v>387</v>
      </c>
      <c r="L1206" s="3" t="n">
        <v>8</v>
      </c>
      <c r="M1206" s="3" t="n">
        <v>1</v>
      </c>
      <c r="N1206" s="4">
        <f>IFERROR(L1206/K1206,0)</f>
        <v/>
      </c>
      <c r="O1206" s="4">
        <f>IFERROR(M1206/L1206,0)</f>
        <v/>
      </c>
      <c r="P1206" t="n">
        <v>268</v>
      </c>
      <c r="Q1206" s="5" t="n">
        <v>1</v>
      </c>
      <c r="R1206" s="7" t="n">
        <v>0</v>
      </c>
      <c r="S1206" t="inlineStr">
        <is>
          <t>Мало показов</t>
        </is>
      </c>
      <c r="T1206">
        <f>IF(N1206&lt;$T$1*0.5,"Низшая четверть",IF(N1206&lt;$T$1,"Вторая четверть","Больше половины"))</f>
        <v/>
      </c>
      <c r="U1206">
        <f>IF(O1206&lt;$U$1*0.5,"Низшая четверть",IF(O1206&lt;$U$1,"Вторая четверть","Больше половины"))</f>
        <v/>
      </c>
      <c r="V1206">
        <f>IF(OR(N1206&lt;SUMIFS(L:L,R:R,1,E:E,E1206)/SUMIFS(K:K,R:R,1,E:E,E1206)*0.5,O1206&lt;SUMIFS(M:M,R:R,1,E:E,E1206)/SUMIFS(L:L,R:R,1,E:E,E1206)*0.5),"код для проверки","нормальный код")</f>
        <v/>
      </c>
      <c r="W1206">
        <f>IF(N1206&lt;SUMIFS(L:L,R:R,1,E:E,E1206)/SUMIFS(K:K,R:R,1,E:E,E1206)*0.5,"Низшая четверть",IF(N1206&lt;SUMIFS(L:L,R:R,1,E:E,E1206)/SUMIFS(K:K,R:R,1,E:E,E1206),"Вторая четверть","Больше половины"))</f>
        <v/>
      </c>
      <c r="X1206">
        <f>IF(O1206&lt;SUMIFS(M:M,R:R,1,E:E,E1206)/SUMIFS(L:L,R:R,1,E:E,E1206)*0.5,"Низшая четверть",IF(O1206&lt;SUMIFS(M:M,R:R,1,E:E,E1206)/SUMIFS(L:L,R:R,1,E:E,E1206),"Вторая четверть","Больше половины"))</f>
        <v/>
      </c>
      <c r="Y1206" t="n">
        <v>19</v>
      </c>
    </row>
    <row r="1207">
      <c r="A1207" s="1" t="inlineStr">
        <is>
          <t>96800070</t>
        </is>
      </c>
      <c r="B1207" s="2" t="inlineStr">
        <is>
          <t>879308814</t>
        </is>
      </c>
      <c r="C1207" s="3" t="inlineStr">
        <is>
          <t>Одежда для детей</t>
        </is>
      </c>
      <c r="D1207" s="2" t="inlineStr">
        <is>
          <t>Верхняя одежда детская для мальчиков</t>
        </is>
      </c>
      <c r="E1207" s="3" t="inlineStr">
        <is>
          <t>968 Куртка джинсовая для мальчика</t>
        </is>
      </c>
      <c r="F1207" s="2" t="inlineStr">
        <is>
          <t>весна, лето, осень</t>
        </is>
      </c>
      <c r="G1207" s="3" t="inlineStr">
        <is>
          <t>kari</t>
        </is>
      </c>
      <c r="H1207" s="2" t="inlineStr">
        <is>
          <t>Зиннуров Ильнур</t>
        </is>
      </c>
      <c r="J1207" s="3" t="inlineStr">
        <is>
          <t>2026SS</t>
        </is>
      </c>
      <c r="K1207" s="3" t="n">
        <v>386</v>
      </c>
      <c r="L1207" s="3" t="n">
        <v>47</v>
      </c>
      <c r="M1207" s="3" t="n">
        <v>5</v>
      </c>
      <c r="N1207" s="4">
        <f>IFERROR(L1207/K1207,0)</f>
        <v/>
      </c>
      <c r="O1207" s="4">
        <f>IFERROR(M1207/L1207,0)</f>
        <v/>
      </c>
      <c r="P1207" t="n">
        <v>428</v>
      </c>
      <c r="Q1207" s="5" t="n">
        <v>1</v>
      </c>
      <c r="R1207" s="7" t="n">
        <v>0</v>
      </c>
      <c r="S1207" t="inlineStr">
        <is>
          <t>Мало показов</t>
        </is>
      </c>
      <c r="T1207">
        <f>IF(N1207&lt;$T$1*0.5,"Низшая четверть",IF(N1207&lt;$T$1,"Вторая четверть","Больше половины"))</f>
        <v/>
      </c>
      <c r="U1207">
        <f>IF(O1207&lt;$U$1*0.5,"Низшая четверть",IF(O1207&lt;$U$1,"Вторая четверть","Больше половины"))</f>
        <v/>
      </c>
      <c r="V1207">
        <f>IF(OR(N1207&lt;SUMIFS(L:L,R:R,1,E:E,E1207)/SUMIFS(K:K,R:R,1,E:E,E1207)*0.5,O1207&lt;SUMIFS(M:M,R:R,1,E:E,E1207)/SUMIFS(L:L,R:R,1,E:E,E1207)*0.5),"код для проверки","нормальный код")</f>
        <v/>
      </c>
      <c r="W1207">
        <f>IF(N1207&lt;SUMIFS(L:L,R:R,1,E:E,E1207)/SUMIFS(K:K,R:R,1,E:E,E1207)*0.5,"Низшая четверть",IF(N1207&lt;SUMIFS(L:L,R:R,1,E:E,E1207)/SUMIFS(K:K,R:R,1,E:E,E1207),"Вторая четверть","Больше половины"))</f>
        <v/>
      </c>
      <c r="X1207">
        <f>IF(O1207&lt;SUMIFS(M:M,R:R,1,E:E,E1207)/SUMIFS(L:L,R:R,1,E:E,E1207)*0.5,"Низшая четверть",IF(O1207&lt;SUMIFS(M:M,R:R,1,E:E,E1207)/SUMIFS(L:L,R:R,1,E:E,E1207),"Вторая четверть","Больше половины"))</f>
        <v/>
      </c>
      <c r="Y1207" t="n">
        <v>28</v>
      </c>
    </row>
    <row r="1208">
      <c r="A1208" s="1" t="inlineStr">
        <is>
          <t>h1300010</t>
        </is>
      </c>
      <c r="B1208" s="2" t="inlineStr">
        <is>
          <t>732579216</t>
        </is>
      </c>
      <c r="C1208" s="3" t="inlineStr">
        <is>
          <t>Одежда и аксессуары</t>
        </is>
      </c>
      <c r="D1208" s="2" t="inlineStr">
        <is>
          <t>Брюки, шорты женские</t>
        </is>
      </c>
      <c r="E1208" s="3" t="inlineStr">
        <is>
          <t>h13 Шорты женские</t>
        </is>
      </c>
      <c r="F1208" s="2" t="inlineStr">
        <is>
          <t>весна, лето</t>
        </is>
      </c>
      <c r="G1208" s="3" t="inlineStr">
        <is>
          <t>kari</t>
        </is>
      </c>
      <c r="H1208" s="2" t="inlineStr">
        <is>
          <t>Зиннуров Ильнур</t>
        </is>
      </c>
      <c r="J1208" s="3" t="inlineStr">
        <is>
          <t>2026SS</t>
        </is>
      </c>
      <c r="K1208" s="3" t="n">
        <v>385</v>
      </c>
      <c r="L1208" s="3" t="n">
        <v>22</v>
      </c>
      <c r="M1208" s="3" t="n">
        <v>0</v>
      </c>
      <c r="N1208" s="4">
        <f>IFERROR(L1208/K1208,0)</f>
        <v/>
      </c>
      <c r="O1208" s="4">
        <f>IFERROR(M1208/L1208,0)</f>
        <v/>
      </c>
      <c r="P1208" t="n">
        <v>360</v>
      </c>
      <c r="Q1208" s="5" t="n">
        <v>1</v>
      </c>
      <c r="R1208" s="7" t="n">
        <v>0</v>
      </c>
      <c r="S1208" t="inlineStr">
        <is>
          <t>Мало показов</t>
        </is>
      </c>
      <c r="T1208">
        <f>IF(N1208&lt;$T$1*0.5,"Низшая четверть",IF(N1208&lt;$T$1,"Вторая четверть","Больше половины"))</f>
        <v/>
      </c>
      <c r="U1208">
        <f>IF(O1208&lt;$U$1*0.5,"Низшая четверть",IF(O1208&lt;$U$1,"Вторая четверть","Больше половины"))</f>
        <v/>
      </c>
      <c r="V1208">
        <f>IF(OR(N1208&lt;SUMIFS(L:L,R:R,1,E:E,E1208)/SUMIFS(K:K,R:R,1,E:E,E1208)*0.5,O1208&lt;SUMIFS(M:M,R:R,1,E:E,E1208)/SUMIFS(L:L,R:R,1,E:E,E1208)*0.5),"код для проверки","нормальный код")</f>
        <v/>
      </c>
      <c r="W1208">
        <f>IF(N1208&lt;SUMIFS(L:L,R:R,1,E:E,E1208)/SUMIFS(K:K,R:R,1,E:E,E1208)*0.5,"Низшая четверть",IF(N1208&lt;SUMIFS(L:L,R:R,1,E:E,E1208)/SUMIFS(K:K,R:R,1,E:E,E1208),"Вторая четверть","Больше половины"))</f>
        <v/>
      </c>
      <c r="X1208">
        <f>IF(O1208&lt;SUMIFS(M:M,R:R,1,E:E,E1208)/SUMIFS(L:L,R:R,1,E:E,E1208)*0.5,"Низшая четверть",IF(O1208&lt;SUMIFS(M:M,R:R,1,E:E,E1208)/SUMIFS(L:L,R:R,1,E:E,E1208),"Вторая четверть","Больше половины"))</f>
        <v/>
      </c>
      <c r="Y1208" t="n">
        <v>23</v>
      </c>
    </row>
    <row r="1209">
      <c r="A1209" s="1" t="inlineStr">
        <is>
          <t>96200120</t>
        </is>
      </c>
      <c r="B1209" s="2" t="inlineStr">
        <is>
          <t>899023010</t>
        </is>
      </c>
      <c r="C1209" s="3" t="inlineStr">
        <is>
          <t>Одежда для детей</t>
        </is>
      </c>
      <c r="D1209" s="2" t="inlineStr">
        <is>
          <t>Одежда для новорожденных</t>
        </is>
      </c>
      <c r="E1209" s="3" t="inlineStr">
        <is>
          <t>962 Комплект летней одежды для маленького мальчика</t>
        </is>
      </c>
      <c r="F1209" s="2" t="inlineStr">
        <is>
          <t>весна, лето</t>
        </is>
      </c>
      <c r="G1209" s="3" t="inlineStr">
        <is>
          <t>Kari baby</t>
        </is>
      </c>
      <c r="H1209" s="2" t="inlineStr">
        <is>
          <t>Зиннуров Ильнур</t>
        </is>
      </c>
      <c r="J1209" s="3" t="inlineStr">
        <is>
          <t>2026SS</t>
        </is>
      </c>
      <c r="K1209" s="3" t="n">
        <v>385</v>
      </c>
      <c r="L1209" s="3" t="n">
        <v>14</v>
      </c>
      <c r="M1209" s="3" t="n">
        <v>0</v>
      </c>
      <c r="N1209" s="4">
        <f>IFERROR(L1209/K1209,0)</f>
        <v/>
      </c>
      <c r="O1209" s="4">
        <f>IFERROR(M1209/L1209,0)</f>
        <v/>
      </c>
      <c r="P1209" t="n">
        <v>450</v>
      </c>
      <c r="Q1209" s="5" t="n">
        <v>1</v>
      </c>
      <c r="R1209" s="7" t="n">
        <v>0</v>
      </c>
      <c r="S1209" t="inlineStr">
        <is>
          <t>Мало показов</t>
        </is>
      </c>
      <c r="T1209">
        <f>IF(N1209&lt;$T$1*0.5,"Низшая четверть",IF(N1209&lt;$T$1,"Вторая четверть","Больше половины"))</f>
        <v/>
      </c>
      <c r="U1209">
        <f>IF(O1209&lt;$U$1*0.5,"Низшая четверть",IF(O1209&lt;$U$1,"Вторая четверть","Больше половины"))</f>
        <v/>
      </c>
      <c r="V1209">
        <f>IF(OR(N1209&lt;SUMIFS(L:L,R:R,1,E:E,E1209)/SUMIFS(K:K,R:R,1,E:E,E1209)*0.5,O1209&lt;SUMIFS(M:M,R:R,1,E:E,E1209)/SUMIFS(L:L,R:R,1,E:E,E1209)*0.5),"код для проверки","нормальный код")</f>
        <v/>
      </c>
      <c r="W1209">
        <f>IF(N1209&lt;SUMIFS(L:L,R:R,1,E:E,E1209)/SUMIFS(K:K,R:R,1,E:E,E1209)*0.5,"Низшая четверть",IF(N1209&lt;SUMIFS(L:L,R:R,1,E:E,E1209)/SUMIFS(K:K,R:R,1,E:E,E1209),"Вторая четверть","Больше половины"))</f>
        <v/>
      </c>
      <c r="X1209">
        <f>IF(O1209&lt;SUMIFS(M:M,R:R,1,E:E,E1209)/SUMIFS(L:L,R:R,1,E:E,E1209)*0.5,"Низшая четверть",IF(O1209&lt;SUMIFS(M:M,R:R,1,E:E,E1209)/SUMIFS(L:L,R:R,1,E:E,E1209),"Вторая четверть","Больше половины"))</f>
        <v/>
      </c>
      <c r="Y1209" t="n">
        <v>23</v>
      </c>
    </row>
    <row r="1210">
      <c r="A1210" s="1" t="inlineStr">
        <is>
          <t>94500120</t>
        </is>
      </c>
      <c r="B1210" s="2" t="inlineStr">
        <is>
          <t>915625079</t>
        </is>
      </c>
      <c r="C1210" s="3" t="inlineStr">
        <is>
          <t>Одежда для детей</t>
        </is>
      </c>
      <c r="D1210" s="2" t="inlineStr">
        <is>
          <t>Одежда для новорожденных</t>
        </is>
      </c>
      <c r="E1210" s="3" t="inlineStr">
        <is>
          <t>945 Комплект одежды для маленького мальчика</t>
        </is>
      </c>
      <c r="F1210" s="2" t="inlineStr">
        <is>
          <t>всесезонный</t>
        </is>
      </c>
      <c r="G1210" s="3" t="inlineStr">
        <is>
          <t>Kari baby</t>
        </is>
      </c>
      <c r="H1210" s="2" t="inlineStr">
        <is>
          <t>Зиннуров Ильнур</t>
        </is>
      </c>
      <c r="J1210" s="3" t="inlineStr">
        <is>
          <t>2026SS</t>
        </is>
      </c>
      <c r="K1210" s="3" t="n">
        <v>384</v>
      </c>
      <c r="L1210" s="3" t="n">
        <v>36</v>
      </c>
      <c r="M1210" s="3" t="n">
        <v>0</v>
      </c>
      <c r="N1210" s="4">
        <f>IFERROR(L1210/K1210,0)</f>
        <v/>
      </c>
      <c r="O1210" s="4">
        <f>IFERROR(M1210/L1210,0)</f>
        <v/>
      </c>
      <c r="P1210" t="n">
        <v>240</v>
      </c>
      <c r="Q1210" s="5" t="n">
        <v>1</v>
      </c>
      <c r="R1210" s="7" t="n">
        <v>0</v>
      </c>
      <c r="S1210" t="inlineStr">
        <is>
          <t>Мало показов</t>
        </is>
      </c>
      <c r="T1210">
        <f>IF(N1210&lt;$T$1*0.5,"Низшая четверть",IF(N1210&lt;$T$1,"Вторая четверть","Больше половины"))</f>
        <v/>
      </c>
      <c r="U1210">
        <f>IF(O1210&lt;$U$1*0.5,"Низшая четверть",IF(O1210&lt;$U$1,"Вторая четверть","Больше половины"))</f>
        <v/>
      </c>
      <c r="V1210">
        <f>IF(OR(N1210&lt;SUMIFS(L:L,R:R,1,E:E,E1210)/SUMIFS(K:K,R:R,1,E:E,E1210)*0.5,O1210&lt;SUMIFS(M:M,R:R,1,E:E,E1210)/SUMIFS(L:L,R:R,1,E:E,E1210)*0.5),"код для проверки","нормальный код")</f>
        <v/>
      </c>
      <c r="W1210">
        <f>IF(N1210&lt;SUMIFS(L:L,R:R,1,E:E,E1210)/SUMIFS(K:K,R:R,1,E:E,E1210)*0.5,"Низшая четверть",IF(N1210&lt;SUMIFS(L:L,R:R,1,E:E,E1210)/SUMIFS(K:K,R:R,1,E:E,E1210),"Вторая четверть","Больше половины"))</f>
        <v/>
      </c>
      <c r="X1210">
        <f>IF(O1210&lt;SUMIFS(M:M,R:R,1,E:E,E1210)/SUMIFS(L:L,R:R,1,E:E,E1210)*0.5,"Низшая четверть",IF(O1210&lt;SUMIFS(M:M,R:R,1,E:E,E1210)/SUMIFS(L:L,R:R,1,E:E,E1210),"Вторая четверть","Больше половины"))</f>
        <v/>
      </c>
      <c r="Y1210" t="n">
        <v>28</v>
      </c>
    </row>
    <row r="1211">
      <c r="A1211" s="1" t="inlineStr">
        <is>
          <t>19400240</t>
        </is>
      </c>
      <c r="B1211" s="2" t="inlineStr">
        <is>
          <t>837332199</t>
        </is>
      </c>
      <c r="C1211" s="3" t="inlineStr">
        <is>
          <t>Одежда для детей</t>
        </is>
      </c>
      <c r="D1211" s="2" t="inlineStr">
        <is>
          <t>Брюки детские для девочек</t>
        </is>
      </c>
      <c r="E1211" s="3" t="inlineStr">
        <is>
          <t>194 Шорты детские для девочек</t>
        </is>
      </c>
      <c r="F1211" s="2" t="inlineStr">
        <is>
          <t>лето</t>
        </is>
      </c>
      <c r="G1211" s="3" t="inlineStr">
        <is>
          <t>kari</t>
        </is>
      </c>
      <c r="H1211" s="2" t="inlineStr">
        <is>
          <t>Зиннуров Ильнур</t>
        </is>
      </c>
      <c r="J1211" s="3" t="inlineStr">
        <is>
          <t>2026SS</t>
        </is>
      </c>
      <c r="K1211" s="3" t="n">
        <v>383</v>
      </c>
      <c r="L1211" s="3" t="n">
        <v>14</v>
      </c>
      <c r="M1211" s="3" t="n">
        <v>0</v>
      </c>
      <c r="N1211" s="4">
        <f>IFERROR(L1211/K1211,0)</f>
        <v/>
      </c>
      <c r="O1211" s="4">
        <f>IFERROR(M1211/L1211,0)</f>
        <v/>
      </c>
      <c r="P1211" t="n">
        <v>1285</v>
      </c>
      <c r="Q1211" s="5" t="n">
        <v>1</v>
      </c>
      <c r="R1211" s="7" t="n">
        <v>0</v>
      </c>
      <c r="S1211" t="inlineStr">
        <is>
          <t>Мало показов</t>
        </is>
      </c>
      <c r="T1211">
        <f>IF(N1211&lt;$T$1*0.5,"Низшая четверть",IF(N1211&lt;$T$1,"Вторая четверть","Больше половины"))</f>
        <v/>
      </c>
      <c r="U1211">
        <f>IF(O1211&lt;$U$1*0.5,"Низшая четверть",IF(O1211&lt;$U$1,"Вторая четверть","Больше половины"))</f>
        <v/>
      </c>
      <c r="V1211">
        <f>IF(OR(N1211&lt;SUMIFS(L:L,R:R,1,E:E,E1211)/SUMIFS(K:K,R:R,1,E:E,E1211)*0.5,O1211&lt;SUMIFS(M:M,R:R,1,E:E,E1211)/SUMIFS(L:L,R:R,1,E:E,E1211)*0.5),"код для проверки","нормальный код")</f>
        <v/>
      </c>
      <c r="W1211">
        <f>IF(N1211&lt;SUMIFS(L:L,R:R,1,E:E,E1211)/SUMIFS(K:K,R:R,1,E:E,E1211)*0.5,"Низшая четверть",IF(N1211&lt;SUMIFS(L:L,R:R,1,E:E,E1211)/SUMIFS(K:K,R:R,1,E:E,E1211),"Вторая четверть","Больше половины"))</f>
        <v/>
      </c>
      <c r="X1211">
        <f>IF(O1211&lt;SUMIFS(M:M,R:R,1,E:E,E1211)/SUMIFS(L:L,R:R,1,E:E,E1211)*0.5,"Низшая четверть",IF(O1211&lt;SUMIFS(M:M,R:R,1,E:E,E1211)/SUMIFS(L:L,R:R,1,E:E,E1211),"Вторая четверть","Больше половины"))</f>
        <v/>
      </c>
      <c r="Y1211" t="n">
        <v>12</v>
      </c>
    </row>
    <row r="1212">
      <c r="A1212" s="1" t="inlineStr">
        <is>
          <t>310000W0</t>
        </is>
      </c>
      <c r="B1212" s="2" t="inlineStr">
        <is>
          <t>879308865</t>
        </is>
      </c>
      <c r="C1212" s="3" t="inlineStr">
        <is>
          <t>Одежда для детей</t>
        </is>
      </c>
      <c r="D1212" s="2" t="inlineStr">
        <is>
          <t>Футболки, майки, рубашки детские для мальчиков</t>
        </is>
      </c>
      <c r="E1212" s="3" t="inlineStr">
        <is>
          <t>310 Футболка детская для мальчиков</t>
        </is>
      </c>
      <c r="F1212" s="2" t="inlineStr">
        <is>
          <t>всесезонный</t>
        </is>
      </c>
      <c r="G1212" s="3" t="inlineStr">
        <is>
          <t>kari</t>
        </is>
      </c>
      <c r="H1212" s="2" t="inlineStr">
        <is>
          <t>Зиннуров Ильнур</t>
        </is>
      </c>
      <c r="J1212" s="3" t="inlineStr">
        <is>
          <t>2026SS</t>
        </is>
      </c>
      <c r="K1212" s="3" t="n">
        <v>381</v>
      </c>
      <c r="L1212" s="3" t="n">
        <v>7</v>
      </c>
      <c r="M1212" s="3" t="n">
        <v>0</v>
      </c>
      <c r="N1212" s="4">
        <f>IFERROR(L1212/K1212,0)</f>
        <v/>
      </c>
      <c r="O1212" s="4">
        <f>IFERROR(M1212/L1212,0)</f>
        <v/>
      </c>
      <c r="P1212" t="n">
        <v>259</v>
      </c>
      <c r="Q1212" s="5" t="n">
        <v>1</v>
      </c>
      <c r="R1212" s="7" t="n">
        <v>0</v>
      </c>
      <c r="S1212" t="inlineStr">
        <is>
          <t>Мало показов</t>
        </is>
      </c>
      <c r="T1212">
        <f>IF(N1212&lt;$T$1*0.5,"Низшая четверть",IF(N1212&lt;$T$1,"Вторая четверть","Больше половины"))</f>
        <v/>
      </c>
      <c r="U1212">
        <f>IF(O1212&lt;$U$1*0.5,"Низшая четверть",IF(O1212&lt;$U$1,"Вторая четверть","Больше половины"))</f>
        <v/>
      </c>
      <c r="V1212">
        <f>IF(OR(N1212&lt;SUMIFS(L:L,R:R,1,E:E,E1212)/SUMIFS(K:K,R:R,1,E:E,E1212)*0.5,O1212&lt;SUMIFS(M:M,R:R,1,E:E,E1212)/SUMIFS(L:L,R:R,1,E:E,E1212)*0.5),"код для проверки","нормальный код")</f>
        <v/>
      </c>
      <c r="W1212">
        <f>IF(N1212&lt;SUMIFS(L:L,R:R,1,E:E,E1212)/SUMIFS(K:K,R:R,1,E:E,E1212)*0.5,"Низшая четверть",IF(N1212&lt;SUMIFS(L:L,R:R,1,E:E,E1212)/SUMIFS(K:K,R:R,1,E:E,E1212),"Вторая четверть","Больше половины"))</f>
        <v/>
      </c>
      <c r="X1212">
        <f>IF(O1212&lt;SUMIFS(M:M,R:R,1,E:E,E1212)/SUMIFS(L:L,R:R,1,E:E,E1212)*0.5,"Низшая четверть",IF(O1212&lt;SUMIFS(M:M,R:R,1,E:E,E1212)/SUMIFS(L:L,R:R,1,E:E,E1212),"Вторая четверть","Больше половины"))</f>
        <v/>
      </c>
      <c r="Y1212" t="n">
        <v>10</v>
      </c>
    </row>
    <row r="1213">
      <c r="A1213" s="1" t="inlineStr">
        <is>
          <t>a6000530</t>
        </is>
      </c>
      <c r="B1213" s="2" t="inlineStr">
        <is>
          <t>932503906</t>
        </is>
      </c>
      <c r="C1213" s="3" t="inlineStr">
        <is>
          <t>Одежда для детей</t>
        </is>
      </c>
      <c r="D1213" s="2" t="inlineStr">
        <is>
          <t>Платья, майки, футболки детские для девочек</t>
        </is>
      </c>
      <c r="E1213" s="3" t="inlineStr">
        <is>
          <t>a60 Футболка детская для девочек</t>
        </is>
      </c>
      <c r="F1213" s="2" t="inlineStr">
        <is>
          <t>всесезонный</t>
        </is>
      </c>
      <c r="G1213" s="3" t="inlineStr">
        <is>
          <t>kari</t>
        </is>
      </c>
      <c r="H1213" s="2" t="inlineStr">
        <is>
          <t>Зиннуров Ильнур</t>
        </is>
      </c>
      <c r="J1213" s="3" t="inlineStr">
        <is>
          <t>2026SS</t>
        </is>
      </c>
      <c r="K1213" s="3" t="n">
        <v>380</v>
      </c>
      <c r="L1213" s="3" t="n">
        <v>3</v>
      </c>
      <c r="M1213" s="3" t="n">
        <v>0</v>
      </c>
      <c r="N1213" s="4">
        <f>IFERROR(L1213/K1213,0)</f>
        <v/>
      </c>
      <c r="O1213" s="4">
        <f>IFERROR(M1213/L1213,0)</f>
        <v/>
      </c>
      <c r="P1213" t="n">
        <v>0</v>
      </c>
      <c r="Q1213" s="5" t="n">
        <v>0</v>
      </c>
      <c r="R1213" s="7" t="n">
        <v>0</v>
      </c>
      <c r="S1213" t="inlineStr">
        <is>
          <t>Мало остатка</t>
        </is>
      </c>
      <c r="T1213">
        <f>IF(N1213&lt;$T$1*0.5,"Низшая четверть",IF(N1213&lt;$T$1,"Вторая четверть","Больше половины"))</f>
        <v/>
      </c>
      <c r="U1213">
        <f>IF(O1213&lt;$U$1*0.5,"Низшая четверть",IF(O1213&lt;$U$1,"Вторая четверть","Больше половины"))</f>
        <v/>
      </c>
      <c r="V1213">
        <f>IF(OR(N1213&lt;SUMIFS(L:L,R:R,1,E:E,E1213)/SUMIFS(K:K,R:R,1,E:E,E1213)*0.5,O1213&lt;SUMIFS(M:M,R:R,1,E:E,E1213)/SUMIFS(L:L,R:R,1,E:E,E1213)*0.5),"код для проверки","нормальный код")</f>
        <v/>
      </c>
      <c r="W1213">
        <f>IF(N1213&lt;SUMIFS(L:L,R:R,1,E:E,E1213)/SUMIFS(K:K,R:R,1,E:E,E1213)*0.5,"Низшая четверть",IF(N1213&lt;SUMIFS(L:L,R:R,1,E:E,E1213)/SUMIFS(K:K,R:R,1,E:E,E1213),"Вторая четверть","Больше половины"))</f>
        <v/>
      </c>
      <c r="X1213">
        <f>IF(O1213&lt;SUMIFS(M:M,R:R,1,E:E,E1213)/SUMIFS(L:L,R:R,1,E:E,E1213)*0.5,"Низшая четверть",IF(O1213&lt;SUMIFS(M:M,R:R,1,E:E,E1213)/SUMIFS(L:L,R:R,1,E:E,E1213),"Вторая четверть","Больше половины"))</f>
        <v/>
      </c>
      <c r="Y1213" t="n">
        <v>8</v>
      </c>
    </row>
    <row r="1214">
      <c r="A1214" s="1" t="inlineStr">
        <is>
          <t>94700070</t>
        </is>
      </c>
      <c r="B1214" s="2" t="inlineStr">
        <is>
          <t>925964663</t>
        </is>
      </c>
      <c r="C1214" s="3" t="inlineStr">
        <is>
          <t>Одежда для детей</t>
        </is>
      </c>
      <c r="D1214" s="2" t="inlineStr">
        <is>
          <t>Одежда для новорожденных</t>
        </is>
      </c>
      <c r="E1214" s="3" t="inlineStr">
        <is>
          <t>947 Ромпер для девочки</t>
        </is>
      </c>
      <c r="F1214" s="2" t="inlineStr">
        <is>
          <t>лето</t>
        </is>
      </c>
      <c r="G1214" s="3" t="inlineStr">
        <is>
          <t>Kari baby</t>
        </is>
      </c>
      <c r="H1214" s="2" t="inlineStr">
        <is>
          <t>Зиннуров Ильнур</t>
        </is>
      </c>
      <c r="J1214" s="3" t="inlineStr">
        <is>
          <t>2026SS</t>
        </is>
      </c>
      <c r="K1214" s="3" t="n">
        <v>379</v>
      </c>
      <c r="L1214" s="3" t="n">
        <v>68</v>
      </c>
      <c r="M1214" s="3" t="n">
        <v>0</v>
      </c>
      <c r="N1214" s="4">
        <f>IFERROR(L1214/K1214,0)</f>
        <v/>
      </c>
      <c r="O1214" s="4">
        <f>IFERROR(M1214/L1214,0)</f>
        <v/>
      </c>
      <c r="P1214" t="n">
        <v>100</v>
      </c>
      <c r="Q1214" s="5" t="n">
        <v>1</v>
      </c>
      <c r="R1214" s="7" t="n">
        <v>0</v>
      </c>
      <c r="S1214" t="inlineStr">
        <is>
          <t>Мало показов</t>
        </is>
      </c>
      <c r="T1214">
        <f>IF(N1214&lt;$T$1*0.5,"Низшая четверть",IF(N1214&lt;$T$1,"Вторая четверть","Больше половины"))</f>
        <v/>
      </c>
      <c r="U1214">
        <f>IF(O1214&lt;$U$1*0.5,"Низшая четверть",IF(O1214&lt;$U$1,"Вторая четверть","Больше половины"))</f>
        <v/>
      </c>
      <c r="V1214">
        <f>IF(OR(N1214&lt;SUMIFS(L:L,R:R,1,E:E,E1214)/SUMIFS(K:K,R:R,1,E:E,E1214)*0.5,O1214&lt;SUMIFS(M:M,R:R,1,E:E,E1214)/SUMIFS(L:L,R:R,1,E:E,E1214)*0.5),"код для проверки","нормальный код")</f>
        <v/>
      </c>
      <c r="W1214">
        <f>IF(N1214&lt;SUMIFS(L:L,R:R,1,E:E,E1214)/SUMIFS(K:K,R:R,1,E:E,E1214)*0.5,"Низшая четверть",IF(N1214&lt;SUMIFS(L:L,R:R,1,E:E,E1214)/SUMIFS(K:K,R:R,1,E:E,E1214),"Вторая четверть","Больше половины"))</f>
        <v/>
      </c>
      <c r="X1214">
        <f>IF(O1214&lt;SUMIFS(M:M,R:R,1,E:E,E1214)/SUMIFS(L:L,R:R,1,E:E,E1214)*0.5,"Низшая четверть",IF(O1214&lt;SUMIFS(M:M,R:R,1,E:E,E1214)/SUMIFS(L:L,R:R,1,E:E,E1214),"Вторая четверть","Больше половины"))</f>
        <v/>
      </c>
      <c r="Y1214" t="n">
        <v>14</v>
      </c>
    </row>
    <row r="1215">
      <c r="A1215" s="1" t="inlineStr">
        <is>
          <t>h1000200</t>
        </is>
      </c>
      <c r="B1215" s="2" t="inlineStr">
        <is>
          <t>932503488</t>
        </is>
      </c>
      <c r="C1215" s="3" t="inlineStr">
        <is>
          <t>Одежда и аксессуары</t>
        </is>
      </c>
      <c r="D1215" s="2" t="inlineStr">
        <is>
          <t>Футболки, рубашки мужские</t>
        </is>
      </c>
      <c r="E1215" s="3" t="inlineStr">
        <is>
          <t>h10 Футболка мужская</t>
        </is>
      </c>
      <c r="F1215" s="2" t="inlineStr">
        <is>
          <t>всесезонный</t>
        </is>
      </c>
      <c r="G1215" s="3" t="inlineStr">
        <is>
          <t>kari</t>
        </is>
      </c>
      <c r="H1215" s="2" t="inlineStr">
        <is>
          <t>Зиннуров Ильнур</t>
        </is>
      </c>
      <c r="J1215" s="3" t="inlineStr">
        <is>
          <t>2026SS</t>
        </is>
      </c>
      <c r="K1215" s="3" t="n">
        <v>378</v>
      </c>
      <c r="L1215" s="3" t="n">
        <v>7</v>
      </c>
      <c r="M1215" s="3" t="n">
        <v>0</v>
      </c>
      <c r="N1215" s="4">
        <f>IFERROR(L1215/K1215,0)</f>
        <v/>
      </c>
      <c r="O1215" s="4">
        <f>IFERROR(M1215/L1215,0)</f>
        <v/>
      </c>
      <c r="P1215" t="n">
        <v>30</v>
      </c>
      <c r="Q1215" s="5" t="n">
        <v>0.2</v>
      </c>
      <c r="R1215" s="7" t="n">
        <v>0</v>
      </c>
      <c r="S1215" t="inlineStr">
        <is>
          <t>Мало показов</t>
        </is>
      </c>
      <c r="T1215">
        <f>IF(N1215&lt;$T$1*0.5,"Низшая четверть",IF(N1215&lt;$T$1,"Вторая четверть","Больше половины"))</f>
        <v/>
      </c>
      <c r="U1215">
        <f>IF(O1215&lt;$U$1*0.5,"Низшая четверть",IF(O1215&lt;$U$1,"Вторая четверть","Больше половины"))</f>
        <v/>
      </c>
      <c r="V1215">
        <f>IF(OR(N1215&lt;SUMIFS(L:L,R:R,1,E:E,E1215)/SUMIFS(K:K,R:R,1,E:E,E1215)*0.5,O1215&lt;SUMIFS(M:M,R:R,1,E:E,E1215)/SUMIFS(L:L,R:R,1,E:E,E1215)*0.5),"код для проверки","нормальный код")</f>
        <v/>
      </c>
      <c r="W1215">
        <f>IF(N1215&lt;SUMIFS(L:L,R:R,1,E:E,E1215)/SUMIFS(K:K,R:R,1,E:E,E1215)*0.5,"Низшая четверть",IF(N1215&lt;SUMIFS(L:L,R:R,1,E:E,E1215)/SUMIFS(K:K,R:R,1,E:E,E1215),"Вторая четверть","Больше половины"))</f>
        <v/>
      </c>
      <c r="X1215">
        <f>IF(O1215&lt;SUMIFS(M:M,R:R,1,E:E,E1215)/SUMIFS(L:L,R:R,1,E:E,E1215)*0.5,"Низшая четверть",IF(O1215&lt;SUMIFS(M:M,R:R,1,E:E,E1215)/SUMIFS(L:L,R:R,1,E:E,E1215),"Вторая четверть","Больше половины"))</f>
        <v/>
      </c>
      <c r="Y1215" t="n">
        <v>11</v>
      </c>
    </row>
    <row r="1216">
      <c r="A1216" s="1" t="inlineStr">
        <is>
          <t>94600170</t>
        </is>
      </c>
      <c r="B1216" s="2" t="inlineStr">
        <is>
          <t>925964219</t>
        </is>
      </c>
      <c r="C1216" s="3" t="inlineStr">
        <is>
          <t>Одежда для детей</t>
        </is>
      </c>
      <c r="D1216" s="2" t="inlineStr">
        <is>
          <t>Одежда для новорожденных</t>
        </is>
      </c>
      <c r="E1216" s="3" t="inlineStr">
        <is>
          <t>946 Ромпер для мальчика</t>
        </is>
      </c>
      <c r="F1216" s="2" t="inlineStr">
        <is>
          <t>лето</t>
        </is>
      </c>
      <c r="G1216" s="3" t="inlineStr">
        <is>
          <t>Kari baby</t>
        </is>
      </c>
      <c r="H1216" s="2" t="inlineStr">
        <is>
          <t>Зиннуров Ильнур</t>
        </is>
      </c>
      <c r="J1216" s="3" t="inlineStr">
        <is>
          <t>2026SS</t>
        </is>
      </c>
      <c r="K1216" s="3" t="n">
        <v>374</v>
      </c>
      <c r="L1216" s="3" t="n">
        <v>12</v>
      </c>
      <c r="M1216" s="3" t="n">
        <v>1</v>
      </c>
      <c r="N1216" s="4">
        <f>IFERROR(L1216/K1216,0)</f>
        <v/>
      </c>
      <c r="O1216" s="4">
        <f>IFERROR(M1216/L1216,0)</f>
        <v/>
      </c>
      <c r="P1216" t="n">
        <v>349</v>
      </c>
      <c r="Q1216" s="5" t="n">
        <v>1</v>
      </c>
      <c r="R1216" s="7" t="n">
        <v>0</v>
      </c>
      <c r="S1216" t="inlineStr">
        <is>
          <t>Мало показов</t>
        </is>
      </c>
      <c r="T1216">
        <f>IF(N1216&lt;$T$1*0.5,"Низшая четверть",IF(N1216&lt;$T$1,"Вторая четверть","Больше половины"))</f>
        <v/>
      </c>
      <c r="U1216">
        <f>IF(O1216&lt;$U$1*0.5,"Низшая четверть",IF(O1216&lt;$U$1,"Вторая четверть","Больше половины"))</f>
        <v/>
      </c>
      <c r="V1216">
        <f>IF(OR(N1216&lt;SUMIFS(L:L,R:R,1,E:E,E1216)/SUMIFS(K:K,R:R,1,E:E,E1216)*0.5,O1216&lt;SUMIFS(M:M,R:R,1,E:E,E1216)/SUMIFS(L:L,R:R,1,E:E,E1216)*0.5),"код для проверки","нормальный код")</f>
        <v/>
      </c>
      <c r="W1216">
        <f>IF(N1216&lt;SUMIFS(L:L,R:R,1,E:E,E1216)/SUMIFS(K:K,R:R,1,E:E,E1216)*0.5,"Низшая четверть",IF(N1216&lt;SUMIFS(L:L,R:R,1,E:E,E1216)/SUMIFS(K:K,R:R,1,E:E,E1216),"Вторая четверть","Больше половины"))</f>
        <v/>
      </c>
      <c r="X1216">
        <f>IF(O1216&lt;SUMIFS(M:M,R:R,1,E:E,E1216)/SUMIFS(L:L,R:R,1,E:E,E1216)*0.5,"Низшая четверть",IF(O1216&lt;SUMIFS(M:M,R:R,1,E:E,E1216)/SUMIFS(L:L,R:R,1,E:E,E1216),"Вторая четверть","Больше половины"))</f>
        <v/>
      </c>
      <c r="Y1216" t="n">
        <v>17</v>
      </c>
    </row>
    <row r="1217">
      <c r="A1217" s="1" t="inlineStr">
        <is>
          <t>19400290</t>
        </is>
      </c>
      <c r="B1217" s="2" t="inlineStr">
        <is>
          <t>837332355</t>
        </is>
      </c>
      <c r="C1217" s="3" t="inlineStr">
        <is>
          <t>Одежда для детей</t>
        </is>
      </c>
      <c r="D1217" s="2" t="inlineStr">
        <is>
          <t>Брюки детские для девочек</t>
        </is>
      </c>
      <c r="E1217" s="3" t="inlineStr">
        <is>
          <t>194 Шорты детские для девочек</t>
        </is>
      </c>
      <c r="F1217" s="2" t="inlineStr">
        <is>
          <t>лето</t>
        </is>
      </c>
      <c r="G1217" s="3" t="inlineStr">
        <is>
          <t>kari</t>
        </is>
      </c>
      <c r="H1217" s="2" t="inlineStr">
        <is>
          <t>Зиннуров Ильнур</t>
        </is>
      </c>
      <c r="J1217" s="3" t="inlineStr">
        <is>
          <t>2026SS</t>
        </is>
      </c>
      <c r="K1217" s="3" t="n">
        <v>374</v>
      </c>
      <c r="L1217" s="3" t="n">
        <v>12</v>
      </c>
      <c r="M1217" s="3" t="n">
        <v>0</v>
      </c>
      <c r="N1217" s="4">
        <f>IFERROR(L1217/K1217,0)</f>
        <v/>
      </c>
      <c r="O1217" s="4">
        <f>IFERROR(M1217/L1217,0)</f>
        <v/>
      </c>
      <c r="P1217" t="n">
        <v>701</v>
      </c>
      <c r="Q1217" s="5" t="n">
        <v>1</v>
      </c>
      <c r="R1217" s="7" t="n">
        <v>0</v>
      </c>
      <c r="S1217" t="inlineStr">
        <is>
          <t>Мало показов</t>
        </is>
      </c>
      <c r="T1217">
        <f>IF(N1217&lt;$T$1*0.5,"Низшая четверть",IF(N1217&lt;$T$1,"Вторая четверть","Больше половины"))</f>
        <v/>
      </c>
      <c r="U1217">
        <f>IF(O1217&lt;$U$1*0.5,"Низшая четверть",IF(O1217&lt;$U$1,"Вторая четверть","Больше половины"))</f>
        <v/>
      </c>
      <c r="V1217">
        <f>IF(OR(N1217&lt;SUMIFS(L:L,R:R,1,E:E,E1217)/SUMIFS(K:K,R:R,1,E:E,E1217)*0.5,O1217&lt;SUMIFS(M:M,R:R,1,E:E,E1217)/SUMIFS(L:L,R:R,1,E:E,E1217)*0.5),"код для проверки","нормальный код")</f>
        <v/>
      </c>
      <c r="W1217">
        <f>IF(N1217&lt;SUMIFS(L:L,R:R,1,E:E,E1217)/SUMIFS(K:K,R:R,1,E:E,E1217)*0.5,"Низшая четверть",IF(N1217&lt;SUMIFS(L:L,R:R,1,E:E,E1217)/SUMIFS(K:K,R:R,1,E:E,E1217),"Вторая четверть","Больше половины"))</f>
        <v/>
      </c>
      <c r="X1217">
        <f>IF(O1217&lt;SUMIFS(M:M,R:R,1,E:E,E1217)/SUMIFS(L:L,R:R,1,E:E,E1217)*0.5,"Низшая четверть",IF(O1217&lt;SUMIFS(M:M,R:R,1,E:E,E1217)/SUMIFS(L:L,R:R,1,E:E,E1217),"Вторая четверть","Больше половины"))</f>
        <v/>
      </c>
      <c r="Y1217" t="n">
        <v>17</v>
      </c>
    </row>
    <row r="1218">
      <c r="A1218" s="1" t="inlineStr">
        <is>
          <t>94500150</t>
        </is>
      </c>
      <c r="B1218" s="2" t="inlineStr">
        <is>
          <t>915625061</t>
        </is>
      </c>
      <c r="C1218" s="3" t="inlineStr">
        <is>
          <t>Одежда для детей</t>
        </is>
      </c>
      <c r="D1218" s="2" t="inlineStr">
        <is>
          <t>Одежда для новорожденных</t>
        </is>
      </c>
      <c r="E1218" s="3" t="inlineStr">
        <is>
          <t>945 Комплект одежды для маленького мальчика</t>
        </is>
      </c>
      <c r="F1218" s="2" t="inlineStr">
        <is>
          <t>всесезонный</t>
        </is>
      </c>
      <c r="G1218" s="3" t="inlineStr">
        <is>
          <t>Kari baby</t>
        </is>
      </c>
      <c r="H1218" s="2" t="inlineStr">
        <is>
          <t>Зиннуров Ильнур</t>
        </is>
      </c>
      <c r="J1218" s="3" t="inlineStr">
        <is>
          <t>2026SS</t>
        </is>
      </c>
      <c r="K1218" s="3" t="n">
        <v>372</v>
      </c>
      <c r="L1218" s="3" t="n">
        <v>20</v>
      </c>
      <c r="M1218" s="3" t="n">
        <v>1</v>
      </c>
      <c r="N1218" s="4">
        <f>IFERROR(L1218/K1218,0)</f>
        <v/>
      </c>
      <c r="O1218" s="4">
        <f>IFERROR(M1218/L1218,0)</f>
        <v/>
      </c>
      <c r="P1218" t="n">
        <v>239</v>
      </c>
      <c r="Q1218" s="5" t="n">
        <v>1</v>
      </c>
      <c r="R1218" s="7" t="n">
        <v>0</v>
      </c>
      <c r="S1218" t="inlineStr">
        <is>
          <t>Мало показов</t>
        </is>
      </c>
      <c r="T1218">
        <f>IF(N1218&lt;$T$1*0.5,"Низшая четверть",IF(N1218&lt;$T$1,"Вторая четверть","Больше половины"))</f>
        <v/>
      </c>
      <c r="U1218">
        <f>IF(O1218&lt;$U$1*0.5,"Низшая четверть",IF(O1218&lt;$U$1,"Вторая четверть","Больше половины"))</f>
        <v/>
      </c>
      <c r="V1218">
        <f>IF(OR(N1218&lt;SUMIFS(L:L,R:R,1,E:E,E1218)/SUMIFS(K:K,R:R,1,E:E,E1218)*0.5,O1218&lt;SUMIFS(M:M,R:R,1,E:E,E1218)/SUMIFS(L:L,R:R,1,E:E,E1218)*0.5),"код для проверки","нормальный код")</f>
        <v/>
      </c>
      <c r="W1218">
        <f>IF(N1218&lt;SUMIFS(L:L,R:R,1,E:E,E1218)/SUMIFS(K:K,R:R,1,E:E,E1218)*0.5,"Низшая четверть",IF(N1218&lt;SUMIFS(L:L,R:R,1,E:E,E1218)/SUMIFS(K:K,R:R,1,E:E,E1218),"Вторая четверть","Больше половины"))</f>
        <v/>
      </c>
      <c r="X1218">
        <f>IF(O1218&lt;SUMIFS(M:M,R:R,1,E:E,E1218)/SUMIFS(L:L,R:R,1,E:E,E1218)*0.5,"Низшая четверть",IF(O1218&lt;SUMIFS(M:M,R:R,1,E:E,E1218)/SUMIFS(L:L,R:R,1,E:E,E1218),"Вторая четверть","Больше половины"))</f>
        <v/>
      </c>
      <c r="Y1218" t="n">
        <v>17</v>
      </c>
    </row>
    <row r="1219">
      <c r="A1219" s="1" t="inlineStr">
        <is>
          <t>19400430</t>
        </is>
      </c>
      <c r="B1219" s="2" t="inlineStr">
        <is>
          <t>863590630</t>
        </is>
      </c>
      <c r="C1219" s="3" t="inlineStr">
        <is>
          <t>Одежда для детей</t>
        </is>
      </c>
      <c r="D1219" s="2" t="inlineStr">
        <is>
          <t>Брюки детские для девочек</t>
        </is>
      </c>
      <c r="E1219" s="3" t="inlineStr">
        <is>
          <t>194 Шорты детские для девочек</t>
        </is>
      </c>
      <c r="F1219" s="2" t="inlineStr">
        <is>
          <t>лето</t>
        </is>
      </c>
      <c r="G1219" s="3" t="inlineStr">
        <is>
          <t>Kari KIDS</t>
        </is>
      </c>
      <c r="H1219" s="2" t="inlineStr">
        <is>
          <t>Зиннуров Ильнур</t>
        </is>
      </c>
      <c r="J1219" s="3" t="inlineStr">
        <is>
          <t>2026SS</t>
        </is>
      </c>
      <c r="K1219" s="3" t="n">
        <v>370</v>
      </c>
      <c r="L1219" s="3" t="n">
        <v>23</v>
      </c>
      <c r="M1219" s="3" t="n">
        <v>0</v>
      </c>
      <c r="N1219" s="4">
        <f>IFERROR(L1219/K1219,0)</f>
        <v/>
      </c>
      <c r="O1219" s="4">
        <f>IFERROR(M1219/L1219,0)</f>
        <v/>
      </c>
      <c r="P1219" t="n">
        <v>500</v>
      </c>
      <c r="Q1219" s="5" t="n">
        <v>1</v>
      </c>
      <c r="R1219" s="7" t="n">
        <v>0</v>
      </c>
      <c r="S1219" t="inlineStr">
        <is>
          <t>Мало показов</t>
        </is>
      </c>
      <c r="T1219">
        <f>IF(N1219&lt;$T$1*0.5,"Низшая четверть",IF(N1219&lt;$T$1,"Вторая четверть","Больше половины"))</f>
        <v/>
      </c>
      <c r="U1219">
        <f>IF(O1219&lt;$U$1*0.5,"Низшая четверть",IF(O1219&lt;$U$1,"Вторая четверть","Больше половины"))</f>
        <v/>
      </c>
      <c r="V1219">
        <f>IF(OR(N1219&lt;SUMIFS(L:L,R:R,1,E:E,E1219)/SUMIFS(K:K,R:R,1,E:E,E1219)*0.5,O1219&lt;SUMIFS(M:M,R:R,1,E:E,E1219)/SUMIFS(L:L,R:R,1,E:E,E1219)*0.5),"код для проверки","нормальный код")</f>
        <v/>
      </c>
      <c r="W1219">
        <f>IF(N1219&lt;SUMIFS(L:L,R:R,1,E:E,E1219)/SUMIFS(K:K,R:R,1,E:E,E1219)*0.5,"Низшая четверть",IF(N1219&lt;SUMIFS(L:L,R:R,1,E:E,E1219)/SUMIFS(K:K,R:R,1,E:E,E1219),"Вторая четверть","Больше половины"))</f>
        <v/>
      </c>
      <c r="X1219">
        <f>IF(O1219&lt;SUMIFS(M:M,R:R,1,E:E,E1219)/SUMIFS(L:L,R:R,1,E:E,E1219)*0.5,"Низшая четверть",IF(O1219&lt;SUMIFS(M:M,R:R,1,E:E,E1219)/SUMIFS(L:L,R:R,1,E:E,E1219),"Вторая четверть","Больше половины"))</f>
        <v/>
      </c>
      <c r="Y1219" t="n">
        <v>15</v>
      </c>
    </row>
    <row r="1220">
      <c r="A1220" s="1" t="inlineStr">
        <is>
          <t>07200810</t>
        </is>
      </c>
      <c r="B1220" s="2" t="inlineStr">
        <is>
          <t>936940692</t>
        </is>
      </c>
      <c r="C1220" s="3" t="inlineStr">
        <is>
          <t>Одежда и аксессуары</t>
        </is>
      </c>
      <c r="D1220" s="2" t="inlineStr">
        <is>
          <t>Нижнее белье женское</t>
        </is>
      </c>
      <c r="E1220" s="3" t="inlineStr">
        <is>
          <t>072 Трусы женские</t>
        </is>
      </c>
      <c r="F1220" s="2" t="inlineStr">
        <is>
          <t>всесезонный</t>
        </is>
      </c>
      <c r="G1220" s="3" t="inlineStr">
        <is>
          <t>kari</t>
        </is>
      </c>
      <c r="H1220" s="2" t="inlineStr">
        <is>
          <t>Никонорова Алина</t>
        </is>
      </c>
      <c r="J1220" s="3" t="inlineStr">
        <is>
          <t>2026SS</t>
        </is>
      </c>
      <c r="K1220" s="3" t="n">
        <v>368</v>
      </c>
      <c r="L1220" s="3" t="n">
        <v>42</v>
      </c>
      <c r="M1220" s="3" t="n">
        <v>1</v>
      </c>
      <c r="N1220" s="4">
        <f>IFERROR(L1220/K1220,0)</f>
        <v/>
      </c>
      <c r="O1220" s="4">
        <f>IFERROR(M1220/L1220,0)</f>
        <v/>
      </c>
      <c r="P1220" t="n">
        <v>950</v>
      </c>
      <c r="Q1220" s="5" t="n">
        <v>0.8</v>
      </c>
      <c r="R1220" s="7" t="n">
        <v>0</v>
      </c>
      <c r="S1220" t="inlineStr">
        <is>
          <t>Мало показов</t>
        </is>
      </c>
      <c r="T1220">
        <f>IF(N1220&lt;$T$1*0.5,"Низшая четверть",IF(N1220&lt;$T$1,"Вторая четверть","Больше половины"))</f>
        <v/>
      </c>
      <c r="U1220">
        <f>IF(O1220&lt;$U$1*0.5,"Низшая четверть",IF(O1220&lt;$U$1,"Вторая четверть","Больше половины"))</f>
        <v/>
      </c>
      <c r="V1220">
        <f>IF(OR(N1220&lt;SUMIFS(L:L,R:R,1,E:E,E1220)/SUMIFS(K:K,R:R,1,E:E,E1220)*0.5,O1220&lt;SUMIFS(M:M,R:R,1,E:E,E1220)/SUMIFS(L:L,R:R,1,E:E,E1220)*0.5),"код для проверки","нормальный код")</f>
        <v/>
      </c>
      <c r="W1220">
        <f>IF(N1220&lt;SUMIFS(L:L,R:R,1,E:E,E1220)/SUMIFS(K:K,R:R,1,E:E,E1220)*0.5,"Низшая четверть",IF(N1220&lt;SUMIFS(L:L,R:R,1,E:E,E1220)/SUMIFS(K:K,R:R,1,E:E,E1220),"Вторая четверть","Больше половины"))</f>
        <v/>
      </c>
      <c r="X1220">
        <f>IF(O1220&lt;SUMIFS(M:M,R:R,1,E:E,E1220)/SUMIFS(L:L,R:R,1,E:E,E1220)*0.5,"Низшая четверть",IF(O1220&lt;SUMIFS(M:M,R:R,1,E:E,E1220)/SUMIFS(L:L,R:R,1,E:E,E1220),"Вторая четверть","Больше половины"))</f>
        <v/>
      </c>
      <c r="Y1220" t="n">
        <v>12</v>
      </c>
    </row>
    <row r="1221">
      <c r="A1221" s="1" t="inlineStr">
        <is>
          <t>07300580</t>
        </is>
      </c>
      <c r="B1221" s="2" t="inlineStr">
        <is>
          <t>917331631</t>
        </is>
      </c>
      <c r="C1221" s="3" t="inlineStr">
        <is>
          <t>Одежда и аксессуары</t>
        </is>
      </c>
      <c r="D1221" s="2" t="inlineStr">
        <is>
          <t>Нижнее белье мужское</t>
        </is>
      </c>
      <c r="E1221" s="3" t="inlineStr">
        <is>
          <t>073 Трусы мужские</t>
        </is>
      </c>
      <c r="F1221" s="2" t="inlineStr">
        <is>
          <t>всесезонный</t>
        </is>
      </c>
      <c r="G1221" s="3" t="inlineStr">
        <is>
          <t>kari</t>
        </is>
      </c>
      <c r="H1221" s="2" t="inlineStr">
        <is>
          <t>Никонорова Алина</t>
        </is>
      </c>
      <c r="J1221" s="3" t="inlineStr">
        <is>
          <t>2026SS</t>
        </is>
      </c>
      <c r="K1221" s="3" t="n">
        <v>365</v>
      </c>
      <c r="L1221" s="3" t="n">
        <v>35</v>
      </c>
      <c r="M1221" s="3" t="n">
        <v>0</v>
      </c>
      <c r="N1221" s="4">
        <f>IFERROR(L1221/K1221,0)</f>
        <v/>
      </c>
      <c r="O1221" s="4">
        <f>IFERROR(M1221/L1221,0)</f>
        <v/>
      </c>
      <c r="P1221" t="n">
        <v>2213</v>
      </c>
      <c r="Q1221" s="5" t="n">
        <v>1</v>
      </c>
      <c r="R1221" s="7" t="n">
        <v>0</v>
      </c>
      <c r="S1221" t="inlineStr">
        <is>
          <t>Мало показов</t>
        </is>
      </c>
      <c r="T1221">
        <f>IF(N1221&lt;$T$1*0.5,"Низшая четверть",IF(N1221&lt;$T$1,"Вторая четверть","Больше половины"))</f>
        <v/>
      </c>
      <c r="U1221">
        <f>IF(O1221&lt;$U$1*0.5,"Низшая четверть",IF(O1221&lt;$U$1,"Вторая четверть","Больше половины"))</f>
        <v/>
      </c>
      <c r="V1221">
        <f>IF(OR(N1221&lt;SUMIFS(L:L,R:R,1,E:E,E1221)/SUMIFS(K:K,R:R,1,E:E,E1221)*0.5,O1221&lt;SUMIFS(M:M,R:R,1,E:E,E1221)/SUMIFS(L:L,R:R,1,E:E,E1221)*0.5),"код для проверки","нормальный код")</f>
        <v/>
      </c>
      <c r="W1221">
        <f>IF(N1221&lt;SUMIFS(L:L,R:R,1,E:E,E1221)/SUMIFS(K:K,R:R,1,E:E,E1221)*0.5,"Низшая четверть",IF(N1221&lt;SUMIFS(L:L,R:R,1,E:E,E1221)/SUMIFS(K:K,R:R,1,E:E,E1221),"Вторая четверть","Больше половины"))</f>
        <v/>
      </c>
      <c r="X1221">
        <f>IF(O1221&lt;SUMIFS(M:M,R:R,1,E:E,E1221)/SUMIFS(L:L,R:R,1,E:E,E1221)*0.5,"Низшая четверть",IF(O1221&lt;SUMIFS(M:M,R:R,1,E:E,E1221)/SUMIFS(L:L,R:R,1,E:E,E1221),"Вторая четверть","Больше половины"))</f>
        <v/>
      </c>
      <c r="Y1221" t="n">
        <v>19</v>
      </c>
    </row>
    <row r="1222">
      <c r="A1222" s="1" t="inlineStr">
        <is>
          <t>310002O0</t>
        </is>
      </c>
      <c r="B1222" s="2" t="inlineStr">
        <is>
          <t>847884087</t>
        </is>
      </c>
      <c r="C1222" s="3" t="inlineStr">
        <is>
          <t>Одежда для детей</t>
        </is>
      </c>
      <c r="D1222" s="2" t="inlineStr">
        <is>
          <t>Футболки, майки, рубашки детские для мальчиков</t>
        </is>
      </c>
      <c r="E1222" s="3" t="inlineStr">
        <is>
          <t>310 Футболка детская для мальчиков</t>
        </is>
      </c>
      <c r="F1222" s="2" t="inlineStr">
        <is>
          <t>всесезонный</t>
        </is>
      </c>
      <c r="G1222" s="3" t="inlineStr">
        <is>
          <t>Kari KIDS</t>
        </is>
      </c>
      <c r="H1222" s="2" t="inlineStr">
        <is>
          <t>Зиннуров Ильнур</t>
        </is>
      </c>
      <c r="J1222" s="3" t="inlineStr">
        <is>
          <t>2026SS</t>
        </is>
      </c>
      <c r="K1222" s="3" t="n">
        <v>362</v>
      </c>
      <c r="L1222" s="3" t="n">
        <v>17</v>
      </c>
      <c r="M1222" s="3" t="n">
        <v>1</v>
      </c>
      <c r="N1222" s="4">
        <f>IFERROR(L1222/K1222,0)</f>
        <v/>
      </c>
      <c r="O1222" s="4">
        <f>IFERROR(M1222/L1222,0)</f>
        <v/>
      </c>
      <c r="P1222" t="n">
        <v>179</v>
      </c>
      <c r="Q1222" s="5" t="n">
        <v>1</v>
      </c>
      <c r="R1222" s="7" t="n">
        <v>0</v>
      </c>
      <c r="S1222" t="inlineStr">
        <is>
          <t>Мало показов</t>
        </is>
      </c>
      <c r="T1222">
        <f>IF(N1222&lt;$T$1*0.5,"Низшая четверть",IF(N1222&lt;$T$1,"Вторая четверть","Больше половины"))</f>
        <v/>
      </c>
      <c r="U1222">
        <f>IF(O1222&lt;$U$1*0.5,"Низшая четверть",IF(O1222&lt;$U$1,"Вторая четверть","Больше половины"))</f>
        <v/>
      </c>
      <c r="V1222">
        <f>IF(OR(N1222&lt;SUMIFS(L:L,R:R,1,E:E,E1222)/SUMIFS(K:K,R:R,1,E:E,E1222)*0.5,O1222&lt;SUMIFS(M:M,R:R,1,E:E,E1222)/SUMIFS(L:L,R:R,1,E:E,E1222)*0.5),"код для проверки","нормальный код")</f>
        <v/>
      </c>
      <c r="W1222">
        <f>IF(N1222&lt;SUMIFS(L:L,R:R,1,E:E,E1222)/SUMIFS(K:K,R:R,1,E:E,E1222)*0.5,"Низшая четверть",IF(N1222&lt;SUMIFS(L:L,R:R,1,E:E,E1222)/SUMIFS(K:K,R:R,1,E:E,E1222),"Вторая четверть","Больше половины"))</f>
        <v/>
      </c>
      <c r="X1222">
        <f>IF(O1222&lt;SUMIFS(M:M,R:R,1,E:E,E1222)/SUMIFS(L:L,R:R,1,E:E,E1222)*0.5,"Низшая четверть",IF(O1222&lt;SUMIFS(M:M,R:R,1,E:E,E1222)/SUMIFS(L:L,R:R,1,E:E,E1222),"Вторая четверть","Больше половины"))</f>
        <v/>
      </c>
      <c r="Y1222" t="n">
        <v>16</v>
      </c>
    </row>
    <row r="1223">
      <c r="A1223" s="1" t="inlineStr">
        <is>
          <t>19300320</t>
        </is>
      </c>
      <c r="B1223" s="2" t="inlineStr">
        <is>
          <t>837332135</t>
        </is>
      </c>
      <c r="C1223" s="3" t="inlineStr">
        <is>
          <t>Одежда для детей</t>
        </is>
      </c>
      <c r="D1223" s="2" t="inlineStr">
        <is>
          <t>Брюки детские для мальчиков</t>
        </is>
      </c>
      <c r="E1223" s="3" t="inlineStr">
        <is>
          <t>193 Шорты детские для мальчиков</t>
        </is>
      </c>
      <c r="F1223" s="2" t="inlineStr">
        <is>
          <t>лето</t>
        </is>
      </c>
      <c r="G1223" s="3" t="inlineStr">
        <is>
          <t>kari</t>
        </is>
      </c>
      <c r="H1223" s="2" t="inlineStr">
        <is>
          <t>Зиннуров Ильнур</t>
        </is>
      </c>
      <c r="J1223" s="3" t="inlineStr">
        <is>
          <t>2026SS</t>
        </is>
      </c>
      <c r="K1223" s="3" t="n">
        <v>359</v>
      </c>
      <c r="L1223" s="3" t="n">
        <v>9</v>
      </c>
      <c r="M1223" s="3" t="n">
        <v>1</v>
      </c>
      <c r="N1223" s="4">
        <f>IFERROR(L1223/K1223,0)</f>
        <v/>
      </c>
      <c r="O1223" s="4">
        <f>IFERROR(M1223/L1223,0)</f>
        <v/>
      </c>
      <c r="P1223" t="n">
        <v>517</v>
      </c>
      <c r="Q1223" s="5" t="n">
        <v>0.875</v>
      </c>
      <c r="R1223" s="7" t="n">
        <v>0</v>
      </c>
      <c r="S1223" t="inlineStr">
        <is>
          <t>Мало показов</t>
        </is>
      </c>
      <c r="T1223">
        <f>IF(N1223&lt;$T$1*0.5,"Низшая четверть",IF(N1223&lt;$T$1,"Вторая четверть","Больше половины"))</f>
        <v/>
      </c>
      <c r="U1223">
        <f>IF(O1223&lt;$U$1*0.5,"Низшая четверть",IF(O1223&lt;$U$1,"Вторая четверть","Больше половины"))</f>
        <v/>
      </c>
      <c r="V1223">
        <f>IF(OR(N1223&lt;SUMIFS(L:L,R:R,1,E:E,E1223)/SUMIFS(K:K,R:R,1,E:E,E1223)*0.5,O1223&lt;SUMIFS(M:M,R:R,1,E:E,E1223)/SUMIFS(L:L,R:R,1,E:E,E1223)*0.5),"код для проверки","нормальный код")</f>
        <v/>
      </c>
      <c r="W1223">
        <f>IF(N1223&lt;SUMIFS(L:L,R:R,1,E:E,E1223)/SUMIFS(K:K,R:R,1,E:E,E1223)*0.5,"Низшая четверть",IF(N1223&lt;SUMIFS(L:L,R:R,1,E:E,E1223)/SUMIFS(K:K,R:R,1,E:E,E1223),"Вторая четверть","Больше половины"))</f>
        <v/>
      </c>
      <c r="X1223">
        <f>IF(O1223&lt;SUMIFS(M:M,R:R,1,E:E,E1223)/SUMIFS(L:L,R:R,1,E:E,E1223)*0.5,"Низшая четверть",IF(O1223&lt;SUMIFS(M:M,R:R,1,E:E,E1223)/SUMIFS(L:L,R:R,1,E:E,E1223),"Вторая четверть","Больше половины"))</f>
        <v/>
      </c>
      <c r="Y1223" t="n">
        <v>16</v>
      </c>
    </row>
    <row r="1224">
      <c r="A1224" s="1" t="inlineStr">
        <is>
          <t>94500110</t>
        </is>
      </c>
      <c r="B1224" s="2" t="inlineStr">
        <is>
          <t>923939440</t>
        </is>
      </c>
      <c r="C1224" s="3" t="inlineStr">
        <is>
          <t>Одежда для детей</t>
        </is>
      </c>
      <c r="D1224" s="2" t="inlineStr">
        <is>
          <t>Одежда для новорожденных</t>
        </is>
      </c>
      <c r="E1224" s="3" t="inlineStr">
        <is>
          <t>945 Комплект одежды для маленького мальчика</t>
        </is>
      </c>
      <c r="F1224" s="2" t="inlineStr">
        <is>
          <t>всесезонный</t>
        </is>
      </c>
      <c r="G1224" s="3" t="inlineStr">
        <is>
          <t>Kari baby</t>
        </is>
      </c>
      <c r="H1224" s="2" t="inlineStr">
        <is>
          <t>Зиннуров Ильнур</t>
        </is>
      </c>
      <c r="J1224" s="3" t="inlineStr">
        <is>
          <t>2026SS</t>
        </is>
      </c>
      <c r="K1224" s="3" t="n">
        <v>351</v>
      </c>
      <c r="L1224" s="3" t="n">
        <v>14</v>
      </c>
      <c r="M1224" s="3" t="n">
        <v>0</v>
      </c>
      <c r="N1224" s="4">
        <f>IFERROR(L1224/K1224,0)</f>
        <v/>
      </c>
      <c r="O1224" s="4">
        <f>IFERROR(M1224/L1224,0)</f>
        <v/>
      </c>
      <c r="P1224" t="n">
        <v>80</v>
      </c>
      <c r="Q1224" s="5" t="n">
        <v>0.8</v>
      </c>
      <c r="R1224" s="7" t="n">
        <v>0</v>
      </c>
      <c r="S1224" t="inlineStr">
        <is>
          <t>Мало показов</t>
        </is>
      </c>
      <c r="T1224">
        <f>IF(N1224&lt;$T$1*0.5,"Низшая четверть",IF(N1224&lt;$T$1,"Вторая четверть","Больше половины"))</f>
        <v/>
      </c>
      <c r="U1224">
        <f>IF(O1224&lt;$U$1*0.5,"Низшая четверть",IF(O1224&lt;$U$1,"Вторая четверть","Больше половины"))</f>
        <v/>
      </c>
      <c r="V1224">
        <f>IF(OR(N1224&lt;SUMIFS(L:L,R:R,1,E:E,E1224)/SUMIFS(K:K,R:R,1,E:E,E1224)*0.5,O1224&lt;SUMIFS(M:M,R:R,1,E:E,E1224)/SUMIFS(L:L,R:R,1,E:E,E1224)*0.5),"код для проверки","нормальный код")</f>
        <v/>
      </c>
      <c r="W1224">
        <f>IF(N1224&lt;SUMIFS(L:L,R:R,1,E:E,E1224)/SUMIFS(K:K,R:R,1,E:E,E1224)*0.5,"Низшая четверть",IF(N1224&lt;SUMIFS(L:L,R:R,1,E:E,E1224)/SUMIFS(K:K,R:R,1,E:E,E1224),"Вторая четверть","Больше половины"))</f>
        <v/>
      </c>
      <c r="X1224">
        <f>IF(O1224&lt;SUMIFS(M:M,R:R,1,E:E,E1224)/SUMIFS(L:L,R:R,1,E:E,E1224)*0.5,"Низшая четверть",IF(O1224&lt;SUMIFS(M:M,R:R,1,E:E,E1224)/SUMIFS(L:L,R:R,1,E:E,E1224),"Вторая четверть","Больше половины"))</f>
        <v/>
      </c>
      <c r="Y1224" t="n">
        <v>15</v>
      </c>
    </row>
    <row r="1225">
      <c r="A1225" s="1" t="inlineStr">
        <is>
          <t>93900420</t>
        </is>
      </c>
      <c r="B1225" s="2" t="inlineStr">
        <is>
          <t>879308838</t>
        </is>
      </c>
      <c r="C1225" s="3" t="inlineStr">
        <is>
          <t>Одежда для детей</t>
        </is>
      </c>
      <c r="D1225" s="2" t="inlineStr">
        <is>
          <t>Одежда для новорожденных</t>
        </is>
      </c>
      <c r="E1225" s="3" t="inlineStr">
        <is>
          <t>939 Футболка для маленькой девочки</t>
        </is>
      </c>
      <c r="F1225" s="2" t="inlineStr">
        <is>
          <t>всесезонный</t>
        </is>
      </c>
      <c r="G1225" s="3" t="inlineStr">
        <is>
          <t>Kari baby</t>
        </is>
      </c>
      <c r="H1225" s="2" t="inlineStr">
        <is>
          <t>Зиннуров Ильнур</t>
        </is>
      </c>
      <c r="J1225" s="3" t="inlineStr">
        <is>
          <t>2026SS</t>
        </is>
      </c>
      <c r="K1225" s="3" t="n">
        <v>349</v>
      </c>
      <c r="L1225" s="3" t="n">
        <v>27</v>
      </c>
      <c r="M1225" s="3" t="n">
        <v>1</v>
      </c>
      <c r="N1225" s="4">
        <f>IFERROR(L1225/K1225,0)</f>
        <v/>
      </c>
      <c r="O1225" s="4">
        <f>IFERROR(M1225/L1225,0)</f>
        <v/>
      </c>
      <c r="P1225" t="n">
        <v>159</v>
      </c>
      <c r="Q1225" s="5" t="n">
        <v>1</v>
      </c>
      <c r="R1225" s="7" t="n">
        <v>0</v>
      </c>
      <c r="S1225" t="inlineStr">
        <is>
          <t>Мало показов</t>
        </is>
      </c>
      <c r="T1225">
        <f>IF(N1225&lt;$T$1*0.5,"Низшая четверть",IF(N1225&lt;$T$1,"Вторая четверть","Больше половины"))</f>
        <v/>
      </c>
      <c r="U1225">
        <f>IF(O1225&lt;$U$1*0.5,"Низшая четверть",IF(O1225&lt;$U$1,"Вторая четверть","Больше половины"))</f>
        <v/>
      </c>
      <c r="V1225">
        <f>IF(OR(N1225&lt;SUMIFS(L:L,R:R,1,E:E,E1225)/SUMIFS(K:K,R:R,1,E:E,E1225)*0.5,O1225&lt;SUMIFS(M:M,R:R,1,E:E,E1225)/SUMIFS(L:L,R:R,1,E:E,E1225)*0.5),"код для проверки","нормальный код")</f>
        <v/>
      </c>
      <c r="W1225">
        <f>IF(N1225&lt;SUMIFS(L:L,R:R,1,E:E,E1225)/SUMIFS(K:K,R:R,1,E:E,E1225)*0.5,"Низшая четверть",IF(N1225&lt;SUMIFS(L:L,R:R,1,E:E,E1225)/SUMIFS(K:K,R:R,1,E:E,E1225),"Вторая четверть","Больше половины"))</f>
        <v/>
      </c>
      <c r="X1225">
        <f>IF(O1225&lt;SUMIFS(M:M,R:R,1,E:E,E1225)/SUMIFS(L:L,R:R,1,E:E,E1225)*0.5,"Низшая четверть",IF(O1225&lt;SUMIFS(M:M,R:R,1,E:E,E1225)/SUMIFS(L:L,R:R,1,E:E,E1225),"Вторая четверть","Больше половины"))</f>
        <v/>
      </c>
      <c r="Y1225" t="n">
        <v>5</v>
      </c>
    </row>
    <row r="1226">
      <c r="A1226" s="1" t="inlineStr">
        <is>
          <t>e4008000</t>
        </is>
      </c>
      <c r="B1226" s="2" t="inlineStr">
        <is>
          <t>371244794</t>
        </is>
      </c>
      <c r="C1226" s="3" t="inlineStr">
        <is>
          <t>Одежда и аксессуары</t>
        </is>
      </c>
      <c r="D1226" s="2" t="inlineStr">
        <is>
          <t>Головные уборы мужские</t>
        </is>
      </c>
      <c r="E1226" s="3" t="inlineStr">
        <is>
          <t>e40 Панама</t>
        </is>
      </c>
      <c r="F1226" s="2" t="inlineStr">
        <is>
          <t>весна, лето</t>
        </is>
      </c>
      <c r="G1226" s="3" t="inlineStr">
        <is>
          <t>kari</t>
        </is>
      </c>
      <c r="H1226" s="2" t="inlineStr">
        <is>
          <t>Никонорова Алина</t>
        </is>
      </c>
      <c r="J1226" s="3" t="inlineStr">
        <is>
          <t>2026SS</t>
        </is>
      </c>
      <c r="K1226" s="3" t="n">
        <v>348</v>
      </c>
      <c r="L1226" s="3" t="n">
        <v>34</v>
      </c>
      <c r="M1226" s="3" t="n">
        <v>1</v>
      </c>
      <c r="N1226" s="4">
        <f>IFERROR(L1226/K1226,0)</f>
        <v/>
      </c>
      <c r="O1226" s="4">
        <f>IFERROR(M1226/L1226,0)</f>
        <v/>
      </c>
      <c r="P1226" t="n">
        <v>0</v>
      </c>
      <c r="Q1226" s="5" t="n">
        <v>0</v>
      </c>
      <c r="R1226" s="7" t="n">
        <v>0</v>
      </c>
      <c r="S1226" t="inlineStr">
        <is>
          <t>Мало остатка</t>
        </is>
      </c>
      <c r="T1226">
        <f>IF(N1226&lt;$T$1*0.5,"Низшая четверть",IF(N1226&lt;$T$1,"Вторая четверть","Больше половины"))</f>
        <v/>
      </c>
      <c r="U1226">
        <f>IF(O1226&lt;$U$1*0.5,"Низшая четверть",IF(O1226&lt;$U$1,"Вторая четверть","Больше половины"))</f>
        <v/>
      </c>
      <c r="V1226">
        <f>IF(OR(N1226&lt;SUMIFS(L:L,R:R,1,E:E,E1226)/SUMIFS(K:K,R:R,1,E:E,E1226)*0.5,O1226&lt;SUMIFS(M:M,R:R,1,E:E,E1226)/SUMIFS(L:L,R:R,1,E:E,E1226)*0.5),"код для проверки","нормальный код")</f>
        <v/>
      </c>
      <c r="W1226">
        <f>IF(N1226&lt;SUMIFS(L:L,R:R,1,E:E,E1226)/SUMIFS(K:K,R:R,1,E:E,E1226)*0.5,"Низшая четверть",IF(N1226&lt;SUMIFS(L:L,R:R,1,E:E,E1226)/SUMIFS(K:K,R:R,1,E:E,E1226),"Вторая четверть","Больше половины"))</f>
        <v/>
      </c>
      <c r="X1226">
        <f>IF(O1226&lt;SUMIFS(M:M,R:R,1,E:E,E1226)/SUMIFS(L:L,R:R,1,E:E,E1226)*0.5,"Низшая четверть",IF(O1226&lt;SUMIFS(M:M,R:R,1,E:E,E1226)/SUMIFS(L:L,R:R,1,E:E,E1226),"Вторая четверть","Больше половины"))</f>
        <v/>
      </c>
      <c r="Y1226" t="n">
        <v>3</v>
      </c>
    </row>
    <row r="1227">
      <c r="A1227" s="1" t="inlineStr">
        <is>
          <t>a7700050</t>
        </is>
      </c>
      <c r="B1227" s="2" t="inlineStr">
        <is>
          <t>879308860</t>
        </is>
      </c>
      <c r="C1227" s="3" t="inlineStr">
        <is>
          <t>Одежда для детей</t>
        </is>
      </c>
      <c r="D1227" s="2" t="inlineStr">
        <is>
          <t>Свитера детские для мальчиков</t>
        </is>
      </c>
      <c r="E1227" s="3" t="inlineStr">
        <is>
          <t>a77 Толстовка-худи утепленная для мальчиков</t>
        </is>
      </c>
      <c r="F1227" s="2" t="inlineStr">
        <is>
          <t>весна, осень, зима</t>
        </is>
      </c>
      <c r="G1227" s="3" t="inlineStr">
        <is>
          <t>kari</t>
        </is>
      </c>
      <c r="H1227" s="2" t="inlineStr">
        <is>
          <t>Зиннуров Ильнур</t>
        </is>
      </c>
      <c r="J1227" s="3" t="inlineStr">
        <is>
          <t>2026SS</t>
        </is>
      </c>
      <c r="K1227" s="3" t="n">
        <v>340</v>
      </c>
      <c r="L1227" s="3" t="n">
        <v>21</v>
      </c>
      <c r="M1227" s="3" t="n">
        <v>1</v>
      </c>
      <c r="N1227" s="4">
        <f>IFERROR(L1227/K1227,0)</f>
        <v/>
      </c>
      <c r="O1227" s="4">
        <f>IFERROR(M1227/L1227,0)</f>
        <v/>
      </c>
      <c r="P1227" t="n">
        <v>303</v>
      </c>
      <c r="Q1227" s="5" t="n">
        <v>1</v>
      </c>
      <c r="R1227" s="7" t="n">
        <v>0</v>
      </c>
      <c r="S1227" t="inlineStr">
        <is>
          <t>Мало показов</t>
        </is>
      </c>
      <c r="T1227">
        <f>IF(N1227&lt;$T$1*0.5,"Низшая четверть",IF(N1227&lt;$T$1,"Вторая четверть","Больше половины"))</f>
        <v/>
      </c>
      <c r="U1227">
        <f>IF(O1227&lt;$U$1*0.5,"Низшая четверть",IF(O1227&lt;$U$1,"Вторая четверть","Больше половины"))</f>
        <v/>
      </c>
      <c r="V1227">
        <f>IF(OR(N1227&lt;SUMIFS(L:L,R:R,1,E:E,E1227)/SUMIFS(K:K,R:R,1,E:E,E1227)*0.5,O1227&lt;SUMIFS(M:M,R:R,1,E:E,E1227)/SUMIFS(L:L,R:R,1,E:E,E1227)*0.5),"код для проверки","нормальный код")</f>
        <v/>
      </c>
      <c r="W1227">
        <f>IF(N1227&lt;SUMIFS(L:L,R:R,1,E:E,E1227)/SUMIFS(K:K,R:R,1,E:E,E1227)*0.5,"Низшая четверть",IF(N1227&lt;SUMIFS(L:L,R:R,1,E:E,E1227)/SUMIFS(K:K,R:R,1,E:E,E1227),"Вторая четверть","Больше половины"))</f>
        <v/>
      </c>
      <c r="X1227">
        <f>IF(O1227&lt;SUMIFS(M:M,R:R,1,E:E,E1227)/SUMIFS(L:L,R:R,1,E:E,E1227)*0.5,"Низшая четверть",IF(O1227&lt;SUMIFS(M:M,R:R,1,E:E,E1227)/SUMIFS(L:L,R:R,1,E:E,E1227),"Вторая четверть","Больше половины"))</f>
        <v/>
      </c>
      <c r="Y1227" t="n">
        <v>23</v>
      </c>
    </row>
    <row r="1228">
      <c r="A1228" s="1" t="inlineStr">
        <is>
          <t>07300570</t>
        </is>
      </c>
      <c r="B1228" s="2" t="inlineStr">
        <is>
          <t>917331619</t>
        </is>
      </c>
      <c r="C1228" s="3" t="inlineStr">
        <is>
          <t>Одежда и аксессуары</t>
        </is>
      </c>
      <c r="D1228" s="2" t="inlineStr">
        <is>
          <t>Нижнее белье мужское</t>
        </is>
      </c>
      <c r="E1228" s="3" t="inlineStr">
        <is>
          <t>073 Трусы мужские</t>
        </is>
      </c>
      <c r="F1228" s="2" t="inlineStr">
        <is>
          <t>всесезонный</t>
        </is>
      </c>
      <c r="G1228" s="3" t="inlineStr">
        <is>
          <t>kari</t>
        </is>
      </c>
      <c r="H1228" s="2" t="inlineStr">
        <is>
          <t>Никонорова Алина</t>
        </is>
      </c>
      <c r="J1228" s="3" t="inlineStr">
        <is>
          <t>2026SS</t>
        </is>
      </c>
      <c r="K1228" s="3" t="n">
        <v>339</v>
      </c>
      <c r="L1228" s="3" t="n">
        <v>22</v>
      </c>
      <c r="M1228" s="3" t="n">
        <v>0</v>
      </c>
      <c r="N1228" s="4">
        <f>IFERROR(L1228/K1228,0)</f>
        <v/>
      </c>
      <c r="O1228" s="4">
        <f>IFERROR(M1228/L1228,0)</f>
        <v/>
      </c>
      <c r="P1228" t="n">
        <v>2010</v>
      </c>
      <c r="Q1228" s="5" t="n">
        <v>1</v>
      </c>
      <c r="R1228" s="7" t="n">
        <v>0</v>
      </c>
      <c r="S1228" t="inlineStr">
        <is>
          <t>Мало показов</t>
        </is>
      </c>
      <c r="T1228">
        <f>IF(N1228&lt;$T$1*0.5,"Низшая четверть",IF(N1228&lt;$T$1,"Вторая четверть","Больше половины"))</f>
        <v/>
      </c>
      <c r="U1228">
        <f>IF(O1228&lt;$U$1*0.5,"Низшая четверть",IF(O1228&lt;$U$1,"Вторая четверть","Больше половины"))</f>
        <v/>
      </c>
      <c r="V1228">
        <f>IF(OR(N1228&lt;SUMIFS(L:L,R:R,1,E:E,E1228)/SUMIFS(K:K,R:R,1,E:E,E1228)*0.5,O1228&lt;SUMIFS(M:M,R:R,1,E:E,E1228)/SUMIFS(L:L,R:R,1,E:E,E1228)*0.5),"код для проверки","нормальный код")</f>
        <v/>
      </c>
      <c r="W1228">
        <f>IF(N1228&lt;SUMIFS(L:L,R:R,1,E:E,E1228)/SUMIFS(K:K,R:R,1,E:E,E1228)*0.5,"Низшая четверть",IF(N1228&lt;SUMIFS(L:L,R:R,1,E:E,E1228)/SUMIFS(K:K,R:R,1,E:E,E1228),"Вторая четверть","Больше половины"))</f>
        <v/>
      </c>
      <c r="X1228">
        <f>IF(O1228&lt;SUMIFS(M:M,R:R,1,E:E,E1228)/SUMIFS(L:L,R:R,1,E:E,E1228)*0.5,"Низшая четверть",IF(O1228&lt;SUMIFS(M:M,R:R,1,E:E,E1228)/SUMIFS(L:L,R:R,1,E:E,E1228),"Вторая четверть","Больше половины"))</f>
        <v/>
      </c>
      <c r="Y1228" t="n">
        <v>18</v>
      </c>
    </row>
    <row r="1229">
      <c r="A1229" s="1" t="inlineStr">
        <is>
          <t>94600070</t>
        </is>
      </c>
      <c r="B1229" s="2" t="inlineStr">
        <is>
          <t>925964498</t>
        </is>
      </c>
      <c r="C1229" s="3" t="inlineStr">
        <is>
          <t>Одежда для детей</t>
        </is>
      </c>
      <c r="D1229" s="2" t="inlineStr">
        <is>
          <t>Одежда для новорожденных</t>
        </is>
      </c>
      <c r="E1229" s="3" t="inlineStr">
        <is>
          <t>946 Ромпер для мальчика</t>
        </is>
      </c>
      <c r="F1229" s="2" t="inlineStr">
        <is>
          <t>лето</t>
        </is>
      </c>
      <c r="G1229" s="3" t="inlineStr">
        <is>
          <t>Kari baby</t>
        </is>
      </c>
      <c r="H1229" s="2" t="inlineStr">
        <is>
          <t>Зиннуров Ильнур</t>
        </is>
      </c>
      <c r="J1229" s="3" t="inlineStr">
        <is>
          <t>2026SS</t>
        </is>
      </c>
      <c r="K1229" s="3" t="n">
        <v>338</v>
      </c>
      <c r="L1229" s="3" t="n">
        <v>18</v>
      </c>
      <c r="M1229" s="3" t="n">
        <v>0</v>
      </c>
      <c r="N1229" s="4">
        <f>IFERROR(L1229/K1229,0)</f>
        <v/>
      </c>
      <c r="O1229" s="4">
        <f>IFERROR(M1229/L1229,0)</f>
        <v/>
      </c>
      <c r="P1229" t="n">
        <v>100</v>
      </c>
      <c r="Q1229" s="5" t="n">
        <v>1</v>
      </c>
      <c r="R1229" s="7" t="n">
        <v>0</v>
      </c>
      <c r="S1229" t="inlineStr">
        <is>
          <t>Мало показов</t>
        </is>
      </c>
      <c r="T1229">
        <f>IF(N1229&lt;$T$1*0.5,"Низшая четверть",IF(N1229&lt;$T$1,"Вторая четверть","Больше половины"))</f>
        <v/>
      </c>
      <c r="U1229">
        <f>IF(O1229&lt;$U$1*0.5,"Низшая четверть",IF(O1229&lt;$U$1,"Вторая четверть","Больше половины"))</f>
        <v/>
      </c>
      <c r="V1229">
        <f>IF(OR(N1229&lt;SUMIFS(L:L,R:R,1,E:E,E1229)/SUMIFS(K:K,R:R,1,E:E,E1229)*0.5,O1229&lt;SUMIFS(M:M,R:R,1,E:E,E1229)/SUMIFS(L:L,R:R,1,E:E,E1229)*0.5),"код для проверки","нормальный код")</f>
        <v/>
      </c>
      <c r="W1229">
        <f>IF(N1229&lt;SUMIFS(L:L,R:R,1,E:E,E1229)/SUMIFS(K:K,R:R,1,E:E,E1229)*0.5,"Низшая четверть",IF(N1229&lt;SUMIFS(L:L,R:R,1,E:E,E1229)/SUMIFS(K:K,R:R,1,E:E,E1229),"Вторая четверть","Больше половины"))</f>
        <v/>
      </c>
      <c r="X1229">
        <f>IF(O1229&lt;SUMIFS(M:M,R:R,1,E:E,E1229)/SUMIFS(L:L,R:R,1,E:E,E1229)*0.5,"Низшая четверть",IF(O1229&lt;SUMIFS(M:M,R:R,1,E:E,E1229)/SUMIFS(L:L,R:R,1,E:E,E1229),"Вторая четверть","Больше половины"))</f>
        <v/>
      </c>
      <c r="Y1229" t="n">
        <v>14</v>
      </c>
    </row>
    <row r="1230">
      <c r="A1230" s="1" t="inlineStr">
        <is>
          <t>93800170</t>
        </is>
      </c>
      <c r="B1230" s="2" t="inlineStr">
        <is>
          <t>933463246</t>
        </is>
      </c>
      <c r="C1230" s="3" t="inlineStr">
        <is>
          <t>Одежда для детей</t>
        </is>
      </c>
      <c r="D1230" s="2" t="inlineStr">
        <is>
          <t>Одежда для новорожденных</t>
        </is>
      </c>
      <c r="E1230" s="3" t="inlineStr">
        <is>
          <t>938 Комбинезон для маленького мальчика</t>
        </is>
      </c>
      <c r="F1230" s="2" t="inlineStr">
        <is>
          <t>всесезонный</t>
        </is>
      </c>
      <c r="G1230" s="3" t="inlineStr">
        <is>
          <t>Kari baby</t>
        </is>
      </c>
      <c r="H1230" s="2" t="inlineStr">
        <is>
          <t>Зиннуров Ильнур</t>
        </is>
      </c>
      <c r="J1230" s="3" t="inlineStr">
        <is>
          <t>2026SS</t>
        </is>
      </c>
      <c r="K1230" s="3" t="n">
        <v>335</v>
      </c>
      <c r="L1230" s="3" t="n">
        <v>10</v>
      </c>
      <c r="M1230" s="3" t="n">
        <v>0</v>
      </c>
      <c r="N1230" s="4">
        <f>IFERROR(L1230/K1230,0)</f>
        <v/>
      </c>
      <c r="O1230" s="4">
        <f>IFERROR(M1230/L1230,0)</f>
        <v/>
      </c>
      <c r="P1230" t="n">
        <v>585</v>
      </c>
      <c r="Q1230" s="5" t="n">
        <v>1</v>
      </c>
      <c r="R1230" s="7" t="n">
        <v>0</v>
      </c>
      <c r="S1230" t="inlineStr">
        <is>
          <t>Мало показов</t>
        </is>
      </c>
      <c r="T1230">
        <f>IF(N1230&lt;$T$1*0.5,"Низшая четверть",IF(N1230&lt;$T$1,"Вторая четверть","Больше половины"))</f>
        <v/>
      </c>
      <c r="U1230">
        <f>IF(O1230&lt;$U$1*0.5,"Низшая четверть",IF(O1230&lt;$U$1,"Вторая четверть","Больше половины"))</f>
        <v/>
      </c>
      <c r="V1230">
        <f>IF(OR(N1230&lt;SUMIFS(L:L,R:R,1,E:E,E1230)/SUMIFS(K:K,R:R,1,E:E,E1230)*0.5,O1230&lt;SUMIFS(M:M,R:R,1,E:E,E1230)/SUMIFS(L:L,R:R,1,E:E,E1230)*0.5),"код для проверки","нормальный код")</f>
        <v/>
      </c>
      <c r="W1230">
        <f>IF(N1230&lt;SUMIFS(L:L,R:R,1,E:E,E1230)/SUMIFS(K:K,R:R,1,E:E,E1230)*0.5,"Низшая четверть",IF(N1230&lt;SUMIFS(L:L,R:R,1,E:E,E1230)/SUMIFS(K:K,R:R,1,E:E,E1230),"Вторая четверть","Больше половины"))</f>
        <v/>
      </c>
      <c r="X1230">
        <f>IF(O1230&lt;SUMIFS(M:M,R:R,1,E:E,E1230)/SUMIFS(L:L,R:R,1,E:E,E1230)*0.5,"Низшая четверть",IF(O1230&lt;SUMIFS(M:M,R:R,1,E:E,E1230)/SUMIFS(L:L,R:R,1,E:E,E1230),"Вторая четверть","Больше половины"))</f>
        <v/>
      </c>
      <c r="Y1230" t="n">
        <v>9</v>
      </c>
    </row>
    <row r="1231">
      <c r="A1231" s="1" t="inlineStr">
        <is>
          <t>h0500000</t>
        </is>
      </c>
      <c r="B1231" s="2" t="inlineStr">
        <is>
          <t>850546555</t>
        </is>
      </c>
      <c r="C1231" s="3" t="inlineStr">
        <is>
          <t>Одежда и аксессуары</t>
        </is>
      </c>
      <c r="D1231" s="2" t="inlineStr">
        <is>
          <t>Брюки, шорты мужские</t>
        </is>
      </c>
      <c r="E1231" s="3" t="inlineStr">
        <is>
          <t>h05 Брюки мужские</t>
        </is>
      </c>
      <c r="F1231" s="2" t="inlineStr">
        <is>
          <t>всесезонный</t>
        </is>
      </c>
      <c r="G1231" s="3" t="inlineStr">
        <is>
          <t>kari</t>
        </is>
      </c>
      <c r="H1231" s="2" t="inlineStr">
        <is>
          <t>Зиннуров Ильнур</t>
        </is>
      </c>
      <c r="J1231" s="3" t="inlineStr">
        <is>
          <t>2026SS</t>
        </is>
      </c>
      <c r="K1231" s="3" t="n">
        <v>334</v>
      </c>
      <c r="L1231" s="3" t="n">
        <v>13</v>
      </c>
      <c r="M1231" s="3" t="n">
        <v>0</v>
      </c>
      <c r="N1231" s="4">
        <f>IFERROR(L1231/K1231,0)</f>
        <v/>
      </c>
      <c r="O1231" s="4">
        <f>IFERROR(M1231/L1231,0)</f>
        <v/>
      </c>
      <c r="P1231" t="n">
        <v>60</v>
      </c>
      <c r="Q1231" s="5" t="n">
        <v>0.4285714285714285</v>
      </c>
      <c r="R1231" s="7" t="n">
        <v>0</v>
      </c>
      <c r="S1231" t="inlineStr">
        <is>
          <t>Мало показов</t>
        </is>
      </c>
      <c r="T1231">
        <f>IF(N1231&lt;$T$1*0.5,"Низшая четверть",IF(N1231&lt;$T$1,"Вторая четверть","Больше половины"))</f>
        <v/>
      </c>
      <c r="U1231">
        <f>IF(O1231&lt;$U$1*0.5,"Низшая четверть",IF(O1231&lt;$U$1,"Вторая четверть","Больше половины"))</f>
        <v/>
      </c>
      <c r="V1231">
        <f>IF(OR(N1231&lt;SUMIFS(L:L,R:R,1,E:E,E1231)/SUMIFS(K:K,R:R,1,E:E,E1231)*0.5,O1231&lt;SUMIFS(M:M,R:R,1,E:E,E1231)/SUMIFS(L:L,R:R,1,E:E,E1231)*0.5),"код для проверки","нормальный код")</f>
        <v/>
      </c>
      <c r="W1231">
        <f>IF(N1231&lt;SUMIFS(L:L,R:R,1,E:E,E1231)/SUMIFS(K:K,R:R,1,E:E,E1231)*0.5,"Низшая четверть",IF(N1231&lt;SUMIFS(L:L,R:R,1,E:E,E1231)/SUMIFS(K:K,R:R,1,E:E,E1231),"Вторая четверть","Больше половины"))</f>
        <v/>
      </c>
      <c r="X1231">
        <f>IF(O1231&lt;SUMIFS(M:M,R:R,1,E:E,E1231)/SUMIFS(L:L,R:R,1,E:E,E1231)*0.5,"Низшая четверть",IF(O1231&lt;SUMIFS(M:M,R:R,1,E:E,E1231)/SUMIFS(L:L,R:R,1,E:E,E1231),"Вторая четверть","Больше половины"))</f>
        <v/>
      </c>
      <c r="Y1231" t="n">
        <v>16</v>
      </c>
    </row>
    <row r="1232">
      <c r="A1232" s="1" t="inlineStr">
        <is>
          <t>h1100080</t>
        </is>
      </c>
      <c r="B1232" s="2" t="inlineStr">
        <is>
          <t>917880905</t>
        </is>
      </c>
      <c r="C1232" s="3" t="inlineStr">
        <is>
          <t>Одежда и аксессуары</t>
        </is>
      </c>
      <c r="D1232" s="2" t="inlineStr">
        <is>
          <t>Брюки, шорты мужские</t>
        </is>
      </c>
      <c r="E1232" s="3" t="inlineStr">
        <is>
          <t>h11 Шорты мужские</t>
        </is>
      </c>
      <c r="F1232" s="2" t="inlineStr">
        <is>
          <t>весна, лето</t>
        </is>
      </c>
      <c r="G1232" s="3" t="inlineStr">
        <is>
          <t>kari</t>
        </is>
      </c>
      <c r="H1232" s="2" t="inlineStr">
        <is>
          <t>Зиннуров Ильнур</t>
        </is>
      </c>
      <c r="J1232" s="3" t="inlineStr">
        <is>
          <t>2026SS</t>
        </is>
      </c>
      <c r="K1232" s="3" t="n">
        <v>332</v>
      </c>
      <c r="L1232" s="3" t="n">
        <v>2</v>
      </c>
      <c r="M1232" s="3" t="n">
        <v>0</v>
      </c>
      <c r="N1232" s="4">
        <f>IFERROR(L1232/K1232,0)</f>
        <v/>
      </c>
      <c r="O1232" s="4">
        <f>IFERROR(M1232/L1232,0)</f>
        <v/>
      </c>
      <c r="P1232" t="n">
        <v>249</v>
      </c>
      <c r="Q1232" s="5" t="n">
        <v>1</v>
      </c>
      <c r="R1232" s="7" t="n">
        <v>0</v>
      </c>
      <c r="S1232" t="inlineStr">
        <is>
          <t>Мало показов</t>
        </is>
      </c>
      <c r="T1232">
        <f>IF(N1232&lt;$T$1*0.5,"Низшая четверть",IF(N1232&lt;$T$1,"Вторая четверть","Больше половины"))</f>
        <v/>
      </c>
      <c r="U1232">
        <f>IF(O1232&lt;$U$1*0.5,"Низшая четверть",IF(O1232&lt;$U$1,"Вторая четверть","Больше половины"))</f>
        <v/>
      </c>
      <c r="V1232">
        <f>IF(OR(N1232&lt;SUMIFS(L:L,R:R,1,E:E,E1232)/SUMIFS(K:K,R:R,1,E:E,E1232)*0.5,O1232&lt;SUMIFS(M:M,R:R,1,E:E,E1232)/SUMIFS(L:L,R:R,1,E:E,E1232)*0.5),"код для проверки","нормальный код")</f>
        <v/>
      </c>
      <c r="W1232">
        <f>IF(N1232&lt;SUMIFS(L:L,R:R,1,E:E,E1232)/SUMIFS(K:K,R:R,1,E:E,E1232)*0.5,"Низшая четверть",IF(N1232&lt;SUMIFS(L:L,R:R,1,E:E,E1232)/SUMIFS(K:K,R:R,1,E:E,E1232),"Вторая четверть","Больше половины"))</f>
        <v/>
      </c>
      <c r="X1232">
        <f>IF(O1232&lt;SUMIFS(M:M,R:R,1,E:E,E1232)/SUMIFS(L:L,R:R,1,E:E,E1232)*0.5,"Низшая четверть",IF(O1232&lt;SUMIFS(M:M,R:R,1,E:E,E1232)/SUMIFS(L:L,R:R,1,E:E,E1232),"Вторая четверть","Больше половины"))</f>
        <v/>
      </c>
      <c r="Y1232" t="n">
        <v>20</v>
      </c>
    </row>
    <row r="1233">
      <c r="A1233" s="1" t="inlineStr">
        <is>
          <t>94600090</t>
        </is>
      </c>
      <c r="B1233" s="2" t="inlineStr">
        <is>
          <t>925964264</t>
        </is>
      </c>
      <c r="C1233" s="3" t="inlineStr">
        <is>
          <t>Одежда для детей</t>
        </is>
      </c>
      <c r="D1233" s="2" t="inlineStr">
        <is>
          <t>Одежда для новорожденных</t>
        </is>
      </c>
      <c r="E1233" s="3" t="inlineStr">
        <is>
          <t>946 Ромпер для мальчика</t>
        </is>
      </c>
      <c r="F1233" s="2" t="inlineStr">
        <is>
          <t>лето</t>
        </is>
      </c>
      <c r="G1233" s="3" t="inlineStr">
        <is>
          <t>Kari baby</t>
        </is>
      </c>
      <c r="H1233" s="2" t="inlineStr">
        <is>
          <t>Зиннуров Ильнур</t>
        </is>
      </c>
      <c r="J1233" s="3" t="inlineStr">
        <is>
          <t>2026SS</t>
        </is>
      </c>
      <c r="K1233" s="3" t="n">
        <v>331</v>
      </c>
      <c r="L1233" s="3" t="n">
        <v>22</v>
      </c>
      <c r="M1233" s="3" t="n">
        <v>0</v>
      </c>
      <c r="N1233" s="4">
        <f>IFERROR(L1233/K1233,0)</f>
        <v/>
      </c>
      <c r="O1233" s="4">
        <f>IFERROR(M1233/L1233,0)</f>
        <v/>
      </c>
      <c r="P1233" t="n">
        <v>100</v>
      </c>
      <c r="Q1233" s="5" t="n">
        <v>1</v>
      </c>
      <c r="R1233" s="7" t="n">
        <v>0</v>
      </c>
      <c r="S1233" t="inlineStr">
        <is>
          <t>Мало показов</t>
        </is>
      </c>
      <c r="T1233">
        <f>IF(N1233&lt;$T$1*0.5,"Низшая четверть",IF(N1233&lt;$T$1,"Вторая четверть","Больше половины"))</f>
        <v/>
      </c>
      <c r="U1233">
        <f>IF(O1233&lt;$U$1*0.5,"Низшая четверть",IF(O1233&lt;$U$1,"Вторая четверть","Больше половины"))</f>
        <v/>
      </c>
      <c r="V1233">
        <f>IF(OR(N1233&lt;SUMIFS(L:L,R:R,1,E:E,E1233)/SUMIFS(K:K,R:R,1,E:E,E1233)*0.5,O1233&lt;SUMIFS(M:M,R:R,1,E:E,E1233)/SUMIFS(L:L,R:R,1,E:E,E1233)*0.5),"код для проверки","нормальный код")</f>
        <v/>
      </c>
      <c r="W1233">
        <f>IF(N1233&lt;SUMIFS(L:L,R:R,1,E:E,E1233)/SUMIFS(K:K,R:R,1,E:E,E1233)*0.5,"Низшая четверть",IF(N1233&lt;SUMIFS(L:L,R:R,1,E:E,E1233)/SUMIFS(K:K,R:R,1,E:E,E1233),"Вторая четверть","Больше половины"))</f>
        <v/>
      </c>
      <c r="X1233">
        <f>IF(O1233&lt;SUMIFS(M:M,R:R,1,E:E,E1233)/SUMIFS(L:L,R:R,1,E:E,E1233)*0.5,"Низшая четверть",IF(O1233&lt;SUMIFS(M:M,R:R,1,E:E,E1233)/SUMIFS(L:L,R:R,1,E:E,E1233),"Вторая четверть","Больше половины"))</f>
        <v/>
      </c>
      <c r="Y1233" t="n">
        <v>15</v>
      </c>
    </row>
    <row r="1234">
      <c r="A1234" s="1" t="inlineStr">
        <is>
          <t>h1100040</t>
        </is>
      </c>
      <c r="B1234" s="2" t="inlineStr">
        <is>
          <t>837332329</t>
        </is>
      </c>
      <c r="C1234" s="3" t="inlineStr">
        <is>
          <t>Одежда и аксессуары</t>
        </is>
      </c>
      <c r="D1234" s="2" t="inlineStr">
        <is>
          <t>Брюки, шорты мужские</t>
        </is>
      </c>
      <c r="E1234" s="3" t="inlineStr">
        <is>
          <t>h11 Шорты мужские</t>
        </is>
      </c>
      <c r="F1234" s="2" t="inlineStr">
        <is>
          <t>весна, лето</t>
        </is>
      </c>
      <c r="G1234" s="3" t="inlineStr">
        <is>
          <t>kari</t>
        </is>
      </c>
      <c r="H1234" s="2" t="inlineStr">
        <is>
          <t>Зиннуров Ильнур</t>
        </is>
      </c>
      <c r="J1234" s="3" t="inlineStr">
        <is>
          <t>2026SS</t>
        </is>
      </c>
      <c r="K1234" s="3" t="n">
        <v>330</v>
      </c>
      <c r="L1234" s="3" t="n">
        <v>7</v>
      </c>
      <c r="M1234" s="3" t="n">
        <v>1</v>
      </c>
      <c r="N1234" s="4">
        <f>IFERROR(L1234/K1234,0)</f>
        <v/>
      </c>
      <c r="O1234" s="4">
        <f>IFERROR(M1234/L1234,0)</f>
        <v/>
      </c>
      <c r="P1234" t="n">
        <v>459</v>
      </c>
      <c r="Q1234" s="5" t="n">
        <v>1</v>
      </c>
      <c r="R1234" s="7" t="n">
        <v>0</v>
      </c>
      <c r="S1234" t="inlineStr">
        <is>
          <t>Мало показов</t>
        </is>
      </c>
      <c r="T1234">
        <f>IF(N1234&lt;$T$1*0.5,"Низшая четверть",IF(N1234&lt;$T$1,"Вторая четверть","Больше половины"))</f>
        <v/>
      </c>
      <c r="U1234">
        <f>IF(O1234&lt;$U$1*0.5,"Низшая четверть",IF(O1234&lt;$U$1,"Вторая четверть","Больше половины"))</f>
        <v/>
      </c>
      <c r="V1234">
        <f>IF(OR(N1234&lt;SUMIFS(L:L,R:R,1,E:E,E1234)/SUMIFS(K:K,R:R,1,E:E,E1234)*0.5,O1234&lt;SUMIFS(M:M,R:R,1,E:E,E1234)/SUMIFS(L:L,R:R,1,E:E,E1234)*0.5),"код для проверки","нормальный код")</f>
        <v/>
      </c>
      <c r="W1234">
        <f>IF(N1234&lt;SUMIFS(L:L,R:R,1,E:E,E1234)/SUMIFS(K:K,R:R,1,E:E,E1234)*0.5,"Низшая четверть",IF(N1234&lt;SUMIFS(L:L,R:R,1,E:E,E1234)/SUMIFS(K:K,R:R,1,E:E,E1234),"Вторая четверть","Больше половины"))</f>
        <v/>
      </c>
      <c r="X1234">
        <f>IF(O1234&lt;SUMIFS(M:M,R:R,1,E:E,E1234)/SUMIFS(L:L,R:R,1,E:E,E1234)*0.5,"Низшая четверть",IF(O1234&lt;SUMIFS(M:M,R:R,1,E:E,E1234)/SUMIFS(L:L,R:R,1,E:E,E1234),"Вторая четверть","Больше половины"))</f>
        <v/>
      </c>
      <c r="Y1234" t="n">
        <v>20</v>
      </c>
    </row>
    <row r="1235">
      <c r="A1235" s="1" t="inlineStr">
        <is>
          <t>a9100070</t>
        </is>
      </c>
      <c r="B1235" s="2" t="inlineStr">
        <is>
          <t>824484002</t>
        </is>
      </c>
      <c r="C1235" s="3" t="inlineStr">
        <is>
          <t>Одежда для детей</t>
        </is>
      </c>
      <c r="D1235" s="2" t="inlineStr">
        <is>
          <t>Свитера детские для мальчиков</t>
        </is>
      </c>
      <c r="E1235" s="3" t="inlineStr">
        <is>
          <t>a91 Свитшот для мальчика</t>
        </is>
      </c>
      <c r="F1235" s="2" t="inlineStr">
        <is>
          <t>весна, лето, осень</t>
        </is>
      </c>
      <c r="G1235" s="3" t="inlineStr">
        <is>
          <t>kari</t>
        </is>
      </c>
      <c r="H1235" s="2" t="inlineStr">
        <is>
          <t>Зиннуров Ильнур</t>
        </is>
      </c>
      <c r="J1235" s="3" t="inlineStr">
        <is>
          <t>2026SS</t>
        </is>
      </c>
      <c r="K1235" s="3" t="n">
        <v>330</v>
      </c>
      <c r="L1235" s="3" t="n">
        <v>42</v>
      </c>
      <c r="M1235" s="3" t="n">
        <v>1</v>
      </c>
      <c r="N1235" s="4">
        <f>IFERROR(L1235/K1235,0)</f>
        <v/>
      </c>
      <c r="O1235" s="4">
        <f>IFERROR(M1235/L1235,0)</f>
        <v/>
      </c>
      <c r="P1235" t="n">
        <v>149</v>
      </c>
      <c r="Q1235" s="5" t="n">
        <v>1</v>
      </c>
      <c r="R1235" s="7" t="n">
        <v>0</v>
      </c>
      <c r="S1235" t="inlineStr">
        <is>
          <t>Мало показов</t>
        </is>
      </c>
      <c r="T1235">
        <f>IF(N1235&lt;$T$1*0.5,"Низшая четверть",IF(N1235&lt;$T$1,"Вторая четверть","Больше половины"))</f>
        <v/>
      </c>
      <c r="U1235">
        <f>IF(O1235&lt;$U$1*0.5,"Низшая четверть",IF(O1235&lt;$U$1,"Вторая четверть","Больше половины"))</f>
        <v/>
      </c>
      <c r="V1235">
        <f>IF(OR(N1235&lt;SUMIFS(L:L,R:R,1,E:E,E1235)/SUMIFS(K:K,R:R,1,E:E,E1235)*0.5,O1235&lt;SUMIFS(M:M,R:R,1,E:E,E1235)/SUMIFS(L:L,R:R,1,E:E,E1235)*0.5),"код для проверки","нормальный код")</f>
        <v/>
      </c>
      <c r="W1235">
        <f>IF(N1235&lt;SUMIFS(L:L,R:R,1,E:E,E1235)/SUMIFS(K:K,R:R,1,E:E,E1235)*0.5,"Низшая четверть",IF(N1235&lt;SUMIFS(L:L,R:R,1,E:E,E1235)/SUMIFS(K:K,R:R,1,E:E,E1235),"Вторая четверть","Больше половины"))</f>
        <v/>
      </c>
      <c r="X1235">
        <f>IF(O1235&lt;SUMIFS(M:M,R:R,1,E:E,E1235)/SUMIFS(L:L,R:R,1,E:E,E1235)*0.5,"Низшая четверть",IF(O1235&lt;SUMIFS(M:M,R:R,1,E:E,E1235)/SUMIFS(L:L,R:R,1,E:E,E1235),"Вторая четверть","Больше половины"))</f>
        <v/>
      </c>
      <c r="Y1235" t="n">
        <v>15</v>
      </c>
    </row>
    <row r="1236">
      <c r="A1236" s="1" t="inlineStr">
        <is>
          <t>07300590</t>
        </is>
      </c>
      <c r="B1236" s="2" t="inlineStr">
        <is>
          <t>917331544</t>
        </is>
      </c>
      <c r="C1236" s="3" t="inlineStr">
        <is>
          <t>Одежда и аксессуары</t>
        </is>
      </c>
      <c r="D1236" s="2" t="inlineStr">
        <is>
          <t>Нижнее белье мужское</t>
        </is>
      </c>
      <c r="E1236" s="3" t="inlineStr">
        <is>
          <t>073 Трусы мужские</t>
        </is>
      </c>
      <c r="F1236" s="2" t="inlineStr">
        <is>
          <t>всесезонный</t>
        </is>
      </c>
      <c r="G1236" s="3" t="inlineStr">
        <is>
          <t>kari</t>
        </is>
      </c>
      <c r="H1236" s="2" t="inlineStr">
        <is>
          <t>Никонорова Алина</t>
        </is>
      </c>
      <c r="J1236" s="3" t="inlineStr">
        <is>
          <t>2026SS</t>
        </is>
      </c>
      <c r="K1236" s="3" t="n">
        <v>327</v>
      </c>
      <c r="L1236" s="3" t="n">
        <v>27</v>
      </c>
      <c r="M1236" s="3" t="n">
        <v>0</v>
      </c>
      <c r="N1236" s="4">
        <f>IFERROR(L1236/K1236,0)</f>
        <v/>
      </c>
      <c r="O1236" s="4">
        <f>IFERROR(M1236/L1236,0)</f>
        <v/>
      </c>
      <c r="P1236" t="n">
        <v>2161</v>
      </c>
      <c r="Q1236" s="5" t="n">
        <v>1</v>
      </c>
      <c r="R1236" s="7" t="n">
        <v>0</v>
      </c>
      <c r="S1236" t="inlineStr">
        <is>
          <t>Мало показов</t>
        </is>
      </c>
      <c r="T1236">
        <f>IF(N1236&lt;$T$1*0.5,"Низшая четверть",IF(N1236&lt;$T$1,"Вторая четверть","Больше половины"))</f>
        <v/>
      </c>
      <c r="U1236">
        <f>IF(O1236&lt;$U$1*0.5,"Низшая четверть",IF(O1236&lt;$U$1,"Вторая четверть","Больше половины"))</f>
        <v/>
      </c>
      <c r="V1236">
        <f>IF(OR(N1236&lt;SUMIFS(L:L,R:R,1,E:E,E1236)/SUMIFS(K:K,R:R,1,E:E,E1236)*0.5,O1236&lt;SUMIFS(M:M,R:R,1,E:E,E1236)/SUMIFS(L:L,R:R,1,E:E,E1236)*0.5),"код для проверки","нормальный код")</f>
        <v/>
      </c>
      <c r="W1236">
        <f>IF(N1236&lt;SUMIFS(L:L,R:R,1,E:E,E1236)/SUMIFS(K:K,R:R,1,E:E,E1236)*0.5,"Низшая четверть",IF(N1236&lt;SUMIFS(L:L,R:R,1,E:E,E1236)/SUMIFS(K:K,R:R,1,E:E,E1236),"Вторая четверть","Больше половины"))</f>
        <v/>
      </c>
      <c r="X1236">
        <f>IF(O1236&lt;SUMIFS(M:M,R:R,1,E:E,E1236)/SUMIFS(L:L,R:R,1,E:E,E1236)*0.5,"Низшая четверть",IF(O1236&lt;SUMIFS(M:M,R:R,1,E:E,E1236)/SUMIFS(L:L,R:R,1,E:E,E1236),"Вторая четверть","Больше половины"))</f>
        <v/>
      </c>
      <c r="Y1236" t="n">
        <v>22</v>
      </c>
    </row>
    <row r="1237">
      <c r="A1237" s="1" t="inlineStr">
        <is>
          <t>h1100060</t>
        </is>
      </c>
      <c r="B1237" s="2" t="inlineStr">
        <is>
          <t>837332286</t>
        </is>
      </c>
      <c r="C1237" s="3" t="inlineStr">
        <is>
          <t>Одежда и аксессуары</t>
        </is>
      </c>
      <c r="D1237" s="2" t="inlineStr">
        <is>
          <t>Брюки, шорты мужские</t>
        </is>
      </c>
      <c r="E1237" s="3" t="inlineStr">
        <is>
          <t>h11 Шорты мужские</t>
        </is>
      </c>
      <c r="F1237" s="2" t="inlineStr">
        <is>
          <t>весна, лето</t>
        </is>
      </c>
      <c r="G1237" s="3" t="inlineStr">
        <is>
          <t>kari</t>
        </is>
      </c>
      <c r="H1237" s="2" t="inlineStr">
        <is>
          <t>Зиннуров Ильнур</t>
        </is>
      </c>
      <c r="J1237" s="3" t="inlineStr">
        <is>
          <t>2026SS</t>
        </is>
      </c>
      <c r="K1237" s="3" t="n">
        <v>326</v>
      </c>
      <c r="L1237" s="3" t="n">
        <v>6</v>
      </c>
      <c r="M1237" s="3" t="n">
        <v>0</v>
      </c>
      <c r="N1237" s="4">
        <f>IFERROR(L1237/K1237,0)</f>
        <v/>
      </c>
      <c r="O1237" s="4">
        <f>IFERROR(M1237/L1237,0)</f>
        <v/>
      </c>
      <c r="P1237" t="n">
        <v>220</v>
      </c>
      <c r="Q1237" s="5" t="n">
        <v>1</v>
      </c>
      <c r="R1237" s="7" t="n">
        <v>0</v>
      </c>
      <c r="S1237" t="inlineStr">
        <is>
          <t>Мало показов</t>
        </is>
      </c>
      <c r="T1237">
        <f>IF(N1237&lt;$T$1*0.5,"Низшая четверть",IF(N1237&lt;$T$1,"Вторая четверть","Больше половины"))</f>
        <v/>
      </c>
      <c r="U1237">
        <f>IF(O1237&lt;$U$1*0.5,"Низшая четверть",IF(O1237&lt;$U$1,"Вторая четверть","Больше половины"))</f>
        <v/>
      </c>
      <c r="V1237">
        <f>IF(OR(N1237&lt;SUMIFS(L:L,R:R,1,E:E,E1237)/SUMIFS(K:K,R:R,1,E:E,E1237)*0.5,O1237&lt;SUMIFS(M:M,R:R,1,E:E,E1237)/SUMIFS(L:L,R:R,1,E:E,E1237)*0.5),"код для проверки","нормальный код")</f>
        <v/>
      </c>
      <c r="W1237">
        <f>IF(N1237&lt;SUMIFS(L:L,R:R,1,E:E,E1237)/SUMIFS(K:K,R:R,1,E:E,E1237)*0.5,"Низшая четверть",IF(N1237&lt;SUMIFS(L:L,R:R,1,E:E,E1237)/SUMIFS(K:K,R:R,1,E:E,E1237),"Вторая четверть","Больше половины"))</f>
        <v/>
      </c>
      <c r="X1237">
        <f>IF(O1237&lt;SUMIFS(M:M,R:R,1,E:E,E1237)/SUMIFS(L:L,R:R,1,E:E,E1237)*0.5,"Низшая четверть",IF(O1237&lt;SUMIFS(M:M,R:R,1,E:E,E1237)/SUMIFS(L:L,R:R,1,E:E,E1237),"Вторая четверть","Больше половины"))</f>
        <v/>
      </c>
      <c r="Y1237" t="n">
        <v>16</v>
      </c>
    </row>
    <row r="1238">
      <c r="A1238" s="1" t="inlineStr">
        <is>
          <t>56800200</t>
        </is>
      </c>
      <c r="B1238" s="2" t="inlineStr">
        <is>
          <t>924182341</t>
        </is>
      </c>
      <c r="C1238" s="3" t="inlineStr">
        <is>
          <t>Одежда для детей</t>
        </is>
      </c>
      <c r="D1238" s="2" t="inlineStr">
        <is>
          <t>Одежда для новорожденных</t>
        </is>
      </c>
      <c r="E1238" s="3" t="inlineStr">
        <is>
          <t>568 Боди с коротким рукавом для девочек</t>
        </is>
      </c>
      <c r="F1238" s="2" t="inlineStr">
        <is>
          <t>всесезонный</t>
        </is>
      </c>
      <c r="G1238" s="3" t="inlineStr">
        <is>
          <t>Kari baby</t>
        </is>
      </c>
      <c r="H1238" s="2" t="inlineStr">
        <is>
          <t>Зиннуров Ильнур</t>
        </is>
      </c>
      <c r="J1238" s="3" t="inlineStr">
        <is>
          <t>2026SS</t>
        </is>
      </c>
      <c r="K1238" s="3" t="n">
        <v>326</v>
      </c>
      <c r="L1238" s="3" t="n">
        <v>25</v>
      </c>
      <c r="M1238" s="3" t="n">
        <v>2</v>
      </c>
      <c r="N1238" s="4">
        <f>IFERROR(L1238/K1238,0)</f>
        <v/>
      </c>
      <c r="O1238" s="4">
        <f>IFERROR(M1238/L1238,0)</f>
        <v/>
      </c>
      <c r="P1238" t="n">
        <v>137</v>
      </c>
      <c r="Q1238" s="5" t="n">
        <v>1</v>
      </c>
      <c r="R1238" s="7" t="n">
        <v>0</v>
      </c>
      <c r="S1238" t="inlineStr">
        <is>
          <t>Мало показов</t>
        </is>
      </c>
      <c r="T1238">
        <f>IF(N1238&lt;$T$1*0.5,"Низшая четверть",IF(N1238&lt;$T$1,"Вторая четверть","Больше половины"))</f>
        <v/>
      </c>
      <c r="U1238">
        <f>IF(O1238&lt;$U$1*0.5,"Низшая четверть",IF(O1238&lt;$U$1,"Вторая четверть","Больше половины"))</f>
        <v/>
      </c>
      <c r="V1238">
        <f>IF(OR(N1238&lt;SUMIFS(L:L,R:R,1,E:E,E1238)/SUMIFS(K:K,R:R,1,E:E,E1238)*0.5,O1238&lt;SUMIFS(M:M,R:R,1,E:E,E1238)/SUMIFS(L:L,R:R,1,E:E,E1238)*0.5),"код для проверки","нормальный код")</f>
        <v/>
      </c>
      <c r="W1238">
        <f>IF(N1238&lt;SUMIFS(L:L,R:R,1,E:E,E1238)/SUMIFS(K:K,R:R,1,E:E,E1238)*0.5,"Низшая четверть",IF(N1238&lt;SUMIFS(L:L,R:R,1,E:E,E1238)/SUMIFS(K:K,R:R,1,E:E,E1238),"Вторая четверть","Больше половины"))</f>
        <v/>
      </c>
      <c r="X1238">
        <f>IF(O1238&lt;SUMIFS(M:M,R:R,1,E:E,E1238)/SUMIFS(L:L,R:R,1,E:E,E1238)*0.5,"Низшая четверть",IF(O1238&lt;SUMIFS(M:M,R:R,1,E:E,E1238)/SUMIFS(L:L,R:R,1,E:E,E1238),"Вторая четверть","Больше половины"))</f>
        <v/>
      </c>
      <c r="Y1238" t="n">
        <v>24</v>
      </c>
    </row>
    <row r="1239">
      <c r="A1239" s="1" t="inlineStr">
        <is>
          <t>h1100100</t>
        </is>
      </c>
      <c r="B1239" s="2" t="inlineStr">
        <is>
          <t>917880911</t>
        </is>
      </c>
      <c r="C1239" s="3" t="inlineStr">
        <is>
          <t>Одежда и аксессуары</t>
        </is>
      </c>
      <c r="D1239" s="2" t="inlineStr">
        <is>
          <t>Брюки, шорты мужские</t>
        </is>
      </c>
      <c r="E1239" s="3" t="inlineStr">
        <is>
          <t>h11 Шорты мужские</t>
        </is>
      </c>
      <c r="F1239" s="2" t="inlineStr">
        <is>
          <t>весна, лето</t>
        </is>
      </c>
      <c r="G1239" s="3" t="inlineStr">
        <is>
          <t>kari</t>
        </is>
      </c>
      <c r="H1239" s="2" t="inlineStr">
        <is>
          <t>Зиннуров Ильнур</t>
        </is>
      </c>
      <c r="J1239" s="3" t="inlineStr">
        <is>
          <t>2026SS</t>
        </is>
      </c>
      <c r="K1239" s="3" t="n">
        <v>322</v>
      </c>
      <c r="L1239" s="3" t="n">
        <v>3</v>
      </c>
      <c r="M1239" s="3" t="n">
        <v>0</v>
      </c>
      <c r="N1239" s="4">
        <f>IFERROR(L1239/K1239,0)</f>
        <v/>
      </c>
      <c r="O1239" s="4">
        <f>IFERROR(M1239/L1239,0)</f>
        <v/>
      </c>
      <c r="P1239" t="n">
        <v>250</v>
      </c>
      <c r="Q1239" s="5" t="n">
        <v>1</v>
      </c>
      <c r="R1239" s="7" t="n">
        <v>0</v>
      </c>
      <c r="S1239" t="inlineStr">
        <is>
          <t>Мало показов</t>
        </is>
      </c>
      <c r="T1239">
        <f>IF(N1239&lt;$T$1*0.5,"Низшая четверть",IF(N1239&lt;$T$1,"Вторая четверть","Больше половины"))</f>
        <v/>
      </c>
      <c r="U1239">
        <f>IF(O1239&lt;$U$1*0.5,"Низшая четверть",IF(O1239&lt;$U$1,"Вторая четверть","Больше половины"))</f>
        <v/>
      </c>
      <c r="V1239">
        <f>IF(OR(N1239&lt;SUMIFS(L:L,R:R,1,E:E,E1239)/SUMIFS(K:K,R:R,1,E:E,E1239)*0.5,O1239&lt;SUMIFS(M:M,R:R,1,E:E,E1239)/SUMIFS(L:L,R:R,1,E:E,E1239)*0.5),"код для проверки","нормальный код")</f>
        <v/>
      </c>
      <c r="W1239">
        <f>IF(N1239&lt;SUMIFS(L:L,R:R,1,E:E,E1239)/SUMIFS(K:K,R:R,1,E:E,E1239)*0.5,"Низшая четверть",IF(N1239&lt;SUMIFS(L:L,R:R,1,E:E,E1239)/SUMIFS(K:K,R:R,1,E:E,E1239),"Вторая четверть","Больше половины"))</f>
        <v/>
      </c>
      <c r="X1239">
        <f>IF(O1239&lt;SUMIFS(M:M,R:R,1,E:E,E1239)/SUMIFS(L:L,R:R,1,E:E,E1239)*0.5,"Низшая четверть",IF(O1239&lt;SUMIFS(M:M,R:R,1,E:E,E1239)/SUMIFS(L:L,R:R,1,E:E,E1239),"Вторая четверть","Больше половины"))</f>
        <v/>
      </c>
      <c r="Y1239" t="n">
        <v>15</v>
      </c>
    </row>
    <row r="1240">
      <c r="A1240" s="1" t="inlineStr">
        <is>
          <t>07300550</t>
        </is>
      </c>
      <c r="B1240" s="2" t="inlineStr">
        <is>
          <t>917331586</t>
        </is>
      </c>
      <c r="C1240" s="3" t="inlineStr">
        <is>
          <t>Одежда и аксессуары</t>
        </is>
      </c>
      <c r="D1240" s="2" t="inlineStr">
        <is>
          <t>Нижнее белье мужское</t>
        </is>
      </c>
      <c r="E1240" s="3" t="inlineStr">
        <is>
          <t>073 Трусы мужские</t>
        </is>
      </c>
      <c r="F1240" s="2" t="inlineStr">
        <is>
          <t>всесезонный</t>
        </is>
      </c>
      <c r="G1240" s="3" t="inlineStr">
        <is>
          <t>kari</t>
        </is>
      </c>
      <c r="H1240" s="2" t="inlineStr">
        <is>
          <t>Никонорова Алина</t>
        </is>
      </c>
      <c r="J1240" s="3" t="inlineStr">
        <is>
          <t>2026SS</t>
        </is>
      </c>
      <c r="K1240" s="3" t="n">
        <v>322</v>
      </c>
      <c r="L1240" s="3" t="n">
        <v>32</v>
      </c>
      <c r="M1240" s="3" t="n">
        <v>1</v>
      </c>
      <c r="N1240" s="4">
        <f>IFERROR(L1240/K1240,0)</f>
        <v/>
      </c>
      <c r="O1240" s="4">
        <f>IFERROR(M1240/L1240,0)</f>
        <v/>
      </c>
      <c r="P1240" t="n">
        <v>1349</v>
      </c>
      <c r="Q1240" s="5" t="n">
        <v>0.8</v>
      </c>
      <c r="R1240" s="7" t="n">
        <v>0</v>
      </c>
      <c r="S1240" t="inlineStr">
        <is>
          <t>Мало показов</t>
        </is>
      </c>
      <c r="T1240">
        <f>IF(N1240&lt;$T$1*0.5,"Низшая четверть",IF(N1240&lt;$T$1,"Вторая четверть","Больше половины"))</f>
        <v/>
      </c>
      <c r="U1240">
        <f>IF(O1240&lt;$U$1*0.5,"Низшая четверть",IF(O1240&lt;$U$1,"Вторая четверть","Больше половины"))</f>
        <v/>
      </c>
      <c r="V1240">
        <f>IF(OR(N1240&lt;SUMIFS(L:L,R:R,1,E:E,E1240)/SUMIFS(K:K,R:R,1,E:E,E1240)*0.5,O1240&lt;SUMIFS(M:M,R:R,1,E:E,E1240)/SUMIFS(L:L,R:R,1,E:E,E1240)*0.5),"код для проверки","нормальный код")</f>
        <v/>
      </c>
      <c r="W1240">
        <f>IF(N1240&lt;SUMIFS(L:L,R:R,1,E:E,E1240)/SUMIFS(K:K,R:R,1,E:E,E1240)*0.5,"Низшая четверть",IF(N1240&lt;SUMIFS(L:L,R:R,1,E:E,E1240)/SUMIFS(K:K,R:R,1,E:E,E1240),"Вторая четверть","Больше половины"))</f>
        <v/>
      </c>
      <c r="X1240">
        <f>IF(O1240&lt;SUMIFS(M:M,R:R,1,E:E,E1240)/SUMIFS(L:L,R:R,1,E:E,E1240)*0.5,"Низшая четверть",IF(O1240&lt;SUMIFS(M:M,R:R,1,E:E,E1240)/SUMIFS(L:L,R:R,1,E:E,E1240),"Вторая четверть","Больше половины"))</f>
        <v/>
      </c>
      <c r="Y1240" t="n">
        <v>20</v>
      </c>
    </row>
    <row r="1241">
      <c r="A1241" s="1" t="inlineStr">
        <is>
          <t>19300270</t>
        </is>
      </c>
      <c r="B1241" s="2" t="inlineStr">
        <is>
          <t>837332385</t>
        </is>
      </c>
      <c r="C1241" s="3" t="inlineStr">
        <is>
          <t>Одежда для детей</t>
        </is>
      </c>
      <c r="D1241" s="2" t="inlineStr">
        <is>
          <t>Брюки детские для мальчиков</t>
        </is>
      </c>
      <c r="E1241" s="3" t="inlineStr">
        <is>
          <t>193 Шорты детские для мальчиков</t>
        </is>
      </c>
      <c r="F1241" s="2" t="inlineStr">
        <is>
          <t>лето</t>
        </is>
      </c>
      <c r="G1241" s="3" t="inlineStr">
        <is>
          <t>kari</t>
        </is>
      </c>
      <c r="H1241" s="2" t="inlineStr">
        <is>
          <t>Зиннуров Ильнур</t>
        </is>
      </c>
      <c r="J1241" s="3" t="inlineStr">
        <is>
          <t>2026SS</t>
        </is>
      </c>
      <c r="K1241" s="3" t="n">
        <v>320</v>
      </c>
      <c r="L1241" s="3" t="n">
        <v>17</v>
      </c>
      <c r="M1241" s="3" t="n">
        <v>0</v>
      </c>
      <c r="N1241" s="4">
        <f>IFERROR(L1241/K1241,0)</f>
        <v/>
      </c>
      <c r="O1241" s="4">
        <f>IFERROR(M1241/L1241,0)</f>
        <v/>
      </c>
      <c r="P1241" t="n">
        <v>1159</v>
      </c>
      <c r="Q1241" s="5" t="n">
        <v>1</v>
      </c>
      <c r="R1241" s="7" t="n">
        <v>0</v>
      </c>
      <c r="S1241" t="inlineStr">
        <is>
          <t>Мало показов</t>
        </is>
      </c>
      <c r="T1241">
        <f>IF(N1241&lt;$T$1*0.5,"Низшая четверть",IF(N1241&lt;$T$1,"Вторая четверть","Больше половины"))</f>
        <v/>
      </c>
      <c r="U1241">
        <f>IF(O1241&lt;$U$1*0.5,"Низшая четверть",IF(O1241&lt;$U$1,"Вторая четверть","Больше половины"))</f>
        <v/>
      </c>
      <c r="V1241">
        <f>IF(OR(N1241&lt;SUMIFS(L:L,R:R,1,E:E,E1241)/SUMIFS(K:K,R:R,1,E:E,E1241)*0.5,O1241&lt;SUMIFS(M:M,R:R,1,E:E,E1241)/SUMIFS(L:L,R:R,1,E:E,E1241)*0.5),"код для проверки","нормальный код")</f>
        <v/>
      </c>
      <c r="W1241">
        <f>IF(N1241&lt;SUMIFS(L:L,R:R,1,E:E,E1241)/SUMIFS(K:K,R:R,1,E:E,E1241)*0.5,"Низшая четверть",IF(N1241&lt;SUMIFS(L:L,R:R,1,E:E,E1241)/SUMIFS(K:K,R:R,1,E:E,E1241),"Вторая четверть","Больше половины"))</f>
        <v/>
      </c>
      <c r="X1241">
        <f>IF(O1241&lt;SUMIFS(M:M,R:R,1,E:E,E1241)/SUMIFS(L:L,R:R,1,E:E,E1241)*0.5,"Низшая четверть",IF(O1241&lt;SUMIFS(M:M,R:R,1,E:E,E1241)/SUMIFS(L:L,R:R,1,E:E,E1241),"Вторая четверть","Больше половины"))</f>
        <v/>
      </c>
      <c r="Y1241" t="n">
        <v>18</v>
      </c>
    </row>
    <row r="1242">
      <c r="A1242" s="1" t="inlineStr">
        <is>
          <t>h1100070</t>
        </is>
      </c>
      <c r="B1242" s="2" t="inlineStr">
        <is>
          <t>917880904</t>
        </is>
      </c>
      <c r="C1242" s="3" t="inlineStr">
        <is>
          <t>Одежда и аксессуары</t>
        </is>
      </c>
      <c r="D1242" s="2" t="inlineStr">
        <is>
          <t>Брюки, шорты мужские</t>
        </is>
      </c>
      <c r="E1242" s="3" t="inlineStr">
        <is>
          <t>h11 Шорты мужские</t>
        </is>
      </c>
      <c r="F1242" s="2" t="inlineStr">
        <is>
          <t>весна, лето</t>
        </is>
      </c>
      <c r="G1242" s="3" t="inlineStr">
        <is>
          <t>kari</t>
        </is>
      </c>
      <c r="H1242" s="2" t="inlineStr">
        <is>
          <t>Зиннуров Ильнур</t>
        </is>
      </c>
      <c r="J1242" s="3" t="inlineStr">
        <is>
          <t>2026SS</t>
        </is>
      </c>
      <c r="K1242" s="3" t="n">
        <v>319</v>
      </c>
      <c r="L1242" s="3" t="n">
        <v>4</v>
      </c>
      <c r="M1242" s="3" t="n">
        <v>1</v>
      </c>
      <c r="N1242" s="4">
        <f>IFERROR(L1242/K1242,0)</f>
        <v/>
      </c>
      <c r="O1242" s="4">
        <f>IFERROR(M1242/L1242,0)</f>
        <v/>
      </c>
      <c r="P1242" t="n">
        <v>449</v>
      </c>
      <c r="Q1242" s="5" t="n">
        <v>1</v>
      </c>
      <c r="R1242" s="7" t="n">
        <v>0</v>
      </c>
      <c r="S1242" t="inlineStr">
        <is>
          <t>Мало показов</t>
        </is>
      </c>
      <c r="T1242">
        <f>IF(N1242&lt;$T$1*0.5,"Низшая четверть",IF(N1242&lt;$T$1,"Вторая четверть","Больше половины"))</f>
        <v/>
      </c>
      <c r="U1242">
        <f>IF(O1242&lt;$U$1*0.5,"Низшая четверть",IF(O1242&lt;$U$1,"Вторая четверть","Больше половины"))</f>
        <v/>
      </c>
      <c r="V1242">
        <f>IF(OR(N1242&lt;SUMIFS(L:L,R:R,1,E:E,E1242)/SUMIFS(K:K,R:R,1,E:E,E1242)*0.5,O1242&lt;SUMIFS(M:M,R:R,1,E:E,E1242)/SUMIFS(L:L,R:R,1,E:E,E1242)*0.5),"код для проверки","нормальный код")</f>
        <v/>
      </c>
      <c r="W1242">
        <f>IF(N1242&lt;SUMIFS(L:L,R:R,1,E:E,E1242)/SUMIFS(K:K,R:R,1,E:E,E1242)*0.5,"Низшая четверть",IF(N1242&lt;SUMIFS(L:L,R:R,1,E:E,E1242)/SUMIFS(K:K,R:R,1,E:E,E1242),"Вторая четверть","Больше половины"))</f>
        <v/>
      </c>
      <c r="X1242">
        <f>IF(O1242&lt;SUMIFS(M:M,R:R,1,E:E,E1242)/SUMIFS(L:L,R:R,1,E:E,E1242)*0.5,"Низшая четверть",IF(O1242&lt;SUMIFS(M:M,R:R,1,E:E,E1242)/SUMIFS(L:L,R:R,1,E:E,E1242),"Вторая четверть","Больше половины"))</f>
        <v/>
      </c>
      <c r="Y1242" t="n">
        <v>17</v>
      </c>
    </row>
    <row r="1243">
      <c r="A1243" s="1" t="inlineStr">
        <is>
          <t>56800190</t>
        </is>
      </c>
      <c r="B1243" s="2" t="inlineStr">
        <is>
          <t>924163563</t>
        </is>
      </c>
      <c r="C1243" s="3" t="inlineStr">
        <is>
          <t>Одежда для детей</t>
        </is>
      </c>
      <c r="D1243" s="2" t="inlineStr">
        <is>
          <t>Одежда для новорожденных</t>
        </is>
      </c>
      <c r="E1243" s="3" t="inlineStr">
        <is>
          <t>568 Боди с коротким рукавом для девочек</t>
        </is>
      </c>
      <c r="F1243" s="2" t="inlineStr">
        <is>
          <t>всесезонный</t>
        </is>
      </c>
      <c r="G1243" s="3" t="inlineStr">
        <is>
          <t>Kari baby</t>
        </is>
      </c>
      <c r="H1243" s="2" t="inlineStr">
        <is>
          <t>Зиннуров Ильнур</t>
        </is>
      </c>
      <c r="J1243" s="3" t="inlineStr">
        <is>
          <t>2026SS</t>
        </is>
      </c>
      <c r="K1243" s="3" t="n">
        <v>319</v>
      </c>
      <c r="L1243" s="3" t="n">
        <v>27</v>
      </c>
      <c r="M1243" s="3" t="n">
        <v>0</v>
      </c>
      <c r="N1243" s="4">
        <f>IFERROR(L1243/K1243,0)</f>
        <v/>
      </c>
      <c r="O1243" s="4">
        <f>IFERROR(M1243/L1243,0)</f>
        <v/>
      </c>
      <c r="P1243" t="n">
        <v>219</v>
      </c>
      <c r="Q1243" s="5" t="n">
        <v>1</v>
      </c>
      <c r="R1243" s="7" t="n">
        <v>0</v>
      </c>
      <c r="S1243" t="inlineStr">
        <is>
          <t>Мало показов</t>
        </is>
      </c>
      <c r="T1243">
        <f>IF(N1243&lt;$T$1*0.5,"Низшая четверть",IF(N1243&lt;$T$1,"Вторая четверть","Больше половины"))</f>
        <v/>
      </c>
      <c r="U1243">
        <f>IF(O1243&lt;$U$1*0.5,"Низшая четверть",IF(O1243&lt;$U$1,"Вторая четверть","Больше половины"))</f>
        <v/>
      </c>
      <c r="V1243">
        <f>IF(OR(N1243&lt;SUMIFS(L:L,R:R,1,E:E,E1243)/SUMIFS(K:K,R:R,1,E:E,E1243)*0.5,O1243&lt;SUMIFS(M:M,R:R,1,E:E,E1243)/SUMIFS(L:L,R:R,1,E:E,E1243)*0.5),"код для проверки","нормальный код")</f>
        <v/>
      </c>
      <c r="W1243">
        <f>IF(N1243&lt;SUMIFS(L:L,R:R,1,E:E,E1243)/SUMIFS(K:K,R:R,1,E:E,E1243)*0.5,"Низшая четверть",IF(N1243&lt;SUMIFS(L:L,R:R,1,E:E,E1243)/SUMIFS(K:K,R:R,1,E:E,E1243),"Вторая четверть","Больше половины"))</f>
        <v/>
      </c>
      <c r="X1243">
        <f>IF(O1243&lt;SUMIFS(M:M,R:R,1,E:E,E1243)/SUMIFS(L:L,R:R,1,E:E,E1243)*0.5,"Низшая четверть",IF(O1243&lt;SUMIFS(M:M,R:R,1,E:E,E1243)/SUMIFS(L:L,R:R,1,E:E,E1243),"Вторая четверть","Больше половины"))</f>
        <v/>
      </c>
      <c r="Y1243" t="n">
        <v>24</v>
      </c>
    </row>
    <row r="1244">
      <c r="A1244" s="1" t="inlineStr">
        <is>
          <t>23100100</t>
        </is>
      </c>
      <c r="B1244" s="2" t="inlineStr">
        <is>
          <t>879308856</t>
        </is>
      </c>
      <c r="C1244" s="3" t="inlineStr">
        <is>
          <t>Одежда для детей</t>
        </is>
      </c>
      <c r="D1244" s="2" t="inlineStr">
        <is>
          <t>Нижнее белье детское для девочек</t>
        </is>
      </c>
      <c r="E1244" s="3" t="inlineStr">
        <is>
          <t>231 Пижама детская для девочек</t>
        </is>
      </c>
      <c r="F1244" s="2" t="inlineStr">
        <is>
          <t>всесезонный</t>
        </is>
      </c>
      <c r="G1244" s="3" t="inlineStr">
        <is>
          <t>kari</t>
        </is>
      </c>
      <c r="H1244" s="2" t="inlineStr">
        <is>
          <t>Зиннуров Ильнур</t>
        </is>
      </c>
      <c r="J1244" s="3" t="inlineStr">
        <is>
          <t>2026SS</t>
        </is>
      </c>
      <c r="K1244" s="3" t="n">
        <v>319</v>
      </c>
      <c r="L1244" s="3" t="n">
        <v>27</v>
      </c>
      <c r="M1244" s="3" t="n">
        <v>0</v>
      </c>
      <c r="N1244" s="4">
        <f>IFERROR(L1244/K1244,0)</f>
        <v/>
      </c>
      <c r="O1244" s="4">
        <f>IFERROR(M1244/L1244,0)</f>
        <v/>
      </c>
      <c r="P1244" t="n">
        <v>679</v>
      </c>
      <c r="Q1244" s="5" t="n">
        <v>1</v>
      </c>
      <c r="R1244" s="7" t="n">
        <v>0</v>
      </c>
      <c r="S1244" t="inlineStr">
        <is>
          <t>Мало показов</t>
        </is>
      </c>
      <c r="T1244">
        <f>IF(N1244&lt;$T$1*0.5,"Низшая четверть",IF(N1244&lt;$T$1,"Вторая четверть","Больше половины"))</f>
        <v/>
      </c>
      <c r="U1244">
        <f>IF(O1244&lt;$U$1*0.5,"Низшая четверть",IF(O1244&lt;$U$1,"Вторая четверть","Больше половины"))</f>
        <v/>
      </c>
      <c r="V1244">
        <f>IF(OR(N1244&lt;SUMIFS(L:L,R:R,1,E:E,E1244)/SUMIFS(K:K,R:R,1,E:E,E1244)*0.5,O1244&lt;SUMIFS(M:M,R:R,1,E:E,E1244)/SUMIFS(L:L,R:R,1,E:E,E1244)*0.5),"код для проверки","нормальный код")</f>
        <v/>
      </c>
      <c r="W1244">
        <f>IF(N1244&lt;SUMIFS(L:L,R:R,1,E:E,E1244)/SUMIFS(K:K,R:R,1,E:E,E1244)*0.5,"Низшая четверть",IF(N1244&lt;SUMIFS(L:L,R:R,1,E:E,E1244)/SUMIFS(K:K,R:R,1,E:E,E1244),"Вторая четверть","Больше половины"))</f>
        <v/>
      </c>
      <c r="X1244">
        <f>IF(O1244&lt;SUMIFS(M:M,R:R,1,E:E,E1244)/SUMIFS(L:L,R:R,1,E:E,E1244)*0.5,"Низшая четверть",IF(O1244&lt;SUMIFS(M:M,R:R,1,E:E,E1244)/SUMIFS(L:L,R:R,1,E:E,E1244),"Вторая четверть","Больше половины"))</f>
        <v/>
      </c>
      <c r="Y1244" t="n">
        <v>8</v>
      </c>
    </row>
    <row r="1245">
      <c r="A1245" s="1" t="inlineStr">
        <is>
          <t>23200090</t>
        </is>
      </c>
      <c r="B1245" s="2" t="inlineStr">
        <is>
          <t>879318918</t>
        </is>
      </c>
      <c r="C1245" s="3" t="inlineStr">
        <is>
          <t>Одежда для детей</t>
        </is>
      </c>
      <c r="D1245" s="2" t="inlineStr">
        <is>
          <t>Нижнее белье детское для мальчиков</t>
        </is>
      </c>
      <c r="E1245" s="3" t="inlineStr">
        <is>
          <t>232 Пижама детская для мальчиков</t>
        </is>
      </c>
      <c r="F1245" s="2" t="inlineStr">
        <is>
          <t>всесезонный</t>
        </is>
      </c>
      <c r="G1245" s="3" t="inlineStr">
        <is>
          <t>kari</t>
        </is>
      </c>
      <c r="H1245" s="2" t="inlineStr">
        <is>
          <t>Зиннуров Ильнур</t>
        </is>
      </c>
      <c r="J1245" s="3" t="inlineStr">
        <is>
          <t>2026SS</t>
        </is>
      </c>
      <c r="K1245" s="3" t="n">
        <v>318</v>
      </c>
      <c r="L1245" s="3" t="n">
        <v>7</v>
      </c>
      <c r="M1245" s="3" t="n">
        <v>0</v>
      </c>
      <c r="N1245" s="4">
        <f>IFERROR(L1245/K1245,0)</f>
        <v/>
      </c>
      <c r="O1245" s="4">
        <f>IFERROR(M1245/L1245,0)</f>
        <v/>
      </c>
      <c r="P1245" t="n">
        <v>974</v>
      </c>
      <c r="Q1245" s="5" t="n">
        <v>0.875</v>
      </c>
      <c r="R1245" s="7" t="n">
        <v>0</v>
      </c>
      <c r="S1245" t="inlineStr">
        <is>
          <t>Мало показов</t>
        </is>
      </c>
      <c r="T1245">
        <f>IF(N1245&lt;$T$1*0.5,"Низшая четверть",IF(N1245&lt;$T$1,"Вторая четверть","Больше половины"))</f>
        <v/>
      </c>
      <c r="U1245">
        <f>IF(O1245&lt;$U$1*0.5,"Низшая четверть",IF(O1245&lt;$U$1,"Вторая четверть","Больше половины"))</f>
        <v/>
      </c>
      <c r="V1245">
        <f>IF(OR(N1245&lt;SUMIFS(L:L,R:R,1,E:E,E1245)/SUMIFS(K:K,R:R,1,E:E,E1245)*0.5,O1245&lt;SUMIFS(M:M,R:R,1,E:E,E1245)/SUMIFS(L:L,R:R,1,E:E,E1245)*0.5),"код для проверки","нормальный код")</f>
        <v/>
      </c>
      <c r="W1245">
        <f>IF(N1245&lt;SUMIFS(L:L,R:R,1,E:E,E1245)/SUMIFS(K:K,R:R,1,E:E,E1245)*0.5,"Низшая четверть",IF(N1245&lt;SUMIFS(L:L,R:R,1,E:E,E1245)/SUMIFS(K:K,R:R,1,E:E,E1245),"Вторая четверть","Больше половины"))</f>
        <v/>
      </c>
      <c r="X1245">
        <f>IF(O1245&lt;SUMIFS(M:M,R:R,1,E:E,E1245)/SUMIFS(L:L,R:R,1,E:E,E1245)*0.5,"Низшая четверть",IF(O1245&lt;SUMIFS(M:M,R:R,1,E:E,E1245)/SUMIFS(L:L,R:R,1,E:E,E1245),"Вторая четверть","Больше половины"))</f>
        <v/>
      </c>
      <c r="Y1245" t="n">
        <v>7</v>
      </c>
    </row>
    <row r="1246">
      <c r="A1246" s="1" t="inlineStr">
        <is>
          <t>h1100050</t>
        </is>
      </c>
      <c r="B1246" s="2" t="inlineStr">
        <is>
          <t>837332386</t>
        </is>
      </c>
      <c r="C1246" s="3" t="inlineStr">
        <is>
          <t>Одежда и аксессуары</t>
        </is>
      </c>
      <c r="D1246" s="2" t="inlineStr">
        <is>
          <t>Брюки, шорты мужские</t>
        </is>
      </c>
      <c r="E1246" s="3" t="inlineStr">
        <is>
          <t>h11 Шорты мужские</t>
        </is>
      </c>
      <c r="F1246" s="2" t="inlineStr">
        <is>
          <t>весна, лето</t>
        </is>
      </c>
      <c r="G1246" s="3" t="inlineStr">
        <is>
          <t>kari</t>
        </is>
      </c>
      <c r="H1246" s="2" t="inlineStr">
        <is>
          <t>Зиннуров Ильнур</t>
        </is>
      </c>
      <c r="J1246" s="3" t="inlineStr">
        <is>
          <t>2026SS</t>
        </is>
      </c>
      <c r="K1246" s="3" t="n">
        <v>316</v>
      </c>
      <c r="L1246" s="3" t="n">
        <v>4</v>
      </c>
      <c r="M1246" s="3" t="n">
        <v>0</v>
      </c>
      <c r="N1246" s="4">
        <f>IFERROR(L1246/K1246,0)</f>
        <v/>
      </c>
      <c r="O1246" s="4">
        <f>IFERROR(M1246/L1246,0)</f>
        <v/>
      </c>
      <c r="P1246" t="n">
        <v>150</v>
      </c>
      <c r="Q1246" s="5" t="n">
        <v>1</v>
      </c>
      <c r="R1246" s="7" t="n">
        <v>0</v>
      </c>
      <c r="S1246" t="inlineStr">
        <is>
          <t>Мало показов</t>
        </is>
      </c>
      <c r="T1246">
        <f>IF(N1246&lt;$T$1*0.5,"Низшая четверть",IF(N1246&lt;$T$1,"Вторая четверть","Больше половины"))</f>
        <v/>
      </c>
      <c r="U1246">
        <f>IF(O1246&lt;$U$1*0.5,"Низшая четверть",IF(O1246&lt;$U$1,"Вторая четверть","Больше половины"))</f>
        <v/>
      </c>
      <c r="V1246">
        <f>IF(OR(N1246&lt;SUMIFS(L:L,R:R,1,E:E,E1246)/SUMIFS(K:K,R:R,1,E:E,E1246)*0.5,O1246&lt;SUMIFS(M:M,R:R,1,E:E,E1246)/SUMIFS(L:L,R:R,1,E:E,E1246)*0.5),"код для проверки","нормальный код")</f>
        <v/>
      </c>
      <c r="W1246">
        <f>IF(N1246&lt;SUMIFS(L:L,R:R,1,E:E,E1246)/SUMIFS(K:K,R:R,1,E:E,E1246)*0.5,"Низшая четверть",IF(N1246&lt;SUMIFS(L:L,R:R,1,E:E,E1246)/SUMIFS(K:K,R:R,1,E:E,E1246),"Вторая четверть","Больше половины"))</f>
        <v/>
      </c>
      <c r="X1246">
        <f>IF(O1246&lt;SUMIFS(M:M,R:R,1,E:E,E1246)/SUMIFS(L:L,R:R,1,E:E,E1246)*0.5,"Низшая четверть",IF(O1246&lt;SUMIFS(M:M,R:R,1,E:E,E1246)/SUMIFS(L:L,R:R,1,E:E,E1246),"Вторая четверть","Больше половины"))</f>
        <v/>
      </c>
      <c r="Y1246" t="n">
        <v>18</v>
      </c>
    </row>
    <row r="1247">
      <c r="A1247" s="1" t="inlineStr">
        <is>
          <t>19300290</t>
        </is>
      </c>
      <c r="B1247" s="2" t="inlineStr">
        <is>
          <t>837332124</t>
        </is>
      </c>
      <c r="C1247" s="3" t="inlineStr">
        <is>
          <t>Одежда для детей</t>
        </is>
      </c>
      <c r="D1247" s="2" t="inlineStr">
        <is>
          <t>Брюки детские для мальчиков</t>
        </is>
      </c>
      <c r="E1247" s="3" t="inlineStr">
        <is>
          <t>193 Шорты детские для мальчиков</t>
        </is>
      </c>
      <c r="F1247" s="2" t="inlineStr">
        <is>
          <t>лето</t>
        </is>
      </c>
      <c r="G1247" s="3" t="inlineStr">
        <is>
          <t>kari</t>
        </is>
      </c>
      <c r="H1247" s="2" t="inlineStr">
        <is>
          <t>Зиннуров Ильнур</t>
        </is>
      </c>
      <c r="J1247" s="3" t="inlineStr">
        <is>
          <t>2026SS</t>
        </is>
      </c>
      <c r="K1247" s="3" t="n">
        <v>316</v>
      </c>
      <c r="L1247" s="3" t="n">
        <v>20</v>
      </c>
      <c r="M1247" s="3" t="n">
        <v>0</v>
      </c>
      <c r="N1247" s="4">
        <f>IFERROR(L1247/K1247,0)</f>
        <v/>
      </c>
      <c r="O1247" s="4">
        <f>IFERROR(M1247/L1247,0)</f>
        <v/>
      </c>
      <c r="P1247" t="n">
        <v>887</v>
      </c>
      <c r="Q1247" s="5" t="n">
        <v>1</v>
      </c>
      <c r="R1247" s="7" t="n">
        <v>0</v>
      </c>
      <c r="S1247" t="inlineStr">
        <is>
          <t>Мало показов</t>
        </is>
      </c>
      <c r="T1247">
        <f>IF(N1247&lt;$T$1*0.5,"Низшая четверть",IF(N1247&lt;$T$1,"Вторая четверть","Больше половины"))</f>
        <v/>
      </c>
      <c r="U1247">
        <f>IF(O1247&lt;$U$1*0.5,"Низшая четверть",IF(O1247&lt;$U$1,"Вторая четверть","Больше половины"))</f>
        <v/>
      </c>
      <c r="V1247">
        <f>IF(OR(N1247&lt;SUMIFS(L:L,R:R,1,E:E,E1247)/SUMIFS(K:K,R:R,1,E:E,E1247)*0.5,O1247&lt;SUMIFS(M:M,R:R,1,E:E,E1247)/SUMIFS(L:L,R:R,1,E:E,E1247)*0.5),"код для проверки","нормальный код")</f>
        <v/>
      </c>
      <c r="W1247">
        <f>IF(N1247&lt;SUMIFS(L:L,R:R,1,E:E,E1247)/SUMIFS(K:K,R:R,1,E:E,E1247)*0.5,"Низшая четверть",IF(N1247&lt;SUMIFS(L:L,R:R,1,E:E,E1247)/SUMIFS(K:K,R:R,1,E:E,E1247),"Вторая четверть","Больше половины"))</f>
        <v/>
      </c>
      <c r="X1247">
        <f>IF(O1247&lt;SUMIFS(M:M,R:R,1,E:E,E1247)/SUMIFS(L:L,R:R,1,E:E,E1247)*0.5,"Низшая четверть",IF(O1247&lt;SUMIFS(M:M,R:R,1,E:E,E1247)/SUMIFS(L:L,R:R,1,E:E,E1247),"Вторая четверть","Больше половины"))</f>
        <v/>
      </c>
      <c r="Y1247" t="n">
        <v>18</v>
      </c>
    </row>
    <row r="1248">
      <c r="A1248" s="1" t="inlineStr">
        <is>
          <t>h1100030</t>
        </is>
      </c>
      <c r="B1248" s="2" t="inlineStr">
        <is>
          <t>837332455</t>
        </is>
      </c>
      <c r="C1248" s="3" t="inlineStr">
        <is>
          <t>Одежда и аксессуары</t>
        </is>
      </c>
      <c r="D1248" s="2" t="inlineStr">
        <is>
          <t>Брюки, шорты мужские</t>
        </is>
      </c>
      <c r="E1248" s="3" t="inlineStr">
        <is>
          <t>h11 Шорты мужские</t>
        </is>
      </c>
      <c r="F1248" s="2" t="inlineStr">
        <is>
          <t>весна, лето</t>
        </is>
      </c>
      <c r="G1248" s="3" t="inlineStr">
        <is>
          <t>kari</t>
        </is>
      </c>
      <c r="H1248" s="2" t="inlineStr">
        <is>
          <t>Зиннуров Ильнур</t>
        </is>
      </c>
      <c r="J1248" s="3" t="inlineStr">
        <is>
          <t>2026SS</t>
        </is>
      </c>
      <c r="K1248" s="3" t="n">
        <v>315</v>
      </c>
      <c r="L1248" s="3" t="n">
        <v>2</v>
      </c>
      <c r="M1248" s="3" t="n">
        <v>0</v>
      </c>
      <c r="N1248" s="4">
        <f>IFERROR(L1248/K1248,0)</f>
        <v/>
      </c>
      <c r="O1248" s="4">
        <f>IFERROR(M1248/L1248,0)</f>
        <v/>
      </c>
      <c r="P1248" t="n">
        <v>161</v>
      </c>
      <c r="Q1248" s="5" t="n">
        <v>1</v>
      </c>
      <c r="R1248" s="7" t="n">
        <v>0</v>
      </c>
      <c r="S1248" t="inlineStr">
        <is>
          <t>Мало показов</t>
        </is>
      </c>
      <c r="T1248">
        <f>IF(N1248&lt;$T$1*0.5,"Низшая четверть",IF(N1248&lt;$T$1,"Вторая четверть","Больше половины"))</f>
        <v/>
      </c>
      <c r="U1248">
        <f>IF(O1248&lt;$U$1*0.5,"Низшая четверть",IF(O1248&lt;$U$1,"Вторая четверть","Больше половины"))</f>
        <v/>
      </c>
      <c r="V1248">
        <f>IF(OR(N1248&lt;SUMIFS(L:L,R:R,1,E:E,E1248)/SUMIFS(K:K,R:R,1,E:E,E1248)*0.5,O1248&lt;SUMIFS(M:M,R:R,1,E:E,E1248)/SUMIFS(L:L,R:R,1,E:E,E1248)*0.5),"код для проверки","нормальный код")</f>
        <v/>
      </c>
      <c r="W1248">
        <f>IF(N1248&lt;SUMIFS(L:L,R:R,1,E:E,E1248)/SUMIFS(K:K,R:R,1,E:E,E1248)*0.5,"Низшая четверть",IF(N1248&lt;SUMIFS(L:L,R:R,1,E:E,E1248)/SUMIFS(K:K,R:R,1,E:E,E1248),"Вторая четверть","Больше половины"))</f>
        <v/>
      </c>
      <c r="X1248">
        <f>IF(O1248&lt;SUMIFS(M:M,R:R,1,E:E,E1248)/SUMIFS(L:L,R:R,1,E:E,E1248)*0.5,"Низшая четверть",IF(O1248&lt;SUMIFS(M:M,R:R,1,E:E,E1248)/SUMIFS(L:L,R:R,1,E:E,E1248),"Вторая четверть","Больше половины"))</f>
        <v/>
      </c>
      <c r="Y1248" t="n">
        <v>17</v>
      </c>
    </row>
    <row r="1249">
      <c r="A1249" s="1" t="inlineStr">
        <is>
          <t>h1000010</t>
        </is>
      </c>
      <c r="B1249" s="2" t="inlineStr">
        <is>
          <t>879308767</t>
        </is>
      </c>
      <c r="C1249" s="3" t="inlineStr">
        <is>
          <t>Одежда и аксессуары</t>
        </is>
      </c>
      <c r="D1249" s="2" t="inlineStr">
        <is>
          <t>Футболки, рубашки мужские</t>
        </is>
      </c>
      <c r="E1249" s="3" t="inlineStr">
        <is>
          <t>h10 Футболка мужская</t>
        </is>
      </c>
      <c r="F1249" s="2" t="inlineStr">
        <is>
          <t>всесезонный</t>
        </is>
      </c>
      <c r="G1249" s="3" t="inlineStr">
        <is>
          <t>kari</t>
        </is>
      </c>
      <c r="H1249" s="2" t="inlineStr">
        <is>
          <t>Зиннуров Ильнур</t>
        </is>
      </c>
      <c r="J1249" s="3" t="inlineStr">
        <is>
          <t>2026SS</t>
        </is>
      </c>
      <c r="K1249" s="3" t="n">
        <v>313</v>
      </c>
      <c r="L1249" s="3" t="n">
        <v>4</v>
      </c>
      <c r="M1249" s="3" t="n">
        <v>0</v>
      </c>
      <c r="N1249" s="4">
        <f>IFERROR(L1249/K1249,0)</f>
        <v/>
      </c>
      <c r="O1249" s="4">
        <f>IFERROR(M1249/L1249,0)</f>
        <v/>
      </c>
      <c r="P1249" t="n">
        <v>149</v>
      </c>
      <c r="Q1249" s="5" t="n">
        <v>1</v>
      </c>
      <c r="R1249" s="7" t="n">
        <v>0</v>
      </c>
      <c r="S1249" t="inlineStr">
        <is>
          <t>Мало показов</t>
        </is>
      </c>
      <c r="T1249">
        <f>IF(N1249&lt;$T$1*0.5,"Низшая четверть",IF(N1249&lt;$T$1,"Вторая четверть","Больше половины"))</f>
        <v/>
      </c>
      <c r="U1249">
        <f>IF(O1249&lt;$U$1*0.5,"Низшая четверть",IF(O1249&lt;$U$1,"Вторая четверть","Больше половины"))</f>
        <v/>
      </c>
      <c r="V1249">
        <f>IF(OR(N1249&lt;SUMIFS(L:L,R:R,1,E:E,E1249)/SUMIFS(K:K,R:R,1,E:E,E1249)*0.5,O1249&lt;SUMIFS(M:M,R:R,1,E:E,E1249)/SUMIFS(L:L,R:R,1,E:E,E1249)*0.5),"код для проверки","нормальный код")</f>
        <v/>
      </c>
      <c r="W1249">
        <f>IF(N1249&lt;SUMIFS(L:L,R:R,1,E:E,E1249)/SUMIFS(K:K,R:R,1,E:E,E1249)*0.5,"Низшая четверть",IF(N1249&lt;SUMIFS(L:L,R:R,1,E:E,E1249)/SUMIFS(K:K,R:R,1,E:E,E1249),"Вторая четверть","Больше половины"))</f>
        <v/>
      </c>
      <c r="X1249">
        <f>IF(O1249&lt;SUMIFS(M:M,R:R,1,E:E,E1249)/SUMIFS(L:L,R:R,1,E:E,E1249)*0.5,"Низшая четверть",IF(O1249&lt;SUMIFS(M:M,R:R,1,E:E,E1249)/SUMIFS(L:L,R:R,1,E:E,E1249),"Вторая четверть","Больше половины"))</f>
        <v/>
      </c>
      <c r="Y1249" t="n">
        <v>17</v>
      </c>
    </row>
    <row r="1250">
      <c r="A1250" s="1" t="inlineStr">
        <is>
          <t>h1000020</t>
        </is>
      </c>
      <c r="B1250" s="2" t="inlineStr">
        <is>
          <t>879308740</t>
        </is>
      </c>
      <c r="C1250" s="3" t="inlineStr">
        <is>
          <t>Одежда и аксессуары</t>
        </is>
      </c>
      <c r="D1250" s="2" t="inlineStr">
        <is>
          <t>Футболки, рубашки мужские</t>
        </is>
      </c>
      <c r="E1250" s="3" t="inlineStr">
        <is>
          <t>h10 Футболка мужская</t>
        </is>
      </c>
      <c r="F1250" s="2" t="inlineStr">
        <is>
          <t>всесезонный</t>
        </is>
      </c>
      <c r="G1250" s="3" t="inlineStr">
        <is>
          <t>kari</t>
        </is>
      </c>
      <c r="H1250" s="2" t="inlineStr">
        <is>
          <t>Зиннуров Ильнур</t>
        </is>
      </c>
      <c r="J1250" s="3" t="inlineStr">
        <is>
          <t>2026SS</t>
        </is>
      </c>
      <c r="K1250" s="3" t="n">
        <v>313</v>
      </c>
      <c r="L1250" s="3" t="n">
        <v>2</v>
      </c>
      <c r="M1250" s="3" t="n">
        <v>0</v>
      </c>
      <c r="N1250" s="4">
        <f>IFERROR(L1250/K1250,0)</f>
        <v/>
      </c>
      <c r="O1250" s="4">
        <f>IFERROR(M1250/L1250,0)</f>
        <v/>
      </c>
      <c r="P1250" t="n">
        <v>137</v>
      </c>
      <c r="Q1250" s="5" t="n">
        <v>1</v>
      </c>
      <c r="R1250" s="7" t="n">
        <v>0</v>
      </c>
      <c r="S1250" t="inlineStr">
        <is>
          <t>Мало показов</t>
        </is>
      </c>
      <c r="T1250">
        <f>IF(N1250&lt;$T$1*0.5,"Низшая четверть",IF(N1250&lt;$T$1,"Вторая четверть","Больше половины"))</f>
        <v/>
      </c>
      <c r="U1250">
        <f>IF(O1250&lt;$U$1*0.5,"Низшая четверть",IF(O1250&lt;$U$1,"Вторая четверть","Больше половины"))</f>
        <v/>
      </c>
      <c r="V1250">
        <f>IF(OR(N1250&lt;SUMIFS(L:L,R:R,1,E:E,E1250)/SUMIFS(K:K,R:R,1,E:E,E1250)*0.5,O1250&lt;SUMIFS(M:M,R:R,1,E:E,E1250)/SUMIFS(L:L,R:R,1,E:E,E1250)*0.5),"код для проверки","нормальный код")</f>
        <v/>
      </c>
      <c r="W1250">
        <f>IF(N1250&lt;SUMIFS(L:L,R:R,1,E:E,E1250)/SUMIFS(K:K,R:R,1,E:E,E1250)*0.5,"Низшая четверть",IF(N1250&lt;SUMIFS(L:L,R:R,1,E:E,E1250)/SUMIFS(K:K,R:R,1,E:E,E1250),"Вторая четверть","Больше половины"))</f>
        <v/>
      </c>
      <c r="X1250">
        <f>IF(O1250&lt;SUMIFS(M:M,R:R,1,E:E,E1250)/SUMIFS(L:L,R:R,1,E:E,E1250)*0.5,"Низшая четверть",IF(O1250&lt;SUMIFS(M:M,R:R,1,E:E,E1250)/SUMIFS(L:L,R:R,1,E:E,E1250),"Вторая четверть","Больше половины"))</f>
        <v/>
      </c>
      <c r="Y1250" t="n">
        <v>9</v>
      </c>
    </row>
    <row r="1251">
      <c r="A1251" s="1" t="inlineStr">
        <is>
          <t>310004I0</t>
        </is>
      </c>
      <c r="B1251" s="2" t="inlineStr">
        <is>
          <t>806662779</t>
        </is>
      </c>
      <c r="C1251" s="3" t="inlineStr">
        <is>
          <t>Одежда для детей</t>
        </is>
      </c>
      <c r="D1251" s="2" t="inlineStr">
        <is>
          <t>Футболки, майки, рубашки детские для мальчиков</t>
        </is>
      </c>
      <c r="E1251" s="3" t="inlineStr">
        <is>
          <t>310 Футболка детская для мальчиков</t>
        </is>
      </c>
      <c r="F1251" s="2" t="inlineStr">
        <is>
          <t>всесезонный</t>
        </is>
      </c>
      <c r="G1251" s="3" t="inlineStr">
        <is>
          <t>kari</t>
        </is>
      </c>
      <c r="H1251" s="2" t="inlineStr">
        <is>
          <t>Зиннуров Ильнур</t>
        </is>
      </c>
      <c r="J1251" s="3" t="inlineStr">
        <is>
          <t>2026SS</t>
        </is>
      </c>
      <c r="K1251" s="3" t="n">
        <v>312</v>
      </c>
      <c r="L1251" s="3" t="n">
        <v>180</v>
      </c>
      <c r="M1251" s="3" t="n">
        <v>2</v>
      </c>
      <c r="N1251" s="4">
        <f>IFERROR(L1251/K1251,0)</f>
        <v/>
      </c>
      <c r="O1251" s="4">
        <f>IFERROR(M1251/L1251,0)</f>
        <v/>
      </c>
      <c r="P1251" t="n">
        <v>1198</v>
      </c>
      <c r="Q1251" s="5" t="n">
        <v>1</v>
      </c>
      <c r="R1251" s="7" t="n">
        <v>0</v>
      </c>
      <c r="S1251" t="inlineStr">
        <is>
          <t>Мало показов</t>
        </is>
      </c>
      <c r="T1251">
        <f>IF(N1251&lt;$T$1*0.5,"Низшая четверть",IF(N1251&lt;$T$1,"Вторая четверть","Больше половины"))</f>
        <v/>
      </c>
      <c r="U1251">
        <f>IF(O1251&lt;$U$1*0.5,"Низшая четверть",IF(O1251&lt;$U$1,"Вторая четверть","Больше половины"))</f>
        <v/>
      </c>
      <c r="V1251">
        <f>IF(OR(N1251&lt;SUMIFS(L:L,R:R,1,E:E,E1251)/SUMIFS(K:K,R:R,1,E:E,E1251)*0.5,O1251&lt;SUMIFS(M:M,R:R,1,E:E,E1251)/SUMIFS(L:L,R:R,1,E:E,E1251)*0.5),"код для проверки","нормальный код")</f>
        <v/>
      </c>
      <c r="W1251">
        <f>IF(N1251&lt;SUMIFS(L:L,R:R,1,E:E,E1251)/SUMIFS(K:K,R:R,1,E:E,E1251)*0.5,"Низшая четверть",IF(N1251&lt;SUMIFS(L:L,R:R,1,E:E,E1251)/SUMIFS(K:K,R:R,1,E:E,E1251),"Вторая четверть","Больше половины"))</f>
        <v/>
      </c>
      <c r="X1251">
        <f>IF(O1251&lt;SUMIFS(M:M,R:R,1,E:E,E1251)/SUMIFS(L:L,R:R,1,E:E,E1251)*0.5,"Низшая четверть",IF(O1251&lt;SUMIFS(M:M,R:R,1,E:E,E1251)/SUMIFS(L:L,R:R,1,E:E,E1251),"Вторая четверть","Больше половины"))</f>
        <v/>
      </c>
      <c r="Y1251" t="n">
        <v>9</v>
      </c>
    </row>
    <row r="1252">
      <c r="A1252" s="1" t="inlineStr">
        <is>
          <t>94500160</t>
        </is>
      </c>
      <c r="B1252" s="2" t="inlineStr">
        <is>
          <t>923939444</t>
        </is>
      </c>
      <c r="C1252" s="3" t="inlineStr">
        <is>
          <t>Одежда для детей</t>
        </is>
      </c>
      <c r="D1252" s="2" t="inlineStr">
        <is>
          <t>Одежда для новорожденных</t>
        </is>
      </c>
      <c r="E1252" s="3" t="inlineStr">
        <is>
          <t>945 Комплект одежды для маленького мальчика</t>
        </is>
      </c>
      <c r="F1252" s="2" t="inlineStr">
        <is>
          <t>всесезонный</t>
        </is>
      </c>
      <c r="G1252" s="3" t="inlineStr">
        <is>
          <t>Kari baby</t>
        </is>
      </c>
      <c r="H1252" s="2" t="inlineStr">
        <is>
          <t>Зиннуров Ильнур</t>
        </is>
      </c>
      <c r="J1252" s="3" t="inlineStr">
        <is>
          <t>2026SS</t>
        </is>
      </c>
      <c r="K1252" s="3" t="n">
        <v>311</v>
      </c>
      <c r="L1252" s="3" t="n">
        <v>17</v>
      </c>
      <c r="M1252" s="3" t="n">
        <v>0</v>
      </c>
      <c r="N1252" s="4">
        <f>IFERROR(L1252/K1252,0)</f>
        <v/>
      </c>
      <c r="O1252" s="4">
        <f>IFERROR(M1252/L1252,0)</f>
        <v/>
      </c>
      <c r="P1252" t="n">
        <v>80</v>
      </c>
      <c r="Q1252" s="5" t="n">
        <v>1</v>
      </c>
      <c r="R1252" s="7" t="n">
        <v>0</v>
      </c>
      <c r="S1252" t="inlineStr">
        <is>
          <t>Мало показов</t>
        </is>
      </c>
      <c r="T1252">
        <f>IF(N1252&lt;$T$1*0.5,"Низшая четверть",IF(N1252&lt;$T$1,"Вторая четверть","Больше половины"))</f>
        <v/>
      </c>
      <c r="U1252">
        <f>IF(O1252&lt;$U$1*0.5,"Низшая четверть",IF(O1252&lt;$U$1,"Вторая четверть","Больше половины"))</f>
        <v/>
      </c>
      <c r="V1252">
        <f>IF(OR(N1252&lt;SUMIFS(L:L,R:R,1,E:E,E1252)/SUMIFS(K:K,R:R,1,E:E,E1252)*0.5,O1252&lt;SUMIFS(M:M,R:R,1,E:E,E1252)/SUMIFS(L:L,R:R,1,E:E,E1252)*0.5),"код для проверки","нормальный код")</f>
        <v/>
      </c>
      <c r="W1252">
        <f>IF(N1252&lt;SUMIFS(L:L,R:R,1,E:E,E1252)/SUMIFS(K:K,R:R,1,E:E,E1252)*0.5,"Низшая четверть",IF(N1252&lt;SUMIFS(L:L,R:R,1,E:E,E1252)/SUMIFS(K:K,R:R,1,E:E,E1252),"Вторая четверть","Больше половины"))</f>
        <v/>
      </c>
      <c r="X1252">
        <f>IF(O1252&lt;SUMIFS(M:M,R:R,1,E:E,E1252)/SUMIFS(L:L,R:R,1,E:E,E1252)*0.5,"Низшая четверть",IF(O1252&lt;SUMIFS(M:M,R:R,1,E:E,E1252)/SUMIFS(L:L,R:R,1,E:E,E1252),"Вторая четверть","Больше половины"))</f>
        <v/>
      </c>
      <c r="Y1252" t="n">
        <v>17</v>
      </c>
    </row>
    <row r="1253">
      <c r="A1253" s="1" t="inlineStr">
        <is>
          <t>h1100000</t>
        </is>
      </c>
      <c r="B1253" s="2" t="inlineStr">
        <is>
          <t>879308899</t>
        </is>
      </c>
      <c r="C1253" s="3" t="inlineStr">
        <is>
          <t>Одежда и аксессуары</t>
        </is>
      </c>
      <c r="D1253" s="2" t="inlineStr">
        <is>
          <t>Брюки, шорты мужские</t>
        </is>
      </c>
      <c r="E1253" s="3" t="inlineStr">
        <is>
          <t>h11 Шорты мужские</t>
        </is>
      </c>
      <c r="F1253" s="2" t="inlineStr">
        <is>
          <t>весна, лето</t>
        </is>
      </c>
      <c r="G1253" s="3" t="inlineStr">
        <is>
          <t>kari</t>
        </is>
      </c>
      <c r="H1253" s="2" t="inlineStr">
        <is>
          <t>Зиннуров Ильнур</t>
        </is>
      </c>
      <c r="J1253" s="3" t="inlineStr">
        <is>
          <t>2026SS</t>
        </is>
      </c>
      <c r="K1253" s="3" t="n">
        <v>310</v>
      </c>
      <c r="L1253" s="3" t="n">
        <v>8</v>
      </c>
      <c r="M1253" s="3" t="n">
        <v>0</v>
      </c>
      <c r="N1253" s="4">
        <f>IFERROR(L1253/K1253,0)</f>
        <v/>
      </c>
      <c r="O1253" s="4">
        <f>IFERROR(M1253/L1253,0)</f>
        <v/>
      </c>
      <c r="P1253" t="n">
        <v>1100</v>
      </c>
      <c r="Q1253" s="5" t="n">
        <v>1</v>
      </c>
      <c r="R1253" s="7" t="n">
        <v>0</v>
      </c>
      <c r="S1253" t="inlineStr">
        <is>
          <t>Мало показов</t>
        </is>
      </c>
      <c r="T1253">
        <f>IF(N1253&lt;$T$1*0.5,"Низшая четверть",IF(N1253&lt;$T$1,"Вторая четверть","Больше половины"))</f>
        <v/>
      </c>
      <c r="U1253">
        <f>IF(O1253&lt;$U$1*0.5,"Низшая четверть",IF(O1253&lt;$U$1,"Вторая четверть","Больше половины"))</f>
        <v/>
      </c>
      <c r="V1253">
        <f>IF(OR(N1253&lt;SUMIFS(L:L,R:R,1,E:E,E1253)/SUMIFS(K:K,R:R,1,E:E,E1253)*0.5,O1253&lt;SUMIFS(M:M,R:R,1,E:E,E1253)/SUMIFS(L:L,R:R,1,E:E,E1253)*0.5),"код для проверки","нормальный код")</f>
        <v/>
      </c>
      <c r="W1253">
        <f>IF(N1253&lt;SUMIFS(L:L,R:R,1,E:E,E1253)/SUMIFS(K:K,R:R,1,E:E,E1253)*0.5,"Низшая четверть",IF(N1253&lt;SUMIFS(L:L,R:R,1,E:E,E1253)/SUMIFS(K:K,R:R,1,E:E,E1253),"Вторая четверть","Больше половины"))</f>
        <v/>
      </c>
      <c r="X1253">
        <f>IF(O1253&lt;SUMIFS(M:M,R:R,1,E:E,E1253)/SUMIFS(L:L,R:R,1,E:E,E1253)*0.5,"Низшая четверть",IF(O1253&lt;SUMIFS(M:M,R:R,1,E:E,E1253)/SUMIFS(L:L,R:R,1,E:E,E1253),"Вторая четверть","Больше половины"))</f>
        <v/>
      </c>
      <c r="Y1253" t="n">
        <v>8</v>
      </c>
    </row>
    <row r="1254">
      <c r="A1254" s="1" t="inlineStr">
        <is>
          <t>29200180</t>
        </is>
      </c>
      <c r="B1254" s="2" t="inlineStr">
        <is>
          <t>936309626</t>
        </is>
      </c>
      <c r="C1254" s="3" t="inlineStr">
        <is>
          <t>Одежда для детей</t>
        </is>
      </c>
      <c r="D1254" s="2" t="inlineStr">
        <is>
          <t>Платья, майки, футболки детские для девочек</t>
        </is>
      </c>
      <c r="E1254" s="3" t="inlineStr">
        <is>
          <t>292 Сарафан детский для девочек</t>
        </is>
      </c>
      <c r="F1254" s="2" t="inlineStr">
        <is>
          <t>лето</t>
        </is>
      </c>
      <c r="G1254" s="3" t="inlineStr">
        <is>
          <t>kari</t>
        </is>
      </c>
      <c r="H1254" s="2" t="inlineStr">
        <is>
          <t>Зиннуров Ильнур</t>
        </is>
      </c>
      <c r="J1254" s="3" t="inlineStr">
        <is>
          <t>2026SS</t>
        </is>
      </c>
      <c r="K1254" s="3" t="n">
        <v>310</v>
      </c>
      <c r="L1254" s="3" t="n">
        <v>12</v>
      </c>
      <c r="M1254" s="3" t="n">
        <v>0</v>
      </c>
      <c r="N1254" s="4">
        <f>IFERROR(L1254/K1254,0)</f>
        <v/>
      </c>
      <c r="O1254" s="4">
        <f>IFERROR(M1254/L1254,0)</f>
        <v/>
      </c>
      <c r="P1254" t="n">
        <v>100</v>
      </c>
      <c r="Q1254" s="5" t="n">
        <v>1</v>
      </c>
      <c r="R1254" s="7" t="n">
        <v>0</v>
      </c>
      <c r="S1254" t="inlineStr">
        <is>
          <t>Мало показов</t>
        </is>
      </c>
      <c r="T1254">
        <f>IF(N1254&lt;$T$1*0.5,"Низшая четверть",IF(N1254&lt;$T$1,"Вторая четверть","Больше половины"))</f>
        <v/>
      </c>
      <c r="U1254">
        <f>IF(O1254&lt;$U$1*0.5,"Низшая четверть",IF(O1254&lt;$U$1,"Вторая четверть","Больше половины"))</f>
        <v/>
      </c>
      <c r="V1254">
        <f>IF(OR(N1254&lt;SUMIFS(L:L,R:R,1,E:E,E1254)/SUMIFS(K:K,R:R,1,E:E,E1254)*0.5,O1254&lt;SUMIFS(M:M,R:R,1,E:E,E1254)/SUMIFS(L:L,R:R,1,E:E,E1254)*0.5),"код для проверки","нормальный код")</f>
        <v/>
      </c>
      <c r="W1254">
        <f>IF(N1254&lt;SUMIFS(L:L,R:R,1,E:E,E1254)/SUMIFS(K:K,R:R,1,E:E,E1254)*0.5,"Низшая четверть",IF(N1254&lt;SUMIFS(L:L,R:R,1,E:E,E1254)/SUMIFS(K:K,R:R,1,E:E,E1254),"Вторая четверть","Больше половины"))</f>
        <v/>
      </c>
      <c r="X1254">
        <f>IF(O1254&lt;SUMIFS(M:M,R:R,1,E:E,E1254)/SUMIFS(L:L,R:R,1,E:E,E1254)*0.5,"Низшая четверть",IF(O1254&lt;SUMIFS(M:M,R:R,1,E:E,E1254)/SUMIFS(L:L,R:R,1,E:E,E1254),"Вторая четверть","Больше половины"))</f>
        <v/>
      </c>
      <c r="Y1254" t="n">
        <v>6</v>
      </c>
    </row>
    <row r="1255">
      <c r="A1255" s="1" t="inlineStr">
        <is>
          <t>h1100110</t>
        </is>
      </c>
      <c r="B1255" s="2" t="inlineStr">
        <is>
          <t>917880895</t>
        </is>
      </c>
      <c r="C1255" s="3" t="inlineStr">
        <is>
          <t>Одежда и аксессуары</t>
        </is>
      </c>
      <c r="D1255" s="2" t="inlineStr">
        <is>
          <t>Брюки, шорты мужские</t>
        </is>
      </c>
      <c r="E1255" s="3" t="inlineStr">
        <is>
          <t>h11 Шорты мужские</t>
        </is>
      </c>
      <c r="F1255" s="2" t="inlineStr">
        <is>
          <t>весна, лето</t>
        </is>
      </c>
      <c r="G1255" s="3" t="inlineStr">
        <is>
          <t>kari</t>
        </is>
      </c>
      <c r="H1255" s="2" t="inlineStr">
        <is>
          <t>Зиннуров Ильнур</t>
        </is>
      </c>
      <c r="J1255" s="3" t="inlineStr">
        <is>
          <t>2026SS</t>
        </is>
      </c>
      <c r="K1255" s="3" t="n">
        <v>305</v>
      </c>
      <c r="L1255" s="3" t="n">
        <v>7</v>
      </c>
      <c r="M1255" s="3" t="n">
        <v>0</v>
      </c>
      <c r="N1255" s="4">
        <f>IFERROR(L1255/K1255,0)</f>
        <v/>
      </c>
      <c r="O1255" s="4">
        <f>IFERROR(M1255/L1255,0)</f>
        <v/>
      </c>
      <c r="P1255" t="n">
        <v>250</v>
      </c>
      <c r="Q1255" s="5" t="n">
        <v>1</v>
      </c>
      <c r="R1255" s="7" t="n">
        <v>0</v>
      </c>
      <c r="S1255" t="inlineStr">
        <is>
          <t>Мало показов</t>
        </is>
      </c>
      <c r="T1255">
        <f>IF(N1255&lt;$T$1*0.5,"Низшая четверть",IF(N1255&lt;$T$1,"Вторая четверть","Больше половины"))</f>
        <v/>
      </c>
      <c r="U1255">
        <f>IF(O1255&lt;$U$1*0.5,"Низшая четверть",IF(O1255&lt;$U$1,"Вторая четверть","Больше половины"))</f>
        <v/>
      </c>
      <c r="V1255">
        <f>IF(OR(N1255&lt;SUMIFS(L:L,R:R,1,E:E,E1255)/SUMIFS(K:K,R:R,1,E:E,E1255)*0.5,O1255&lt;SUMIFS(M:M,R:R,1,E:E,E1255)/SUMIFS(L:L,R:R,1,E:E,E1255)*0.5),"код для проверки","нормальный код")</f>
        <v/>
      </c>
      <c r="W1255">
        <f>IF(N1255&lt;SUMIFS(L:L,R:R,1,E:E,E1255)/SUMIFS(K:K,R:R,1,E:E,E1255)*0.5,"Низшая четверть",IF(N1255&lt;SUMIFS(L:L,R:R,1,E:E,E1255)/SUMIFS(K:K,R:R,1,E:E,E1255),"Вторая четверть","Больше половины"))</f>
        <v/>
      </c>
      <c r="X1255">
        <f>IF(O1255&lt;SUMIFS(M:M,R:R,1,E:E,E1255)/SUMIFS(L:L,R:R,1,E:E,E1255)*0.5,"Низшая четверть",IF(O1255&lt;SUMIFS(M:M,R:R,1,E:E,E1255)/SUMIFS(L:L,R:R,1,E:E,E1255),"Вторая четверть","Больше половины"))</f>
        <v/>
      </c>
      <c r="Y1255" t="n">
        <v>18</v>
      </c>
    </row>
    <row r="1256">
      <c r="A1256" s="1" t="inlineStr">
        <is>
          <t>93700120</t>
        </is>
      </c>
      <c r="B1256" s="2" t="inlineStr">
        <is>
          <t>924163602</t>
        </is>
      </c>
      <c r="C1256" s="3" t="inlineStr">
        <is>
          <t>Одежда для детей</t>
        </is>
      </c>
      <c r="D1256" s="2" t="inlineStr">
        <is>
          <t>Одежда для новорожденных</t>
        </is>
      </c>
      <c r="E1256" s="3" t="inlineStr">
        <is>
          <t>937 Боди с коротким рукавом для мальчиков</t>
        </is>
      </c>
      <c r="F1256" s="2" t="inlineStr">
        <is>
          <t>всесезонный</t>
        </is>
      </c>
      <c r="G1256" s="3" t="inlineStr">
        <is>
          <t>Kari baby</t>
        </is>
      </c>
      <c r="H1256" s="2" t="inlineStr">
        <is>
          <t>Зиннуров Ильнур</t>
        </is>
      </c>
      <c r="J1256" s="3" t="inlineStr">
        <is>
          <t>2026SS</t>
        </is>
      </c>
      <c r="K1256" s="3" t="n">
        <v>305</v>
      </c>
      <c r="L1256" s="3" t="n">
        <v>14</v>
      </c>
      <c r="M1256" s="3" t="n">
        <v>0</v>
      </c>
      <c r="N1256" s="4">
        <f>IFERROR(L1256/K1256,0)</f>
        <v/>
      </c>
      <c r="O1256" s="4">
        <f>IFERROR(M1256/L1256,0)</f>
        <v/>
      </c>
      <c r="P1256" t="n">
        <v>120</v>
      </c>
      <c r="Q1256" s="5" t="n">
        <v>1</v>
      </c>
      <c r="R1256" s="7" t="n">
        <v>0</v>
      </c>
      <c r="S1256" t="inlineStr">
        <is>
          <t>Мало показов</t>
        </is>
      </c>
      <c r="T1256">
        <f>IF(N1256&lt;$T$1*0.5,"Низшая четверть",IF(N1256&lt;$T$1,"Вторая четверть","Больше половины"))</f>
        <v/>
      </c>
      <c r="U1256">
        <f>IF(O1256&lt;$U$1*0.5,"Низшая четверть",IF(O1256&lt;$U$1,"Вторая четверть","Больше половины"))</f>
        <v/>
      </c>
      <c r="V1256">
        <f>IF(OR(N1256&lt;SUMIFS(L:L,R:R,1,E:E,E1256)/SUMIFS(K:K,R:R,1,E:E,E1256)*0.5,O1256&lt;SUMIFS(M:M,R:R,1,E:E,E1256)/SUMIFS(L:L,R:R,1,E:E,E1256)*0.5),"код для проверки","нормальный код")</f>
        <v/>
      </c>
      <c r="W1256">
        <f>IF(N1256&lt;SUMIFS(L:L,R:R,1,E:E,E1256)/SUMIFS(K:K,R:R,1,E:E,E1256)*0.5,"Низшая четверть",IF(N1256&lt;SUMIFS(L:L,R:R,1,E:E,E1256)/SUMIFS(K:K,R:R,1,E:E,E1256),"Вторая четверть","Больше половины"))</f>
        <v/>
      </c>
      <c r="X1256">
        <f>IF(O1256&lt;SUMIFS(M:M,R:R,1,E:E,E1256)/SUMIFS(L:L,R:R,1,E:E,E1256)*0.5,"Низшая четверть",IF(O1256&lt;SUMIFS(M:M,R:R,1,E:E,E1256)/SUMIFS(L:L,R:R,1,E:E,E1256),"Вторая четверть","Больше половины"))</f>
        <v/>
      </c>
      <c r="Y1256" t="n">
        <v>23</v>
      </c>
    </row>
    <row r="1257">
      <c r="A1257" s="1" t="inlineStr">
        <is>
          <t>12406260</t>
        </is>
      </c>
      <c r="B1257" s="2" t="inlineStr">
        <is>
          <t>395972192</t>
        </is>
      </c>
      <c r="C1257" s="3" t="inlineStr">
        <is>
          <t>Одежда и аксессуары</t>
        </is>
      </c>
      <c r="D1257" s="2" t="inlineStr">
        <is>
          <t>Чулочные и носочные изделия для женщин</t>
        </is>
      </c>
      <c r="E1257" s="3" t="inlineStr">
        <is>
          <t>124 Подследники женские</t>
        </is>
      </c>
      <c r="F1257" s="2" t="inlineStr">
        <is>
          <t>всесезонный</t>
        </is>
      </c>
      <c r="G1257" s="3" t="inlineStr">
        <is>
          <t>kari</t>
        </is>
      </c>
      <c r="H1257" s="2" t="inlineStr">
        <is>
          <t>Зиннуров Ильнур</t>
        </is>
      </c>
      <c r="J1257" s="3" t="inlineStr">
        <is>
          <t>2026SS</t>
        </is>
      </c>
      <c r="K1257" s="3" t="n">
        <v>305</v>
      </c>
      <c r="L1257" s="3" t="n">
        <v>20</v>
      </c>
      <c r="M1257" s="3" t="n">
        <v>1</v>
      </c>
      <c r="N1257" s="4">
        <f>IFERROR(L1257/K1257,0)</f>
        <v/>
      </c>
      <c r="O1257" s="4">
        <f>IFERROR(M1257/L1257,0)</f>
        <v/>
      </c>
      <c r="P1257" t="n">
        <v>0</v>
      </c>
      <c r="Q1257" s="5" t="n">
        <v>1</v>
      </c>
      <c r="R1257" s="7" t="n">
        <v>0</v>
      </c>
      <c r="S1257" t="inlineStr">
        <is>
          <t>Мало остатка</t>
        </is>
      </c>
      <c r="T1257">
        <f>IF(N1257&lt;$T$1*0.5,"Низшая четверть",IF(N1257&lt;$T$1,"Вторая четверть","Больше половины"))</f>
        <v/>
      </c>
      <c r="U1257">
        <f>IF(O1257&lt;$U$1*0.5,"Низшая четверть",IF(O1257&lt;$U$1,"Вторая четверть","Больше половины"))</f>
        <v/>
      </c>
      <c r="V1257">
        <f>IF(OR(N1257&lt;SUMIFS(L:L,R:R,1,E:E,E1257)/SUMIFS(K:K,R:R,1,E:E,E1257)*0.5,O1257&lt;SUMIFS(M:M,R:R,1,E:E,E1257)/SUMIFS(L:L,R:R,1,E:E,E1257)*0.5),"код для проверки","нормальный код")</f>
        <v/>
      </c>
      <c r="W1257">
        <f>IF(N1257&lt;SUMIFS(L:L,R:R,1,E:E,E1257)/SUMIFS(K:K,R:R,1,E:E,E1257)*0.5,"Низшая четверть",IF(N1257&lt;SUMIFS(L:L,R:R,1,E:E,E1257)/SUMIFS(K:K,R:R,1,E:E,E1257),"Вторая четверть","Больше половины"))</f>
        <v/>
      </c>
      <c r="X1257">
        <f>IF(O1257&lt;SUMIFS(M:M,R:R,1,E:E,E1257)/SUMIFS(L:L,R:R,1,E:E,E1257)*0.5,"Низшая четверть",IF(O1257&lt;SUMIFS(M:M,R:R,1,E:E,E1257)/SUMIFS(L:L,R:R,1,E:E,E1257),"Вторая четверть","Больше половины"))</f>
        <v/>
      </c>
      <c r="Y1257" t="n">
        <v>8</v>
      </c>
    </row>
    <row r="1258">
      <c r="A1258" s="1" t="inlineStr">
        <is>
          <t>07300560</t>
        </is>
      </c>
      <c r="B1258" s="2" t="inlineStr">
        <is>
          <t>917331608</t>
        </is>
      </c>
      <c r="C1258" s="3" t="inlineStr">
        <is>
          <t>Одежда и аксессуары</t>
        </is>
      </c>
      <c r="D1258" s="2" t="inlineStr">
        <is>
          <t>Нижнее белье мужское</t>
        </is>
      </c>
      <c r="E1258" s="3" t="inlineStr">
        <is>
          <t>073 Трусы мужские</t>
        </is>
      </c>
      <c r="F1258" s="2" t="inlineStr">
        <is>
          <t>всесезонный</t>
        </is>
      </c>
      <c r="G1258" s="3" t="inlineStr">
        <is>
          <t>kari</t>
        </is>
      </c>
      <c r="H1258" s="2" t="inlineStr">
        <is>
          <t>Никонорова Алина</t>
        </is>
      </c>
      <c r="J1258" s="3" t="inlineStr">
        <is>
          <t>2026SS</t>
        </is>
      </c>
      <c r="K1258" s="3" t="n">
        <v>304</v>
      </c>
      <c r="L1258" s="3" t="n">
        <v>19</v>
      </c>
      <c r="M1258" s="3" t="n">
        <v>0</v>
      </c>
      <c r="N1258" s="4">
        <f>IFERROR(L1258/K1258,0)</f>
        <v/>
      </c>
      <c r="O1258" s="4">
        <f>IFERROR(M1258/L1258,0)</f>
        <v/>
      </c>
      <c r="P1258" t="n">
        <v>1857</v>
      </c>
      <c r="Q1258" s="5" t="n">
        <v>1</v>
      </c>
      <c r="R1258" s="7" t="n">
        <v>0</v>
      </c>
      <c r="S1258" t="inlineStr">
        <is>
          <t>Мало показов</t>
        </is>
      </c>
      <c r="T1258">
        <f>IF(N1258&lt;$T$1*0.5,"Низшая четверть",IF(N1258&lt;$T$1,"Вторая четверть","Больше половины"))</f>
        <v/>
      </c>
      <c r="U1258">
        <f>IF(O1258&lt;$U$1*0.5,"Низшая четверть",IF(O1258&lt;$U$1,"Вторая четверть","Больше половины"))</f>
        <v/>
      </c>
      <c r="V1258">
        <f>IF(OR(N1258&lt;SUMIFS(L:L,R:R,1,E:E,E1258)/SUMIFS(K:K,R:R,1,E:E,E1258)*0.5,O1258&lt;SUMIFS(M:M,R:R,1,E:E,E1258)/SUMIFS(L:L,R:R,1,E:E,E1258)*0.5),"код для проверки","нормальный код")</f>
        <v/>
      </c>
      <c r="W1258">
        <f>IF(N1258&lt;SUMIFS(L:L,R:R,1,E:E,E1258)/SUMIFS(K:K,R:R,1,E:E,E1258)*0.5,"Низшая четверть",IF(N1258&lt;SUMIFS(L:L,R:R,1,E:E,E1258)/SUMIFS(K:K,R:R,1,E:E,E1258),"Вторая четверть","Больше половины"))</f>
        <v/>
      </c>
      <c r="X1258">
        <f>IF(O1258&lt;SUMIFS(M:M,R:R,1,E:E,E1258)/SUMIFS(L:L,R:R,1,E:E,E1258)*0.5,"Низшая четверть",IF(O1258&lt;SUMIFS(M:M,R:R,1,E:E,E1258)/SUMIFS(L:L,R:R,1,E:E,E1258),"Вторая четверть","Больше половины"))</f>
        <v/>
      </c>
      <c r="Y1258" t="n">
        <v>14</v>
      </c>
    </row>
    <row r="1259">
      <c r="A1259" s="1" t="inlineStr">
        <is>
          <t>a6000760</t>
        </is>
      </c>
      <c r="B1259" s="2" t="inlineStr">
        <is>
          <t>884287678</t>
        </is>
      </c>
      <c r="C1259" s="3" t="inlineStr">
        <is>
          <t>Одежда для детей</t>
        </is>
      </c>
      <c r="D1259" s="2" t="inlineStr">
        <is>
          <t>Платья, майки, футболки детские для девочек</t>
        </is>
      </c>
      <c r="E1259" s="3" t="inlineStr">
        <is>
          <t>a60 Футболка детская для девочек</t>
        </is>
      </c>
      <c r="F1259" s="2" t="inlineStr">
        <is>
          <t>всесезонный</t>
        </is>
      </c>
      <c r="G1259" s="3" t="inlineStr">
        <is>
          <t>kari</t>
        </is>
      </c>
      <c r="H1259" s="2" t="inlineStr">
        <is>
          <t>Зиннуров Ильнур</t>
        </is>
      </c>
      <c r="J1259" s="3" t="inlineStr">
        <is>
          <t>2026SS</t>
        </is>
      </c>
      <c r="K1259" s="3" t="n">
        <v>303</v>
      </c>
      <c r="L1259" s="3" t="n">
        <v>3</v>
      </c>
      <c r="M1259" s="3" t="n">
        <v>0</v>
      </c>
      <c r="N1259" s="4">
        <f>IFERROR(L1259/K1259,0)</f>
        <v/>
      </c>
      <c r="O1259" s="4">
        <f>IFERROR(M1259/L1259,0)</f>
        <v/>
      </c>
      <c r="P1259" t="n">
        <v>89</v>
      </c>
      <c r="Q1259" s="5" t="n">
        <v>0.4444444444444444</v>
      </c>
      <c r="R1259" s="7" t="n">
        <v>0</v>
      </c>
      <c r="S1259" t="inlineStr">
        <is>
          <t>Мало показов</t>
        </is>
      </c>
      <c r="T1259">
        <f>IF(N1259&lt;$T$1*0.5,"Низшая четверть",IF(N1259&lt;$T$1,"Вторая четверть","Больше половины"))</f>
        <v/>
      </c>
      <c r="U1259">
        <f>IF(O1259&lt;$U$1*0.5,"Низшая четверть",IF(O1259&lt;$U$1,"Вторая четверть","Больше половины"))</f>
        <v/>
      </c>
      <c r="V1259">
        <f>IF(OR(N1259&lt;SUMIFS(L:L,R:R,1,E:E,E1259)/SUMIFS(K:K,R:R,1,E:E,E1259)*0.5,O1259&lt;SUMIFS(M:M,R:R,1,E:E,E1259)/SUMIFS(L:L,R:R,1,E:E,E1259)*0.5),"код для проверки","нормальный код")</f>
        <v/>
      </c>
      <c r="W1259">
        <f>IF(N1259&lt;SUMIFS(L:L,R:R,1,E:E,E1259)/SUMIFS(K:K,R:R,1,E:E,E1259)*0.5,"Низшая четверть",IF(N1259&lt;SUMIFS(L:L,R:R,1,E:E,E1259)/SUMIFS(K:K,R:R,1,E:E,E1259),"Вторая четверть","Больше половины"))</f>
        <v/>
      </c>
      <c r="X1259">
        <f>IF(O1259&lt;SUMIFS(M:M,R:R,1,E:E,E1259)/SUMIFS(L:L,R:R,1,E:E,E1259)*0.5,"Низшая четверть",IF(O1259&lt;SUMIFS(M:M,R:R,1,E:E,E1259)/SUMIFS(L:L,R:R,1,E:E,E1259),"Вторая четверть","Больше половины"))</f>
        <v/>
      </c>
      <c r="Y1259" t="n">
        <v>16</v>
      </c>
    </row>
    <row r="1260">
      <c r="A1260" s="1" t="inlineStr">
        <is>
          <t>19200040</t>
        </is>
      </c>
      <c r="B1260" s="2" t="inlineStr">
        <is>
          <t>858780626</t>
        </is>
      </c>
      <c r="C1260" s="3" t="inlineStr">
        <is>
          <t>Одежда для детей</t>
        </is>
      </c>
      <c r="D1260" s="2" t="inlineStr">
        <is>
          <t>Футболки, майки, рубашки детские для мальчиков</t>
        </is>
      </c>
      <c r="E1260" s="3" t="inlineStr">
        <is>
          <t>192 Рубашка детская для мальчиков</t>
        </is>
      </c>
      <c r="F1260" s="2" t="inlineStr">
        <is>
          <t>весна, лето</t>
        </is>
      </c>
      <c r="G1260" s="3" t="inlineStr">
        <is>
          <t>kari</t>
        </is>
      </c>
      <c r="H1260" s="2" t="inlineStr">
        <is>
          <t>Зиннуров Ильнур</t>
        </is>
      </c>
      <c r="J1260" s="3" t="inlineStr">
        <is>
          <t>2026SS</t>
        </is>
      </c>
      <c r="K1260" s="3" t="n">
        <v>303</v>
      </c>
      <c r="L1260" s="3" t="n">
        <v>4</v>
      </c>
      <c r="M1260" s="3" t="n">
        <v>0</v>
      </c>
      <c r="N1260" s="4">
        <f>IFERROR(L1260/K1260,0)</f>
        <v/>
      </c>
      <c r="O1260" s="4">
        <f>IFERROR(M1260/L1260,0)</f>
        <v/>
      </c>
      <c r="P1260" t="n">
        <v>100</v>
      </c>
      <c r="Q1260" s="5" t="n">
        <v>1</v>
      </c>
      <c r="R1260" s="7" t="n">
        <v>0</v>
      </c>
      <c r="S1260" t="inlineStr">
        <is>
          <t>Мало показов</t>
        </is>
      </c>
      <c r="T1260">
        <f>IF(N1260&lt;$T$1*0.5,"Низшая четверть",IF(N1260&lt;$T$1,"Вторая четверть","Больше половины"))</f>
        <v/>
      </c>
      <c r="U1260">
        <f>IF(O1260&lt;$U$1*0.5,"Низшая четверть",IF(O1260&lt;$U$1,"Вторая четверть","Больше половины"))</f>
        <v/>
      </c>
      <c r="V1260">
        <f>IF(OR(N1260&lt;SUMIFS(L:L,R:R,1,E:E,E1260)/SUMIFS(K:K,R:R,1,E:E,E1260)*0.5,O1260&lt;SUMIFS(M:M,R:R,1,E:E,E1260)/SUMIFS(L:L,R:R,1,E:E,E1260)*0.5),"код для проверки","нормальный код")</f>
        <v/>
      </c>
      <c r="W1260">
        <f>IF(N1260&lt;SUMIFS(L:L,R:R,1,E:E,E1260)/SUMIFS(K:K,R:R,1,E:E,E1260)*0.5,"Низшая четверть",IF(N1260&lt;SUMIFS(L:L,R:R,1,E:E,E1260)/SUMIFS(K:K,R:R,1,E:E,E1260),"Вторая четверть","Больше половины"))</f>
        <v/>
      </c>
      <c r="X1260">
        <f>IF(O1260&lt;SUMIFS(M:M,R:R,1,E:E,E1260)/SUMIFS(L:L,R:R,1,E:E,E1260)*0.5,"Низшая четверть",IF(O1260&lt;SUMIFS(M:M,R:R,1,E:E,E1260)/SUMIFS(L:L,R:R,1,E:E,E1260),"Вторая четверть","Больше половины"))</f>
        <v/>
      </c>
      <c r="Y1260" t="n">
        <v>17</v>
      </c>
    </row>
    <row r="1261">
      <c r="A1261" s="1" t="inlineStr">
        <is>
          <t>93700130</t>
        </is>
      </c>
      <c r="B1261" s="2" t="inlineStr">
        <is>
          <t>924163572</t>
        </is>
      </c>
      <c r="C1261" s="3" t="inlineStr">
        <is>
          <t>Одежда для детей</t>
        </is>
      </c>
      <c r="D1261" s="2" t="inlineStr">
        <is>
          <t>Одежда для новорожденных</t>
        </is>
      </c>
      <c r="E1261" s="3" t="inlineStr">
        <is>
          <t>937 Боди с коротким рукавом для мальчиков</t>
        </is>
      </c>
      <c r="F1261" s="2" t="inlineStr">
        <is>
          <t>всесезонный</t>
        </is>
      </c>
      <c r="G1261" s="3" t="inlineStr">
        <is>
          <t>Kari baby</t>
        </is>
      </c>
      <c r="H1261" s="2" t="inlineStr">
        <is>
          <t>Зиннуров Ильнур</t>
        </is>
      </c>
      <c r="J1261" s="3" t="inlineStr">
        <is>
          <t>2026SS</t>
        </is>
      </c>
      <c r="K1261" s="3" t="n">
        <v>301</v>
      </c>
      <c r="L1261" s="3" t="n">
        <v>12</v>
      </c>
      <c r="M1261" s="3" t="n">
        <v>0</v>
      </c>
      <c r="N1261" s="4">
        <f>IFERROR(L1261/K1261,0)</f>
        <v/>
      </c>
      <c r="O1261" s="4">
        <f>IFERROR(M1261/L1261,0)</f>
        <v/>
      </c>
      <c r="P1261" t="n">
        <v>120</v>
      </c>
      <c r="Q1261" s="5" t="n">
        <v>1</v>
      </c>
      <c r="R1261" s="7" t="n">
        <v>0</v>
      </c>
      <c r="S1261" t="inlineStr">
        <is>
          <t>Мало показов</t>
        </is>
      </c>
      <c r="T1261">
        <f>IF(N1261&lt;$T$1*0.5,"Низшая четверть",IF(N1261&lt;$T$1,"Вторая четверть","Больше половины"))</f>
        <v/>
      </c>
      <c r="U1261">
        <f>IF(O1261&lt;$U$1*0.5,"Низшая четверть",IF(O1261&lt;$U$1,"Вторая четверть","Больше половины"))</f>
        <v/>
      </c>
      <c r="V1261">
        <f>IF(OR(N1261&lt;SUMIFS(L:L,R:R,1,E:E,E1261)/SUMIFS(K:K,R:R,1,E:E,E1261)*0.5,O1261&lt;SUMIFS(M:M,R:R,1,E:E,E1261)/SUMIFS(L:L,R:R,1,E:E,E1261)*0.5),"код для проверки","нормальный код")</f>
        <v/>
      </c>
      <c r="W1261">
        <f>IF(N1261&lt;SUMIFS(L:L,R:R,1,E:E,E1261)/SUMIFS(K:K,R:R,1,E:E,E1261)*0.5,"Низшая четверть",IF(N1261&lt;SUMIFS(L:L,R:R,1,E:E,E1261)/SUMIFS(K:K,R:R,1,E:E,E1261),"Вторая четверть","Больше половины"))</f>
        <v/>
      </c>
      <c r="X1261">
        <f>IF(O1261&lt;SUMIFS(M:M,R:R,1,E:E,E1261)/SUMIFS(L:L,R:R,1,E:E,E1261)*0.5,"Низшая четверть",IF(O1261&lt;SUMIFS(M:M,R:R,1,E:E,E1261)/SUMIFS(L:L,R:R,1,E:E,E1261),"Вторая четверть","Больше половины"))</f>
        <v/>
      </c>
      <c r="Y1261" t="n">
        <v>25</v>
      </c>
    </row>
    <row r="1262">
      <c r="A1262" s="1" t="inlineStr">
        <is>
          <t>56800220</t>
        </is>
      </c>
      <c r="B1262" s="2" t="inlineStr">
        <is>
          <t>924182328</t>
        </is>
      </c>
      <c r="C1262" s="3" t="inlineStr">
        <is>
          <t>Одежда для детей</t>
        </is>
      </c>
      <c r="D1262" s="2" t="inlineStr">
        <is>
          <t>Одежда для новорожденных</t>
        </is>
      </c>
      <c r="E1262" s="3" t="inlineStr">
        <is>
          <t>568 Боди с коротким рукавом для девочек</t>
        </is>
      </c>
      <c r="F1262" s="2" t="inlineStr">
        <is>
          <t>всесезонный</t>
        </is>
      </c>
      <c r="G1262" s="3" t="inlineStr">
        <is>
          <t>Kari baby</t>
        </is>
      </c>
      <c r="H1262" s="2" t="inlineStr">
        <is>
          <t>Зиннуров Ильнур</t>
        </is>
      </c>
      <c r="J1262" s="3" t="inlineStr">
        <is>
          <t>2026SS</t>
        </is>
      </c>
      <c r="K1262" s="3" t="n">
        <v>301</v>
      </c>
      <c r="L1262" s="3" t="n">
        <v>27</v>
      </c>
      <c r="M1262" s="3" t="n">
        <v>0</v>
      </c>
      <c r="N1262" s="4">
        <f>IFERROR(L1262/K1262,0)</f>
        <v/>
      </c>
      <c r="O1262" s="4">
        <f>IFERROR(M1262/L1262,0)</f>
        <v/>
      </c>
      <c r="P1262" t="n">
        <v>120</v>
      </c>
      <c r="Q1262" s="5" t="n">
        <v>1</v>
      </c>
      <c r="R1262" s="7" t="n">
        <v>0</v>
      </c>
      <c r="S1262" t="inlineStr">
        <is>
          <t>Мало показов</t>
        </is>
      </c>
      <c r="T1262">
        <f>IF(N1262&lt;$T$1*0.5,"Низшая четверть",IF(N1262&lt;$T$1,"Вторая четверть","Больше половины"))</f>
        <v/>
      </c>
      <c r="U1262">
        <f>IF(O1262&lt;$U$1*0.5,"Низшая четверть",IF(O1262&lt;$U$1,"Вторая четверть","Больше половины"))</f>
        <v/>
      </c>
      <c r="V1262">
        <f>IF(OR(N1262&lt;SUMIFS(L:L,R:R,1,E:E,E1262)/SUMIFS(K:K,R:R,1,E:E,E1262)*0.5,O1262&lt;SUMIFS(M:M,R:R,1,E:E,E1262)/SUMIFS(L:L,R:R,1,E:E,E1262)*0.5),"код для проверки","нормальный код")</f>
        <v/>
      </c>
      <c r="W1262">
        <f>IF(N1262&lt;SUMIFS(L:L,R:R,1,E:E,E1262)/SUMIFS(K:K,R:R,1,E:E,E1262)*0.5,"Низшая четверть",IF(N1262&lt;SUMIFS(L:L,R:R,1,E:E,E1262)/SUMIFS(K:K,R:R,1,E:E,E1262),"Вторая четверть","Больше половины"))</f>
        <v/>
      </c>
      <c r="X1262">
        <f>IF(O1262&lt;SUMIFS(M:M,R:R,1,E:E,E1262)/SUMIFS(L:L,R:R,1,E:E,E1262)*0.5,"Низшая четверть",IF(O1262&lt;SUMIFS(M:M,R:R,1,E:E,E1262)/SUMIFS(L:L,R:R,1,E:E,E1262),"Вторая четверть","Больше половины"))</f>
        <v/>
      </c>
      <c r="Y1262" t="n">
        <v>23</v>
      </c>
    </row>
    <row r="1263">
      <c r="A1263" s="1" t="inlineStr">
        <is>
          <t>94600100</t>
        </is>
      </c>
      <c r="B1263" s="2" t="inlineStr">
        <is>
          <t>860855848</t>
        </is>
      </c>
      <c r="C1263" s="3" t="inlineStr">
        <is>
          <t>Одежда для детей</t>
        </is>
      </c>
      <c r="D1263" s="2" t="inlineStr">
        <is>
          <t>Одежда для новорожденных</t>
        </is>
      </c>
      <c r="E1263" s="3" t="inlineStr">
        <is>
          <t>946 Ромпер для мальчика</t>
        </is>
      </c>
      <c r="F1263" s="2" t="inlineStr">
        <is>
          <t>лето</t>
        </is>
      </c>
      <c r="G1263" s="3" t="inlineStr">
        <is>
          <t>Kari baby</t>
        </is>
      </c>
      <c r="H1263" s="2" t="inlineStr">
        <is>
          <t>Зиннуров Ильнур</t>
        </is>
      </c>
      <c r="J1263" s="3" t="inlineStr">
        <is>
          <t>2026SS</t>
        </is>
      </c>
      <c r="K1263" s="3" t="n">
        <v>299</v>
      </c>
      <c r="L1263" s="3" t="n">
        <v>78</v>
      </c>
      <c r="M1263" s="3" t="n">
        <v>0</v>
      </c>
      <c r="N1263" s="4">
        <f>IFERROR(L1263/K1263,0)</f>
        <v/>
      </c>
      <c r="O1263" s="4">
        <f>IFERROR(M1263/L1263,0)</f>
        <v/>
      </c>
      <c r="P1263" t="n">
        <v>200</v>
      </c>
      <c r="Q1263" s="5" t="n">
        <v>1</v>
      </c>
      <c r="R1263" s="7" t="n">
        <v>0</v>
      </c>
      <c r="S1263" t="inlineStr">
        <is>
          <t>Мало показов</t>
        </is>
      </c>
      <c r="T1263">
        <f>IF(N1263&lt;$T$1*0.5,"Низшая четверть",IF(N1263&lt;$T$1,"Вторая четверть","Больше половины"))</f>
        <v/>
      </c>
      <c r="U1263">
        <f>IF(O1263&lt;$U$1*0.5,"Низшая четверть",IF(O1263&lt;$U$1,"Вторая четверть","Больше половины"))</f>
        <v/>
      </c>
      <c r="V1263">
        <f>IF(OR(N1263&lt;SUMIFS(L:L,R:R,1,E:E,E1263)/SUMIFS(K:K,R:R,1,E:E,E1263)*0.5,O1263&lt;SUMIFS(M:M,R:R,1,E:E,E1263)/SUMIFS(L:L,R:R,1,E:E,E1263)*0.5),"код для проверки","нормальный код")</f>
        <v/>
      </c>
      <c r="W1263">
        <f>IF(N1263&lt;SUMIFS(L:L,R:R,1,E:E,E1263)/SUMIFS(K:K,R:R,1,E:E,E1263)*0.5,"Низшая четверть",IF(N1263&lt;SUMIFS(L:L,R:R,1,E:E,E1263)/SUMIFS(K:K,R:R,1,E:E,E1263),"Вторая четверть","Больше половины"))</f>
        <v/>
      </c>
      <c r="X1263">
        <f>IF(O1263&lt;SUMIFS(M:M,R:R,1,E:E,E1263)/SUMIFS(L:L,R:R,1,E:E,E1263)*0.5,"Низшая четверть",IF(O1263&lt;SUMIFS(M:M,R:R,1,E:E,E1263)/SUMIFS(L:L,R:R,1,E:E,E1263),"Вторая четверть","Больше половины"))</f>
        <v/>
      </c>
      <c r="Y1263" t="n">
        <v>15</v>
      </c>
    </row>
    <row r="1264">
      <c r="A1264" s="1" t="inlineStr">
        <is>
          <t>94500170</t>
        </is>
      </c>
      <c r="B1264" s="2" t="inlineStr">
        <is>
          <t>923939448</t>
        </is>
      </c>
      <c r="C1264" s="3" t="inlineStr">
        <is>
          <t>Одежда для детей</t>
        </is>
      </c>
      <c r="D1264" s="2" t="inlineStr">
        <is>
          <t>Одежда для новорожденных</t>
        </is>
      </c>
      <c r="E1264" s="3" t="inlineStr">
        <is>
          <t>945 Комплект одежды для маленького мальчика</t>
        </is>
      </c>
      <c r="F1264" s="2" t="inlineStr">
        <is>
          <t>всесезонный</t>
        </is>
      </c>
      <c r="G1264" s="3" t="inlineStr">
        <is>
          <t>Kari baby</t>
        </is>
      </c>
      <c r="H1264" s="2" t="inlineStr">
        <is>
          <t>Зиннуров Ильнур</t>
        </is>
      </c>
      <c r="J1264" s="3" t="inlineStr">
        <is>
          <t>2026SS</t>
        </is>
      </c>
      <c r="K1264" s="3" t="n">
        <v>298</v>
      </c>
      <c r="L1264" s="3" t="n">
        <v>8</v>
      </c>
      <c r="M1264" s="3" t="n">
        <v>0</v>
      </c>
      <c r="N1264" s="4">
        <f>IFERROR(L1264/K1264,0)</f>
        <v/>
      </c>
      <c r="O1264" s="4">
        <f>IFERROR(M1264/L1264,0)</f>
        <v/>
      </c>
      <c r="P1264" t="n">
        <v>150</v>
      </c>
      <c r="Q1264" s="5" t="n">
        <v>1</v>
      </c>
      <c r="R1264" s="7" t="n">
        <v>0</v>
      </c>
      <c r="S1264" t="inlineStr">
        <is>
          <t>Мало показов</t>
        </is>
      </c>
      <c r="T1264">
        <f>IF(N1264&lt;$T$1*0.5,"Низшая четверть",IF(N1264&lt;$T$1,"Вторая четверть","Больше половины"))</f>
        <v/>
      </c>
      <c r="U1264">
        <f>IF(O1264&lt;$U$1*0.5,"Низшая четверть",IF(O1264&lt;$U$1,"Вторая четверть","Больше половины"))</f>
        <v/>
      </c>
      <c r="V1264">
        <f>IF(OR(N1264&lt;SUMIFS(L:L,R:R,1,E:E,E1264)/SUMIFS(K:K,R:R,1,E:E,E1264)*0.5,O1264&lt;SUMIFS(M:M,R:R,1,E:E,E1264)/SUMIFS(L:L,R:R,1,E:E,E1264)*0.5),"код для проверки","нормальный код")</f>
        <v/>
      </c>
      <c r="W1264">
        <f>IF(N1264&lt;SUMIFS(L:L,R:R,1,E:E,E1264)/SUMIFS(K:K,R:R,1,E:E,E1264)*0.5,"Низшая четверть",IF(N1264&lt;SUMIFS(L:L,R:R,1,E:E,E1264)/SUMIFS(K:K,R:R,1,E:E,E1264),"Вторая четверть","Больше половины"))</f>
        <v/>
      </c>
      <c r="X1264">
        <f>IF(O1264&lt;SUMIFS(M:M,R:R,1,E:E,E1264)/SUMIFS(L:L,R:R,1,E:E,E1264)*0.5,"Низшая четверть",IF(O1264&lt;SUMIFS(M:M,R:R,1,E:E,E1264)/SUMIFS(L:L,R:R,1,E:E,E1264),"Вторая четверть","Больше половины"))</f>
        <v/>
      </c>
      <c r="Y1264" t="n">
        <v>14</v>
      </c>
    </row>
    <row r="1265">
      <c r="A1265" s="1" t="inlineStr">
        <is>
          <t>h0500020</t>
        </is>
      </c>
      <c r="B1265" s="2" t="inlineStr">
        <is>
          <t>850546506</t>
        </is>
      </c>
      <c r="C1265" s="3" t="inlineStr">
        <is>
          <t>Одежда и аксессуары</t>
        </is>
      </c>
      <c r="D1265" s="2" t="inlineStr">
        <is>
          <t>Брюки, шорты мужские</t>
        </is>
      </c>
      <c r="E1265" s="3" t="inlineStr">
        <is>
          <t>h05 Брюки мужские</t>
        </is>
      </c>
      <c r="F1265" s="2" t="inlineStr">
        <is>
          <t>всесезонный</t>
        </is>
      </c>
      <c r="G1265" s="3" t="inlineStr">
        <is>
          <t>kari</t>
        </is>
      </c>
      <c r="H1265" s="2" t="inlineStr">
        <is>
          <t>Зиннуров Ильнур</t>
        </is>
      </c>
      <c r="J1265" s="3" t="inlineStr">
        <is>
          <t>2026SS</t>
        </is>
      </c>
      <c r="K1265" s="3" t="n">
        <v>296</v>
      </c>
      <c r="L1265" s="3" t="n">
        <v>7</v>
      </c>
      <c r="M1265" s="3" t="n">
        <v>0</v>
      </c>
      <c r="N1265" s="4">
        <f>IFERROR(L1265/K1265,0)</f>
        <v/>
      </c>
      <c r="O1265" s="4">
        <f>IFERROR(M1265/L1265,0)</f>
        <v/>
      </c>
      <c r="P1265" t="n">
        <v>80</v>
      </c>
      <c r="Q1265" s="5" t="n">
        <v>0.5714285714285714</v>
      </c>
      <c r="R1265" s="7" t="n">
        <v>0</v>
      </c>
      <c r="S1265" t="inlineStr">
        <is>
          <t>Мало показов</t>
        </is>
      </c>
      <c r="T1265">
        <f>IF(N1265&lt;$T$1*0.5,"Низшая четверть",IF(N1265&lt;$T$1,"Вторая четверть","Больше половины"))</f>
        <v/>
      </c>
      <c r="U1265">
        <f>IF(O1265&lt;$U$1*0.5,"Низшая четверть",IF(O1265&lt;$U$1,"Вторая четверть","Больше половины"))</f>
        <v/>
      </c>
      <c r="V1265">
        <f>IF(OR(N1265&lt;SUMIFS(L:L,R:R,1,E:E,E1265)/SUMIFS(K:K,R:R,1,E:E,E1265)*0.5,O1265&lt;SUMIFS(M:M,R:R,1,E:E,E1265)/SUMIFS(L:L,R:R,1,E:E,E1265)*0.5),"код для проверки","нормальный код")</f>
        <v/>
      </c>
      <c r="W1265">
        <f>IF(N1265&lt;SUMIFS(L:L,R:R,1,E:E,E1265)/SUMIFS(K:K,R:R,1,E:E,E1265)*0.5,"Низшая четверть",IF(N1265&lt;SUMIFS(L:L,R:R,1,E:E,E1265)/SUMIFS(K:K,R:R,1,E:E,E1265),"Вторая четверть","Больше половины"))</f>
        <v/>
      </c>
      <c r="X1265">
        <f>IF(O1265&lt;SUMIFS(M:M,R:R,1,E:E,E1265)/SUMIFS(L:L,R:R,1,E:E,E1265)*0.5,"Низшая четверть",IF(O1265&lt;SUMIFS(M:M,R:R,1,E:E,E1265)/SUMIFS(L:L,R:R,1,E:E,E1265),"Вторая четверть","Больше половины"))</f>
        <v/>
      </c>
      <c r="Y1265" t="n">
        <v>17</v>
      </c>
    </row>
    <row r="1266">
      <c r="A1266" s="1" t="inlineStr">
        <is>
          <t>h1100090</t>
        </is>
      </c>
      <c r="B1266" s="2" t="inlineStr">
        <is>
          <t>917880907</t>
        </is>
      </c>
      <c r="C1266" s="3" t="inlineStr">
        <is>
          <t>Одежда и аксессуары</t>
        </is>
      </c>
      <c r="D1266" s="2" t="inlineStr">
        <is>
          <t>Брюки, шорты мужские</t>
        </is>
      </c>
      <c r="E1266" s="3" t="inlineStr">
        <is>
          <t>h11 Шорты мужские</t>
        </is>
      </c>
      <c r="F1266" s="2" t="inlineStr">
        <is>
          <t>весна, лето</t>
        </is>
      </c>
      <c r="G1266" s="3" t="inlineStr">
        <is>
          <t>kari</t>
        </is>
      </c>
      <c r="H1266" s="2" t="inlineStr">
        <is>
          <t>Зиннуров Ильнур</t>
        </is>
      </c>
      <c r="J1266" s="3" t="inlineStr">
        <is>
          <t>2026SS</t>
        </is>
      </c>
      <c r="K1266" s="3" t="n">
        <v>294</v>
      </c>
      <c r="L1266" s="3" t="n">
        <v>1</v>
      </c>
      <c r="M1266" s="3" t="n">
        <v>0</v>
      </c>
      <c r="N1266" s="4">
        <f>IFERROR(L1266/K1266,0)</f>
        <v/>
      </c>
      <c r="O1266" s="4">
        <f>IFERROR(M1266/L1266,0)</f>
        <v/>
      </c>
      <c r="P1266" t="n">
        <v>249</v>
      </c>
      <c r="Q1266" s="5" t="n">
        <v>1</v>
      </c>
      <c r="R1266" s="7" t="n">
        <v>0</v>
      </c>
      <c r="S1266" t="inlineStr">
        <is>
          <t>Мало показов</t>
        </is>
      </c>
      <c r="T1266">
        <f>IF(N1266&lt;$T$1*0.5,"Низшая четверть",IF(N1266&lt;$T$1,"Вторая четверть","Больше половины"))</f>
        <v/>
      </c>
      <c r="U1266">
        <f>IF(O1266&lt;$U$1*0.5,"Низшая четверть",IF(O1266&lt;$U$1,"Вторая четверть","Больше половины"))</f>
        <v/>
      </c>
      <c r="V1266">
        <f>IF(OR(N1266&lt;SUMIFS(L:L,R:R,1,E:E,E1266)/SUMIFS(K:K,R:R,1,E:E,E1266)*0.5,O1266&lt;SUMIFS(M:M,R:R,1,E:E,E1266)/SUMIFS(L:L,R:R,1,E:E,E1266)*0.5),"код для проверки","нормальный код")</f>
        <v/>
      </c>
      <c r="W1266">
        <f>IF(N1266&lt;SUMIFS(L:L,R:R,1,E:E,E1266)/SUMIFS(K:K,R:R,1,E:E,E1266)*0.5,"Низшая четверть",IF(N1266&lt;SUMIFS(L:L,R:R,1,E:E,E1266)/SUMIFS(K:K,R:R,1,E:E,E1266),"Вторая четверть","Больше половины"))</f>
        <v/>
      </c>
      <c r="X1266">
        <f>IF(O1266&lt;SUMIFS(M:M,R:R,1,E:E,E1266)/SUMIFS(L:L,R:R,1,E:E,E1266)*0.5,"Низшая четверть",IF(O1266&lt;SUMIFS(M:M,R:R,1,E:E,E1266)/SUMIFS(L:L,R:R,1,E:E,E1266),"Вторая четверть","Больше половины"))</f>
        <v/>
      </c>
      <c r="Y1266" t="n">
        <v>15</v>
      </c>
    </row>
    <row r="1267">
      <c r="A1267" s="1" t="inlineStr">
        <is>
          <t>93700140</t>
        </is>
      </c>
      <c r="B1267" s="2" t="inlineStr">
        <is>
          <t>924163616</t>
        </is>
      </c>
      <c r="C1267" s="3" t="inlineStr">
        <is>
          <t>Одежда для детей</t>
        </is>
      </c>
      <c r="D1267" s="2" t="inlineStr">
        <is>
          <t>Одежда для новорожденных</t>
        </is>
      </c>
      <c r="E1267" s="3" t="inlineStr">
        <is>
          <t>937 Боди с коротким рукавом для мальчиков</t>
        </is>
      </c>
      <c r="F1267" s="2" t="inlineStr">
        <is>
          <t>всесезонный</t>
        </is>
      </c>
      <c r="G1267" s="3" t="inlineStr">
        <is>
          <t>Kari baby</t>
        </is>
      </c>
      <c r="H1267" s="2" t="inlineStr">
        <is>
          <t>Зиннуров Ильнур</t>
        </is>
      </c>
      <c r="J1267" s="3" t="inlineStr">
        <is>
          <t>2026SS</t>
        </is>
      </c>
      <c r="K1267" s="3" t="n">
        <v>289</v>
      </c>
      <c r="L1267" s="3" t="n">
        <v>10</v>
      </c>
      <c r="M1267" s="3" t="n">
        <v>0</v>
      </c>
      <c r="N1267" s="4">
        <f>IFERROR(L1267/K1267,0)</f>
        <v/>
      </c>
      <c r="O1267" s="4">
        <f>IFERROR(M1267/L1267,0)</f>
        <v/>
      </c>
      <c r="P1267" t="n">
        <v>120</v>
      </c>
      <c r="Q1267" s="5" t="n">
        <v>1</v>
      </c>
      <c r="R1267" s="7" t="n">
        <v>0</v>
      </c>
      <c r="S1267" t="inlineStr">
        <is>
          <t>Мало показов</t>
        </is>
      </c>
      <c r="T1267">
        <f>IF(N1267&lt;$T$1*0.5,"Низшая четверть",IF(N1267&lt;$T$1,"Вторая четверть","Больше половины"))</f>
        <v/>
      </c>
      <c r="U1267">
        <f>IF(O1267&lt;$U$1*0.5,"Низшая четверть",IF(O1267&lt;$U$1,"Вторая четверть","Больше половины"))</f>
        <v/>
      </c>
      <c r="V1267">
        <f>IF(OR(N1267&lt;SUMIFS(L:L,R:R,1,E:E,E1267)/SUMIFS(K:K,R:R,1,E:E,E1267)*0.5,O1267&lt;SUMIFS(M:M,R:R,1,E:E,E1267)/SUMIFS(L:L,R:R,1,E:E,E1267)*0.5),"код для проверки","нормальный код")</f>
        <v/>
      </c>
      <c r="W1267">
        <f>IF(N1267&lt;SUMIFS(L:L,R:R,1,E:E,E1267)/SUMIFS(K:K,R:R,1,E:E,E1267)*0.5,"Низшая четверть",IF(N1267&lt;SUMIFS(L:L,R:R,1,E:E,E1267)/SUMIFS(K:K,R:R,1,E:E,E1267),"Вторая четверть","Больше половины"))</f>
        <v/>
      </c>
      <c r="X1267">
        <f>IF(O1267&lt;SUMIFS(M:M,R:R,1,E:E,E1267)/SUMIFS(L:L,R:R,1,E:E,E1267)*0.5,"Низшая четверть",IF(O1267&lt;SUMIFS(M:M,R:R,1,E:E,E1267)/SUMIFS(L:L,R:R,1,E:E,E1267),"Вторая четверть","Больше половины"))</f>
        <v/>
      </c>
      <c r="Y1267" t="n">
        <v>19</v>
      </c>
    </row>
    <row r="1268">
      <c r="A1268" s="1" t="inlineStr">
        <is>
          <t>a60000R0</t>
        </is>
      </c>
      <c r="B1268" s="2" t="inlineStr">
        <is>
          <t>914676208</t>
        </is>
      </c>
      <c r="C1268" s="3" t="inlineStr">
        <is>
          <t>Одежда для детей</t>
        </is>
      </c>
      <c r="D1268" s="2" t="inlineStr">
        <is>
          <t>Платья, майки, футболки детские для девочек</t>
        </is>
      </c>
      <c r="E1268" s="3" t="inlineStr">
        <is>
          <t>a60 Футболка детская для девочек</t>
        </is>
      </c>
      <c r="F1268" s="2" t="inlineStr">
        <is>
          <t>всесезонный</t>
        </is>
      </c>
      <c r="G1268" s="3" t="inlineStr">
        <is>
          <t>Kari KIDS</t>
        </is>
      </c>
      <c r="H1268" s="2" t="inlineStr">
        <is>
          <t>Зиннуров Ильнур</t>
        </is>
      </c>
      <c r="J1268" s="3" t="inlineStr">
        <is>
          <t>2026SS</t>
        </is>
      </c>
      <c r="K1268" s="3" t="n">
        <v>289</v>
      </c>
      <c r="L1268" s="3" t="n">
        <v>6</v>
      </c>
      <c r="M1268" s="3" t="n">
        <v>0</v>
      </c>
      <c r="N1268" s="4">
        <f>IFERROR(L1268/K1268,0)</f>
        <v/>
      </c>
      <c r="O1268" s="4">
        <f>IFERROR(M1268/L1268,0)</f>
        <v/>
      </c>
      <c r="P1268" t="n">
        <v>570</v>
      </c>
      <c r="Q1268" s="5" t="n">
        <v>1</v>
      </c>
      <c r="R1268" s="7" t="n">
        <v>0</v>
      </c>
      <c r="S1268" t="inlineStr">
        <is>
          <t>Мало показов</t>
        </is>
      </c>
      <c r="T1268">
        <f>IF(N1268&lt;$T$1*0.5,"Низшая четверть",IF(N1268&lt;$T$1,"Вторая четверть","Больше половины"))</f>
        <v/>
      </c>
      <c r="U1268">
        <f>IF(O1268&lt;$U$1*0.5,"Низшая четверть",IF(O1268&lt;$U$1,"Вторая четверть","Больше половины"))</f>
        <v/>
      </c>
      <c r="V1268">
        <f>IF(OR(N1268&lt;SUMIFS(L:L,R:R,1,E:E,E1268)/SUMIFS(K:K,R:R,1,E:E,E1268)*0.5,O1268&lt;SUMIFS(M:M,R:R,1,E:E,E1268)/SUMIFS(L:L,R:R,1,E:E,E1268)*0.5),"код для проверки","нормальный код")</f>
        <v/>
      </c>
      <c r="W1268">
        <f>IF(N1268&lt;SUMIFS(L:L,R:R,1,E:E,E1268)/SUMIFS(K:K,R:R,1,E:E,E1268)*0.5,"Низшая четверть",IF(N1268&lt;SUMIFS(L:L,R:R,1,E:E,E1268)/SUMIFS(K:K,R:R,1,E:E,E1268),"Вторая четверть","Больше половины"))</f>
        <v/>
      </c>
      <c r="X1268">
        <f>IF(O1268&lt;SUMIFS(M:M,R:R,1,E:E,E1268)/SUMIFS(L:L,R:R,1,E:E,E1268)*0.5,"Низшая четверть",IF(O1268&lt;SUMIFS(M:M,R:R,1,E:E,E1268)/SUMIFS(L:L,R:R,1,E:E,E1268),"Вторая четверть","Больше половины"))</f>
        <v/>
      </c>
      <c r="Y1268" t="n">
        <v>15</v>
      </c>
    </row>
    <row r="1269">
      <c r="A1269" s="1" t="inlineStr">
        <is>
          <t>29200260</t>
        </is>
      </c>
      <c r="B1269" s="2" t="inlineStr">
        <is>
          <t>848482192</t>
        </is>
      </c>
      <c r="C1269" s="3" t="inlineStr">
        <is>
          <t>Одежда для детей</t>
        </is>
      </c>
      <c r="D1269" s="2" t="inlineStr">
        <is>
          <t>Платья, майки, футболки детские для девочек</t>
        </is>
      </c>
      <c r="E1269" s="3" t="inlineStr">
        <is>
          <t>292 Сарафан детский для девочек</t>
        </is>
      </c>
      <c r="F1269" s="2" t="inlineStr">
        <is>
          <t>лето</t>
        </is>
      </c>
      <c r="G1269" s="3" t="inlineStr">
        <is>
          <t>Kari KIDS</t>
        </is>
      </c>
      <c r="H1269" s="2" t="inlineStr">
        <is>
          <t>Зиннуров Ильнур</t>
        </is>
      </c>
      <c r="J1269" s="3" t="inlineStr">
        <is>
          <t>2026SS</t>
        </is>
      </c>
      <c r="K1269" s="3" t="n">
        <v>276</v>
      </c>
      <c r="L1269" s="3" t="n">
        <v>12</v>
      </c>
      <c r="M1269" s="3" t="n">
        <v>0</v>
      </c>
      <c r="N1269" s="4">
        <f>IFERROR(L1269/K1269,0)</f>
        <v/>
      </c>
      <c r="O1269" s="4">
        <f>IFERROR(M1269/L1269,0)</f>
        <v/>
      </c>
      <c r="P1269" t="n">
        <v>690</v>
      </c>
      <c r="Q1269" s="5" t="n">
        <v>1</v>
      </c>
      <c r="R1269" s="7" t="n">
        <v>0</v>
      </c>
      <c r="S1269" t="inlineStr">
        <is>
          <t>Мало показов</t>
        </is>
      </c>
      <c r="T1269">
        <f>IF(N1269&lt;$T$1*0.5,"Низшая четверть",IF(N1269&lt;$T$1,"Вторая четверть","Больше половины"))</f>
        <v/>
      </c>
      <c r="U1269">
        <f>IF(O1269&lt;$U$1*0.5,"Низшая четверть",IF(O1269&lt;$U$1,"Вторая четверть","Больше половины"))</f>
        <v/>
      </c>
      <c r="V1269">
        <f>IF(OR(N1269&lt;SUMIFS(L:L,R:R,1,E:E,E1269)/SUMIFS(K:K,R:R,1,E:E,E1269)*0.5,O1269&lt;SUMIFS(M:M,R:R,1,E:E,E1269)/SUMIFS(L:L,R:R,1,E:E,E1269)*0.5),"код для проверки","нормальный код")</f>
        <v/>
      </c>
      <c r="W1269">
        <f>IF(N1269&lt;SUMIFS(L:L,R:R,1,E:E,E1269)/SUMIFS(K:K,R:R,1,E:E,E1269)*0.5,"Низшая четверть",IF(N1269&lt;SUMIFS(L:L,R:R,1,E:E,E1269)/SUMIFS(K:K,R:R,1,E:E,E1269),"Вторая четверть","Больше половины"))</f>
        <v/>
      </c>
      <c r="X1269">
        <f>IF(O1269&lt;SUMIFS(M:M,R:R,1,E:E,E1269)/SUMIFS(L:L,R:R,1,E:E,E1269)*0.5,"Низшая четверть",IF(O1269&lt;SUMIFS(M:M,R:R,1,E:E,E1269)/SUMIFS(L:L,R:R,1,E:E,E1269),"Вторая четверть","Больше половины"))</f>
        <v/>
      </c>
      <c r="Y1269" t="n">
        <v>18</v>
      </c>
    </row>
    <row r="1270">
      <c r="A1270" s="1" t="inlineStr">
        <is>
          <t>93800120</t>
        </is>
      </c>
      <c r="B1270" s="2" t="inlineStr">
        <is>
          <t>933463232</t>
        </is>
      </c>
      <c r="C1270" s="3" t="inlineStr">
        <is>
          <t>Одежда для детей</t>
        </is>
      </c>
      <c r="D1270" s="2" t="inlineStr">
        <is>
          <t>Одежда для новорожденных</t>
        </is>
      </c>
      <c r="E1270" s="3" t="inlineStr">
        <is>
          <t>938 Комбинезон для маленького мальчика</t>
        </is>
      </c>
      <c r="F1270" s="2" t="inlineStr">
        <is>
          <t>всесезонный</t>
        </is>
      </c>
      <c r="G1270" s="3" t="inlineStr">
        <is>
          <t>Kari baby</t>
        </is>
      </c>
      <c r="H1270" s="2" t="inlineStr">
        <is>
          <t>Зиннуров Ильнур</t>
        </is>
      </c>
      <c r="J1270" s="3" t="inlineStr">
        <is>
          <t>2026SS</t>
        </is>
      </c>
      <c r="K1270" s="3" t="n">
        <v>275</v>
      </c>
      <c r="L1270" s="3" t="n">
        <v>6</v>
      </c>
      <c r="M1270" s="3" t="n">
        <v>0</v>
      </c>
      <c r="N1270" s="4">
        <f>IFERROR(L1270/K1270,0)</f>
        <v/>
      </c>
      <c r="O1270" s="4">
        <f>IFERROR(M1270/L1270,0)</f>
        <v/>
      </c>
      <c r="P1270" t="n">
        <v>140</v>
      </c>
      <c r="Q1270" s="5" t="n">
        <v>1</v>
      </c>
      <c r="R1270" s="7" t="n">
        <v>0</v>
      </c>
      <c r="S1270" t="inlineStr">
        <is>
          <t>Мало показов</t>
        </is>
      </c>
      <c r="T1270">
        <f>IF(N1270&lt;$T$1*0.5,"Низшая четверть",IF(N1270&lt;$T$1,"Вторая четверть","Больше половины"))</f>
        <v/>
      </c>
      <c r="U1270">
        <f>IF(O1270&lt;$U$1*0.5,"Низшая четверть",IF(O1270&lt;$U$1,"Вторая четверть","Больше половины"))</f>
        <v/>
      </c>
      <c r="V1270">
        <f>IF(OR(N1270&lt;SUMIFS(L:L,R:R,1,E:E,E1270)/SUMIFS(K:K,R:R,1,E:E,E1270)*0.5,O1270&lt;SUMIFS(M:M,R:R,1,E:E,E1270)/SUMIFS(L:L,R:R,1,E:E,E1270)*0.5),"код для проверки","нормальный код")</f>
        <v/>
      </c>
      <c r="W1270">
        <f>IF(N1270&lt;SUMIFS(L:L,R:R,1,E:E,E1270)/SUMIFS(K:K,R:R,1,E:E,E1270)*0.5,"Низшая четверть",IF(N1270&lt;SUMIFS(L:L,R:R,1,E:E,E1270)/SUMIFS(K:K,R:R,1,E:E,E1270),"Вторая четверть","Больше половины"))</f>
        <v/>
      </c>
      <c r="X1270">
        <f>IF(O1270&lt;SUMIFS(M:M,R:R,1,E:E,E1270)/SUMIFS(L:L,R:R,1,E:E,E1270)*0.5,"Низшая четверть",IF(O1270&lt;SUMIFS(M:M,R:R,1,E:E,E1270)/SUMIFS(L:L,R:R,1,E:E,E1270),"Вторая четверть","Больше половины"))</f>
        <v/>
      </c>
      <c r="Y1270" t="n">
        <v>23</v>
      </c>
    </row>
    <row r="1271">
      <c r="A1271" s="1" t="inlineStr">
        <is>
          <t>94700080</t>
        </is>
      </c>
      <c r="B1271" s="2" t="inlineStr">
        <is>
          <t>860855855</t>
        </is>
      </c>
      <c r="C1271" s="3" t="inlineStr">
        <is>
          <t>Одежда для детей</t>
        </is>
      </c>
      <c r="D1271" s="2" t="inlineStr">
        <is>
          <t>Одежда для новорожденных</t>
        </is>
      </c>
      <c r="E1271" s="3" t="inlineStr">
        <is>
          <t>947 Ромпер для девочки</t>
        </is>
      </c>
      <c r="F1271" s="2" t="inlineStr">
        <is>
          <t>лето</t>
        </is>
      </c>
      <c r="G1271" s="3" t="inlineStr">
        <is>
          <t>Kari baby</t>
        </is>
      </c>
      <c r="H1271" s="2" t="inlineStr">
        <is>
          <t>Зиннуров Ильнур</t>
        </is>
      </c>
      <c r="J1271" s="3" t="inlineStr">
        <is>
          <t>2026SS</t>
        </is>
      </c>
      <c r="K1271" s="3" t="n">
        <v>271</v>
      </c>
      <c r="L1271" s="3" t="n">
        <v>103</v>
      </c>
      <c r="M1271" s="3" t="n">
        <v>1</v>
      </c>
      <c r="N1271" s="4">
        <f>IFERROR(L1271/K1271,0)</f>
        <v/>
      </c>
      <c r="O1271" s="4">
        <f>IFERROR(M1271/L1271,0)</f>
        <v/>
      </c>
      <c r="P1271" t="n">
        <v>99</v>
      </c>
      <c r="Q1271" s="5" t="n">
        <v>1</v>
      </c>
      <c r="R1271" s="7" t="n">
        <v>0</v>
      </c>
      <c r="S1271" t="inlineStr">
        <is>
          <t>Мало показов</t>
        </is>
      </c>
      <c r="T1271">
        <f>IF(N1271&lt;$T$1*0.5,"Низшая четверть",IF(N1271&lt;$T$1,"Вторая четверть","Больше половины"))</f>
        <v/>
      </c>
      <c r="U1271">
        <f>IF(O1271&lt;$U$1*0.5,"Низшая четверть",IF(O1271&lt;$U$1,"Вторая четверть","Больше половины"))</f>
        <v/>
      </c>
      <c r="V1271">
        <f>IF(OR(N1271&lt;SUMIFS(L:L,R:R,1,E:E,E1271)/SUMIFS(K:K,R:R,1,E:E,E1271)*0.5,O1271&lt;SUMIFS(M:M,R:R,1,E:E,E1271)/SUMIFS(L:L,R:R,1,E:E,E1271)*0.5),"код для проверки","нормальный код")</f>
        <v/>
      </c>
      <c r="W1271">
        <f>IF(N1271&lt;SUMIFS(L:L,R:R,1,E:E,E1271)/SUMIFS(K:K,R:R,1,E:E,E1271)*0.5,"Низшая четверть",IF(N1271&lt;SUMIFS(L:L,R:R,1,E:E,E1271)/SUMIFS(K:K,R:R,1,E:E,E1271),"Вторая четверть","Больше половины"))</f>
        <v/>
      </c>
      <c r="X1271">
        <f>IF(O1271&lt;SUMIFS(M:M,R:R,1,E:E,E1271)/SUMIFS(L:L,R:R,1,E:E,E1271)*0.5,"Низшая четверть",IF(O1271&lt;SUMIFS(M:M,R:R,1,E:E,E1271)/SUMIFS(L:L,R:R,1,E:E,E1271),"Вторая четверть","Больше половины"))</f>
        <v/>
      </c>
      <c r="Y1271" t="n">
        <v>15</v>
      </c>
    </row>
    <row r="1272">
      <c r="A1272" s="1" t="inlineStr">
        <is>
          <t>56900170</t>
        </is>
      </c>
      <c r="B1272" s="2" t="inlineStr">
        <is>
          <t>933463162</t>
        </is>
      </c>
      <c r="C1272" s="3" t="inlineStr">
        <is>
          <t>Одежда для детей</t>
        </is>
      </c>
      <c r="D1272" s="2" t="inlineStr">
        <is>
          <t>Одежда для новорожденных</t>
        </is>
      </c>
      <c r="E1272" s="3" t="inlineStr">
        <is>
          <t>569 Комбинезон для маленькой девочки</t>
        </is>
      </c>
      <c r="F1272" s="2" t="inlineStr">
        <is>
          <t>всесезонный</t>
        </is>
      </c>
      <c r="G1272" s="3" t="inlineStr">
        <is>
          <t>Kari baby</t>
        </is>
      </c>
      <c r="H1272" s="2" t="inlineStr">
        <is>
          <t>Зиннуров Ильнур</t>
        </is>
      </c>
      <c r="J1272" s="3" t="inlineStr">
        <is>
          <t>2026SS</t>
        </is>
      </c>
      <c r="K1272" s="3" t="n">
        <v>269</v>
      </c>
      <c r="L1272" s="3" t="n">
        <v>1</v>
      </c>
      <c r="M1272" s="3" t="n">
        <v>0</v>
      </c>
      <c r="N1272" s="4">
        <f>IFERROR(L1272/K1272,0)</f>
        <v/>
      </c>
      <c r="O1272" s="4">
        <f>IFERROR(M1272/L1272,0)</f>
        <v/>
      </c>
      <c r="P1272" t="n">
        <v>160</v>
      </c>
      <c r="Q1272" s="5" t="n">
        <v>1</v>
      </c>
      <c r="R1272" s="7" t="n">
        <v>0</v>
      </c>
      <c r="S1272" t="inlineStr">
        <is>
          <t>Мало показов</t>
        </is>
      </c>
      <c r="T1272">
        <f>IF(N1272&lt;$T$1*0.5,"Низшая четверть",IF(N1272&lt;$T$1,"Вторая четверть","Больше половины"))</f>
        <v/>
      </c>
      <c r="U1272">
        <f>IF(O1272&lt;$U$1*0.5,"Низшая четверть",IF(O1272&lt;$U$1,"Вторая четверть","Больше половины"))</f>
        <v/>
      </c>
      <c r="V1272">
        <f>IF(OR(N1272&lt;SUMIFS(L:L,R:R,1,E:E,E1272)/SUMIFS(K:K,R:R,1,E:E,E1272)*0.5,O1272&lt;SUMIFS(M:M,R:R,1,E:E,E1272)/SUMIFS(L:L,R:R,1,E:E,E1272)*0.5),"код для проверки","нормальный код")</f>
        <v/>
      </c>
      <c r="W1272">
        <f>IF(N1272&lt;SUMIFS(L:L,R:R,1,E:E,E1272)/SUMIFS(K:K,R:R,1,E:E,E1272)*0.5,"Низшая четверть",IF(N1272&lt;SUMIFS(L:L,R:R,1,E:E,E1272)/SUMIFS(K:K,R:R,1,E:E,E1272),"Вторая четверть","Больше половины"))</f>
        <v/>
      </c>
      <c r="X1272">
        <f>IF(O1272&lt;SUMIFS(M:M,R:R,1,E:E,E1272)/SUMIFS(L:L,R:R,1,E:E,E1272)*0.5,"Низшая четверть",IF(O1272&lt;SUMIFS(M:M,R:R,1,E:E,E1272)/SUMIFS(L:L,R:R,1,E:E,E1272),"Вторая четверть","Больше половины"))</f>
        <v/>
      </c>
      <c r="Y1272" t="n">
        <v>25</v>
      </c>
    </row>
    <row r="1273">
      <c r="A1273" s="1" t="inlineStr">
        <is>
          <t>y5000050</t>
        </is>
      </c>
      <c r="B1273" s="2" t="inlineStr">
        <is>
          <t>879308843</t>
        </is>
      </c>
      <c r="C1273" s="3" t="inlineStr">
        <is>
          <t>Одежда для детей</t>
        </is>
      </c>
      <c r="D1273" s="2" t="inlineStr">
        <is>
          <t>Спортивная детская одежда для мальчиков</t>
        </is>
      </c>
      <c r="E1273" s="3" t="inlineStr">
        <is>
          <t>y50 Комплект летней одежды для мальчиков</t>
        </is>
      </c>
      <c r="F1273" s="2" t="inlineStr">
        <is>
          <t>весна, лето</t>
        </is>
      </c>
      <c r="G1273" s="3" t="inlineStr">
        <is>
          <t>Kari KIDS</t>
        </is>
      </c>
      <c r="H1273" s="2" t="inlineStr">
        <is>
          <t>Зиннуров Ильнур</t>
        </is>
      </c>
      <c r="J1273" s="3" t="inlineStr">
        <is>
          <t>2026SS</t>
        </is>
      </c>
      <c r="K1273" s="3" t="n">
        <v>267</v>
      </c>
      <c r="L1273" s="3" t="n">
        <v>4</v>
      </c>
      <c r="M1273" s="3" t="n">
        <v>0</v>
      </c>
      <c r="N1273" s="4">
        <f>IFERROR(L1273/K1273,0)</f>
        <v/>
      </c>
      <c r="O1273" s="4">
        <f>IFERROR(M1273/L1273,0)</f>
        <v/>
      </c>
      <c r="P1273" t="n">
        <v>180</v>
      </c>
      <c r="Q1273" s="5" t="n">
        <v>1</v>
      </c>
      <c r="R1273" s="7" t="n">
        <v>0</v>
      </c>
      <c r="S1273" t="inlineStr">
        <is>
          <t>Мало показов</t>
        </is>
      </c>
      <c r="T1273">
        <f>IF(N1273&lt;$T$1*0.5,"Низшая четверть",IF(N1273&lt;$T$1,"Вторая четверть","Больше половины"))</f>
        <v/>
      </c>
      <c r="U1273">
        <f>IF(O1273&lt;$U$1*0.5,"Низшая четверть",IF(O1273&lt;$U$1,"Вторая четверть","Больше половины"))</f>
        <v/>
      </c>
      <c r="V1273">
        <f>IF(OR(N1273&lt;SUMIFS(L:L,R:R,1,E:E,E1273)/SUMIFS(K:K,R:R,1,E:E,E1273)*0.5,O1273&lt;SUMIFS(M:M,R:R,1,E:E,E1273)/SUMIFS(L:L,R:R,1,E:E,E1273)*0.5),"код для проверки","нормальный код")</f>
        <v/>
      </c>
      <c r="W1273">
        <f>IF(N1273&lt;SUMIFS(L:L,R:R,1,E:E,E1273)/SUMIFS(K:K,R:R,1,E:E,E1273)*0.5,"Низшая четверть",IF(N1273&lt;SUMIFS(L:L,R:R,1,E:E,E1273)/SUMIFS(K:K,R:R,1,E:E,E1273),"Вторая четверть","Больше половины"))</f>
        <v/>
      </c>
      <c r="X1273">
        <f>IF(O1273&lt;SUMIFS(M:M,R:R,1,E:E,E1273)/SUMIFS(L:L,R:R,1,E:E,E1273)*0.5,"Низшая четверть",IF(O1273&lt;SUMIFS(M:M,R:R,1,E:E,E1273)/SUMIFS(L:L,R:R,1,E:E,E1273),"Вторая четверть","Больше половины"))</f>
        <v/>
      </c>
      <c r="Y1273" t="n">
        <v>10</v>
      </c>
    </row>
    <row r="1274">
      <c r="A1274" s="1" t="inlineStr">
        <is>
          <t>94600060</t>
        </is>
      </c>
      <c r="B1274" s="2" t="inlineStr">
        <is>
          <t>860855833</t>
        </is>
      </c>
      <c r="C1274" s="3" t="inlineStr">
        <is>
          <t>Одежда для детей</t>
        </is>
      </c>
      <c r="D1274" s="2" t="inlineStr">
        <is>
          <t>Одежда для новорожденных</t>
        </is>
      </c>
      <c r="E1274" s="3" t="inlineStr">
        <is>
          <t>946 Ромпер для мальчика</t>
        </is>
      </c>
      <c r="F1274" s="2" t="inlineStr">
        <is>
          <t>лето</t>
        </is>
      </c>
      <c r="G1274" s="3" t="inlineStr">
        <is>
          <t>Kari baby</t>
        </is>
      </c>
      <c r="H1274" s="2" t="inlineStr">
        <is>
          <t>Зиннуров Ильнур</t>
        </is>
      </c>
      <c r="J1274" s="3" t="inlineStr">
        <is>
          <t>2026SS</t>
        </is>
      </c>
      <c r="K1274" s="3" t="n">
        <v>267</v>
      </c>
      <c r="L1274" s="3" t="n">
        <v>64</v>
      </c>
      <c r="M1274" s="3" t="n">
        <v>1</v>
      </c>
      <c r="N1274" s="4">
        <f>IFERROR(L1274/K1274,0)</f>
        <v/>
      </c>
      <c r="O1274" s="4">
        <f>IFERROR(M1274/L1274,0)</f>
        <v/>
      </c>
      <c r="P1274" t="n">
        <v>99</v>
      </c>
      <c r="Q1274" s="5" t="n">
        <v>1</v>
      </c>
      <c r="R1274" s="7" t="n">
        <v>0</v>
      </c>
      <c r="S1274" t="inlineStr">
        <is>
          <t>Мало показов</t>
        </is>
      </c>
      <c r="T1274">
        <f>IF(N1274&lt;$T$1*0.5,"Низшая четверть",IF(N1274&lt;$T$1,"Вторая четверть","Больше половины"))</f>
        <v/>
      </c>
      <c r="U1274">
        <f>IF(O1274&lt;$U$1*0.5,"Низшая четверть",IF(O1274&lt;$U$1,"Вторая четверть","Больше половины"))</f>
        <v/>
      </c>
      <c r="V1274">
        <f>IF(OR(N1274&lt;SUMIFS(L:L,R:R,1,E:E,E1274)/SUMIFS(K:K,R:R,1,E:E,E1274)*0.5,O1274&lt;SUMIFS(M:M,R:R,1,E:E,E1274)/SUMIFS(L:L,R:R,1,E:E,E1274)*0.5),"код для проверки","нормальный код")</f>
        <v/>
      </c>
      <c r="W1274">
        <f>IF(N1274&lt;SUMIFS(L:L,R:R,1,E:E,E1274)/SUMIFS(K:K,R:R,1,E:E,E1274)*0.5,"Низшая четверть",IF(N1274&lt;SUMIFS(L:L,R:R,1,E:E,E1274)/SUMIFS(K:K,R:R,1,E:E,E1274),"Вторая четверть","Больше половины"))</f>
        <v/>
      </c>
      <c r="X1274">
        <f>IF(O1274&lt;SUMIFS(M:M,R:R,1,E:E,E1274)/SUMIFS(L:L,R:R,1,E:E,E1274)*0.5,"Низшая четверть",IF(O1274&lt;SUMIFS(M:M,R:R,1,E:E,E1274)/SUMIFS(L:L,R:R,1,E:E,E1274),"Вторая четверть","Больше половины"))</f>
        <v/>
      </c>
      <c r="Y1274" t="n">
        <v>14</v>
      </c>
    </row>
    <row r="1275">
      <c r="A1275" s="1" t="inlineStr">
        <is>
          <t>19400400</t>
        </is>
      </c>
      <c r="B1275" s="2" t="inlineStr">
        <is>
          <t>837332412</t>
        </is>
      </c>
      <c r="C1275" s="3" t="inlineStr">
        <is>
          <t>Одежда для детей</t>
        </is>
      </c>
      <c r="D1275" s="2" t="inlineStr">
        <is>
          <t>Брюки детские для девочек</t>
        </is>
      </c>
      <c r="E1275" s="3" t="inlineStr">
        <is>
          <t>194 Шорты детские для девочек</t>
        </is>
      </c>
      <c r="F1275" s="2" t="inlineStr">
        <is>
          <t>лето</t>
        </is>
      </c>
      <c r="G1275" s="3" t="inlineStr">
        <is>
          <t>kari</t>
        </is>
      </c>
      <c r="H1275" s="2" t="inlineStr">
        <is>
          <t>Зиннуров Ильнур</t>
        </is>
      </c>
      <c r="J1275" s="3" t="inlineStr">
        <is>
          <t>2026SS</t>
        </is>
      </c>
      <c r="K1275" s="3" t="n">
        <v>264</v>
      </c>
      <c r="L1275" s="3" t="n">
        <v>14</v>
      </c>
      <c r="M1275" s="3" t="n">
        <v>0</v>
      </c>
      <c r="N1275" s="4">
        <f>IFERROR(L1275/K1275,0)</f>
        <v/>
      </c>
      <c r="O1275" s="4">
        <f>IFERROR(M1275/L1275,0)</f>
        <v/>
      </c>
      <c r="P1275" t="n">
        <v>509</v>
      </c>
      <c r="Q1275" s="5" t="n">
        <v>1</v>
      </c>
      <c r="R1275" s="7" t="n">
        <v>0</v>
      </c>
      <c r="S1275" t="inlineStr">
        <is>
          <t>Мало показов</t>
        </is>
      </c>
      <c r="T1275">
        <f>IF(N1275&lt;$T$1*0.5,"Низшая четверть",IF(N1275&lt;$T$1,"Вторая четверть","Больше половины"))</f>
        <v/>
      </c>
      <c r="U1275">
        <f>IF(O1275&lt;$U$1*0.5,"Низшая четверть",IF(O1275&lt;$U$1,"Вторая четверть","Больше половины"))</f>
        <v/>
      </c>
      <c r="V1275">
        <f>IF(OR(N1275&lt;SUMIFS(L:L,R:R,1,E:E,E1275)/SUMIFS(K:K,R:R,1,E:E,E1275)*0.5,O1275&lt;SUMIFS(M:M,R:R,1,E:E,E1275)/SUMIFS(L:L,R:R,1,E:E,E1275)*0.5),"код для проверки","нормальный код")</f>
        <v/>
      </c>
      <c r="W1275">
        <f>IF(N1275&lt;SUMIFS(L:L,R:R,1,E:E,E1275)/SUMIFS(K:K,R:R,1,E:E,E1275)*0.5,"Низшая четверть",IF(N1275&lt;SUMIFS(L:L,R:R,1,E:E,E1275)/SUMIFS(K:K,R:R,1,E:E,E1275),"Вторая четверть","Больше половины"))</f>
        <v/>
      </c>
      <c r="X1275">
        <f>IF(O1275&lt;SUMIFS(M:M,R:R,1,E:E,E1275)/SUMIFS(L:L,R:R,1,E:E,E1275)*0.5,"Низшая четверть",IF(O1275&lt;SUMIFS(M:M,R:R,1,E:E,E1275)/SUMIFS(L:L,R:R,1,E:E,E1275),"Вторая четверть","Больше половины"))</f>
        <v/>
      </c>
      <c r="Y1275" t="n">
        <v>18</v>
      </c>
    </row>
    <row r="1276">
      <c r="A1276" s="1" t="inlineStr">
        <is>
          <t>93800180</t>
        </is>
      </c>
      <c r="B1276" s="2" t="inlineStr">
        <is>
          <t>866258025</t>
        </is>
      </c>
      <c r="C1276" s="3" t="inlineStr">
        <is>
          <t>Одежда для детей</t>
        </is>
      </c>
      <c r="D1276" s="2" t="inlineStr">
        <is>
          <t>Одежда для новорожденных</t>
        </is>
      </c>
      <c r="E1276" s="3" t="inlineStr">
        <is>
          <t>938 Комбинезон для маленького мальчика</t>
        </is>
      </c>
      <c r="F1276" s="2" t="inlineStr">
        <is>
          <t>всесезонный</t>
        </is>
      </c>
      <c r="G1276" s="3" t="inlineStr">
        <is>
          <t>Kari baby</t>
        </is>
      </c>
      <c r="H1276" s="2" t="inlineStr">
        <is>
          <t>Зиннуров Ильнур</t>
        </is>
      </c>
      <c r="J1276" s="3" t="inlineStr">
        <is>
          <t>2026SS</t>
        </is>
      </c>
      <c r="K1276" s="3" t="n">
        <v>260</v>
      </c>
      <c r="L1276" s="3" t="n">
        <v>6</v>
      </c>
      <c r="M1276" s="3" t="n">
        <v>0</v>
      </c>
      <c r="N1276" s="4">
        <f>IFERROR(L1276/K1276,0)</f>
        <v/>
      </c>
      <c r="O1276" s="4">
        <f>IFERROR(M1276/L1276,0)</f>
        <v/>
      </c>
      <c r="P1276" t="n">
        <v>280</v>
      </c>
      <c r="Q1276" s="5" t="n">
        <v>1</v>
      </c>
      <c r="R1276" s="7" t="n">
        <v>0</v>
      </c>
      <c r="S1276" t="inlineStr">
        <is>
          <t>Мало показов</t>
        </is>
      </c>
      <c r="T1276">
        <f>IF(N1276&lt;$T$1*0.5,"Низшая четверть",IF(N1276&lt;$T$1,"Вторая четверть","Больше половины"))</f>
        <v/>
      </c>
      <c r="U1276">
        <f>IF(O1276&lt;$U$1*0.5,"Низшая четверть",IF(O1276&lt;$U$1,"Вторая четверть","Больше половины"))</f>
        <v/>
      </c>
      <c r="V1276">
        <f>IF(OR(N1276&lt;SUMIFS(L:L,R:R,1,E:E,E1276)/SUMIFS(K:K,R:R,1,E:E,E1276)*0.5,O1276&lt;SUMIFS(M:M,R:R,1,E:E,E1276)/SUMIFS(L:L,R:R,1,E:E,E1276)*0.5),"код для проверки","нормальный код")</f>
        <v/>
      </c>
      <c r="W1276">
        <f>IF(N1276&lt;SUMIFS(L:L,R:R,1,E:E,E1276)/SUMIFS(K:K,R:R,1,E:E,E1276)*0.5,"Низшая четверть",IF(N1276&lt;SUMIFS(L:L,R:R,1,E:E,E1276)/SUMIFS(K:K,R:R,1,E:E,E1276),"Вторая четверть","Больше половины"))</f>
        <v/>
      </c>
      <c r="X1276">
        <f>IF(O1276&lt;SUMIFS(M:M,R:R,1,E:E,E1276)/SUMIFS(L:L,R:R,1,E:E,E1276)*0.5,"Низшая четверть",IF(O1276&lt;SUMIFS(M:M,R:R,1,E:E,E1276)/SUMIFS(L:L,R:R,1,E:E,E1276),"Вторая четверть","Больше половины"))</f>
        <v/>
      </c>
      <c r="Y1276" t="n">
        <v>17</v>
      </c>
    </row>
    <row r="1277">
      <c r="A1277" s="1" t="inlineStr">
        <is>
          <t>94500100</t>
        </is>
      </c>
      <c r="B1277" s="2" t="inlineStr">
        <is>
          <t>923939437</t>
        </is>
      </c>
      <c r="C1277" s="3" t="inlineStr">
        <is>
          <t>Одежда для детей</t>
        </is>
      </c>
      <c r="D1277" s="2" t="inlineStr">
        <is>
          <t>Одежда для новорожденных</t>
        </is>
      </c>
      <c r="E1277" s="3" t="inlineStr">
        <is>
          <t>945 Комплект одежды для маленького мальчика</t>
        </is>
      </c>
      <c r="F1277" s="2" t="inlineStr">
        <is>
          <t>всесезонный</t>
        </is>
      </c>
      <c r="G1277" s="3" t="inlineStr">
        <is>
          <t>Kari baby</t>
        </is>
      </c>
      <c r="H1277" s="2" t="inlineStr">
        <is>
          <t>Зиннуров Ильнур</t>
        </is>
      </c>
      <c r="J1277" s="3" t="inlineStr">
        <is>
          <t>2026SS</t>
        </is>
      </c>
      <c r="K1277" s="3" t="n">
        <v>258</v>
      </c>
      <c r="L1277" s="3" t="n">
        <v>20</v>
      </c>
      <c r="M1277" s="3" t="n">
        <v>0</v>
      </c>
      <c r="N1277" s="4">
        <f>IFERROR(L1277/K1277,0)</f>
        <v/>
      </c>
      <c r="O1277" s="4">
        <f>IFERROR(M1277/L1277,0)</f>
        <v/>
      </c>
      <c r="P1277" t="n">
        <v>160</v>
      </c>
      <c r="Q1277" s="5" t="n">
        <v>1</v>
      </c>
      <c r="R1277" s="7" t="n">
        <v>0</v>
      </c>
      <c r="S1277" t="inlineStr">
        <is>
          <t>Мало показов</t>
        </is>
      </c>
      <c r="T1277">
        <f>IF(N1277&lt;$T$1*0.5,"Низшая четверть",IF(N1277&lt;$T$1,"Вторая четверть","Больше половины"))</f>
        <v/>
      </c>
      <c r="U1277">
        <f>IF(O1277&lt;$U$1*0.5,"Низшая четверть",IF(O1277&lt;$U$1,"Вторая четверть","Больше половины"))</f>
        <v/>
      </c>
      <c r="V1277">
        <f>IF(OR(N1277&lt;SUMIFS(L:L,R:R,1,E:E,E1277)/SUMIFS(K:K,R:R,1,E:E,E1277)*0.5,O1277&lt;SUMIFS(M:M,R:R,1,E:E,E1277)/SUMIFS(L:L,R:R,1,E:E,E1277)*0.5),"код для проверки","нормальный код")</f>
        <v/>
      </c>
      <c r="W1277">
        <f>IF(N1277&lt;SUMIFS(L:L,R:R,1,E:E,E1277)/SUMIFS(K:K,R:R,1,E:E,E1277)*0.5,"Низшая четверть",IF(N1277&lt;SUMIFS(L:L,R:R,1,E:E,E1277)/SUMIFS(K:K,R:R,1,E:E,E1277),"Вторая четверть","Больше половины"))</f>
        <v/>
      </c>
      <c r="X1277">
        <f>IF(O1277&lt;SUMIFS(M:M,R:R,1,E:E,E1277)/SUMIFS(L:L,R:R,1,E:E,E1277)*0.5,"Низшая четверть",IF(O1277&lt;SUMIFS(M:M,R:R,1,E:E,E1277)/SUMIFS(L:L,R:R,1,E:E,E1277),"Вторая четверть","Больше половины"))</f>
        <v/>
      </c>
      <c r="Y1277" t="n">
        <v>18</v>
      </c>
    </row>
    <row r="1278">
      <c r="A1278" s="1" t="inlineStr">
        <is>
          <t>h0500030</t>
        </is>
      </c>
      <c r="B1278" s="2" t="inlineStr">
        <is>
          <t>850546548</t>
        </is>
      </c>
      <c r="C1278" s="3" t="inlineStr">
        <is>
          <t>Одежда и аксессуары</t>
        </is>
      </c>
      <c r="D1278" s="2" t="inlineStr">
        <is>
          <t>Брюки, шорты мужские</t>
        </is>
      </c>
      <c r="E1278" s="3" t="inlineStr">
        <is>
          <t>h05 Брюки мужские</t>
        </is>
      </c>
      <c r="F1278" s="2" t="inlineStr">
        <is>
          <t>всесезонный</t>
        </is>
      </c>
      <c r="G1278" s="3" t="inlineStr">
        <is>
          <t>kari</t>
        </is>
      </c>
      <c r="H1278" s="2" t="inlineStr">
        <is>
          <t>Зиннуров Ильнур</t>
        </is>
      </c>
      <c r="J1278" s="3" t="inlineStr">
        <is>
          <t>2026SS</t>
        </is>
      </c>
      <c r="K1278" s="3" t="n">
        <v>257</v>
      </c>
      <c r="L1278" s="3" t="n">
        <v>3</v>
      </c>
      <c r="M1278" s="3" t="n">
        <v>0</v>
      </c>
      <c r="N1278" s="4">
        <f>IFERROR(L1278/K1278,0)</f>
        <v/>
      </c>
      <c r="O1278" s="4">
        <f>IFERROR(M1278/L1278,0)</f>
        <v/>
      </c>
      <c r="P1278" t="n">
        <v>100</v>
      </c>
      <c r="Q1278" s="5" t="n">
        <v>0.7142857142857143</v>
      </c>
      <c r="R1278" s="7" t="n">
        <v>0</v>
      </c>
      <c r="S1278" t="inlineStr">
        <is>
          <t>Мало показов</t>
        </is>
      </c>
      <c r="T1278">
        <f>IF(N1278&lt;$T$1*0.5,"Низшая четверть",IF(N1278&lt;$T$1,"Вторая четверть","Больше половины"))</f>
        <v/>
      </c>
      <c r="U1278">
        <f>IF(O1278&lt;$U$1*0.5,"Низшая четверть",IF(O1278&lt;$U$1,"Вторая четверть","Больше половины"))</f>
        <v/>
      </c>
      <c r="V1278">
        <f>IF(OR(N1278&lt;SUMIFS(L:L,R:R,1,E:E,E1278)/SUMIFS(K:K,R:R,1,E:E,E1278)*0.5,O1278&lt;SUMIFS(M:M,R:R,1,E:E,E1278)/SUMIFS(L:L,R:R,1,E:E,E1278)*0.5),"код для проверки","нормальный код")</f>
        <v/>
      </c>
      <c r="W1278">
        <f>IF(N1278&lt;SUMIFS(L:L,R:R,1,E:E,E1278)/SUMIFS(K:K,R:R,1,E:E,E1278)*0.5,"Низшая четверть",IF(N1278&lt;SUMIFS(L:L,R:R,1,E:E,E1278)/SUMIFS(K:K,R:R,1,E:E,E1278),"Вторая четверть","Больше половины"))</f>
        <v/>
      </c>
      <c r="X1278">
        <f>IF(O1278&lt;SUMIFS(M:M,R:R,1,E:E,E1278)/SUMIFS(L:L,R:R,1,E:E,E1278)*0.5,"Низшая четверть",IF(O1278&lt;SUMIFS(M:M,R:R,1,E:E,E1278)/SUMIFS(L:L,R:R,1,E:E,E1278),"Вторая четверть","Больше половины"))</f>
        <v/>
      </c>
      <c r="Y1278" t="n">
        <v>19</v>
      </c>
    </row>
    <row r="1279">
      <c r="A1279" s="1" t="inlineStr">
        <is>
          <t>56100200</t>
        </is>
      </c>
      <c r="B1279" s="2" t="inlineStr">
        <is>
          <t>853127648</t>
        </is>
      </c>
      <c r="C1279" s="3" t="inlineStr">
        <is>
          <t>Одежда для детей</t>
        </is>
      </c>
      <c r="D1279" s="2" t="inlineStr">
        <is>
          <t>Нижнее белье детское для мальчиков</t>
        </is>
      </c>
      <c r="E1279" s="3" t="inlineStr">
        <is>
          <t>561 Майка детская для мальчиков</t>
        </is>
      </c>
      <c r="F1279" s="2" t="inlineStr">
        <is>
          <t>всесезонный</t>
        </is>
      </c>
      <c r="G1279" s="3" t="inlineStr">
        <is>
          <t>kari</t>
        </is>
      </c>
      <c r="H1279" s="2" t="inlineStr">
        <is>
          <t>Зиннуров Ильнур</t>
        </is>
      </c>
      <c r="J1279" s="3" t="inlineStr">
        <is>
          <t>2026SS</t>
        </is>
      </c>
      <c r="K1279" s="3" t="n">
        <v>253</v>
      </c>
      <c r="L1279" s="3" t="n">
        <v>11</v>
      </c>
      <c r="M1279" s="3" t="n">
        <v>0</v>
      </c>
      <c r="N1279" s="4">
        <f>IFERROR(L1279/K1279,0)</f>
        <v/>
      </c>
      <c r="O1279" s="4">
        <f>IFERROR(M1279/L1279,0)</f>
        <v/>
      </c>
      <c r="P1279" t="n">
        <v>300</v>
      </c>
      <c r="Q1279" s="5" t="n">
        <v>1</v>
      </c>
      <c r="R1279" s="7" t="n">
        <v>0</v>
      </c>
      <c r="S1279" t="inlineStr">
        <is>
          <t>Мало показов</t>
        </is>
      </c>
      <c r="T1279">
        <f>IF(N1279&lt;$T$1*0.5,"Низшая четверть",IF(N1279&lt;$T$1,"Вторая четверть","Больше половины"))</f>
        <v/>
      </c>
      <c r="U1279">
        <f>IF(O1279&lt;$U$1*0.5,"Низшая четверть",IF(O1279&lt;$U$1,"Вторая четверть","Больше половины"))</f>
        <v/>
      </c>
      <c r="V1279">
        <f>IF(OR(N1279&lt;SUMIFS(L:L,R:R,1,E:E,E1279)/SUMIFS(K:K,R:R,1,E:E,E1279)*0.5,O1279&lt;SUMIFS(M:M,R:R,1,E:E,E1279)/SUMIFS(L:L,R:R,1,E:E,E1279)*0.5),"код для проверки","нормальный код")</f>
        <v/>
      </c>
      <c r="W1279">
        <f>IF(N1279&lt;SUMIFS(L:L,R:R,1,E:E,E1279)/SUMIFS(K:K,R:R,1,E:E,E1279)*0.5,"Низшая четверть",IF(N1279&lt;SUMIFS(L:L,R:R,1,E:E,E1279)/SUMIFS(K:K,R:R,1,E:E,E1279),"Вторая четверть","Больше половины"))</f>
        <v/>
      </c>
      <c r="X1279">
        <f>IF(O1279&lt;SUMIFS(M:M,R:R,1,E:E,E1279)/SUMIFS(L:L,R:R,1,E:E,E1279)*0.5,"Низшая четверть",IF(O1279&lt;SUMIFS(M:M,R:R,1,E:E,E1279)/SUMIFS(L:L,R:R,1,E:E,E1279),"Вторая четверть","Больше половины"))</f>
        <v/>
      </c>
      <c r="Y1279" t="n">
        <v>10</v>
      </c>
    </row>
    <row r="1280">
      <c r="A1280" s="1" t="inlineStr">
        <is>
          <t>19400410</t>
        </is>
      </c>
      <c r="B1280" s="2" t="inlineStr">
        <is>
          <t>837332375</t>
        </is>
      </c>
      <c r="C1280" s="3" t="inlineStr">
        <is>
          <t>Одежда для детей</t>
        </is>
      </c>
      <c r="D1280" s="2" t="inlineStr">
        <is>
          <t>Брюки детские для девочек</t>
        </is>
      </c>
      <c r="E1280" s="3" t="inlineStr">
        <is>
          <t>194 Шорты детские для девочек</t>
        </is>
      </c>
      <c r="F1280" s="2" t="inlineStr">
        <is>
          <t>лето</t>
        </is>
      </c>
      <c r="G1280" s="3" t="inlineStr">
        <is>
          <t>kari</t>
        </is>
      </c>
      <c r="H1280" s="2" t="inlineStr">
        <is>
          <t>Зиннуров Ильнур</t>
        </is>
      </c>
      <c r="J1280" s="3" t="inlineStr">
        <is>
          <t>2026SS</t>
        </is>
      </c>
      <c r="K1280" s="3" t="n">
        <v>253</v>
      </c>
      <c r="L1280" s="3" t="n">
        <v>17</v>
      </c>
      <c r="M1280" s="3" t="n">
        <v>1</v>
      </c>
      <c r="N1280" s="4">
        <f>IFERROR(L1280/K1280,0)</f>
        <v/>
      </c>
      <c r="O1280" s="4">
        <f>IFERROR(M1280/L1280,0)</f>
        <v/>
      </c>
      <c r="P1280" t="n">
        <v>913</v>
      </c>
      <c r="Q1280" s="5" t="n">
        <v>1</v>
      </c>
      <c r="R1280" s="7" t="n">
        <v>0</v>
      </c>
      <c r="S1280" t="inlineStr">
        <is>
          <t>Мало показов</t>
        </is>
      </c>
      <c r="T1280">
        <f>IF(N1280&lt;$T$1*0.5,"Низшая четверть",IF(N1280&lt;$T$1,"Вторая четверть","Больше половины"))</f>
        <v/>
      </c>
      <c r="U1280">
        <f>IF(O1280&lt;$U$1*0.5,"Низшая четверть",IF(O1280&lt;$U$1,"Вторая четверть","Больше половины"))</f>
        <v/>
      </c>
      <c r="V1280">
        <f>IF(OR(N1280&lt;SUMIFS(L:L,R:R,1,E:E,E1280)/SUMIFS(K:K,R:R,1,E:E,E1280)*0.5,O1280&lt;SUMIFS(M:M,R:R,1,E:E,E1280)/SUMIFS(L:L,R:R,1,E:E,E1280)*0.5),"код для проверки","нормальный код")</f>
        <v/>
      </c>
      <c r="W1280">
        <f>IF(N1280&lt;SUMIFS(L:L,R:R,1,E:E,E1280)/SUMIFS(K:K,R:R,1,E:E,E1280)*0.5,"Низшая четверть",IF(N1280&lt;SUMIFS(L:L,R:R,1,E:E,E1280)/SUMIFS(K:K,R:R,1,E:E,E1280),"Вторая четверть","Больше половины"))</f>
        <v/>
      </c>
      <c r="X1280">
        <f>IF(O1280&lt;SUMIFS(M:M,R:R,1,E:E,E1280)/SUMIFS(L:L,R:R,1,E:E,E1280)*0.5,"Низшая четверть",IF(O1280&lt;SUMIFS(M:M,R:R,1,E:E,E1280)/SUMIFS(L:L,R:R,1,E:E,E1280),"Вторая четверть","Больше половины"))</f>
        <v/>
      </c>
      <c r="Y1280" t="n">
        <v>20</v>
      </c>
    </row>
    <row r="1281">
      <c r="A1281" s="1" t="inlineStr">
        <is>
          <t>310004Y0</t>
        </is>
      </c>
      <c r="B1281" s="2" t="inlineStr">
        <is>
          <t>926920533</t>
        </is>
      </c>
      <c r="C1281" s="3" t="inlineStr">
        <is>
          <t>Одежда для детей</t>
        </is>
      </c>
      <c r="D1281" s="2" t="inlineStr">
        <is>
          <t>Футболки, майки, рубашки детские для мальчиков</t>
        </is>
      </c>
      <c r="E1281" s="3" t="inlineStr">
        <is>
          <t>310 Футболка детская для мальчиков</t>
        </is>
      </c>
      <c r="F1281" s="2" t="inlineStr">
        <is>
          <t>всесезонный</t>
        </is>
      </c>
      <c r="G1281" s="3" t="inlineStr">
        <is>
          <t>kari</t>
        </is>
      </c>
      <c r="H1281" s="2" t="inlineStr">
        <is>
          <t>Зиннуров Ильнур</t>
        </is>
      </c>
      <c r="J1281" s="3" t="inlineStr">
        <is>
          <t>2026SS</t>
        </is>
      </c>
      <c r="K1281" s="3" t="n">
        <v>252</v>
      </c>
      <c r="L1281" s="3" t="n">
        <v>10</v>
      </c>
      <c r="M1281" s="3" t="n">
        <v>0</v>
      </c>
      <c r="N1281" s="4">
        <f>IFERROR(L1281/K1281,0)</f>
        <v/>
      </c>
      <c r="O1281" s="4">
        <f>IFERROR(M1281/L1281,0)</f>
        <v/>
      </c>
      <c r="P1281" t="n">
        <v>240</v>
      </c>
      <c r="Q1281" s="5" t="n">
        <v>1</v>
      </c>
      <c r="R1281" s="7" t="n">
        <v>0</v>
      </c>
      <c r="S1281" t="inlineStr">
        <is>
          <t>Мало показов</t>
        </is>
      </c>
      <c r="T1281">
        <f>IF(N1281&lt;$T$1*0.5,"Низшая четверть",IF(N1281&lt;$T$1,"Вторая четверть","Больше половины"))</f>
        <v/>
      </c>
      <c r="U1281">
        <f>IF(O1281&lt;$U$1*0.5,"Низшая четверть",IF(O1281&lt;$U$1,"Вторая четверть","Больше половины"))</f>
        <v/>
      </c>
      <c r="V1281">
        <f>IF(OR(N1281&lt;SUMIFS(L:L,R:R,1,E:E,E1281)/SUMIFS(K:K,R:R,1,E:E,E1281)*0.5,O1281&lt;SUMIFS(M:M,R:R,1,E:E,E1281)/SUMIFS(L:L,R:R,1,E:E,E1281)*0.5),"код для проверки","нормальный код")</f>
        <v/>
      </c>
      <c r="W1281">
        <f>IF(N1281&lt;SUMIFS(L:L,R:R,1,E:E,E1281)/SUMIFS(K:K,R:R,1,E:E,E1281)*0.5,"Низшая четверть",IF(N1281&lt;SUMIFS(L:L,R:R,1,E:E,E1281)/SUMIFS(K:K,R:R,1,E:E,E1281),"Вторая четверть","Больше половины"))</f>
        <v/>
      </c>
      <c r="X1281">
        <f>IF(O1281&lt;SUMIFS(M:M,R:R,1,E:E,E1281)/SUMIFS(L:L,R:R,1,E:E,E1281)*0.5,"Низшая четверть",IF(O1281&lt;SUMIFS(M:M,R:R,1,E:E,E1281)/SUMIFS(L:L,R:R,1,E:E,E1281),"Вторая четверть","Больше половины"))</f>
        <v/>
      </c>
      <c r="Y1281" t="n">
        <v>19</v>
      </c>
    </row>
    <row r="1282">
      <c r="A1282" s="1" t="inlineStr">
        <is>
          <t>07200760</t>
        </is>
      </c>
      <c r="B1282" s="2" t="inlineStr">
        <is>
          <t>936940644</t>
        </is>
      </c>
      <c r="C1282" s="3" t="inlineStr">
        <is>
          <t>Одежда и аксессуары</t>
        </is>
      </c>
      <c r="D1282" s="2" t="inlineStr">
        <is>
          <t>Нижнее белье женское</t>
        </is>
      </c>
      <c r="E1282" s="3" t="inlineStr">
        <is>
          <t>072 Трусы женские</t>
        </is>
      </c>
      <c r="F1282" s="2" t="inlineStr">
        <is>
          <t>всесезонный</t>
        </is>
      </c>
      <c r="G1282" s="3" t="inlineStr">
        <is>
          <t>kari</t>
        </is>
      </c>
      <c r="H1282" s="2" t="inlineStr">
        <is>
          <t>Никонорова Алина</t>
        </is>
      </c>
      <c r="J1282" s="3" t="inlineStr">
        <is>
          <t>2026SS</t>
        </is>
      </c>
      <c r="K1282" s="3" t="n">
        <v>252</v>
      </c>
      <c r="L1282" s="3" t="n">
        <v>6</v>
      </c>
      <c r="M1282" s="3" t="n">
        <v>0</v>
      </c>
      <c r="N1282" s="4">
        <f>IFERROR(L1282/K1282,0)</f>
        <v/>
      </c>
      <c r="O1282" s="4">
        <f>IFERROR(M1282/L1282,0)</f>
        <v/>
      </c>
      <c r="P1282" t="n">
        <v>150</v>
      </c>
      <c r="Q1282" s="5" t="n">
        <v>0.4</v>
      </c>
      <c r="R1282" s="7" t="n">
        <v>0</v>
      </c>
      <c r="S1282" t="inlineStr">
        <is>
          <t>Мало показов</t>
        </is>
      </c>
      <c r="T1282">
        <f>IF(N1282&lt;$T$1*0.5,"Низшая четверть",IF(N1282&lt;$T$1,"Вторая четверть","Больше половины"))</f>
        <v/>
      </c>
      <c r="U1282">
        <f>IF(O1282&lt;$U$1*0.5,"Низшая четверть",IF(O1282&lt;$U$1,"Вторая четверть","Больше половины"))</f>
        <v/>
      </c>
      <c r="V1282">
        <f>IF(OR(N1282&lt;SUMIFS(L:L,R:R,1,E:E,E1282)/SUMIFS(K:K,R:R,1,E:E,E1282)*0.5,O1282&lt;SUMIFS(M:M,R:R,1,E:E,E1282)/SUMIFS(L:L,R:R,1,E:E,E1282)*0.5),"код для проверки","нормальный код")</f>
        <v/>
      </c>
      <c r="W1282">
        <f>IF(N1282&lt;SUMIFS(L:L,R:R,1,E:E,E1282)/SUMIFS(K:K,R:R,1,E:E,E1282)*0.5,"Низшая четверть",IF(N1282&lt;SUMIFS(L:L,R:R,1,E:E,E1282)/SUMIFS(K:K,R:R,1,E:E,E1282),"Вторая четверть","Больше половины"))</f>
        <v/>
      </c>
      <c r="X1282">
        <f>IF(O1282&lt;SUMIFS(M:M,R:R,1,E:E,E1282)/SUMIFS(L:L,R:R,1,E:E,E1282)*0.5,"Низшая четверть",IF(O1282&lt;SUMIFS(M:M,R:R,1,E:E,E1282)/SUMIFS(L:L,R:R,1,E:E,E1282),"Вторая четверть","Больше половины"))</f>
        <v/>
      </c>
      <c r="Y1282" t="n">
        <v>10</v>
      </c>
    </row>
    <row r="1283">
      <c r="A1283" s="1" t="inlineStr">
        <is>
          <t>h1100010</t>
        </is>
      </c>
      <c r="B1283" s="2" t="inlineStr">
        <is>
          <t>879308789</t>
        </is>
      </c>
      <c r="C1283" s="3" t="inlineStr">
        <is>
          <t>Одежда и аксессуары</t>
        </is>
      </c>
      <c r="D1283" s="2" t="inlineStr">
        <is>
          <t>Брюки, шорты мужские</t>
        </is>
      </c>
      <c r="E1283" s="3" t="inlineStr">
        <is>
          <t>h11 Шорты мужские</t>
        </is>
      </c>
      <c r="F1283" s="2" t="inlineStr">
        <is>
          <t>весна, лето</t>
        </is>
      </c>
      <c r="G1283" s="3" t="inlineStr">
        <is>
          <t>kari</t>
        </is>
      </c>
      <c r="H1283" s="2" t="inlineStr">
        <is>
          <t>Зиннуров Ильнур</t>
        </is>
      </c>
      <c r="J1283" s="3" t="inlineStr">
        <is>
          <t>2026SS</t>
        </is>
      </c>
      <c r="K1283" s="3" t="n">
        <v>251</v>
      </c>
      <c r="L1283" s="3" t="n">
        <v>6</v>
      </c>
      <c r="M1283" s="3" t="n">
        <v>0</v>
      </c>
      <c r="N1283" s="4">
        <f>IFERROR(L1283/K1283,0)</f>
        <v/>
      </c>
      <c r="O1283" s="4">
        <f>IFERROR(M1283/L1283,0)</f>
        <v/>
      </c>
      <c r="P1283" t="n">
        <v>300</v>
      </c>
      <c r="Q1283" s="5" t="n">
        <v>1</v>
      </c>
      <c r="R1283" s="7" t="n">
        <v>0</v>
      </c>
      <c r="S1283" t="inlineStr">
        <is>
          <t>Мало показов</t>
        </is>
      </c>
      <c r="T1283">
        <f>IF(N1283&lt;$T$1*0.5,"Низшая четверть",IF(N1283&lt;$T$1,"Вторая четверть","Больше половины"))</f>
        <v/>
      </c>
      <c r="U1283">
        <f>IF(O1283&lt;$U$1*0.5,"Низшая четверть",IF(O1283&lt;$U$1,"Вторая четверть","Больше половины"))</f>
        <v/>
      </c>
      <c r="V1283">
        <f>IF(OR(N1283&lt;SUMIFS(L:L,R:R,1,E:E,E1283)/SUMIFS(K:K,R:R,1,E:E,E1283)*0.5,O1283&lt;SUMIFS(M:M,R:R,1,E:E,E1283)/SUMIFS(L:L,R:R,1,E:E,E1283)*0.5),"код для проверки","нормальный код")</f>
        <v/>
      </c>
      <c r="W1283">
        <f>IF(N1283&lt;SUMIFS(L:L,R:R,1,E:E,E1283)/SUMIFS(K:K,R:R,1,E:E,E1283)*0.5,"Низшая четверть",IF(N1283&lt;SUMIFS(L:L,R:R,1,E:E,E1283)/SUMIFS(K:K,R:R,1,E:E,E1283),"Вторая четверть","Больше половины"))</f>
        <v/>
      </c>
      <c r="X1283">
        <f>IF(O1283&lt;SUMIFS(M:M,R:R,1,E:E,E1283)/SUMIFS(L:L,R:R,1,E:E,E1283)*0.5,"Низшая четверть",IF(O1283&lt;SUMIFS(M:M,R:R,1,E:E,E1283)/SUMIFS(L:L,R:R,1,E:E,E1283),"Вторая четверть","Больше половины"))</f>
        <v/>
      </c>
      <c r="Y1283" t="n">
        <v>7</v>
      </c>
    </row>
    <row r="1284">
      <c r="A1284" s="1" t="inlineStr">
        <is>
          <t>23200110</t>
        </is>
      </c>
      <c r="B1284" s="2" t="inlineStr">
        <is>
          <t>879308837</t>
        </is>
      </c>
      <c r="C1284" s="3" t="inlineStr">
        <is>
          <t>Одежда для детей</t>
        </is>
      </c>
      <c r="D1284" s="2" t="inlineStr">
        <is>
          <t>Нижнее белье детское для мальчиков</t>
        </is>
      </c>
      <c r="E1284" s="3" t="inlineStr">
        <is>
          <t>232 Пижама детская для мальчиков</t>
        </is>
      </c>
      <c r="F1284" s="2" t="inlineStr">
        <is>
          <t>всесезонный</t>
        </is>
      </c>
      <c r="G1284" s="3" t="inlineStr">
        <is>
          <t>kari</t>
        </is>
      </c>
      <c r="H1284" s="2" t="inlineStr">
        <is>
          <t>Зиннуров Ильнур</t>
        </is>
      </c>
      <c r="J1284" s="3" t="inlineStr">
        <is>
          <t>2026SS</t>
        </is>
      </c>
      <c r="K1284" s="3" t="n">
        <v>251</v>
      </c>
      <c r="L1284" s="3" t="n">
        <v>4</v>
      </c>
      <c r="M1284" s="3" t="n">
        <v>0</v>
      </c>
      <c r="N1284" s="4">
        <f>IFERROR(L1284/K1284,0)</f>
        <v/>
      </c>
      <c r="O1284" s="4">
        <f>IFERROR(M1284/L1284,0)</f>
        <v/>
      </c>
      <c r="P1284" t="n">
        <v>730</v>
      </c>
      <c r="Q1284" s="5" t="n">
        <v>1</v>
      </c>
      <c r="R1284" s="7" t="n">
        <v>0</v>
      </c>
      <c r="S1284" t="inlineStr">
        <is>
          <t>Мало показов</t>
        </is>
      </c>
      <c r="T1284">
        <f>IF(N1284&lt;$T$1*0.5,"Низшая четверть",IF(N1284&lt;$T$1,"Вторая четверть","Больше половины"))</f>
        <v/>
      </c>
      <c r="U1284">
        <f>IF(O1284&lt;$U$1*0.5,"Низшая четверть",IF(O1284&lt;$U$1,"Вторая четверть","Больше половины"))</f>
        <v/>
      </c>
      <c r="V1284">
        <f>IF(OR(N1284&lt;SUMIFS(L:L,R:R,1,E:E,E1284)/SUMIFS(K:K,R:R,1,E:E,E1284)*0.5,O1284&lt;SUMIFS(M:M,R:R,1,E:E,E1284)/SUMIFS(L:L,R:R,1,E:E,E1284)*0.5),"код для проверки","нормальный код")</f>
        <v/>
      </c>
      <c r="W1284">
        <f>IF(N1284&lt;SUMIFS(L:L,R:R,1,E:E,E1284)/SUMIFS(K:K,R:R,1,E:E,E1284)*0.5,"Низшая четверть",IF(N1284&lt;SUMIFS(L:L,R:R,1,E:E,E1284)/SUMIFS(K:K,R:R,1,E:E,E1284),"Вторая четверть","Больше половины"))</f>
        <v/>
      </c>
      <c r="X1284">
        <f>IF(O1284&lt;SUMIFS(M:M,R:R,1,E:E,E1284)/SUMIFS(L:L,R:R,1,E:E,E1284)*0.5,"Низшая четверть",IF(O1284&lt;SUMIFS(M:M,R:R,1,E:E,E1284)/SUMIFS(L:L,R:R,1,E:E,E1284),"Вторая четверть","Больше половины"))</f>
        <v/>
      </c>
      <c r="Y1284" t="n">
        <v>7</v>
      </c>
    </row>
    <row r="1285">
      <c r="A1285" s="1" t="inlineStr">
        <is>
          <t>e4008010</t>
        </is>
      </c>
      <c r="B1285" s="2" t="inlineStr">
        <is>
          <t>371244651</t>
        </is>
      </c>
      <c r="C1285" s="3" t="inlineStr">
        <is>
          <t>Одежда и аксессуары</t>
        </is>
      </c>
      <c r="D1285" s="2" t="inlineStr">
        <is>
          <t>Головные уборы мужские</t>
        </is>
      </c>
      <c r="E1285" s="3" t="inlineStr">
        <is>
          <t>e40 Панама</t>
        </is>
      </c>
      <c r="F1285" s="2" t="inlineStr">
        <is>
          <t>весна, лето</t>
        </is>
      </c>
      <c r="G1285" s="3" t="inlineStr">
        <is>
          <t>kari</t>
        </is>
      </c>
      <c r="H1285" s="2" t="inlineStr">
        <is>
          <t>Никонорова Алина</t>
        </is>
      </c>
      <c r="J1285" s="3" t="inlineStr">
        <is>
          <t>2026SS</t>
        </is>
      </c>
      <c r="K1285" s="3" t="n">
        <v>250</v>
      </c>
      <c r="L1285" s="3" t="n">
        <v>28</v>
      </c>
      <c r="M1285" s="3" t="n">
        <v>2</v>
      </c>
      <c r="N1285" s="4">
        <f>IFERROR(L1285/K1285,0)</f>
        <v/>
      </c>
      <c r="O1285" s="4">
        <f>IFERROR(M1285/L1285,0)</f>
        <v/>
      </c>
      <c r="P1285" t="n">
        <v>0</v>
      </c>
      <c r="Q1285" s="5" t="n">
        <v>1</v>
      </c>
      <c r="R1285" s="7" t="n">
        <v>0</v>
      </c>
      <c r="S1285" t="inlineStr">
        <is>
          <t>Мало остатка</t>
        </is>
      </c>
      <c r="T1285">
        <f>IF(N1285&lt;$T$1*0.5,"Низшая четверть",IF(N1285&lt;$T$1,"Вторая четверть","Больше половины"))</f>
        <v/>
      </c>
      <c r="U1285">
        <f>IF(O1285&lt;$U$1*0.5,"Низшая четверть",IF(O1285&lt;$U$1,"Вторая четверть","Больше половины"))</f>
        <v/>
      </c>
      <c r="V1285">
        <f>IF(OR(N1285&lt;SUMIFS(L:L,R:R,1,E:E,E1285)/SUMIFS(K:K,R:R,1,E:E,E1285)*0.5,O1285&lt;SUMIFS(M:M,R:R,1,E:E,E1285)/SUMIFS(L:L,R:R,1,E:E,E1285)*0.5),"код для проверки","нормальный код")</f>
        <v/>
      </c>
      <c r="W1285">
        <f>IF(N1285&lt;SUMIFS(L:L,R:R,1,E:E,E1285)/SUMIFS(K:K,R:R,1,E:E,E1285)*0.5,"Низшая четверть",IF(N1285&lt;SUMIFS(L:L,R:R,1,E:E,E1285)/SUMIFS(K:K,R:R,1,E:E,E1285),"Вторая четверть","Больше половины"))</f>
        <v/>
      </c>
      <c r="X1285">
        <f>IF(O1285&lt;SUMIFS(M:M,R:R,1,E:E,E1285)/SUMIFS(L:L,R:R,1,E:E,E1285)*0.5,"Низшая четверть",IF(O1285&lt;SUMIFS(M:M,R:R,1,E:E,E1285)/SUMIFS(L:L,R:R,1,E:E,E1285),"Вторая четверть","Больше половины"))</f>
        <v/>
      </c>
      <c r="Y1285" t="n">
        <v>3</v>
      </c>
    </row>
    <row r="1286">
      <c r="A1286" s="1" t="inlineStr">
        <is>
          <t>23200070</t>
        </is>
      </c>
      <c r="B1286" s="2" t="inlineStr">
        <is>
          <t>917283076</t>
        </is>
      </c>
      <c r="C1286" s="3" t="inlineStr">
        <is>
          <t>Одежда для детей</t>
        </is>
      </c>
      <c r="D1286" s="2" t="inlineStr">
        <is>
          <t>Нижнее белье детское для мальчиков</t>
        </is>
      </c>
      <c r="E1286" s="3" t="inlineStr">
        <is>
          <t>232 Пижама детская для мальчиков</t>
        </is>
      </c>
      <c r="F1286" s="2" t="inlineStr">
        <is>
          <t>всесезонный</t>
        </is>
      </c>
      <c r="G1286" s="3" t="inlineStr">
        <is>
          <t>Kari KIDS</t>
        </is>
      </c>
      <c r="H1286" s="2" t="inlineStr">
        <is>
          <t>Зиннуров Ильнур</t>
        </is>
      </c>
      <c r="J1286" s="3" t="inlineStr">
        <is>
          <t>2026SS</t>
        </is>
      </c>
      <c r="K1286" s="3" t="n">
        <v>250</v>
      </c>
      <c r="L1286" s="3" t="n">
        <v>3</v>
      </c>
      <c r="M1286" s="3" t="n">
        <v>0</v>
      </c>
      <c r="N1286" s="4">
        <f>IFERROR(L1286/K1286,0)</f>
        <v/>
      </c>
      <c r="O1286" s="4">
        <f>IFERROR(M1286/L1286,0)</f>
        <v/>
      </c>
      <c r="P1286" t="n">
        <v>280</v>
      </c>
      <c r="Q1286" s="5" t="n">
        <v>1</v>
      </c>
      <c r="R1286" s="7" t="n">
        <v>0</v>
      </c>
      <c r="S1286" t="inlineStr">
        <is>
          <t>Мало показов</t>
        </is>
      </c>
      <c r="T1286">
        <f>IF(N1286&lt;$T$1*0.5,"Низшая четверть",IF(N1286&lt;$T$1,"Вторая четверть","Больше половины"))</f>
        <v/>
      </c>
      <c r="U1286">
        <f>IF(O1286&lt;$U$1*0.5,"Низшая четверть",IF(O1286&lt;$U$1,"Вторая четверть","Больше половины"))</f>
        <v/>
      </c>
      <c r="V1286">
        <f>IF(OR(N1286&lt;SUMIFS(L:L,R:R,1,E:E,E1286)/SUMIFS(K:K,R:R,1,E:E,E1286)*0.5,O1286&lt;SUMIFS(M:M,R:R,1,E:E,E1286)/SUMIFS(L:L,R:R,1,E:E,E1286)*0.5),"код для проверки","нормальный код")</f>
        <v/>
      </c>
      <c r="W1286">
        <f>IF(N1286&lt;SUMIFS(L:L,R:R,1,E:E,E1286)/SUMIFS(K:K,R:R,1,E:E,E1286)*0.5,"Низшая четверть",IF(N1286&lt;SUMIFS(L:L,R:R,1,E:E,E1286)/SUMIFS(K:K,R:R,1,E:E,E1286),"Вторая четверть","Больше половины"))</f>
        <v/>
      </c>
      <c r="X1286">
        <f>IF(O1286&lt;SUMIFS(M:M,R:R,1,E:E,E1286)/SUMIFS(L:L,R:R,1,E:E,E1286)*0.5,"Низшая четверть",IF(O1286&lt;SUMIFS(M:M,R:R,1,E:E,E1286)/SUMIFS(L:L,R:R,1,E:E,E1286),"Вторая четверть","Больше половины"))</f>
        <v/>
      </c>
      <c r="Y1286" t="n">
        <v>24</v>
      </c>
    </row>
    <row r="1287">
      <c r="A1287" s="1" t="inlineStr">
        <is>
          <t>30200210</t>
        </is>
      </c>
      <c r="B1287" s="2" t="inlineStr">
        <is>
          <t>701616679</t>
        </is>
      </c>
      <c r="C1287" s="3" t="inlineStr">
        <is>
          <t>Одежда для детей</t>
        </is>
      </c>
      <c r="D1287" s="2" t="inlineStr">
        <is>
          <t>Платья, майки, футболки детские для девочек</t>
        </is>
      </c>
      <c r="E1287" s="3" t="inlineStr">
        <is>
          <t>302 Юбка детская для девочек</t>
        </is>
      </c>
      <c r="F1287" s="2" t="inlineStr">
        <is>
          <t>всесезонный</t>
        </is>
      </c>
      <c r="G1287" s="3" t="inlineStr">
        <is>
          <t>Kari KIDS</t>
        </is>
      </c>
      <c r="H1287" s="2" t="inlineStr">
        <is>
          <t>Зиннуров Ильнур</t>
        </is>
      </c>
      <c r="J1287" s="3" t="inlineStr">
        <is>
          <t>2026SS</t>
        </is>
      </c>
      <c r="K1287" s="3" t="n">
        <v>249</v>
      </c>
      <c r="L1287" s="3" t="n">
        <v>112</v>
      </c>
      <c r="M1287" s="3" t="n">
        <v>1</v>
      </c>
      <c r="N1287" s="4">
        <f>IFERROR(L1287/K1287,0)</f>
        <v/>
      </c>
      <c r="O1287" s="4">
        <f>IFERROR(M1287/L1287,0)</f>
        <v/>
      </c>
      <c r="P1287" t="n">
        <v>0</v>
      </c>
      <c r="Q1287" s="5" t="n">
        <v>0.2</v>
      </c>
      <c r="R1287" s="7" t="n">
        <v>0</v>
      </c>
      <c r="S1287" t="inlineStr">
        <is>
          <t>Мало остатка</t>
        </is>
      </c>
      <c r="T1287">
        <f>IF(N1287&lt;$T$1*0.5,"Низшая четверть",IF(N1287&lt;$T$1,"Вторая четверть","Больше половины"))</f>
        <v/>
      </c>
      <c r="U1287">
        <f>IF(O1287&lt;$U$1*0.5,"Низшая четверть",IF(O1287&lt;$U$1,"Вторая четверть","Больше половины"))</f>
        <v/>
      </c>
      <c r="V1287">
        <f>IF(OR(N1287&lt;SUMIFS(L:L,R:R,1,E:E,E1287)/SUMIFS(K:K,R:R,1,E:E,E1287)*0.5,O1287&lt;SUMIFS(M:M,R:R,1,E:E,E1287)/SUMIFS(L:L,R:R,1,E:E,E1287)*0.5),"код для проверки","нормальный код")</f>
        <v/>
      </c>
      <c r="W1287">
        <f>IF(N1287&lt;SUMIFS(L:L,R:R,1,E:E,E1287)/SUMIFS(K:K,R:R,1,E:E,E1287)*0.5,"Низшая четверть",IF(N1287&lt;SUMIFS(L:L,R:R,1,E:E,E1287)/SUMIFS(K:K,R:R,1,E:E,E1287),"Вторая четверть","Больше половины"))</f>
        <v/>
      </c>
      <c r="X1287">
        <f>IF(O1287&lt;SUMIFS(M:M,R:R,1,E:E,E1287)/SUMIFS(L:L,R:R,1,E:E,E1287)*0.5,"Низшая четверть",IF(O1287&lt;SUMIFS(M:M,R:R,1,E:E,E1287)/SUMIFS(L:L,R:R,1,E:E,E1287),"Вторая четверть","Больше половины"))</f>
        <v/>
      </c>
      <c r="Y1287" t="n">
        <v>18</v>
      </c>
    </row>
    <row r="1288">
      <c r="A1288" s="1" t="inlineStr">
        <is>
          <t>310003C0</t>
        </is>
      </c>
      <c r="B1288" s="2" t="inlineStr">
        <is>
          <t>847884167</t>
        </is>
      </c>
      <c r="C1288" s="3" t="inlineStr">
        <is>
          <t>Одежда для детей</t>
        </is>
      </c>
      <c r="D1288" s="2" t="inlineStr">
        <is>
          <t>Футболки, майки, рубашки детские для мальчиков</t>
        </is>
      </c>
      <c r="E1288" s="3" t="inlineStr">
        <is>
          <t>310 Футболка детская для мальчиков</t>
        </is>
      </c>
      <c r="F1288" s="2" t="inlineStr">
        <is>
          <t>всесезонный</t>
        </is>
      </c>
      <c r="G1288" s="3" t="inlineStr">
        <is>
          <t>kari</t>
        </is>
      </c>
      <c r="H1288" s="2" t="inlineStr">
        <is>
          <t>Зиннуров Ильнур</t>
        </is>
      </c>
      <c r="J1288" s="3" t="inlineStr">
        <is>
          <t>2026SS</t>
        </is>
      </c>
      <c r="K1288" s="3" t="n">
        <v>245</v>
      </c>
      <c r="L1288" s="3" t="n">
        <v>6</v>
      </c>
      <c r="M1288" s="3" t="n">
        <v>0</v>
      </c>
      <c r="N1288" s="4">
        <f>IFERROR(L1288/K1288,0)</f>
        <v/>
      </c>
      <c r="O1288" s="4">
        <f>IFERROR(M1288/L1288,0)</f>
        <v/>
      </c>
      <c r="P1288" t="n">
        <v>280</v>
      </c>
      <c r="Q1288" s="5" t="n">
        <v>0.875</v>
      </c>
      <c r="R1288" s="7" t="n">
        <v>0</v>
      </c>
      <c r="S1288" t="inlineStr">
        <is>
          <t>Мало показов</t>
        </is>
      </c>
      <c r="T1288">
        <f>IF(N1288&lt;$T$1*0.5,"Низшая четверть",IF(N1288&lt;$T$1,"Вторая четверть","Больше половины"))</f>
        <v/>
      </c>
      <c r="U1288">
        <f>IF(O1288&lt;$U$1*0.5,"Низшая четверть",IF(O1288&lt;$U$1,"Вторая четверть","Больше половины"))</f>
        <v/>
      </c>
      <c r="V1288">
        <f>IF(OR(N1288&lt;SUMIFS(L:L,R:R,1,E:E,E1288)/SUMIFS(K:K,R:R,1,E:E,E1288)*0.5,O1288&lt;SUMIFS(M:M,R:R,1,E:E,E1288)/SUMIFS(L:L,R:R,1,E:E,E1288)*0.5),"код для проверки","нормальный код")</f>
        <v/>
      </c>
      <c r="W1288">
        <f>IF(N1288&lt;SUMIFS(L:L,R:R,1,E:E,E1288)/SUMIFS(K:K,R:R,1,E:E,E1288)*0.5,"Низшая четверть",IF(N1288&lt;SUMIFS(L:L,R:R,1,E:E,E1288)/SUMIFS(K:K,R:R,1,E:E,E1288),"Вторая четверть","Больше половины"))</f>
        <v/>
      </c>
      <c r="X1288">
        <f>IF(O1288&lt;SUMIFS(M:M,R:R,1,E:E,E1288)/SUMIFS(L:L,R:R,1,E:E,E1288)*0.5,"Низшая четверть",IF(O1288&lt;SUMIFS(M:M,R:R,1,E:E,E1288)/SUMIFS(L:L,R:R,1,E:E,E1288),"Вторая четверть","Больше половины"))</f>
        <v/>
      </c>
      <c r="Y1288" t="n">
        <v>17</v>
      </c>
    </row>
    <row r="1289">
      <c r="A1289" s="1" t="inlineStr">
        <is>
          <t>57200060</t>
        </is>
      </c>
      <c r="B1289" s="2" t="inlineStr">
        <is>
          <t>933544897</t>
        </is>
      </c>
      <c r="C1289" s="3" t="inlineStr">
        <is>
          <t>Одежда для детей</t>
        </is>
      </c>
      <c r="D1289" s="2" t="inlineStr">
        <is>
          <t>Одежда для новорожденных</t>
        </is>
      </c>
      <c r="E1289" s="3" t="inlineStr">
        <is>
          <t>572 Ползунки для девочки</t>
        </is>
      </c>
      <c r="F1289" s="2" t="inlineStr">
        <is>
          <t>всесезонный</t>
        </is>
      </c>
      <c r="G1289" s="3" t="inlineStr">
        <is>
          <t>Kari baby</t>
        </is>
      </c>
      <c r="H1289" s="2" t="inlineStr">
        <is>
          <t>Зиннуров Ильнур</t>
        </is>
      </c>
      <c r="J1289" s="3" t="inlineStr">
        <is>
          <t>2026SS</t>
        </is>
      </c>
      <c r="K1289" s="3" t="n">
        <v>242</v>
      </c>
      <c r="L1289" s="3" t="n">
        <v>2</v>
      </c>
      <c r="M1289" s="3" t="n">
        <v>0</v>
      </c>
      <c r="N1289" s="4">
        <f>IFERROR(L1289/K1289,0)</f>
        <v/>
      </c>
      <c r="O1289" s="4">
        <f>IFERROR(M1289/L1289,0)</f>
        <v/>
      </c>
      <c r="P1289" t="n">
        <v>80</v>
      </c>
      <c r="Q1289" s="5" t="n">
        <v>1</v>
      </c>
      <c r="R1289" s="7" t="n">
        <v>0</v>
      </c>
      <c r="S1289" t="inlineStr">
        <is>
          <t>Мало показов</t>
        </is>
      </c>
      <c r="T1289">
        <f>IF(N1289&lt;$T$1*0.5,"Низшая четверть",IF(N1289&lt;$T$1,"Вторая четверть","Больше половины"))</f>
        <v/>
      </c>
      <c r="U1289">
        <f>IF(O1289&lt;$U$1*0.5,"Низшая четверть",IF(O1289&lt;$U$1,"Вторая четверть","Больше половины"))</f>
        <v/>
      </c>
      <c r="V1289">
        <f>IF(OR(N1289&lt;SUMIFS(L:L,R:R,1,E:E,E1289)/SUMIFS(K:K,R:R,1,E:E,E1289)*0.5,O1289&lt;SUMIFS(M:M,R:R,1,E:E,E1289)/SUMIFS(L:L,R:R,1,E:E,E1289)*0.5),"код для проверки","нормальный код")</f>
        <v/>
      </c>
      <c r="W1289">
        <f>IF(N1289&lt;SUMIFS(L:L,R:R,1,E:E,E1289)/SUMIFS(K:K,R:R,1,E:E,E1289)*0.5,"Низшая четверть",IF(N1289&lt;SUMIFS(L:L,R:R,1,E:E,E1289)/SUMIFS(K:K,R:R,1,E:E,E1289),"Вторая четверть","Больше половины"))</f>
        <v/>
      </c>
      <c r="X1289">
        <f>IF(O1289&lt;SUMIFS(M:M,R:R,1,E:E,E1289)/SUMIFS(L:L,R:R,1,E:E,E1289)*0.5,"Низшая четверть",IF(O1289&lt;SUMIFS(M:M,R:R,1,E:E,E1289)/SUMIFS(L:L,R:R,1,E:E,E1289),"Вторая четверть","Больше половины"))</f>
        <v/>
      </c>
      <c r="Y1289" t="n">
        <v>11</v>
      </c>
    </row>
    <row r="1290">
      <c r="A1290" s="1" t="inlineStr">
        <is>
          <t>94100010</t>
        </is>
      </c>
      <c r="B1290" s="2" t="inlineStr">
        <is>
          <t>933544914</t>
        </is>
      </c>
      <c r="C1290" s="3" t="inlineStr">
        <is>
          <t>Одежда для детей</t>
        </is>
      </c>
      <c r="D1290" s="2" t="inlineStr">
        <is>
          <t>Одежда для новорожденных</t>
        </is>
      </c>
      <c r="E1290" s="3" t="inlineStr">
        <is>
          <t>941 Ползунки для мальчика</t>
        </is>
      </c>
      <c r="F1290" s="2" t="inlineStr">
        <is>
          <t>всесезонный</t>
        </is>
      </c>
      <c r="G1290" s="3" t="inlineStr">
        <is>
          <t>Kari baby</t>
        </is>
      </c>
      <c r="H1290" s="2" t="inlineStr">
        <is>
          <t>Зиннуров Ильнур</t>
        </is>
      </c>
      <c r="J1290" s="3" t="inlineStr">
        <is>
          <t>2026SS</t>
        </is>
      </c>
      <c r="K1290" s="3" t="n">
        <v>239</v>
      </c>
      <c r="L1290" s="3" t="n">
        <v>6</v>
      </c>
      <c r="M1290" s="3" t="n">
        <v>0</v>
      </c>
      <c r="N1290" s="4">
        <f>IFERROR(L1290/K1290,0)</f>
        <v/>
      </c>
      <c r="O1290" s="4">
        <f>IFERROR(M1290/L1290,0)</f>
        <v/>
      </c>
      <c r="P1290" t="n">
        <v>60</v>
      </c>
      <c r="Q1290" s="5" t="n">
        <v>1</v>
      </c>
      <c r="R1290" s="7" t="n">
        <v>0</v>
      </c>
      <c r="S1290" t="inlineStr">
        <is>
          <t>Мало показов</t>
        </is>
      </c>
      <c r="T1290">
        <f>IF(N1290&lt;$T$1*0.5,"Низшая четверть",IF(N1290&lt;$T$1,"Вторая четверть","Больше половины"))</f>
        <v/>
      </c>
      <c r="U1290">
        <f>IF(O1290&lt;$U$1*0.5,"Низшая четверть",IF(O1290&lt;$U$1,"Вторая четверть","Больше половины"))</f>
        <v/>
      </c>
      <c r="V1290">
        <f>IF(OR(N1290&lt;SUMIFS(L:L,R:R,1,E:E,E1290)/SUMIFS(K:K,R:R,1,E:E,E1290)*0.5,O1290&lt;SUMIFS(M:M,R:R,1,E:E,E1290)/SUMIFS(L:L,R:R,1,E:E,E1290)*0.5),"код для проверки","нормальный код")</f>
        <v/>
      </c>
      <c r="W1290">
        <f>IF(N1290&lt;SUMIFS(L:L,R:R,1,E:E,E1290)/SUMIFS(K:K,R:R,1,E:E,E1290)*0.5,"Низшая четверть",IF(N1290&lt;SUMIFS(L:L,R:R,1,E:E,E1290)/SUMIFS(K:K,R:R,1,E:E,E1290),"Вторая четверть","Больше половины"))</f>
        <v/>
      </c>
      <c r="X1290">
        <f>IF(O1290&lt;SUMIFS(M:M,R:R,1,E:E,E1290)/SUMIFS(L:L,R:R,1,E:E,E1290)*0.5,"Низшая четверть",IF(O1290&lt;SUMIFS(M:M,R:R,1,E:E,E1290)/SUMIFS(L:L,R:R,1,E:E,E1290),"Вторая четверть","Больше половины"))</f>
        <v/>
      </c>
      <c r="Y1290" t="n">
        <v>16</v>
      </c>
    </row>
    <row r="1291">
      <c r="A1291" s="1" t="inlineStr">
        <is>
          <t>19400310</t>
        </is>
      </c>
      <c r="B1291" s="2" t="inlineStr">
        <is>
          <t>837332274</t>
        </is>
      </c>
      <c r="C1291" s="3" t="inlineStr">
        <is>
          <t>Одежда для детей</t>
        </is>
      </c>
      <c r="D1291" s="2" t="inlineStr">
        <is>
          <t>Брюки детские для девочек</t>
        </is>
      </c>
      <c r="E1291" s="3" t="inlineStr">
        <is>
          <t>194 Шорты детские для девочек</t>
        </is>
      </c>
      <c r="F1291" s="2" t="inlineStr">
        <is>
          <t>лето</t>
        </is>
      </c>
      <c r="G1291" s="3" t="inlineStr">
        <is>
          <t>kari</t>
        </is>
      </c>
      <c r="H1291" s="2" t="inlineStr">
        <is>
          <t>Зиннуров Ильнур</t>
        </is>
      </c>
      <c r="J1291" s="3" t="inlineStr">
        <is>
          <t>2026SS</t>
        </is>
      </c>
      <c r="K1291" s="3" t="n">
        <v>231</v>
      </c>
      <c r="L1291" s="3" t="n">
        <v>6</v>
      </c>
      <c r="M1291" s="3" t="n">
        <v>0</v>
      </c>
      <c r="N1291" s="4">
        <f>IFERROR(L1291/K1291,0)</f>
        <v/>
      </c>
      <c r="O1291" s="4">
        <f>IFERROR(M1291/L1291,0)</f>
        <v/>
      </c>
      <c r="P1291" t="n">
        <v>400</v>
      </c>
      <c r="Q1291" s="5" t="n">
        <v>1</v>
      </c>
      <c r="R1291" s="7" t="n">
        <v>0</v>
      </c>
      <c r="S1291" t="inlineStr">
        <is>
          <t>Мало показов</t>
        </is>
      </c>
      <c r="T1291">
        <f>IF(N1291&lt;$T$1*0.5,"Низшая четверть",IF(N1291&lt;$T$1,"Вторая четверть","Больше половины"))</f>
        <v/>
      </c>
      <c r="U1291">
        <f>IF(O1291&lt;$U$1*0.5,"Низшая четверть",IF(O1291&lt;$U$1,"Вторая четверть","Больше половины"))</f>
        <v/>
      </c>
      <c r="V1291">
        <f>IF(OR(N1291&lt;SUMIFS(L:L,R:R,1,E:E,E1291)/SUMIFS(K:K,R:R,1,E:E,E1291)*0.5,O1291&lt;SUMIFS(M:M,R:R,1,E:E,E1291)/SUMIFS(L:L,R:R,1,E:E,E1291)*0.5),"код для проверки","нормальный код")</f>
        <v/>
      </c>
      <c r="W1291">
        <f>IF(N1291&lt;SUMIFS(L:L,R:R,1,E:E,E1291)/SUMIFS(K:K,R:R,1,E:E,E1291)*0.5,"Низшая четверть",IF(N1291&lt;SUMIFS(L:L,R:R,1,E:E,E1291)/SUMIFS(K:K,R:R,1,E:E,E1291),"Вторая четверть","Больше половины"))</f>
        <v/>
      </c>
      <c r="X1291">
        <f>IF(O1291&lt;SUMIFS(M:M,R:R,1,E:E,E1291)/SUMIFS(L:L,R:R,1,E:E,E1291)*0.5,"Низшая четверть",IF(O1291&lt;SUMIFS(M:M,R:R,1,E:E,E1291)/SUMIFS(L:L,R:R,1,E:E,E1291),"Вторая четверть","Больше половины"))</f>
        <v/>
      </c>
      <c r="Y1291" t="n">
        <v>17</v>
      </c>
    </row>
    <row r="1292">
      <c r="A1292" s="1" t="inlineStr">
        <is>
          <t>310002J0</t>
        </is>
      </c>
      <c r="B1292" s="2" t="inlineStr">
        <is>
          <t>822217591</t>
        </is>
      </c>
      <c r="C1292" s="3" t="inlineStr">
        <is>
          <t>Одежда для детей</t>
        </is>
      </c>
      <c r="D1292" s="2" t="inlineStr">
        <is>
          <t>Футболки, майки, рубашки детские для мальчиков</t>
        </is>
      </c>
      <c r="E1292" s="3" t="inlineStr">
        <is>
          <t>310 Футболка детская для мальчиков</t>
        </is>
      </c>
      <c r="F1292" s="2" t="inlineStr">
        <is>
          <t>всесезонный</t>
        </is>
      </c>
      <c r="G1292" s="3" t="inlineStr">
        <is>
          <t>kari</t>
        </is>
      </c>
      <c r="H1292" s="2" t="inlineStr">
        <is>
          <t>Зиннуров Ильнур</t>
        </is>
      </c>
      <c r="J1292" s="3" t="inlineStr">
        <is>
          <t>2026SS</t>
        </is>
      </c>
      <c r="K1292" s="3" t="n">
        <v>229</v>
      </c>
      <c r="L1292" s="3" t="n">
        <v>143</v>
      </c>
      <c r="M1292" s="3" t="n">
        <v>3</v>
      </c>
      <c r="N1292" s="4">
        <f>IFERROR(L1292/K1292,0)</f>
        <v/>
      </c>
      <c r="O1292" s="4">
        <f>IFERROR(M1292/L1292,0)</f>
        <v/>
      </c>
      <c r="P1292" t="n">
        <v>99</v>
      </c>
      <c r="Q1292" s="5" t="n">
        <v>1</v>
      </c>
      <c r="R1292" s="7" t="n">
        <v>0</v>
      </c>
      <c r="S1292" t="inlineStr">
        <is>
          <t>Мало показов</t>
        </is>
      </c>
      <c r="T1292">
        <f>IF(N1292&lt;$T$1*0.5,"Низшая четверть",IF(N1292&lt;$T$1,"Вторая четверть","Больше половины"))</f>
        <v/>
      </c>
      <c r="U1292">
        <f>IF(O1292&lt;$U$1*0.5,"Низшая четверть",IF(O1292&lt;$U$1,"Вторая четверть","Больше половины"))</f>
        <v/>
      </c>
      <c r="V1292">
        <f>IF(OR(N1292&lt;SUMIFS(L:L,R:R,1,E:E,E1292)/SUMIFS(K:K,R:R,1,E:E,E1292)*0.5,O1292&lt;SUMIFS(M:M,R:R,1,E:E,E1292)/SUMIFS(L:L,R:R,1,E:E,E1292)*0.5),"код для проверки","нормальный код")</f>
        <v/>
      </c>
      <c r="W1292">
        <f>IF(N1292&lt;SUMIFS(L:L,R:R,1,E:E,E1292)/SUMIFS(K:K,R:R,1,E:E,E1292)*0.5,"Низшая четверть",IF(N1292&lt;SUMIFS(L:L,R:R,1,E:E,E1292)/SUMIFS(K:K,R:R,1,E:E,E1292),"Вторая четверть","Больше половины"))</f>
        <v/>
      </c>
      <c r="X1292">
        <f>IF(O1292&lt;SUMIFS(M:M,R:R,1,E:E,E1292)/SUMIFS(L:L,R:R,1,E:E,E1292)*0.5,"Низшая четверть",IF(O1292&lt;SUMIFS(M:M,R:R,1,E:E,E1292)/SUMIFS(L:L,R:R,1,E:E,E1292),"Вторая четверть","Больше половины"))</f>
        <v/>
      </c>
      <c r="Y1292" t="n">
        <v>8</v>
      </c>
    </row>
    <row r="1293">
      <c r="A1293" s="1" t="inlineStr">
        <is>
          <t>a6000790</t>
        </is>
      </c>
      <c r="B1293" s="2" t="inlineStr">
        <is>
          <t>914676200</t>
        </is>
      </c>
      <c r="C1293" s="3" t="inlineStr">
        <is>
          <t>Одежда для детей</t>
        </is>
      </c>
      <c r="D1293" s="2" t="inlineStr">
        <is>
          <t>Платья, майки, футболки детские для девочек</t>
        </is>
      </c>
      <c r="E1293" s="3" t="inlineStr">
        <is>
          <t>a60 Футболка детская для девочек</t>
        </is>
      </c>
      <c r="F1293" s="2" t="inlineStr">
        <is>
          <t>всесезонный</t>
        </is>
      </c>
      <c r="G1293" s="3" t="inlineStr">
        <is>
          <t>kari</t>
        </is>
      </c>
      <c r="H1293" s="2" t="inlineStr">
        <is>
          <t>Зиннуров Ильнур</t>
        </is>
      </c>
      <c r="J1293" s="3" t="inlineStr">
        <is>
          <t>2026SS</t>
        </is>
      </c>
      <c r="K1293" s="3" t="n">
        <v>228</v>
      </c>
      <c r="L1293" s="3" t="n">
        <v>3</v>
      </c>
      <c r="M1293" s="3" t="n">
        <v>0</v>
      </c>
      <c r="N1293" s="4">
        <f>IFERROR(L1293/K1293,0)</f>
        <v/>
      </c>
      <c r="O1293" s="4">
        <f>IFERROR(M1293/L1293,0)</f>
        <v/>
      </c>
      <c r="P1293" t="n">
        <v>260</v>
      </c>
      <c r="Q1293" s="5" t="n">
        <v>1</v>
      </c>
      <c r="R1293" s="7" t="n">
        <v>0</v>
      </c>
      <c r="S1293" t="inlineStr">
        <is>
          <t>Мало показов</t>
        </is>
      </c>
      <c r="T1293">
        <f>IF(N1293&lt;$T$1*0.5,"Низшая четверть",IF(N1293&lt;$T$1,"Вторая четверть","Больше половины"))</f>
        <v/>
      </c>
      <c r="U1293">
        <f>IF(O1293&lt;$U$1*0.5,"Низшая четверть",IF(O1293&lt;$U$1,"Вторая четверть","Больше половины"))</f>
        <v/>
      </c>
      <c r="V1293">
        <f>IF(OR(N1293&lt;SUMIFS(L:L,R:R,1,E:E,E1293)/SUMIFS(K:K,R:R,1,E:E,E1293)*0.5,O1293&lt;SUMIFS(M:M,R:R,1,E:E,E1293)/SUMIFS(L:L,R:R,1,E:E,E1293)*0.5),"код для проверки","нормальный код")</f>
        <v/>
      </c>
      <c r="W1293">
        <f>IF(N1293&lt;SUMIFS(L:L,R:R,1,E:E,E1293)/SUMIFS(K:K,R:R,1,E:E,E1293)*0.5,"Низшая четверть",IF(N1293&lt;SUMIFS(L:L,R:R,1,E:E,E1293)/SUMIFS(K:K,R:R,1,E:E,E1293),"Вторая четверть","Больше половины"))</f>
        <v/>
      </c>
      <c r="X1293">
        <f>IF(O1293&lt;SUMIFS(M:M,R:R,1,E:E,E1293)/SUMIFS(L:L,R:R,1,E:E,E1293)*0.5,"Низшая четверть",IF(O1293&lt;SUMIFS(M:M,R:R,1,E:E,E1293)/SUMIFS(L:L,R:R,1,E:E,E1293),"Вторая четверть","Больше половины"))</f>
        <v/>
      </c>
      <c r="Y1293" t="n">
        <v>26</v>
      </c>
    </row>
    <row r="1294">
      <c r="A1294" s="1" t="inlineStr">
        <is>
          <t>a6000820</t>
        </is>
      </c>
      <c r="B1294" s="2" t="inlineStr">
        <is>
          <t>914676214</t>
        </is>
      </c>
      <c r="C1294" s="3" t="inlineStr">
        <is>
          <t>Одежда для детей</t>
        </is>
      </c>
      <c r="D1294" s="2" t="inlineStr">
        <is>
          <t>Платья, майки, футболки детские для девочек</t>
        </is>
      </c>
      <c r="E1294" s="3" t="inlineStr">
        <is>
          <t>a60 Футболка детская для девочек</t>
        </is>
      </c>
      <c r="F1294" s="2" t="inlineStr">
        <is>
          <t>всесезонный</t>
        </is>
      </c>
      <c r="G1294" s="3" t="inlineStr">
        <is>
          <t>kari</t>
        </is>
      </c>
      <c r="H1294" s="2" t="inlineStr">
        <is>
          <t>Зиннуров Ильнур</t>
        </is>
      </c>
      <c r="J1294" s="3" t="inlineStr">
        <is>
          <t>2026SS</t>
        </is>
      </c>
      <c r="K1294" s="3" t="n">
        <v>227</v>
      </c>
      <c r="L1294" s="3" t="n">
        <v>5</v>
      </c>
      <c r="M1294" s="3" t="n">
        <v>0</v>
      </c>
      <c r="N1294" s="4">
        <f>IFERROR(L1294/K1294,0)</f>
        <v/>
      </c>
      <c r="O1294" s="4">
        <f>IFERROR(M1294/L1294,0)</f>
        <v/>
      </c>
      <c r="P1294" t="n">
        <v>340</v>
      </c>
      <c r="Q1294" s="5" t="n">
        <v>1</v>
      </c>
      <c r="R1294" s="7" t="n">
        <v>0</v>
      </c>
      <c r="S1294" t="inlineStr">
        <is>
          <t>Мало показов</t>
        </is>
      </c>
      <c r="T1294">
        <f>IF(N1294&lt;$T$1*0.5,"Низшая четверть",IF(N1294&lt;$T$1,"Вторая четверть","Больше половины"))</f>
        <v/>
      </c>
      <c r="U1294">
        <f>IF(O1294&lt;$U$1*0.5,"Низшая четверть",IF(O1294&lt;$U$1,"Вторая четверть","Больше половины"))</f>
        <v/>
      </c>
      <c r="V1294">
        <f>IF(OR(N1294&lt;SUMIFS(L:L,R:R,1,E:E,E1294)/SUMIFS(K:K,R:R,1,E:E,E1294)*0.5,O1294&lt;SUMIFS(M:M,R:R,1,E:E,E1294)/SUMIFS(L:L,R:R,1,E:E,E1294)*0.5),"код для проверки","нормальный код")</f>
        <v/>
      </c>
      <c r="W1294">
        <f>IF(N1294&lt;SUMIFS(L:L,R:R,1,E:E,E1294)/SUMIFS(K:K,R:R,1,E:E,E1294)*0.5,"Низшая четверть",IF(N1294&lt;SUMIFS(L:L,R:R,1,E:E,E1294)/SUMIFS(K:K,R:R,1,E:E,E1294),"Вторая четверть","Больше половины"))</f>
        <v/>
      </c>
      <c r="X1294">
        <f>IF(O1294&lt;SUMIFS(M:M,R:R,1,E:E,E1294)/SUMIFS(L:L,R:R,1,E:E,E1294)*0.5,"Низшая четверть",IF(O1294&lt;SUMIFS(M:M,R:R,1,E:E,E1294)/SUMIFS(L:L,R:R,1,E:E,E1294),"Вторая четверть","Больше половины"))</f>
        <v/>
      </c>
      <c r="Y1294" t="n">
        <v>16</v>
      </c>
    </row>
    <row r="1295">
      <c r="A1295" s="1" t="inlineStr">
        <is>
          <t>e4008020</t>
        </is>
      </c>
      <c r="B1295" s="2" t="inlineStr">
        <is>
          <t>371244692</t>
        </is>
      </c>
      <c r="C1295" s="3" t="inlineStr">
        <is>
          <t>Одежда и аксессуары</t>
        </is>
      </c>
      <c r="D1295" s="2" t="inlineStr">
        <is>
          <t>Головные уборы мужские</t>
        </is>
      </c>
      <c r="E1295" s="3" t="inlineStr">
        <is>
          <t>e40 Панама</t>
        </is>
      </c>
      <c r="F1295" s="2" t="inlineStr">
        <is>
          <t>весна, лето</t>
        </is>
      </c>
      <c r="G1295" s="3" t="inlineStr">
        <is>
          <t>kari</t>
        </is>
      </c>
      <c r="H1295" s="2" t="inlineStr">
        <is>
          <t>Никонорова Алина</t>
        </is>
      </c>
      <c r="J1295" s="3" t="inlineStr">
        <is>
          <t>2026SS</t>
        </is>
      </c>
      <c r="K1295" s="3" t="n">
        <v>225</v>
      </c>
      <c r="L1295" s="3" t="n">
        <v>22</v>
      </c>
      <c r="M1295" s="3" t="n">
        <v>0</v>
      </c>
      <c r="N1295" s="4">
        <f>IFERROR(L1295/K1295,0)</f>
        <v/>
      </c>
      <c r="O1295" s="4">
        <f>IFERROR(M1295/L1295,0)</f>
        <v/>
      </c>
      <c r="P1295" t="n">
        <v>0</v>
      </c>
      <c r="Q1295" s="5" t="n">
        <v>0</v>
      </c>
      <c r="R1295" s="7" t="n">
        <v>0</v>
      </c>
      <c r="S1295" t="inlineStr">
        <is>
          <t>Мало остатка</t>
        </is>
      </c>
      <c r="T1295">
        <f>IF(N1295&lt;$T$1*0.5,"Низшая четверть",IF(N1295&lt;$T$1,"Вторая четверть","Больше половины"))</f>
        <v/>
      </c>
      <c r="U1295">
        <f>IF(O1295&lt;$U$1*0.5,"Низшая четверть",IF(O1295&lt;$U$1,"Вторая четверть","Больше половины"))</f>
        <v/>
      </c>
      <c r="V1295">
        <f>IF(OR(N1295&lt;SUMIFS(L:L,R:R,1,E:E,E1295)/SUMIFS(K:K,R:R,1,E:E,E1295)*0.5,O1295&lt;SUMIFS(M:M,R:R,1,E:E,E1295)/SUMIFS(L:L,R:R,1,E:E,E1295)*0.5),"код для проверки","нормальный код")</f>
        <v/>
      </c>
      <c r="W1295">
        <f>IF(N1295&lt;SUMIFS(L:L,R:R,1,E:E,E1295)/SUMIFS(K:K,R:R,1,E:E,E1295)*0.5,"Низшая четверть",IF(N1295&lt;SUMIFS(L:L,R:R,1,E:E,E1295)/SUMIFS(K:K,R:R,1,E:E,E1295),"Вторая четверть","Больше половины"))</f>
        <v/>
      </c>
      <c r="X1295">
        <f>IF(O1295&lt;SUMIFS(M:M,R:R,1,E:E,E1295)/SUMIFS(L:L,R:R,1,E:E,E1295)*0.5,"Низшая четверть",IF(O1295&lt;SUMIFS(M:M,R:R,1,E:E,E1295)/SUMIFS(L:L,R:R,1,E:E,E1295),"Вторая четверть","Больше половины"))</f>
        <v/>
      </c>
      <c r="Y1295" t="n">
        <v>3</v>
      </c>
    </row>
    <row r="1296">
      <c r="A1296" s="1" t="inlineStr">
        <is>
          <t>07200730</t>
        </is>
      </c>
      <c r="B1296" s="2" t="inlineStr">
        <is>
          <t>936940604</t>
        </is>
      </c>
      <c r="C1296" s="3" t="inlineStr">
        <is>
          <t>Одежда и аксессуары</t>
        </is>
      </c>
      <c r="D1296" s="2" t="inlineStr">
        <is>
          <t>Нижнее белье женское</t>
        </is>
      </c>
      <c r="E1296" s="3" t="inlineStr">
        <is>
          <t>072 Трусы женские</t>
        </is>
      </c>
      <c r="F1296" s="2" t="inlineStr">
        <is>
          <t>всесезонный</t>
        </is>
      </c>
      <c r="G1296" s="3" t="inlineStr">
        <is>
          <t>kari</t>
        </is>
      </c>
      <c r="H1296" s="2" t="inlineStr">
        <is>
          <t>Никонорова Алина</t>
        </is>
      </c>
      <c r="J1296" s="3" t="inlineStr">
        <is>
          <t>2026SS</t>
        </is>
      </c>
      <c r="K1296" s="3" t="n">
        <v>225</v>
      </c>
      <c r="L1296" s="3" t="n">
        <v>24</v>
      </c>
      <c r="M1296" s="3" t="n">
        <v>0</v>
      </c>
      <c r="N1296" s="4">
        <f>IFERROR(L1296/K1296,0)</f>
        <v/>
      </c>
      <c r="O1296" s="4">
        <f>IFERROR(M1296/L1296,0)</f>
        <v/>
      </c>
      <c r="P1296" t="n">
        <v>600</v>
      </c>
      <c r="Q1296" s="5" t="n">
        <v>0.8</v>
      </c>
      <c r="R1296" s="7" t="n">
        <v>0</v>
      </c>
      <c r="S1296" t="inlineStr">
        <is>
          <t>Мало показов</t>
        </is>
      </c>
      <c r="T1296">
        <f>IF(N1296&lt;$T$1*0.5,"Низшая четверть",IF(N1296&lt;$T$1,"Вторая четверть","Больше половины"))</f>
        <v/>
      </c>
      <c r="U1296">
        <f>IF(O1296&lt;$U$1*0.5,"Низшая четверть",IF(O1296&lt;$U$1,"Вторая четверть","Больше половины"))</f>
        <v/>
      </c>
      <c r="V1296">
        <f>IF(OR(N1296&lt;SUMIFS(L:L,R:R,1,E:E,E1296)/SUMIFS(K:K,R:R,1,E:E,E1296)*0.5,O1296&lt;SUMIFS(M:M,R:R,1,E:E,E1296)/SUMIFS(L:L,R:R,1,E:E,E1296)*0.5),"код для проверки","нормальный код")</f>
        <v/>
      </c>
      <c r="W1296">
        <f>IF(N1296&lt;SUMIFS(L:L,R:R,1,E:E,E1296)/SUMIFS(K:K,R:R,1,E:E,E1296)*0.5,"Низшая четверть",IF(N1296&lt;SUMIFS(L:L,R:R,1,E:E,E1296)/SUMIFS(K:K,R:R,1,E:E,E1296),"Вторая четверть","Больше половины"))</f>
        <v/>
      </c>
      <c r="X1296">
        <f>IF(O1296&lt;SUMIFS(M:M,R:R,1,E:E,E1296)/SUMIFS(L:L,R:R,1,E:E,E1296)*0.5,"Низшая четверть",IF(O1296&lt;SUMIFS(M:M,R:R,1,E:E,E1296)/SUMIFS(L:L,R:R,1,E:E,E1296),"Вторая четверть","Больше половины"))</f>
        <v/>
      </c>
      <c r="Y1296" t="n">
        <v>10</v>
      </c>
    </row>
    <row r="1297">
      <c r="A1297" s="1" t="inlineStr">
        <is>
          <t>19400320</t>
        </is>
      </c>
      <c r="B1297" s="2" t="inlineStr">
        <is>
          <t>863205298</t>
        </is>
      </c>
      <c r="C1297" s="3" t="inlineStr">
        <is>
          <t>Одежда для детей</t>
        </is>
      </c>
      <c r="D1297" s="2" t="inlineStr">
        <is>
          <t>Брюки детские для девочек</t>
        </is>
      </c>
      <c r="E1297" s="3" t="inlineStr">
        <is>
          <t>194 Шорты детские для девочек</t>
        </is>
      </c>
      <c r="F1297" s="2" t="inlineStr">
        <is>
          <t>лето</t>
        </is>
      </c>
      <c r="G1297" s="3" t="inlineStr">
        <is>
          <t>kari</t>
        </is>
      </c>
      <c r="H1297" s="2" t="inlineStr">
        <is>
          <t>Зиннуров Ильнур</t>
        </is>
      </c>
      <c r="J1297" s="3" t="inlineStr">
        <is>
          <t>2026SS</t>
        </is>
      </c>
      <c r="K1297" s="3" t="n">
        <v>223</v>
      </c>
      <c r="L1297" s="3" t="n">
        <v>7</v>
      </c>
      <c r="M1297" s="3" t="n">
        <v>0</v>
      </c>
      <c r="N1297" s="4">
        <f>IFERROR(L1297/K1297,0)</f>
        <v/>
      </c>
      <c r="O1297" s="4">
        <f>IFERROR(M1297/L1297,0)</f>
        <v/>
      </c>
      <c r="P1297" t="n">
        <v>600</v>
      </c>
      <c r="Q1297" s="5" t="n">
        <v>1</v>
      </c>
      <c r="R1297" s="7" t="n">
        <v>0</v>
      </c>
      <c r="S1297" t="inlineStr">
        <is>
          <t>Мало показов</t>
        </is>
      </c>
      <c r="T1297">
        <f>IF(N1297&lt;$T$1*0.5,"Низшая четверть",IF(N1297&lt;$T$1,"Вторая четверть","Больше половины"))</f>
        <v/>
      </c>
      <c r="U1297">
        <f>IF(O1297&lt;$U$1*0.5,"Низшая четверть",IF(O1297&lt;$U$1,"Вторая четверть","Больше половины"))</f>
        <v/>
      </c>
      <c r="V1297">
        <f>IF(OR(N1297&lt;SUMIFS(L:L,R:R,1,E:E,E1297)/SUMIFS(K:K,R:R,1,E:E,E1297)*0.5,O1297&lt;SUMIFS(M:M,R:R,1,E:E,E1297)/SUMIFS(L:L,R:R,1,E:E,E1297)*0.5),"код для проверки","нормальный код")</f>
        <v/>
      </c>
      <c r="W1297">
        <f>IF(N1297&lt;SUMIFS(L:L,R:R,1,E:E,E1297)/SUMIFS(K:K,R:R,1,E:E,E1297)*0.5,"Низшая четверть",IF(N1297&lt;SUMIFS(L:L,R:R,1,E:E,E1297)/SUMIFS(K:K,R:R,1,E:E,E1297),"Вторая четверть","Больше половины"))</f>
        <v/>
      </c>
      <c r="X1297">
        <f>IF(O1297&lt;SUMIFS(M:M,R:R,1,E:E,E1297)/SUMIFS(L:L,R:R,1,E:E,E1297)*0.5,"Низшая четверть",IF(O1297&lt;SUMIFS(M:M,R:R,1,E:E,E1297)/SUMIFS(L:L,R:R,1,E:E,E1297),"Вторая четверть","Больше половины"))</f>
        <v/>
      </c>
      <c r="Y1297" t="n">
        <v>12</v>
      </c>
    </row>
    <row r="1298">
      <c r="A1298" s="1" t="inlineStr">
        <is>
          <t>07200820</t>
        </is>
      </c>
      <c r="B1298" s="2" t="inlineStr">
        <is>
          <t>936940706</t>
        </is>
      </c>
      <c r="C1298" s="3" t="inlineStr">
        <is>
          <t>Одежда и аксессуары</t>
        </is>
      </c>
      <c r="D1298" s="2" t="inlineStr">
        <is>
          <t>Нижнее белье женское</t>
        </is>
      </c>
      <c r="E1298" s="3" t="inlineStr">
        <is>
          <t>072 Трусы женские</t>
        </is>
      </c>
      <c r="F1298" s="2" t="inlineStr">
        <is>
          <t>всесезонный</t>
        </is>
      </c>
      <c r="G1298" s="3" t="inlineStr">
        <is>
          <t>kari</t>
        </is>
      </c>
      <c r="H1298" s="2" t="inlineStr">
        <is>
          <t>Никонорова Алина</t>
        </is>
      </c>
      <c r="J1298" s="3" t="inlineStr">
        <is>
          <t>2026SS</t>
        </is>
      </c>
      <c r="K1298" s="3" t="n">
        <v>222</v>
      </c>
      <c r="L1298" s="3" t="n">
        <v>22</v>
      </c>
      <c r="M1298" s="3" t="n">
        <v>0</v>
      </c>
      <c r="N1298" s="4">
        <f>IFERROR(L1298/K1298,0)</f>
        <v/>
      </c>
      <c r="O1298" s="4">
        <f>IFERROR(M1298/L1298,0)</f>
        <v/>
      </c>
      <c r="P1298" t="n">
        <v>1050</v>
      </c>
      <c r="Q1298" s="5" t="n">
        <v>1</v>
      </c>
      <c r="R1298" s="7" t="n">
        <v>0</v>
      </c>
      <c r="S1298" t="inlineStr">
        <is>
          <t>Мало показов</t>
        </is>
      </c>
      <c r="T1298">
        <f>IF(N1298&lt;$T$1*0.5,"Низшая четверть",IF(N1298&lt;$T$1,"Вторая четверть","Больше половины"))</f>
        <v/>
      </c>
      <c r="U1298">
        <f>IF(O1298&lt;$U$1*0.5,"Низшая четверть",IF(O1298&lt;$U$1,"Вторая четверть","Больше половины"))</f>
        <v/>
      </c>
      <c r="V1298">
        <f>IF(OR(N1298&lt;SUMIFS(L:L,R:R,1,E:E,E1298)/SUMIFS(K:K,R:R,1,E:E,E1298)*0.5,O1298&lt;SUMIFS(M:M,R:R,1,E:E,E1298)/SUMIFS(L:L,R:R,1,E:E,E1298)*0.5),"код для проверки","нормальный код")</f>
        <v/>
      </c>
      <c r="W1298">
        <f>IF(N1298&lt;SUMIFS(L:L,R:R,1,E:E,E1298)/SUMIFS(K:K,R:R,1,E:E,E1298)*0.5,"Низшая четверть",IF(N1298&lt;SUMIFS(L:L,R:R,1,E:E,E1298)/SUMIFS(K:K,R:R,1,E:E,E1298),"Вторая четверть","Больше половины"))</f>
        <v/>
      </c>
      <c r="X1298">
        <f>IF(O1298&lt;SUMIFS(M:M,R:R,1,E:E,E1298)/SUMIFS(L:L,R:R,1,E:E,E1298)*0.5,"Низшая четверть",IF(O1298&lt;SUMIFS(M:M,R:R,1,E:E,E1298)/SUMIFS(L:L,R:R,1,E:E,E1298),"Вторая четверть","Больше половины"))</f>
        <v/>
      </c>
      <c r="Y1298" t="n">
        <v>11</v>
      </c>
    </row>
    <row r="1299">
      <c r="A1299" s="1" t="inlineStr">
        <is>
          <t>310002Y0</t>
        </is>
      </c>
      <c r="B1299" s="2" t="inlineStr">
        <is>
          <t>847884056</t>
        </is>
      </c>
      <c r="C1299" s="3" t="inlineStr">
        <is>
          <t>Одежда для детей</t>
        </is>
      </c>
      <c r="D1299" s="2" t="inlineStr">
        <is>
          <t>Футболки, майки, рубашки детские для мальчиков</t>
        </is>
      </c>
      <c r="E1299" s="3" t="inlineStr">
        <is>
          <t>310 Футболка детская для мальчиков</t>
        </is>
      </c>
      <c r="F1299" s="2" t="inlineStr">
        <is>
          <t>всесезонный</t>
        </is>
      </c>
      <c r="G1299" s="3" t="inlineStr">
        <is>
          <t>kari</t>
        </is>
      </c>
      <c r="H1299" s="2" t="inlineStr">
        <is>
          <t>Зиннуров Ильнур</t>
        </is>
      </c>
      <c r="J1299" s="3" t="inlineStr">
        <is>
          <t>2026SS</t>
        </is>
      </c>
      <c r="K1299" s="3" t="n">
        <v>221</v>
      </c>
      <c r="L1299" s="3" t="n">
        <v>0</v>
      </c>
      <c r="M1299" s="3" t="n">
        <v>0</v>
      </c>
      <c r="N1299" s="4">
        <f>IFERROR(L1299/K1299,0)</f>
        <v/>
      </c>
      <c r="O1299" s="4">
        <f>IFERROR(M1299/L1299,0)</f>
        <v/>
      </c>
      <c r="P1299" t="n">
        <v>300</v>
      </c>
      <c r="Q1299" s="5" t="n">
        <v>1</v>
      </c>
      <c r="R1299" s="7" t="n">
        <v>0</v>
      </c>
      <c r="S1299" t="inlineStr">
        <is>
          <t>Мало показов</t>
        </is>
      </c>
      <c r="T1299">
        <f>IF(N1299&lt;$T$1*0.5,"Низшая четверть",IF(N1299&lt;$T$1,"Вторая четверть","Больше половины"))</f>
        <v/>
      </c>
      <c r="U1299">
        <f>IF(O1299&lt;$U$1*0.5,"Низшая четверть",IF(O1299&lt;$U$1,"Вторая четверть","Больше половины"))</f>
        <v/>
      </c>
      <c r="V1299">
        <f>IF(OR(N1299&lt;SUMIFS(L:L,R:R,1,E:E,E1299)/SUMIFS(K:K,R:R,1,E:E,E1299)*0.5,O1299&lt;SUMIFS(M:M,R:R,1,E:E,E1299)/SUMIFS(L:L,R:R,1,E:E,E1299)*0.5),"код для проверки","нормальный код")</f>
        <v/>
      </c>
      <c r="W1299">
        <f>IF(N1299&lt;SUMIFS(L:L,R:R,1,E:E,E1299)/SUMIFS(K:K,R:R,1,E:E,E1299)*0.5,"Низшая четверть",IF(N1299&lt;SUMIFS(L:L,R:R,1,E:E,E1299)/SUMIFS(K:K,R:R,1,E:E,E1299),"Вторая четверть","Больше половины"))</f>
        <v/>
      </c>
      <c r="X1299">
        <f>IF(O1299&lt;SUMIFS(M:M,R:R,1,E:E,E1299)/SUMIFS(L:L,R:R,1,E:E,E1299)*0.5,"Низшая четверть",IF(O1299&lt;SUMIFS(M:M,R:R,1,E:E,E1299)/SUMIFS(L:L,R:R,1,E:E,E1299),"Вторая четверть","Больше половины"))</f>
        <v/>
      </c>
      <c r="Y1299" t="n">
        <v>18</v>
      </c>
    </row>
    <row r="1300">
      <c r="A1300" s="1" t="inlineStr">
        <is>
          <t>19300330</t>
        </is>
      </c>
      <c r="B1300" s="2" t="inlineStr">
        <is>
          <t>837332186</t>
        </is>
      </c>
      <c r="C1300" s="3" t="inlineStr">
        <is>
          <t>Одежда для детей</t>
        </is>
      </c>
      <c r="D1300" s="2" t="inlineStr">
        <is>
          <t>Брюки детские для мальчиков</t>
        </is>
      </c>
      <c r="E1300" s="3" t="inlineStr">
        <is>
          <t>193 Шорты детские для мальчиков</t>
        </is>
      </c>
      <c r="F1300" s="2" t="inlineStr">
        <is>
          <t>лето</t>
        </is>
      </c>
      <c r="G1300" s="3" t="inlineStr">
        <is>
          <t>kari</t>
        </is>
      </c>
      <c r="H1300" s="2" t="inlineStr">
        <is>
          <t>Зиннуров Ильнур</t>
        </is>
      </c>
      <c r="J1300" s="3" t="inlineStr">
        <is>
          <t>2026SS</t>
        </is>
      </c>
      <c r="K1300" s="3" t="n">
        <v>221</v>
      </c>
      <c r="L1300" s="3" t="n">
        <v>4</v>
      </c>
      <c r="M1300" s="3" t="n">
        <v>0</v>
      </c>
      <c r="N1300" s="4">
        <f>IFERROR(L1300/K1300,0)</f>
        <v/>
      </c>
      <c r="O1300" s="4">
        <f>IFERROR(M1300/L1300,0)</f>
        <v/>
      </c>
      <c r="P1300" t="n">
        <v>199</v>
      </c>
      <c r="Q1300" s="5" t="n">
        <v>1</v>
      </c>
      <c r="R1300" s="7" t="n">
        <v>0</v>
      </c>
      <c r="S1300" t="inlineStr">
        <is>
          <t>Мало показов</t>
        </is>
      </c>
      <c r="T1300">
        <f>IF(N1300&lt;$T$1*0.5,"Низшая четверть",IF(N1300&lt;$T$1,"Вторая четверть","Больше половины"))</f>
        <v/>
      </c>
      <c r="U1300">
        <f>IF(O1300&lt;$U$1*0.5,"Низшая четверть",IF(O1300&lt;$U$1,"Вторая четверть","Больше половины"))</f>
        <v/>
      </c>
      <c r="V1300">
        <f>IF(OR(N1300&lt;SUMIFS(L:L,R:R,1,E:E,E1300)/SUMIFS(K:K,R:R,1,E:E,E1300)*0.5,O1300&lt;SUMIFS(M:M,R:R,1,E:E,E1300)/SUMIFS(L:L,R:R,1,E:E,E1300)*0.5),"код для проверки","нормальный код")</f>
        <v/>
      </c>
      <c r="W1300">
        <f>IF(N1300&lt;SUMIFS(L:L,R:R,1,E:E,E1300)/SUMIFS(K:K,R:R,1,E:E,E1300)*0.5,"Низшая четверть",IF(N1300&lt;SUMIFS(L:L,R:R,1,E:E,E1300)/SUMIFS(K:K,R:R,1,E:E,E1300),"Вторая четверть","Больше половины"))</f>
        <v/>
      </c>
      <c r="X1300">
        <f>IF(O1300&lt;SUMIFS(M:M,R:R,1,E:E,E1300)/SUMIFS(L:L,R:R,1,E:E,E1300)*0.5,"Низшая четверть",IF(O1300&lt;SUMIFS(M:M,R:R,1,E:E,E1300)/SUMIFS(L:L,R:R,1,E:E,E1300),"Вторая четверть","Больше половины"))</f>
        <v/>
      </c>
      <c r="Y1300" t="n">
        <v>16</v>
      </c>
    </row>
    <row r="1301">
      <c r="A1301" s="1" t="inlineStr">
        <is>
          <t>07200780</t>
        </is>
      </c>
      <c r="B1301" s="2" t="inlineStr">
        <is>
          <t>936996464</t>
        </is>
      </c>
      <c r="C1301" s="3" t="inlineStr">
        <is>
          <t>Одежда и аксессуары</t>
        </is>
      </c>
      <c r="D1301" s="2" t="inlineStr">
        <is>
          <t>Нижнее белье женское</t>
        </is>
      </c>
      <c r="E1301" s="3" t="inlineStr">
        <is>
          <t>072 Трусы женские</t>
        </is>
      </c>
      <c r="F1301" s="2" t="inlineStr">
        <is>
          <t>всесезонный</t>
        </is>
      </c>
      <c r="G1301" s="3" t="inlineStr">
        <is>
          <t>kari</t>
        </is>
      </c>
      <c r="H1301" s="2" t="inlineStr">
        <is>
          <t>Никонорова Алина</t>
        </is>
      </c>
      <c r="J1301" s="3" t="inlineStr">
        <is>
          <t>2026SS</t>
        </is>
      </c>
      <c r="K1301" s="3" t="n">
        <v>220</v>
      </c>
      <c r="L1301" s="3" t="n">
        <v>11</v>
      </c>
      <c r="M1301" s="3" t="n">
        <v>0</v>
      </c>
      <c r="N1301" s="4">
        <f>IFERROR(L1301/K1301,0)</f>
        <v/>
      </c>
      <c r="O1301" s="4">
        <f>IFERROR(M1301/L1301,0)</f>
        <v/>
      </c>
      <c r="P1301" t="n">
        <v>900</v>
      </c>
      <c r="Q1301" s="5" t="n">
        <v>0.6</v>
      </c>
      <c r="R1301" s="7" t="n">
        <v>0</v>
      </c>
      <c r="S1301" t="inlineStr">
        <is>
          <t>Мало показов</t>
        </is>
      </c>
      <c r="T1301">
        <f>IF(N1301&lt;$T$1*0.5,"Низшая четверть",IF(N1301&lt;$T$1,"Вторая четверть","Больше половины"))</f>
        <v/>
      </c>
      <c r="U1301">
        <f>IF(O1301&lt;$U$1*0.5,"Низшая четверть",IF(O1301&lt;$U$1,"Вторая четверть","Больше половины"))</f>
        <v/>
      </c>
      <c r="V1301">
        <f>IF(OR(N1301&lt;SUMIFS(L:L,R:R,1,E:E,E1301)/SUMIFS(K:K,R:R,1,E:E,E1301)*0.5,O1301&lt;SUMIFS(M:M,R:R,1,E:E,E1301)/SUMIFS(L:L,R:R,1,E:E,E1301)*0.5),"код для проверки","нормальный код")</f>
        <v/>
      </c>
      <c r="W1301">
        <f>IF(N1301&lt;SUMIFS(L:L,R:R,1,E:E,E1301)/SUMIFS(K:K,R:R,1,E:E,E1301)*0.5,"Низшая четверть",IF(N1301&lt;SUMIFS(L:L,R:R,1,E:E,E1301)/SUMIFS(K:K,R:R,1,E:E,E1301),"Вторая четверть","Больше половины"))</f>
        <v/>
      </c>
      <c r="X1301">
        <f>IF(O1301&lt;SUMIFS(M:M,R:R,1,E:E,E1301)/SUMIFS(L:L,R:R,1,E:E,E1301)*0.5,"Низшая четверть",IF(O1301&lt;SUMIFS(M:M,R:R,1,E:E,E1301)/SUMIFS(L:L,R:R,1,E:E,E1301),"Вторая четверть","Больше половины"))</f>
        <v/>
      </c>
      <c r="Y1301" t="n">
        <v>14</v>
      </c>
    </row>
    <row r="1302">
      <c r="A1302" s="1" t="inlineStr">
        <is>
          <t>19400280</t>
        </is>
      </c>
      <c r="B1302" s="2" t="inlineStr">
        <is>
          <t>863205297</t>
        </is>
      </c>
      <c r="C1302" s="3" t="inlineStr">
        <is>
          <t>Одежда для детей</t>
        </is>
      </c>
      <c r="D1302" s="2" t="inlineStr">
        <is>
          <t>Брюки детские для девочек</t>
        </is>
      </c>
      <c r="E1302" s="3" t="inlineStr">
        <is>
          <t>194 Шорты детские для девочек</t>
        </is>
      </c>
      <c r="F1302" s="2" t="inlineStr">
        <is>
          <t>лето</t>
        </is>
      </c>
      <c r="G1302" s="3" t="inlineStr">
        <is>
          <t>kari</t>
        </is>
      </c>
      <c r="H1302" s="2" t="inlineStr">
        <is>
          <t>Зиннуров Ильнур</t>
        </is>
      </c>
      <c r="J1302" s="3" t="inlineStr">
        <is>
          <t>2026SS</t>
        </is>
      </c>
      <c r="K1302" s="3" t="n">
        <v>218</v>
      </c>
      <c r="L1302" s="3" t="n">
        <v>9</v>
      </c>
      <c r="M1302" s="3" t="n">
        <v>0</v>
      </c>
      <c r="N1302" s="4">
        <f>IFERROR(L1302/K1302,0)</f>
        <v/>
      </c>
      <c r="O1302" s="4">
        <f>IFERROR(M1302/L1302,0)</f>
        <v/>
      </c>
      <c r="P1302" t="n">
        <v>839</v>
      </c>
      <c r="Q1302" s="5" t="n">
        <v>1</v>
      </c>
      <c r="R1302" s="7" t="n">
        <v>0</v>
      </c>
      <c r="S1302" t="inlineStr">
        <is>
          <t>Мало показов</t>
        </is>
      </c>
      <c r="T1302">
        <f>IF(N1302&lt;$T$1*0.5,"Низшая четверть",IF(N1302&lt;$T$1,"Вторая четверть","Больше половины"))</f>
        <v/>
      </c>
      <c r="U1302">
        <f>IF(O1302&lt;$U$1*0.5,"Низшая четверть",IF(O1302&lt;$U$1,"Вторая четверть","Больше половины"))</f>
        <v/>
      </c>
      <c r="V1302">
        <f>IF(OR(N1302&lt;SUMIFS(L:L,R:R,1,E:E,E1302)/SUMIFS(K:K,R:R,1,E:E,E1302)*0.5,O1302&lt;SUMIFS(M:M,R:R,1,E:E,E1302)/SUMIFS(L:L,R:R,1,E:E,E1302)*0.5),"код для проверки","нормальный код")</f>
        <v/>
      </c>
      <c r="W1302">
        <f>IF(N1302&lt;SUMIFS(L:L,R:R,1,E:E,E1302)/SUMIFS(K:K,R:R,1,E:E,E1302)*0.5,"Низшая четверть",IF(N1302&lt;SUMIFS(L:L,R:R,1,E:E,E1302)/SUMIFS(K:K,R:R,1,E:E,E1302),"Вторая четверть","Больше половины"))</f>
        <v/>
      </c>
      <c r="X1302">
        <f>IF(O1302&lt;SUMIFS(M:M,R:R,1,E:E,E1302)/SUMIFS(L:L,R:R,1,E:E,E1302)*0.5,"Низшая четверть",IF(O1302&lt;SUMIFS(M:M,R:R,1,E:E,E1302)/SUMIFS(L:L,R:R,1,E:E,E1302),"Вторая четверть","Больше половины"))</f>
        <v/>
      </c>
      <c r="Y1302" t="n">
        <v>9</v>
      </c>
    </row>
    <row r="1303">
      <c r="A1303" s="1" t="inlineStr">
        <is>
          <t>18000010</t>
        </is>
      </c>
      <c r="B1303" s="2" t="inlineStr">
        <is>
          <t>859381304</t>
        </is>
      </c>
      <c r="C1303" s="3" t="inlineStr">
        <is>
          <t>Одежда и аксессуары</t>
        </is>
      </c>
      <c r="D1303" s="2" t="inlineStr">
        <is>
          <t>Джинсы мужские</t>
        </is>
      </c>
      <c r="E1303" s="3" t="inlineStr">
        <is>
          <t>180 Джинсы мужские</t>
        </is>
      </c>
      <c r="F1303" s="2" t="inlineStr">
        <is>
          <t>всесезонный</t>
        </is>
      </c>
      <c r="G1303" s="3" t="inlineStr">
        <is>
          <t>kari</t>
        </is>
      </c>
      <c r="H1303" s="2" t="inlineStr">
        <is>
          <t>Зиннуров Ильнур</t>
        </is>
      </c>
      <c r="J1303" s="3" t="inlineStr">
        <is>
          <t>2026SS</t>
        </is>
      </c>
      <c r="K1303" s="3" t="n">
        <v>215</v>
      </c>
      <c r="L1303" s="3" t="n">
        <v>6</v>
      </c>
      <c r="M1303" s="3" t="n">
        <v>0</v>
      </c>
      <c r="N1303" s="4">
        <f>IFERROR(L1303/K1303,0)</f>
        <v/>
      </c>
      <c r="O1303" s="4">
        <f>IFERROR(M1303/L1303,0)</f>
        <v/>
      </c>
      <c r="P1303" t="n">
        <v>100</v>
      </c>
      <c r="Q1303" s="5" t="n">
        <v>0.7142857142857143</v>
      </c>
      <c r="R1303" s="7" t="n">
        <v>0</v>
      </c>
      <c r="S1303" t="inlineStr">
        <is>
          <t>Мало показов</t>
        </is>
      </c>
      <c r="T1303">
        <f>IF(N1303&lt;$T$1*0.5,"Низшая четверть",IF(N1303&lt;$T$1,"Вторая четверть","Больше половины"))</f>
        <v/>
      </c>
      <c r="U1303">
        <f>IF(O1303&lt;$U$1*0.5,"Низшая четверть",IF(O1303&lt;$U$1,"Вторая четверть","Больше половины"))</f>
        <v/>
      </c>
      <c r="V1303">
        <f>IF(OR(N1303&lt;SUMIFS(L:L,R:R,1,E:E,E1303)/SUMIFS(K:K,R:R,1,E:E,E1303)*0.5,O1303&lt;SUMIFS(M:M,R:R,1,E:E,E1303)/SUMIFS(L:L,R:R,1,E:E,E1303)*0.5),"код для проверки","нормальный код")</f>
        <v/>
      </c>
      <c r="W1303">
        <f>IF(N1303&lt;SUMIFS(L:L,R:R,1,E:E,E1303)/SUMIFS(K:K,R:R,1,E:E,E1303)*0.5,"Низшая четверть",IF(N1303&lt;SUMIFS(L:L,R:R,1,E:E,E1303)/SUMIFS(K:K,R:R,1,E:E,E1303),"Вторая четверть","Больше половины"))</f>
        <v/>
      </c>
      <c r="X1303">
        <f>IF(O1303&lt;SUMIFS(M:M,R:R,1,E:E,E1303)/SUMIFS(L:L,R:R,1,E:E,E1303)*0.5,"Низшая четверть",IF(O1303&lt;SUMIFS(M:M,R:R,1,E:E,E1303)/SUMIFS(L:L,R:R,1,E:E,E1303),"Вторая четверть","Больше половины"))</f>
        <v/>
      </c>
      <c r="Y1303" t="n">
        <v>20</v>
      </c>
    </row>
    <row r="1304">
      <c r="A1304" s="1" t="inlineStr">
        <is>
          <t>96200130</t>
        </is>
      </c>
      <c r="B1304" s="2" t="inlineStr">
        <is>
          <t>923979876</t>
        </is>
      </c>
      <c r="C1304" s="3" t="inlineStr">
        <is>
          <t>Одежда для детей</t>
        </is>
      </c>
      <c r="D1304" s="2" t="inlineStr">
        <is>
          <t>Одежда для новорожденных</t>
        </is>
      </c>
      <c r="E1304" s="3" t="inlineStr">
        <is>
          <t>962 Комплект летней одежды для маленького мальчика</t>
        </is>
      </c>
      <c r="F1304" s="2" t="inlineStr">
        <is>
          <t>весна, лето</t>
        </is>
      </c>
      <c r="G1304" s="3" t="inlineStr">
        <is>
          <t>Kari baby</t>
        </is>
      </c>
      <c r="H1304" s="2" t="inlineStr">
        <is>
          <t>Зиннуров Ильнур</t>
        </is>
      </c>
      <c r="J1304" s="3" t="inlineStr">
        <is>
          <t>2026SS</t>
        </is>
      </c>
      <c r="K1304" s="3" t="n">
        <v>210</v>
      </c>
      <c r="L1304" s="3" t="n">
        <v>5</v>
      </c>
      <c r="M1304" s="3" t="n">
        <v>0</v>
      </c>
      <c r="N1304" s="4">
        <f>IFERROR(L1304/K1304,0)</f>
        <v/>
      </c>
      <c r="O1304" s="4">
        <f>IFERROR(M1304/L1304,0)</f>
        <v/>
      </c>
      <c r="P1304" t="n">
        <v>240</v>
      </c>
      <c r="Q1304" s="5" t="n">
        <v>1</v>
      </c>
      <c r="R1304" s="7" t="n">
        <v>0</v>
      </c>
      <c r="S1304" t="inlineStr">
        <is>
          <t>Мало показов</t>
        </is>
      </c>
      <c r="T1304">
        <f>IF(N1304&lt;$T$1*0.5,"Низшая четверть",IF(N1304&lt;$T$1,"Вторая четверть","Больше половины"))</f>
        <v/>
      </c>
      <c r="U1304">
        <f>IF(O1304&lt;$U$1*0.5,"Низшая четверть",IF(O1304&lt;$U$1,"Вторая четверть","Больше половины"))</f>
        <v/>
      </c>
      <c r="V1304">
        <f>IF(OR(N1304&lt;SUMIFS(L:L,R:R,1,E:E,E1304)/SUMIFS(K:K,R:R,1,E:E,E1304)*0.5,O1304&lt;SUMIFS(M:M,R:R,1,E:E,E1304)/SUMIFS(L:L,R:R,1,E:E,E1304)*0.5),"код для проверки","нормальный код")</f>
        <v/>
      </c>
      <c r="W1304">
        <f>IF(N1304&lt;SUMIFS(L:L,R:R,1,E:E,E1304)/SUMIFS(K:K,R:R,1,E:E,E1304)*0.5,"Низшая четверть",IF(N1304&lt;SUMIFS(L:L,R:R,1,E:E,E1304)/SUMIFS(K:K,R:R,1,E:E,E1304),"Вторая четверть","Больше половины"))</f>
        <v/>
      </c>
      <c r="X1304">
        <f>IF(O1304&lt;SUMIFS(M:M,R:R,1,E:E,E1304)/SUMIFS(L:L,R:R,1,E:E,E1304)*0.5,"Низшая четверть",IF(O1304&lt;SUMIFS(M:M,R:R,1,E:E,E1304)/SUMIFS(L:L,R:R,1,E:E,E1304),"Вторая четверть","Больше половины"))</f>
        <v/>
      </c>
      <c r="Y1304" t="n">
        <v>18</v>
      </c>
    </row>
    <row r="1305">
      <c r="A1305" s="1" t="inlineStr">
        <is>
          <t>19300260</t>
        </is>
      </c>
      <c r="B1305" s="2" t="inlineStr">
        <is>
          <t>837332416</t>
        </is>
      </c>
      <c r="C1305" s="3" t="inlineStr">
        <is>
          <t>Одежда для детей</t>
        </is>
      </c>
      <c r="D1305" s="2" t="inlineStr">
        <is>
          <t>Брюки детские для мальчиков</t>
        </is>
      </c>
      <c r="E1305" s="3" t="inlineStr">
        <is>
          <t>193 Шорты детские для мальчиков</t>
        </is>
      </c>
      <c r="F1305" s="2" t="inlineStr">
        <is>
          <t>лето</t>
        </is>
      </c>
      <c r="G1305" s="3" t="inlineStr">
        <is>
          <t>kari</t>
        </is>
      </c>
      <c r="H1305" s="2" t="inlineStr">
        <is>
          <t>Зиннуров Ильнур</t>
        </is>
      </c>
      <c r="J1305" s="3" t="inlineStr">
        <is>
          <t>2026SS</t>
        </is>
      </c>
      <c r="K1305" s="3" t="n">
        <v>208</v>
      </c>
      <c r="L1305" s="3" t="n">
        <v>11</v>
      </c>
      <c r="M1305" s="3" t="n">
        <v>1</v>
      </c>
      <c r="N1305" s="4">
        <f>IFERROR(L1305/K1305,0)</f>
        <v/>
      </c>
      <c r="O1305" s="4">
        <f>IFERROR(M1305/L1305,0)</f>
        <v/>
      </c>
      <c r="P1305" t="n">
        <v>279</v>
      </c>
      <c r="Q1305" s="5" t="n">
        <v>1</v>
      </c>
      <c r="R1305" s="7" t="n">
        <v>0</v>
      </c>
      <c r="S1305" t="inlineStr">
        <is>
          <t>Мало показов</t>
        </is>
      </c>
      <c r="T1305">
        <f>IF(N1305&lt;$T$1*0.5,"Низшая четверть",IF(N1305&lt;$T$1,"Вторая четверть","Больше половины"))</f>
        <v/>
      </c>
      <c r="U1305">
        <f>IF(O1305&lt;$U$1*0.5,"Низшая четверть",IF(O1305&lt;$U$1,"Вторая четверть","Больше половины"))</f>
        <v/>
      </c>
      <c r="V1305">
        <f>IF(OR(N1305&lt;SUMIFS(L:L,R:R,1,E:E,E1305)/SUMIFS(K:K,R:R,1,E:E,E1305)*0.5,O1305&lt;SUMIFS(M:M,R:R,1,E:E,E1305)/SUMIFS(L:L,R:R,1,E:E,E1305)*0.5),"код для проверки","нормальный код")</f>
        <v/>
      </c>
      <c r="W1305">
        <f>IF(N1305&lt;SUMIFS(L:L,R:R,1,E:E,E1305)/SUMIFS(K:K,R:R,1,E:E,E1305)*0.5,"Низшая четверть",IF(N1305&lt;SUMIFS(L:L,R:R,1,E:E,E1305)/SUMIFS(K:K,R:R,1,E:E,E1305),"Вторая четверть","Больше половины"))</f>
        <v/>
      </c>
      <c r="X1305">
        <f>IF(O1305&lt;SUMIFS(M:M,R:R,1,E:E,E1305)/SUMIFS(L:L,R:R,1,E:E,E1305)*0.5,"Низшая четверть",IF(O1305&lt;SUMIFS(M:M,R:R,1,E:E,E1305)/SUMIFS(L:L,R:R,1,E:E,E1305),"Вторая четверть","Больше половины"))</f>
        <v/>
      </c>
      <c r="Y1305" t="n">
        <v>17</v>
      </c>
    </row>
    <row r="1306">
      <c r="A1306" s="1" t="inlineStr">
        <is>
          <t>29100230</t>
        </is>
      </c>
      <c r="B1306" s="2" t="inlineStr">
        <is>
          <t>807111536</t>
        </is>
      </c>
      <c r="C1306" s="3" t="inlineStr">
        <is>
          <t>Одежда для детей</t>
        </is>
      </c>
      <c r="D1306" s="2" t="inlineStr">
        <is>
          <t>Брюки детские для мальчиков</t>
        </is>
      </c>
      <c r="E1306" s="3" t="inlineStr">
        <is>
          <t>291 Штаны детские для мальчиков</t>
        </is>
      </c>
      <c r="F1306" s="2" t="inlineStr">
        <is>
          <t>всесезонный</t>
        </is>
      </c>
      <c r="G1306" s="3" t="inlineStr">
        <is>
          <t>kari</t>
        </is>
      </c>
      <c r="H1306" s="2" t="inlineStr">
        <is>
          <t>Зиннуров Ильнур</t>
        </is>
      </c>
      <c r="J1306" s="3" t="inlineStr">
        <is>
          <t>2026SS</t>
        </is>
      </c>
      <c r="K1306" s="3" t="n">
        <v>206</v>
      </c>
      <c r="L1306" s="3" t="n">
        <v>131</v>
      </c>
      <c r="M1306" s="3" t="n">
        <v>0</v>
      </c>
      <c r="N1306" s="4">
        <f>IFERROR(L1306/K1306,0)</f>
        <v/>
      </c>
      <c r="O1306" s="4">
        <f>IFERROR(M1306/L1306,0)</f>
        <v/>
      </c>
      <c r="P1306" t="n">
        <v>225</v>
      </c>
      <c r="Q1306" s="5" t="n">
        <v>1</v>
      </c>
      <c r="R1306" s="7" t="n">
        <v>0</v>
      </c>
      <c r="S1306" t="inlineStr">
        <is>
          <t>Мало показов</t>
        </is>
      </c>
      <c r="T1306">
        <f>IF(N1306&lt;$T$1*0.5,"Низшая четверть",IF(N1306&lt;$T$1,"Вторая четверть","Больше половины"))</f>
        <v/>
      </c>
      <c r="U1306">
        <f>IF(O1306&lt;$U$1*0.5,"Низшая четверть",IF(O1306&lt;$U$1,"Вторая четверть","Больше половины"))</f>
        <v/>
      </c>
      <c r="V1306">
        <f>IF(OR(N1306&lt;SUMIFS(L:L,R:R,1,E:E,E1306)/SUMIFS(K:K,R:R,1,E:E,E1306)*0.5,O1306&lt;SUMIFS(M:M,R:R,1,E:E,E1306)/SUMIFS(L:L,R:R,1,E:E,E1306)*0.5),"код для проверки","нормальный код")</f>
        <v/>
      </c>
      <c r="W1306">
        <f>IF(N1306&lt;SUMIFS(L:L,R:R,1,E:E,E1306)/SUMIFS(K:K,R:R,1,E:E,E1306)*0.5,"Низшая четверть",IF(N1306&lt;SUMIFS(L:L,R:R,1,E:E,E1306)/SUMIFS(K:K,R:R,1,E:E,E1306),"Вторая четверть","Больше половины"))</f>
        <v/>
      </c>
      <c r="X1306">
        <f>IF(O1306&lt;SUMIFS(M:M,R:R,1,E:E,E1306)/SUMIFS(L:L,R:R,1,E:E,E1306)*0.5,"Низшая четверть",IF(O1306&lt;SUMIFS(M:M,R:R,1,E:E,E1306)/SUMIFS(L:L,R:R,1,E:E,E1306),"Вторая четверть","Больше половины"))</f>
        <v/>
      </c>
      <c r="Y1306" t="n">
        <v>7</v>
      </c>
    </row>
    <row r="1307">
      <c r="A1307" s="1" t="inlineStr">
        <is>
          <t>07200830</t>
        </is>
      </c>
      <c r="B1307" s="2" t="inlineStr">
        <is>
          <t>936940723</t>
        </is>
      </c>
      <c r="C1307" s="3" t="inlineStr">
        <is>
          <t>Одежда и аксессуары</t>
        </is>
      </c>
      <c r="D1307" s="2" t="inlineStr">
        <is>
          <t>Нижнее белье женское</t>
        </is>
      </c>
      <c r="E1307" s="3" t="inlineStr">
        <is>
          <t>072 Трусы женские</t>
        </is>
      </c>
      <c r="F1307" s="2" t="inlineStr">
        <is>
          <t>всесезонный</t>
        </is>
      </c>
      <c r="G1307" s="3" t="inlineStr">
        <is>
          <t>kari</t>
        </is>
      </c>
      <c r="H1307" s="2" t="inlineStr">
        <is>
          <t>Никонорова Алина</t>
        </is>
      </c>
      <c r="J1307" s="3" t="inlineStr">
        <is>
          <t>2026SS</t>
        </is>
      </c>
      <c r="K1307" s="3" t="n">
        <v>203</v>
      </c>
      <c r="L1307" s="3" t="n">
        <v>20</v>
      </c>
      <c r="M1307" s="3" t="n">
        <v>0</v>
      </c>
      <c r="N1307" s="4">
        <f>IFERROR(L1307/K1307,0)</f>
        <v/>
      </c>
      <c r="O1307" s="4">
        <f>IFERROR(M1307/L1307,0)</f>
        <v/>
      </c>
      <c r="P1307" t="n">
        <v>650</v>
      </c>
      <c r="Q1307" s="5" t="n">
        <v>1</v>
      </c>
      <c r="R1307" s="7" t="n">
        <v>0</v>
      </c>
      <c r="S1307" t="inlineStr">
        <is>
          <t>Мало показов</t>
        </is>
      </c>
      <c r="T1307">
        <f>IF(N1307&lt;$T$1*0.5,"Низшая четверть",IF(N1307&lt;$T$1,"Вторая четверть","Больше половины"))</f>
        <v/>
      </c>
      <c r="U1307">
        <f>IF(O1307&lt;$U$1*0.5,"Низшая четверть",IF(O1307&lt;$U$1,"Вторая четверть","Больше половины"))</f>
        <v/>
      </c>
      <c r="V1307">
        <f>IF(OR(N1307&lt;SUMIFS(L:L,R:R,1,E:E,E1307)/SUMIFS(K:K,R:R,1,E:E,E1307)*0.5,O1307&lt;SUMIFS(M:M,R:R,1,E:E,E1307)/SUMIFS(L:L,R:R,1,E:E,E1307)*0.5),"код для проверки","нормальный код")</f>
        <v/>
      </c>
      <c r="W1307">
        <f>IF(N1307&lt;SUMIFS(L:L,R:R,1,E:E,E1307)/SUMIFS(K:K,R:R,1,E:E,E1307)*0.5,"Низшая четверть",IF(N1307&lt;SUMIFS(L:L,R:R,1,E:E,E1307)/SUMIFS(K:K,R:R,1,E:E,E1307),"Вторая четверть","Больше половины"))</f>
        <v/>
      </c>
      <c r="X1307">
        <f>IF(O1307&lt;SUMIFS(M:M,R:R,1,E:E,E1307)/SUMIFS(L:L,R:R,1,E:E,E1307)*0.5,"Низшая четверть",IF(O1307&lt;SUMIFS(M:M,R:R,1,E:E,E1307)/SUMIFS(L:L,R:R,1,E:E,E1307),"Вторая четверть","Больше половины"))</f>
        <v/>
      </c>
      <c r="Y1307" t="n">
        <v>6</v>
      </c>
    </row>
    <row r="1308">
      <c r="A1308" s="1" t="inlineStr">
        <is>
          <t>310003A0</t>
        </is>
      </c>
      <c r="B1308" s="2" t="inlineStr">
        <is>
          <t>879308902</t>
        </is>
      </c>
      <c r="C1308" s="3" t="inlineStr">
        <is>
          <t>Одежда для детей</t>
        </is>
      </c>
      <c r="D1308" s="2" t="inlineStr">
        <is>
          <t>Футболки, майки, рубашки детские для мальчиков</t>
        </is>
      </c>
      <c r="E1308" s="3" t="inlineStr">
        <is>
          <t>310 Футболка детская для мальчиков</t>
        </is>
      </c>
      <c r="F1308" s="2" t="inlineStr">
        <is>
          <t>всесезонный</t>
        </is>
      </c>
      <c r="G1308" s="3" t="inlineStr">
        <is>
          <t>Kari KIDS</t>
        </is>
      </c>
      <c r="H1308" s="2" t="inlineStr">
        <is>
          <t>Зиннуров Ильнур</t>
        </is>
      </c>
      <c r="J1308" s="3" t="inlineStr">
        <is>
          <t>2026SS</t>
        </is>
      </c>
      <c r="K1308" s="3" t="n">
        <v>200</v>
      </c>
      <c r="L1308" s="3" t="n">
        <v>1</v>
      </c>
      <c r="M1308" s="3" t="n">
        <v>0</v>
      </c>
      <c r="N1308" s="4">
        <f>IFERROR(L1308/K1308,0)</f>
        <v/>
      </c>
      <c r="O1308" s="4">
        <f>IFERROR(M1308/L1308,0)</f>
        <v/>
      </c>
      <c r="P1308" t="n">
        <v>220</v>
      </c>
      <c r="Q1308" s="5" t="n">
        <v>0.8</v>
      </c>
      <c r="R1308" s="7" t="n">
        <v>0</v>
      </c>
      <c r="S1308" t="inlineStr">
        <is>
          <t>Мало показов</t>
        </is>
      </c>
      <c r="T1308">
        <f>IF(N1308&lt;$T$1*0.5,"Низшая четверть",IF(N1308&lt;$T$1,"Вторая четверть","Больше половины"))</f>
        <v/>
      </c>
      <c r="U1308">
        <f>IF(O1308&lt;$U$1*0.5,"Низшая четверть",IF(O1308&lt;$U$1,"Вторая четверть","Больше половины"))</f>
        <v/>
      </c>
      <c r="V1308">
        <f>IF(OR(N1308&lt;SUMIFS(L:L,R:R,1,E:E,E1308)/SUMIFS(K:K,R:R,1,E:E,E1308)*0.5,O1308&lt;SUMIFS(M:M,R:R,1,E:E,E1308)/SUMIFS(L:L,R:R,1,E:E,E1308)*0.5),"код для проверки","нормальный код")</f>
        <v/>
      </c>
      <c r="W1308">
        <f>IF(N1308&lt;SUMIFS(L:L,R:R,1,E:E,E1308)/SUMIFS(K:K,R:R,1,E:E,E1308)*0.5,"Низшая четверть",IF(N1308&lt;SUMIFS(L:L,R:R,1,E:E,E1308)/SUMIFS(K:K,R:R,1,E:E,E1308),"Вторая четверть","Больше половины"))</f>
        <v/>
      </c>
      <c r="X1308">
        <f>IF(O1308&lt;SUMIFS(M:M,R:R,1,E:E,E1308)/SUMIFS(L:L,R:R,1,E:E,E1308)*0.5,"Низшая четверть",IF(O1308&lt;SUMIFS(M:M,R:R,1,E:E,E1308)/SUMIFS(L:L,R:R,1,E:E,E1308),"Вторая четверть","Больше половины"))</f>
        <v/>
      </c>
      <c r="Y1308" t="n">
        <v>7</v>
      </c>
    </row>
    <row r="1309">
      <c r="A1309" s="1" t="inlineStr">
        <is>
          <t>a6000810</t>
        </is>
      </c>
      <c r="B1309" s="2" t="inlineStr">
        <is>
          <t>914676228</t>
        </is>
      </c>
      <c r="C1309" s="3" t="inlineStr">
        <is>
          <t>Одежда для детей</t>
        </is>
      </c>
      <c r="D1309" s="2" t="inlineStr">
        <is>
          <t>Платья, майки, футболки детские для девочек</t>
        </is>
      </c>
      <c r="E1309" s="3" t="inlineStr">
        <is>
          <t>a60 Футболка детская для девочек</t>
        </is>
      </c>
      <c r="F1309" s="2" t="inlineStr">
        <is>
          <t>всесезонный</t>
        </is>
      </c>
      <c r="G1309" s="3" t="inlineStr">
        <is>
          <t>kari</t>
        </is>
      </c>
      <c r="H1309" s="2" t="inlineStr">
        <is>
          <t>Зиннуров Ильнур</t>
        </is>
      </c>
      <c r="J1309" s="3" t="inlineStr">
        <is>
          <t>2026SS</t>
        </is>
      </c>
      <c r="K1309" s="3" t="n">
        <v>194</v>
      </c>
      <c r="L1309" s="3" t="n">
        <v>3</v>
      </c>
      <c r="M1309" s="3" t="n">
        <v>0</v>
      </c>
      <c r="N1309" s="4">
        <f>IFERROR(L1309/K1309,0)</f>
        <v/>
      </c>
      <c r="O1309" s="4">
        <f>IFERROR(M1309/L1309,0)</f>
        <v/>
      </c>
      <c r="P1309" t="n">
        <v>280</v>
      </c>
      <c r="Q1309" s="5" t="n">
        <v>1</v>
      </c>
      <c r="R1309" s="7" t="n">
        <v>0</v>
      </c>
      <c r="S1309" t="inlineStr">
        <is>
          <t>Мало показов</t>
        </is>
      </c>
      <c r="T1309">
        <f>IF(N1309&lt;$T$1*0.5,"Низшая четверть",IF(N1309&lt;$T$1,"Вторая четверть","Больше половины"))</f>
        <v/>
      </c>
      <c r="U1309">
        <f>IF(O1309&lt;$U$1*0.5,"Низшая четверть",IF(O1309&lt;$U$1,"Вторая четверть","Больше половины"))</f>
        <v/>
      </c>
      <c r="V1309">
        <f>IF(OR(N1309&lt;SUMIFS(L:L,R:R,1,E:E,E1309)/SUMIFS(K:K,R:R,1,E:E,E1309)*0.5,O1309&lt;SUMIFS(M:M,R:R,1,E:E,E1309)/SUMIFS(L:L,R:R,1,E:E,E1309)*0.5),"код для проверки","нормальный код")</f>
        <v/>
      </c>
      <c r="W1309">
        <f>IF(N1309&lt;SUMIFS(L:L,R:R,1,E:E,E1309)/SUMIFS(K:K,R:R,1,E:E,E1309)*0.5,"Низшая четверть",IF(N1309&lt;SUMIFS(L:L,R:R,1,E:E,E1309)/SUMIFS(K:K,R:R,1,E:E,E1309),"Вторая четверть","Больше половины"))</f>
        <v/>
      </c>
      <c r="X1309">
        <f>IF(O1309&lt;SUMIFS(M:M,R:R,1,E:E,E1309)/SUMIFS(L:L,R:R,1,E:E,E1309)*0.5,"Низшая четверть",IF(O1309&lt;SUMIFS(M:M,R:R,1,E:E,E1309)/SUMIFS(L:L,R:R,1,E:E,E1309),"Вторая четверть","Больше половины"))</f>
        <v/>
      </c>
      <c r="Y1309" t="n">
        <v>18</v>
      </c>
    </row>
    <row r="1310">
      <c r="A1310" s="1" t="inlineStr">
        <is>
          <t>310002K0</t>
        </is>
      </c>
      <c r="B1310" s="2" t="inlineStr">
        <is>
          <t>851029591</t>
        </is>
      </c>
      <c r="C1310" s="3" t="inlineStr">
        <is>
          <t>Одежда для детей</t>
        </is>
      </c>
      <c r="D1310" s="2" t="inlineStr">
        <is>
          <t>Футболки, майки, рубашки детские для мальчиков</t>
        </is>
      </c>
      <c r="E1310" s="3" t="inlineStr">
        <is>
          <t>310 Футболка детская для мальчиков</t>
        </is>
      </c>
      <c r="F1310" s="2" t="inlineStr">
        <is>
          <t>всесезонный</t>
        </is>
      </c>
      <c r="G1310" s="3" t="inlineStr">
        <is>
          <t>Kari KIDS</t>
        </is>
      </c>
      <c r="H1310" s="2" t="inlineStr">
        <is>
          <t>Зиннуров Ильнур</t>
        </is>
      </c>
      <c r="J1310" s="3" t="inlineStr">
        <is>
          <t>2026SS</t>
        </is>
      </c>
      <c r="K1310" s="3" t="n">
        <v>190</v>
      </c>
      <c r="L1310" s="3" t="n">
        <v>2</v>
      </c>
      <c r="M1310" s="3" t="n">
        <v>0</v>
      </c>
      <c r="N1310" s="4">
        <f>IFERROR(L1310/K1310,0)</f>
        <v/>
      </c>
      <c r="O1310" s="4">
        <f>IFERROR(M1310/L1310,0)</f>
        <v/>
      </c>
      <c r="P1310" t="n">
        <v>199</v>
      </c>
      <c r="Q1310" s="5" t="n">
        <v>1</v>
      </c>
      <c r="R1310" s="7" t="n">
        <v>0</v>
      </c>
      <c r="S1310" t="inlineStr">
        <is>
          <t>Мало показов</t>
        </is>
      </c>
      <c r="T1310">
        <f>IF(N1310&lt;$T$1*0.5,"Низшая четверть",IF(N1310&lt;$T$1,"Вторая четверть","Больше половины"))</f>
        <v/>
      </c>
      <c r="U1310">
        <f>IF(O1310&lt;$U$1*0.5,"Низшая четверть",IF(O1310&lt;$U$1,"Вторая четверть","Больше половины"))</f>
        <v/>
      </c>
      <c r="V1310">
        <f>IF(OR(N1310&lt;SUMIFS(L:L,R:R,1,E:E,E1310)/SUMIFS(K:K,R:R,1,E:E,E1310)*0.5,O1310&lt;SUMIFS(M:M,R:R,1,E:E,E1310)/SUMIFS(L:L,R:R,1,E:E,E1310)*0.5),"код для проверки","нормальный код")</f>
        <v/>
      </c>
      <c r="W1310">
        <f>IF(N1310&lt;SUMIFS(L:L,R:R,1,E:E,E1310)/SUMIFS(K:K,R:R,1,E:E,E1310)*0.5,"Низшая четверть",IF(N1310&lt;SUMIFS(L:L,R:R,1,E:E,E1310)/SUMIFS(K:K,R:R,1,E:E,E1310),"Вторая четверть","Больше половины"))</f>
        <v/>
      </c>
      <c r="X1310">
        <f>IF(O1310&lt;SUMIFS(M:M,R:R,1,E:E,E1310)/SUMIFS(L:L,R:R,1,E:E,E1310)*0.5,"Низшая четверть",IF(O1310&lt;SUMIFS(M:M,R:R,1,E:E,E1310)/SUMIFS(L:L,R:R,1,E:E,E1310),"Вторая четверть","Больше половины"))</f>
        <v/>
      </c>
      <c r="Y1310" t="n">
        <v>11</v>
      </c>
    </row>
    <row r="1311">
      <c r="A1311" s="1" t="inlineStr">
        <is>
          <t>310002Z0</t>
        </is>
      </c>
      <c r="B1311" s="2" t="inlineStr">
        <is>
          <t>918323200</t>
        </is>
      </c>
      <c r="C1311" s="3" t="inlineStr">
        <is>
          <t>Одежда для детей</t>
        </is>
      </c>
      <c r="D1311" s="2" t="inlineStr">
        <is>
          <t>Футболки, майки, рубашки детские для мальчиков</t>
        </is>
      </c>
      <c r="E1311" s="3" t="inlineStr">
        <is>
          <t>310 Футболка детская для мальчиков</t>
        </is>
      </c>
      <c r="F1311" s="2" t="inlineStr">
        <is>
          <t>всесезонный</t>
        </is>
      </c>
      <c r="G1311" s="3" t="inlineStr">
        <is>
          <t>kari</t>
        </is>
      </c>
      <c r="H1311" s="2" t="inlineStr">
        <is>
          <t>Зиннуров Ильнур</t>
        </is>
      </c>
      <c r="J1311" s="3" t="inlineStr">
        <is>
          <t>2026SS</t>
        </is>
      </c>
      <c r="K1311" s="3" t="n">
        <v>183</v>
      </c>
      <c r="L1311" s="3" t="n">
        <v>4</v>
      </c>
      <c r="M1311" s="3" t="n">
        <v>0</v>
      </c>
      <c r="N1311" s="4">
        <f>IFERROR(L1311/K1311,0)</f>
        <v/>
      </c>
      <c r="O1311" s="4">
        <f>IFERROR(M1311/L1311,0)</f>
        <v/>
      </c>
      <c r="P1311" t="n">
        <v>959</v>
      </c>
      <c r="Q1311" s="5" t="n">
        <v>1</v>
      </c>
      <c r="R1311" s="7" t="n">
        <v>0</v>
      </c>
      <c r="S1311" t="inlineStr">
        <is>
          <t>Мало показов</t>
        </is>
      </c>
      <c r="T1311">
        <f>IF(N1311&lt;$T$1*0.5,"Низшая четверть",IF(N1311&lt;$T$1,"Вторая четверть","Больше половины"))</f>
        <v/>
      </c>
      <c r="U1311">
        <f>IF(O1311&lt;$U$1*0.5,"Низшая четверть",IF(O1311&lt;$U$1,"Вторая четверть","Больше половины"))</f>
        <v/>
      </c>
      <c r="V1311">
        <f>IF(OR(N1311&lt;SUMIFS(L:L,R:R,1,E:E,E1311)/SUMIFS(K:K,R:R,1,E:E,E1311)*0.5,O1311&lt;SUMIFS(M:M,R:R,1,E:E,E1311)/SUMIFS(L:L,R:R,1,E:E,E1311)*0.5),"код для проверки","нормальный код")</f>
        <v/>
      </c>
      <c r="W1311">
        <f>IF(N1311&lt;SUMIFS(L:L,R:R,1,E:E,E1311)/SUMIFS(K:K,R:R,1,E:E,E1311)*0.5,"Низшая четверть",IF(N1311&lt;SUMIFS(L:L,R:R,1,E:E,E1311)/SUMIFS(K:K,R:R,1,E:E,E1311),"Вторая четверть","Больше половины"))</f>
        <v/>
      </c>
      <c r="X1311">
        <f>IF(O1311&lt;SUMIFS(M:M,R:R,1,E:E,E1311)/SUMIFS(L:L,R:R,1,E:E,E1311)*0.5,"Низшая четверть",IF(O1311&lt;SUMIFS(M:M,R:R,1,E:E,E1311)/SUMIFS(L:L,R:R,1,E:E,E1311),"Вторая четверть","Больше половины"))</f>
        <v/>
      </c>
      <c r="Y1311" t="n">
        <v>10</v>
      </c>
    </row>
    <row r="1312">
      <c r="A1312" s="1" t="inlineStr">
        <is>
          <t>310002W0</t>
        </is>
      </c>
      <c r="B1312" s="2" t="inlineStr">
        <is>
          <t>861413718</t>
        </is>
      </c>
      <c r="C1312" s="3" t="inlineStr">
        <is>
          <t>Одежда для детей</t>
        </is>
      </c>
      <c r="D1312" s="2" t="inlineStr">
        <is>
          <t>Футболки, майки, рубашки детские для мальчиков</t>
        </is>
      </c>
      <c r="E1312" s="3" t="inlineStr">
        <is>
          <t>310 Футболка детская для мальчиков</t>
        </is>
      </c>
      <c r="F1312" s="2" t="inlineStr">
        <is>
          <t>всесезонный</t>
        </is>
      </c>
      <c r="G1312" s="3" t="inlineStr">
        <is>
          <t>Kari KIDS</t>
        </is>
      </c>
      <c r="H1312" s="2" t="inlineStr">
        <is>
          <t>Зиннуров Ильнур</t>
        </is>
      </c>
      <c r="J1312" s="3" t="inlineStr">
        <is>
          <t>2026SS</t>
        </is>
      </c>
      <c r="K1312" s="3" t="n">
        <v>180</v>
      </c>
      <c r="L1312" s="3" t="n">
        <v>4</v>
      </c>
      <c r="M1312" s="3" t="n">
        <v>0</v>
      </c>
      <c r="N1312" s="4">
        <f>IFERROR(L1312/K1312,0)</f>
        <v/>
      </c>
      <c r="O1312" s="4">
        <f>IFERROR(M1312/L1312,0)</f>
        <v/>
      </c>
      <c r="P1312" t="n">
        <v>100</v>
      </c>
      <c r="Q1312" s="5" t="n">
        <v>1</v>
      </c>
      <c r="R1312" s="7" t="n">
        <v>0</v>
      </c>
      <c r="S1312" t="inlineStr">
        <is>
          <t>Мало показов</t>
        </is>
      </c>
      <c r="T1312">
        <f>IF(N1312&lt;$T$1*0.5,"Низшая четверть",IF(N1312&lt;$T$1,"Вторая четверть","Больше половины"))</f>
        <v/>
      </c>
      <c r="U1312">
        <f>IF(O1312&lt;$U$1*0.5,"Низшая четверть",IF(O1312&lt;$U$1,"Вторая четверть","Больше половины"))</f>
        <v/>
      </c>
      <c r="V1312">
        <f>IF(OR(N1312&lt;SUMIFS(L:L,R:R,1,E:E,E1312)/SUMIFS(K:K,R:R,1,E:E,E1312)*0.5,O1312&lt;SUMIFS(M:M,R:R,1,E:E,E1312)/SUMIFS(L:L,R:R,1,E:E,E1312)*0.5),"код для проверки","нормальный код")</f>
        <v/>
      </c>
      <c r="W1312">
        <f>IF(N1312&lt;SUMIFS(L:L,R:R,1,E:E,E1312)/SUMIFS(K:K,R:R,1,E:E,E1312)*0.5,"Низшая четверть",IF(N1312&lt;SUMIFS(L:L,R:R,1,E:E,E1312)/SUMIFS(K:K,R:R,1,E:E,E1312),"Вторая четверть","Больше половины"))</f>
        <v/>
      </c>
      <c r="X1312">
        <f>IF(O1312&lt;SUMIFS(M:M,R:R,1,E:E,E1312)/SUMIFS(L:L,R:R,1,E:E,E1312)*0.5,"Низшая четверть",IF(O1312&lt;SUMIFS(M:M,R:R,1,E:E,E1312)/SUMIFS(L:L,R:R,1,E:E,E1312),"Вторая четверть","Больше половины"))</f>
        <v/>
      </c>
      <c r="Y1312" t="n">
        <v>17</v>
      </c>
    </row>
    <row r="1313">
      <c r="A1313" s="1" t="inlineStr">
        <is>
          <t>56700100</t>
        </is>
      </c>
      <c r="B1313" s="2" t="inlineStr">
        <is>
          <t>924182383</t>
        </is>
      </c>
      <c r="C1313" s="3" t="inlineStr">
        <is>
          <t>Одежда для детей</t>
        </is>
      </c>
      <c r="D1313" s="2" t="inlineStr">
        <is>
          <t>Одежда для новорожденных</t>
        </is>
      </c>
      <c r="E1313" s="3" t="inlineStr">
        <is>
          <t>567 Боди с длинным рукавом для девочек</t>
        </is>
      </c>
      <c r="F1313" s="2" t="inlineStr">
        <is>
          <t>всесезонный</t>
        </is>
      </c>
      <c r="G1313" s="3" t="inlineStr">
        <is>
          <t>Kari baby</t>
        </is>
      </c>
      <c r="H1313" s="2" t="inlineStr">
        <is>
          <t>Зиннуров Ильнур</t>
        </is>
      </c>
      <c r="J1313" s="3" t="inlineStr">
        <is>
          <t>2026SS</t>
        </is>
      </c>
      <c r="K1313" s="3" t="n">
        <v>156</v>
      </c>
      <c r="L1313" s="3" t="n">
        <v>3</v>
      </c>
      <c r="M1313" s="3" t="n">
        <v>0</v>
      </c>
      <c r="N1313" s="4">
        <f>IFERROR(L1313/K1313,0)</f>
        <v/>
      </c>
      <c r="O1313" s="4">
        <f>IFERROR(M1313/L1313,0)</f>
        <v/>
      </c>
      <c r="P1313" t="n">
        <v>240</v>
      </c>
      <c r="Q1313" s="5" t="n">
        <v>1</v>
      </c>
      <c r="R1313" s="7" t="n">
        <v>0</v>
      </c>
      <c r="S1313" t="inlineStr">
        <is>
          <t>Мало показов</t>
        </is>
      </c>
      <c r="T1313">
        <f>IF(N1313&lt;$T$1*0.5,"Низшая четверть",IF(N1313&lt;$T$1,"Вторая четверть","Больше половины"))</f>
        <v/>
      </c>
      <c r="U1313">
        <f>IF(O1313&lt;$U$1*0.5,"Низшая четверть",IF(O1313&lt;$U$1,"Вторая четверть","Больше половины"))</f>
        <v/>
      </c>
      <c r="V1313">
        <f>IF(OR(N1313&lt;SUMIFS(L:L,R:R,1,E:E,E1313)/SUMIFS(K:K,R:R,1,E:E,E1313)*0.5,O1313&lt;SUMIFS(M:M,R:R,1,E:E,E1313)/SUMIFS(L:L,R:R,1,E:E,E1313)*0.5),"код для проверки","нормальный код")</f>
        <v/>
      </c>
      <c r="W1313">
        <f>IF(N1313&lt;SUMIFS(L:L,R:R,1,E:E,E1313)/SUMIFS(K:K,R:R,1,E:E,E1313)*0.5,"Низшая четверть",IF(N1313&lt;SUMIFS(L:L,R:R,1,E:E,E1313)/SUMIFS(K:K,R:R,1,E:E,E1313),"Вторая четверть","Больше половины"))</f>
        <v/>
      </c>
      <c r="X1313">
        <f>IF(O1313&lt;SUMIFS(M:M,R:R,1,E:E,E1313)/SUMIFS(L:L,R:R,1,E:E,E1313)*0.5,"Низшая четверть",IF(O1313&lt;SUMIFS(M:M,R:R,1,E:E,E1313)/SUMIFS(L:L,R:R,1,E:E,E1313),"Вторая четверть","Больше половины"))</f>
        <v/>
      </c>
      <c r="Y1313" t="n">
        <v>27</v>
      </c>
    </row>
    <row r="1314">
      <c r="A1314" s="1" t="inlineStr">
        <is>
          <t>93600100</t>
        </is>
      </c>
      <c r="B1314" s="2" t="inlineStr">
        <is>
          <t>924182333</t>
        </is>
      </c>
      <c r="C1314" s="3" t="inlineStr">
        <is>
          <t>Одежда для детей</t>
        </is>
      </c>
      <c r="D1314" s="2" t="inlineStr">
        <is>
          <t>Одежда для новорожденных</t>
        </is>
      </c>
      <c r="E1314" s="3" t="inlineStr">
        <is>
          <t>936 Боди с длинным рукавом для мальчиков</t>
        </is>
      </c>
      <c r="F1314" s="2" t="inlineStr">
        <is>
          <t>всесезонный</t>
        </is>
      </c>
      <c r="G1314" s="3" t="inlineStr">
        <is>
          <t>Kari baby</t>
        </is>
      </c>
      <c r="H1314" s="2" t="inlineStr">
        <is>
          <t>Зиннуров Ильнур</t>
        </is>
      </c>
      <c r="J1314" s="3" t="inlineStr">
        <is>
          <t>2026SS</t>
        </is>
      </c>
      <c r="K1314" s="3" t="n">
        <v>150</v>
      </c>
      <c r="L1314" s="3" t="n">
        <v>7</v>
      </c>
      <c r="M1314" s="3" t="n">
        <v>0</v>
      </c>
      <c r="N1314" s="4">
        <f>IFERROR(L1314/K1314,0)</f>
        <v/>
      </c>
      <c r="O1314" s="4">
        <f>IFERROR(M1314/L1314,0)</f>
        <v/>
      </c>
      <c r="P1314" t="n">
        <v>100</v>
      </c>
      <c r="Q1314" s="5" t="n">
        <v>1</v>
      </c>
      <c r="R1314" s="7" t="n">
        <v>0</v>
      </c>
      <c r="S1314" t="inlineStr">
        <is>
          <t>Мало показов</t>
        </is>
      </c>
      <c r="T1314">
        <f>IF(N1314&lt;$T$1*0.5,"Низшая четверть",IF(N1314&lt;$T$1,"Вторая четверть","Больше половины"))</f>
        <v/>
      </c>
      <c r="U1314">
        <f>IF(O1314&lt;$U$1*0.5,"Низшая четверть",IF(O1314&lt;$U$1,"Вторая четверть","Больше половины"))</f>
        <v/>
      </c>
      <c r="V1314">
        <f>IF(OR(N1314&lt;SUMIFS(L:L,R:R,1,E:E,E1314)/SUMIFS(K:K,R:R,1,E:E,E1314)*0.5,O1314&lt;SUMIFS(M:M,R:R,1,E:E,E1314)/SUMIFS(L:L,R:R,1,E:E,E1314)*0.5),"код для проверки","нормальный код")</f>
        <v/>
      </c>
      <c r="W1314">
        <f>IF(N1314&lt;SUMIFS(L:L,R:R,1,E:E,E1314)/SUMIFS(K:K,R:R,1,E:E,E1314)*0.5,"Низшая четверть",IF(N1314&lt;SUMIFS(L:L,R:R,1,E:E,E1314)/SUMIFS(K:K,R:R,1,E:E,E1314),"Вторая четверть","Больше половины"))</f>
        <v/>
      </c>
      <c r="X1314">
        <f>IF(O1314&lt;SUMIFS(M:M,R:R,1,E:E,E1314)/SUMIFS(L:L,R:R,1,E:E,E1314)*0.5,"Низшая четверть",IF(O1314&lt;SUMIFS(M:M,R:R,1,E:E,E1314)/SUMIFS(L:L,R:R,1,E:E,E1314),"Вторая четверть","Больше половины"))</f>
        <v/>
      </c>
      <c r="Y1314" t="n">
        <v>26</v>
      </c>
    </row>
    <row r="1315">
      <c r="A1315" s="1" t="inlineStr">
        <is>
          <t>310002T0</t>
        </is>
      </c>
      <c r="B1315" s="2" t="inlineStr">
        <is>
          <t>861414636</t>
        </is>
      </c>
      <c r="C1315" s="3" t="inlineStr">
        <is>
          <t>Одежда для детей</t>
        </is>
      </c>
      <c r="D1315" s="2" t="inlineStr">
        <is>
          <t>Футболки, майки, рубашки детские для мальчиков</t>
        </is>
      </c>
      <c r="E1315" s="3" t="inlineStr">
        <is>
          <t>310 Футболка детская для мальчиков</t>
        </is>
      </c>
      <c r="F1315" s="2" t="inlineStr">
        <is>
          <t>всесезонный</t>
        </is>
      </c>
      <c r="G1315" s="3" t="inlineStr">
        <is>
          <t>kari</t>
        </is>
      </c>
      <c r="H1315" s="2" t="inlineStr">
        <is>
          <t>Зиннуров Ильнур</t>
        </is>
      </c>
      <c r="J1315" s="3" t="inlineStr">
        <is>
          <t>2026SS</t>
        </is>
      </c>
      <c r="K1315" s="3" t="n">
        <v>149</v>
      </c>
      <c r="L1315" s="3" t="n">
        <v>1</v>
      </c>
      <c r="M1315" s="3" t="n">
        <v>0</v>
      </c>
      <c r="N1315" s="4">
        <f>IFERROR(L1315/K1315,0)</f>
        <v/>
      </c>
      <c r="O1315" s="4">
        <f>IFERROR(M1315/L1315,0)</f>
        <v/>
      </c>
      <c r="P1315" t="n">
        <v>300</v>
      </c>
      <c r="Q1315" s="5" t="n">
        <v>1</v>
      </c>
      <c r="R1315" s="7" t="n">
        <v>0</v>
      </c>
      <c r="S1315" t="inlineStr">
        <is>
          <t>Мало показов</t>
        </is>
      </c>
      <c r="T1315">
        <f>IF(N1315&lt;$T$1*0.5,"Низшая четверть",IF(N1315&lt;$T$1,"Вторая четверть","Больше половины"))</f>
        <v/>
      </c>
      <c r="U1315">
        <f>IF(O1315&lt;$U$1*0.5,"Низшая четверть",IF(O1315&lt;$U$1,"Вторая четверть","Больше половины"))</f>
        <v/>
      </c>
      <c r="V1315">
        <f>IF(OR(N1315&lt;SUMIFS(L:L,R:R,1,E:E,E1315)/SUMIFS(K:K,R:R,1,E:E,E1315)*0.5,O1315&lt;SUMIFS(M:M,R:R,1,E:E,E1315)/SUMIFS(L:L,R:R,1,E:E,E1315)*0.5),"код для проверки","нормальный код")</f>
        <v/>
      </c>
      <c r="W1315">
        <f>IF(N1315&lt;SUMIFS(L:L,R:R,1,E:E,E1315)/SUMIFS(K:K,R:R,1,E:E,E1315)*0.5,"Низшая четверть",IF(N1315&lt;SUMIFS(L:L,R:R,1,E:E,E1315)/SUMIFS(K:K,R:R,1,E:E,E1315),"Вторая четверть","Больше половины"))</f>
        <v/>
      </c>
      <c r="X1315">
        <f>IF(O1315&lt;SUMIFS(M:M,R:R,1,E:E,E1315)/SUMIFS(L:L,R:R,1,E:E,E1315)*0.5,"Низшая четверть",IF(O1315&lt;SUMIFS(M:M,R:R,1,E:E,E1315)/SUMIFS(L:L,R:R,1,E:E,E1315),"Вторая четверть","Больше половины"))</f>
        <v/>
      </c>
      <c r="Y1315" t="n">
        <v>20</v>
      </c>
    </row>
    <row r="1316">
      <c r="A1316" s="1" t="inlineStr">
        <is>
          <t>94000180</t>
        </is>
      </c>
      <c r="B1316" s="2" t="inlineStr">
        <is>
          <t>879308753</t>
        </is>
      </c>
      <c r="C1316" s="3" t="inlineStr">
        <is>
          <t>Одежда для детей</t>
        </is>
      </c>
      <c r="D1316" s="2" t="inlineStr">
        <is>
          <t>Одежда для новорожденных</t>
        </is>
      </c>
      <c r="E1316" s="3" t="inlineStr">
        <is>
          <t>940 Футболка для маленького мальчика</t>
        </is>
      </c>
      <c r="F1316" s="2" t="inlineStr">
        <is>
          <t>всесезонный</t>
        </is>
      </c>
      <c r="G1316" s="3" t="inlineStr">
        <is>
          <t>Kari baby</t>
        </is>
      </c>
      <c r="H1316" s="2" t="inlineStr">
        <is>
          <t>Зиннуров Ильнур</t>
        </is>
      </c>
      <c r="J1316" s="3" t="inlineStr">
        <is>
          <t>2026SS</t>
        </is>
      </c>
      <c r="K1316" s="3" t="n">
        <v>104</v>
      </c>
      <c r="L1316" s="3" t="n">
        <v>6</v>
      </c>
      <c r="M1316" s="3" t="n">
        <v>0</v>
      </c>
      <c r="N1316" s="4">
        <f>IFERROR(L1316/K1316,0)</f>
        <v/>
      </c>
      <c r="O1316" s="4">
        <f>IFERROR(M1316/L1316,0)</f>
        <v/>
      </c>
      <c r="P1316" t="n">
        <v>0</v>
      </c>
      <c r="Q1316" s="5" t="n">
        <v>0</v>
      </c>
      <c r="R1316" s="7" t="n">
        <v>0</v>
      </c>
      <c r="S1316" t="inlineStr">
        <is>
          <t>Мало остатка</t>
        </is>
      </c>
      <c r="T1316">
        <f>IF(N1316&lt;$T$1*0.5,"Низшая четверть",IF(N1316&lt;$T$1,"Вторая четверть","Больше половины"))</f>
        <v/>
      </c>
      <c r="U1316">
        <f>IF(O1316&lt;$U$1*0.5,"Низшая четверть",IF(O1316&lt;$U$1,"Вторая четверть","Больше половины"))</f>
        <v/>
      </c>
      <c r="V1316">
        <f>IF(OR(N1316&lt;SUMIFS(L:L,R:R,1,E:E,E1316)/SUMIFS(K:K,R:R,1,E:E,E1316)*0.5,O1316&lt;SUMIFS(M:M,R:R,1,E:E,E1316)/SUMIFS(L:L,R:R,1,E:E,E1316)*0.5),"код для проверки","нормальный код")</f>
        <v/>
      </c>
      <c r="W1316">
        <f>IF(N1316&lt;SUMIFS(L:L,R:R,1,E:E,E1316)/SUMIFS(K:K,R:R,1,E:E,E1316)*0.5,"Низшая четверть",IF(N1316&lt;SUMIFS(L:L,R:R,1,E:E,E1316)/SUMIFS(K:K,R:R,1,E:E,E1316),"Вторая четверть","Больше половины"))</f>
        <v/>
      </c>
      <c r="X1316">
        <f>IF(O1316&lt;SUMIFS(M:M,R:R,1,E:E,E1316)/SUMIFS(L:L,R:R,1,E:E,E1316)*0.5,"Низшая четверть",IF(O1316&lt;SUMIFS(M:M,R:R,1,E:E,E1316)/SUMIFS(L:L,R:R,1,E:E,E1316),"Вторая четверть","Больше половины"))</f>
        <v/>
      </c>
      <c r="Y1316" t="n">
        <v>12</v>
      </c>
    </row>
    <row r="1317">
      <c r="A1317" s="1" t="inlineStr">
        <is>
          <t>88300170</t>
        </is>
      </c>
      <c r="B1317" s="2" t="inlineStr">
        <is>
          <t>724822104</t>
        </is>
      </c>
      <c r="C1317" s="3" t="inlineStr">
        <is>
          <t>Одежда для детей</t>
        </is>
      </c>
      <c r="D1317" s="2" t="inlineStr">
        <is>
          <t>Платья, майки, футболки детские для девочек</t>
        </is>
      </c>
      <c r="E1317" s="3" t="inlineStr">
        <is>
          <t>883 Футболка длинный рукав детская для девочек</t>
        </is>
      </c>
      <c r="F1317" s="2" t="inlineStr">
        <is>
          <t>всесезонный</t>
        </is>
      </c>
      <c r="G1317" s="3" t="inlineStr">
        <is>
          <t>Kari KIDS</t>
        </is>
      </c>
      <c r="H1317" s="2" t="inlineStr">
        <is>
          <t>Зиннуров Ильнур</t>
        </is>
      </c>
      <c r="J1317" s="3" t="inlineStr">
        <is>
          <t>2026SS</t>
        </is>
      </c>
      <c r="K1317" s="3" t="n">
        <v>100</v>
      </c>
      <c r="L1317" s="3" t="n">
        <v>32</v>
      </c>
      <c r="M1317" s="3" t="n">
        <v>0</v>
      </c>
      <c r="N1317" s="4">
        <f>IFERROR(L1317/K1317,0)</f>
        <v/>
      </c>
      <c r="O1317" s="4">
        <f>IFERROR(M1317/L1317,0)</f>
        <v/>
      </c>
      <c r="P1317" t="n">
        <v>0</v>
      </c>
      <c r="Q1317" s="5" t="n">
        <v>0.2</v>
      </c>
      <c r="R1317" s="7" t="n">
        <v>0</v>
      </c>
      <c r="S1317" t="inlineStr">
        <is>
          <t>Мало остатка</t>
        </is>
      </c>
      <c r="T1317">
        <f>IF(N1317&lt;$T$1*0.5,"Низшая четверть",IF(N1317&lt;$T$1,"Вторая четверть","Больше половины"))</f>
        <v/>
      </c>
      <c r="U1317">
        <f>IF(O1317&lt;$U$1*0.5,"Низшая четверть",IF(O1317&lt;$U$1,"Вторая четверть","Больше половины"))</f>
        <v/>
      </c>
      <c r="V1317">
        <f>IF(OR(N1317&lt;SUMIFS(L:L,R:R,1,E:E,E1317)/SUMIFS(K:K,R:R,1,E:E,E1317)*0.5,O1317&lt;SUMIFS(M:M,R:R,1,E:E,E1317)/SUMIFS(L:L,R:R,1,E:E,E1317)*0.5),"код для проверки","нормальный код")</f>
        <v/>
      </c>
      <c r="W1317">
        <f>IF(N1317&lt;SUMIFS(L:L,R:R,1,E:E,E1317)/SUMIFS(K:K,R:R,1,E:E,E1317)*0.5,"Низшая четверть",IF(N1317&lt;SUMIFS(L:L,R:R,1,E:E,E1317)/SUMIFS(K:K,R:R,1,E:E,E1317),"Вторая четверть","Больше половины"))</f>
        <v/>
      </c>
      <c r="X1317">
        <f>IF(O1317&lt;SUMIFS(M:M,R:R,1,E:E,E1317)/SUMIFS(L:L,R:R,1,E:E,E1317)*0.5,"Низшая четверть",IF(O1317&lt;SUMIFS(M:M,R:R,1,E:E,E1317)/SUMIFS(L:L,R:R,1,E:E,E1317),"Вторая четверть","Больше половины"))</f>
        <v/>
      </c>
      <c r="Y1317" t="n">
        <v>9</v>
      </c>
    </row>
    <row r="1318">
      <c r="A1318" s="1" t="inlineStr">
        <is>
          <t>c1508000</t>
        </is>
      </c>
      <c r="B1318" s="2" t="inlineStr">
        <is>
          <t>332505087</t>
        </is>
      </c>
      <c r="C1318" s="3" t="inlineStr">
        <is>
          <t>Одежда и аксессуары</t>
        </is>
      </c>
      <c r="D1318" s="2" t="inlineStr">
        <is>
          <t>Головные уборы мужские</t>
        </is>
      </c>
      <c r="E1318" s="3" t="inlineStr">
        <is>
          <t>c15 Бейсболка</t>
        </is>
      </c>
      <c r="F1318" s="2" t="inlineStr">
        <is>
          <t>всесезонный</t>
        </is>
      </c>
      <c r="G1318" s="3" t="inlineStr">
        <is>
          <t>kari</t>
        </is>
      </c>
      <c r="H1318" s="2" t="inlineStr">
        <is>
          <t>Зиннуров Ильнур</t>
        </is>
      </c>
      <c r="J1318" s="3" t="inlineStr">
        <is>
          <t>2026SS</t>
        </is>
      </c>
      <c r="K1318" s="3" t="n">
        <v>71</v>
      </c>
      <c r="L1318" s="3" t="n">
        <v>12</v>
      </c>
      <c r="M1318" s="3" t="n">
        <v>0</v>
      </c>
      <c r="N1318" s="4">
        <f>IFERROR(L1318/K1318,0)</f>
        <v/>
      </c>
      <c r="O1318" s="4">
        <f>IFERROR(M1318/L1318,0)</f>
        <v/>
      </c>
      <c r="P1318" t="n">
        <v>0</v>
      </c>
      <c r="Q1318" s="5" t="n">
        <v>0</v>
      </c>
      <c r="R1318" s="7" t="n">
        <v>0</v>
      </c>
      <c r="S1318" t="inlineStr">
        <is>
          <t>Мало остатка</t>
        </is>
      </c>
      <c r="T1318">
        <f>IF(N1318&lt;$T$1*0.5,"Низшая четверть",IF(N1318&lt;$T$1,"Вторая четверть","Больше половины"))</f>
        <v/>
      </c>
      <c r="U1318">
        <f>IF(O1318&lt;$U$1*0.5,"Низшая четверть",IF(O1318&lt;$U$1,"Вторая четверть","Больше половины"))</f>
        <v/>
      </c>
      <c r="V1318">
        <f>IF(OR(N1318&lt;SUMIFS(L:L,R:R,1,E:E,E1318)/SUMIFS(K:K,R:R,1,E:E,E1318)*0.5,O1318&lt;SUMIFS(M:M,R:R,1,E:E,E1318)/SUMIFS(L:L,R:R,1,E:E,E1318)*0.5),"код для проверки","нормальный код")</f>
        <v/>
      </c>
      <c r="W1318">
        <f>IF(N1318&lt;SUMIFS(L:L,R:R,1,E:E,E1318)/SUMIFS(K:K,R:R,1,E:E,E1318)*0.5,"Низшая четверть",IF(N1318&lt;SUMIFS(L:L,R:R,1,E:E,E1318)/SUMIFS(K:K,R:R,1,E:E,E1318),"Вторая четверть","Больше половины"))</f>
        <v/>
      </c>
      <c r="X1318">
        <f>IF(O1318&lt;SUMIFS(M:M,R:R,1,E:E,E1318)/SUMIFS(L:L,R:R,1,E:E,E1318)*0.5,"Низшая четверть",IF(O1318&lt;SUMIFS(M:M,R:R,1,E:E,E1318)/SUMIFS(L:L,R:R,1,E:E,E1318),"Вторая четверть","Больше половины"))</f>
        <v/>
      </c>
      <c r="Y1318" t="n">
        <v>9</v>
      </c>
    </row>
    <row r="1319">
      <c r="A1319" s="1" t="inlineStr">
        <is>
          <t>17304310</t>
        </is>
      </c>
      <c r="B1319" s="2" t="inlineStr">
        <is>
          <t>395973042</t>
        </is>
      </c>
      <c r="C1319" s="3" t="inlineStr">
        <is>
          <t>Одежда для детей</t>
        </is>
      </c>
      <c r="D1319" s="2" t="inlineStr">
        <is>
          <t>Чулочные и носочные детские изделия для девочек</t>
        </is>
      </c>
      <c r="E1319" s="3" t="inlineStr">
        <is>
          <t>173 Носки детские для девочек</t>
        </is>
      </c>
      <c r="F1319" s="2" t="inlineStr">
        <is>
          <t>всесезонный</t>
        </is>
      </c>
      <c r="G1319" s="3" t="inlineStr">
        <is>
          <t>kari</t>
        </is>
      </c>
      <c r="H1319" s="2" t="inlineStr">
        <is>
          <t>Зиннуров Ильнур</t>
        </is>
      </c>
      <c r="J1319" s="3" t="inlineStr">
        <is>
          <t>2026SS</t>
        </is>
      </c>
      <c r="K1319" s="3" t="n">
        <v>68</v>
      </c>
      <c r="L1319" s="3" t="n">
        <v>18</v>
      </c>
      <c r="M1319" s="3" t="n">
        <v>0</v>
      </c>
      <c r="N1319" s="4">
        <f>IFERROR(L1319/K1319,0)</f>
        <v/>
      </c>
      <c r="O1319" s="4">
        <f>IFERROR(M1319/L1319,0)</f>
        <v/>
      </c>
      <c r="P1319" t="n">
        <v>0</v>
      </c>
      <c r="Q1319" s="5" t="n">
        <v>0.3333333333333333</v>
      </c>
      <c r="R1319" s="7" t="n">
        <v>0</v>
      </c>
      <c r="S1319" t="inlineStr">
        <is>
          <t>Мало остатка</t>
        </is>
      </c>
      <c r="T1319">
        <f>IF(N1319&lt;$T$1*0.5,"Низшая четверть",IF(N1319&lt;$T$1,"Вторая четверть","Больше половины"))</f>
        <v/>
      </c>
      <c r="U1319">
        <f>IF(O1319&lt;$U$1*0.5,"Низшая четверть",IF(O1319&lt;$U$1,"Вторая четверть","Больше половины"))</f>
        <v/>
      </c>
      <c r="V1319">
        <f>IF(OR(N1319&lt;SUMIFS(L:L,R:R,1,E:E,E1319)/SUMIFS(K:K,R:R,1,E:E,E1319)*0.5,O1319&lt;SUMIFS(M:M,R:R,1,E:E,E1319)/SUMIFS(L:L,R:R,1,E:E,E1319)*0.5),"код для проверки","нормальный код")</f>
        <v/>
      </c>
      <c r="W1319">
        <f>IF(N1319&lt;SUMIFS(L:L,R:R,1,E:E,E1319)/SUMIFS(K:K,R:R,1,E:E,E1319)*0.5,"Низшая четверть",IF(N1319&lt;SUMIFS(L:L,R:R,1,E:E,E1319)/SUMIFS(K:K,R:R,1,E:E,E1319),"Вторая четверть","Больше половины"))</f>
        <v/>
      </c>
      <c r="X1319">
        <f>IF(O1319&lt;SUMIFS(M:M,R:R,1,E:E,E1319)/SUMIFS(L:L,R:R,1,E:E,E1319)*0.5,"Низшая четверть",IF(O1319&lt;SUMIFS(M:M,R:R,1,E:E,E1319)/SUMIFS(L:L,R:R,1,E:E,E1319),"Вторая четверть","Больше половины"))</f>
        <v/>
      </c>
      <c r="Y1319" t="n">
        <v>4</v>
      </c>
    </row>
    <row r="1320">
      <c r="A1320" s="1" t="inlineStr">
        <is>
          <t>c1508050</t>
        </is>
      </c>
      <c r="B1320" s="2" t="inlineStr">
        <is>
          <t>332505084</t>
        </is>
      </c>
      <c r="C1320" s="3" t="inlineStr">
        <is>
          <t>Одежда и аксессуары</t>
        </is>
      </c>
      <c r="D1320" s="2" t="inlineStr">
        <is>
          <t>Головные уборы мужские</t>
        </is>
      </c>
      <c r="E1320" s="3" t="inlineStr">
        <is>
          <t>c15 Бейсболка</t>
        </is>
      </c>
      <c r="F1320" s="2" t="inlineStr">
        <is>
          <t>всесезонный</t>
        </is>
      </c>
      <c r="G1320" s="3" t="inlineStr">
        <is>
          <t>kari</t>
        </is>
      </c>
      <c r="H1320" s="2" t="inlineStr">
        <is>
          <t>Зиннуров Ильнур</t>
        </is>
      </c>
      <c r="J1320" s="3" t="inlineStr">
        <is>
          <t>2026SS</t>
        </is>
      </c>
      <c r="K1320" s="3" t="n">
        <v>51</v>
      </c>
      <c r="L1320" s="3" t="n">
        <v>19</v>
      </c>
      <c r="M1320" s="3" t="n">
        <v>1</v>
      </c>
      <c r="N1320" s="4">
        <f>IFERROR(L1320/K1320,0)</f>
        <v/>
      </c>
      <c r="O1320" s="4">
        <f>IFERROR(M1320/L1320,0)</f>
        <v/>
      </c>
      <c r="P1320" t="n">
        <v>0</v>
      </c>
      <c r="Q1320" s="5" t="n">
        <v>1</v>
      </c>
      <c r="R1320" s="7" t="n">
        <v>0</v>
      </c>
      <c r="S1320" t="inlineStr">
        <is>
          <t>Мало остатка</t>
        </is>
      </c>
      <c r="T1320">
        <f>IF(N1320&lt;$T$1*0.5,"Низшая четверть",IF(N1320&lt;$T$1,"Вторая четверть","Больше половины"))</f>
        <v/>
      </c>
      <c r="U1320">
        <f>IF(O1320&lt;$U$1*0.5,"Низшая четверть",IF(O1320&lt;$U$1,"Вторая четверть","Больше половины"))</f>
        <v/>
      </c>
      <c r="V1320">
        <f>IF(OR(N1320&lt;SUMIFS(L:L,R:R,1,E:E,E1320)/SUMIFS(K:K,R:R,1,E:E,E1320)*0.5,O1320&lt;SUMIFS(M:M,R:R,1,E:E,E1320)/SUMIFS(L:L,R:R,1,E:E,E1320)*0.5),"код для проверки","нормальный код")</f>
        <v/>
      </c>
      <c r="W1320">
        <f>IF(N1320&lt;SUMIFS(L:L,R:R,1,E:E,E1320)/SUMIFS(K:K,R:R,1,E:E,E1320)*0.5,"Низшая четверть",IF(N1320&lt;SUMIFS(L:L,R:R,1,E:E,E1320)/SUMIFS(K:K,R:R,1,E:E,E1320),"Вторая четверть","Больше половины"))</f>
        <v/>
      </c>
      <c r="X1320">
        <f>IF(O1320&lt;SUMIFS(M:M,R:R,1,E:E,E1320)/SUMIFS(L:L,R:R,1,E:E,E1320)*0.5,"Низшая четверть",IF(O1320&lt;SUMIFS(M:M,R:R,1,E:E,E1320)/SUMIFS(L:L,R:R,1,E:E,E1320),"Вторая четверть","Больше половины"))</f>
        <v/>
      </c>
      <c r="Y1320" t="n">
        <v>8</v>
      </c>
    </row>
    <row r="1321">
      <c r="A1321" s="1" t="inlineStr">
        <is>
          <t>39206050</t>
        </is>
      </c>
      <c r="B1321" s="2" t="inlineStr">
        <is>
          <t>211431620</t>
        </is>
      </c>
      <c r="C1321" s="3" t="inlineStr">
        <is>
          <t>Одежда для детей</t>
        </is>
      </c>
      <c r="D1321" s="2" t="inlineStr">
        <is>
          <t>Головные детские уборы для девочек</t>
        </is>
      </c>
      <c r="E1321" s="3" t="inlineStr">
        <is>
          <t>392 Детская летняя шляпа для девочек</t>
        </is>
      </c>
      <c r="F1321" s="2" t="inlineStr">
        <is>
          <t>лето</t>
        </is>
      </c>
      <c r="G1321" s="3" t="inlineStr">
        <is>
          <t>kari</t>
        </is>
      </c>
      <c r="H1321" s="2" t="inlineStr">
        <is>
          <t>Зиннуров Ильнур</t>
        </is>
      </c>
      <c r="J1321" s="3" t="inlineStr">
        <is>
          <t>2026SS</t>
        </is>
      </c>
      <c r="K1321" s="3" t="n">
        <v>50</v>
      </c>
      <c r="L1321" s="3" t="n">
        <v>7</v>
      </c>
      <c r="M1321" s="3" t="n">
        <v>0</v>
      </c>
      <c r="N1321" s="4">
        <f>IFERROR(L1321/K1321,0)</f>
        <v/>
      </c>
      <c r="O1321" s="4">
        <f>IFERROR(M1321/L1321,0)</f>
        <v/>
      </c>
      <c r="P1321" t="n">
        <v>3</v>
      </c>
      <c r="Q1321" s="5" t="n">
        <v>1</v>
      </c>
      <c r="R1321" s="7" t="n">
        <v>0</v>
      </c>
      <c r="S1321" t="inlineStr">
        <is>
          <t>Мало остатка</t>
        </is>
      </c>
      <c r="T1321">
        <f>IF(N1321&lt;$T$1*0.5,"Низшая четверть",IF(N1321&lt;$T$1,"Вторая четверть","Больше половины"))</f>
        <v/>
      </c>
      <c r="U1321">
        <f>IF(O1321&lt;$U$1*0.5,"Низшая четверть",IF(O1321&lt;$U$1,"Вторая четверть","Больше половины"))</f>
        <v/>
      </c>
      <c r="V1321">
        <f>IF(OR(N1321&lt;SUMIFS(L:L,R:R,1,E:E,E1321)/SUMIFS(K:K,R:R,1,E:E,E1321)*0.5,O1321&lt;SUMIFS(M:M,R:R,1,E:E,E1321)/SUMIFS(L:L,R:R,1,E:E,E1321)*0.5),"код для проверки","нормальный код")</f>
        <v/>
      </c>
      <c r="W1321">
        <f>IF(N1321&lt;SUMIFS(L:L,R:R,1,E:E,E1321)/SUMIFS(K:K,R:R,1,E:E,E1321)*0.5,"Низшая четверть",IF(N1321&lt;SUMIFS(L:L,R:R,1,E:E,E1321)/SUMIFS(K:K,R:R,1,E:E,E1321),"Вторая четверть","Больше половины"))</f>
        <v/>
      </c>
      <c r="X1321">
        <f>IF(O1321&lt;SUMIFS(M:M,R:R,1,E:E,E1321)/SUMIFS(L:L,R:R,1,E:E,E1321)*0.5,"Низшая четверть",IF(O1321&lt;SUMIFS(M:M,R:R,1,E:E,E1321)/SUMIFS(L:L,R:R,1,E:E,E1321),"Вторая четверть","Больше половины"))</f>
        <v/>
      </c>
      <c r="Y1321" t="n">
        <v>4</v>
      </c>
    </row>
    <row r="1322">
      <c r="A1322" s="1" t="inlineStr">
        <is>
          <t>39208110</t>
        </is>
      </c>
      <c r="B1322" s="2" t="inlineStr">
        <is>
          <t>372164356</t>
        </is>
      </c>
      <c r="C1322" s="3" t="inlineStr">
        <is>
          <t>Одежда для детей</t>
        </is>
      </c>
      <c r="D1322" s="2" t="inlineStr">
        <is>
          <t>Головные детские уборы для девочек</t>
        </is>
      </c>
      <c r="E1322" s="3" t="inlineStr">
        <is>
          <t>392 Детская летняя шляпа для девочек</t>
        </is>
      </c>
      <c r="F1322" s="2" t="inlineStr">
        <is>
          <t>лето</t>
        </is>
      </c>
      <c r="G1322" s="3" t="inlineStr">
        <is>
          <t>kari</t>
        </is>
      </c>
      <c r="H1322" s="2" t="inlineStr">
        <is>
          <t>Зиннуров Ильнур</t>
        </is>
      </c>
      <c r="J1322" s="3" t="inlineStr">
        <is>
          <t>2026SS</t>
        </is>
      </c>
      <c r="K1322" s="3" t="n">
        <v>45</v>
      </c>
      <c r="L1322" s="3" t="n">
        <v>2</v>
      </c>
      <c r="M1322" s="3" t="n">
        <v>0</v>
      </c>
      <c r="N1322" s="4">
        <f>IFERROR(L1322/K1322,0)</f>
        <v/>
      </c>
      <c r="O1322" s="4">
        <f>IFERROR(M1322/L1322,0)</f>
        <v/>
      </c>
      <c r="P1322" t="n">
        <v>2</v>
      </c>
      <c r="Q1322" s="5" t="n">
        <v>1</v>
      </c>
      <c r="R1322" s="7" t="n">
        <v>0</v>
      </c>
      <c r="S1322" t="inlineStr">
        <is>
          <t>Мало остатка</t>
        </is>
      </c>
      <c r="T1322">
        <f>IF(N1322&lt;$T$1*0.5,"Низшая четверть",IF(N1322&lt;$T$1,"Вторая четверть","Больше половины"))</f>
        <v/>
      </c>
      <c r="U1322">
        <f>IF(O1322&lt;$U$1*0.5,"Низшая четверть",IF(O1322&lt;$U$1,"Вторая четверть","Больше половины"))</f>
        <v/>
      </c>
      <c r="V1322">
        <f>IF(OR(N1322&lt;SUMIFS(L:L,R:R,1,E:E,E1322)/SUMIFS(K:K,R:R,1,E:E,E1322)*0.5,O1322&lt;SUMIFS(M:M,R:R,1,E:E,E1322)/SUMIFS(L:L,R:R,1,E:E,E1322)*0.5),"код для проверки","нормальный код")</f>
        <v/>
      </c>
      <c r="W1322">
        <f>IF(N1322&lt;SUMIFS(L:L,R:R,1,E:E,E1322)/SUMIFS(K:K,R:R,1,E:E,E1322)*0.5,"Низшая четверть",IF(N1322&lt;SUMIFS(L:L,R:R,1,E:E,E1322)/SUMIFS(K:K,R:R,1,E:E,E1322),"Вторая четверть","Больше половины"))</f>
        <v/>
      </c>
      <c r="X1322">
        <f>IF(O1322&lt;SUMIFS(M:M,R:R,1,E:E,E1322)/SUMIFS(L:L,R:R,1,E:E,E1322)*0.5,"Низшая четверть",IF(O1322&lt;SUMIFS(M:M,R:R,1,E:E,E1322)/SUMIFS(L:L,R:R,1,E:E,E1322),"Вторая четверть","Больше половины"))</f>
        <v/>
      </c>
      <c r="Y1322" t="n">
        <v>2</v>
      </c>
    </row>
    <row r="1323">
      <c r="A1323" s="1" t="inlineStr">
        <is>
          <t>c1508080</t>
        </is>
      </c>
      <c r="B1323" s="2" t="inlineStr">
        <is>
          <t>332505091</t>
        </is>
      </c>
      <c r="C1323" s="3" t="inlineStr">
        <is>
          <t>Одежда и аксессуары</t>
        </is>
      </c>
      <c r="D1323" s="2" t="inlineStr">
        <is>
          <t>Головные уборы мужские</t>
        </is>
      </c>
      <c r="E1323" s="3" t="inlineStr">
        <is>
          <t>c15 Бейсболка</t>
        </is>
      </c>
      <c r="F1323" s="2" t="inlineStr">
        <is>
          <t>всесезонный</t>
        </is>
      </c>
      <c r="G1323" s="3" t="inlineStr">
        <is>
          <t>kari</t>
        </is>
      </c>
      <c r="H1323" s="2" t="inlineStr">
        <is>
          <t>Зиннуров Ильнур</t>
        </is>
      </c>
      <c r="J1323" s="3" t="inlineStr">
        <is>
          <t>2026SS</t>
        </is>
      </c>
      <c r="K1323" s="3" t="n">
        <v>44</v>
      </c>
      <c r="L1323" s="3" t="n">
        <v>15</v>
      </c>
      <c r="M1323" s="3" t="n">
        <v>2</v>
      </c>
      <c r="N1323" s="4">
        <f>IFERROR(L1323/K1323,0)</f>
        <v/>
      </c>
      <c r="O1323" s="4">
        <f>IFERROR(M1323/L1323,0)</f>
        <v/>
      </c>
      <c r="P1323" t="n">
        <v>0</v>
      </c>
      <c r="Q1323" s="5" t="n">
        <v>1</v>
      </c>
      <c r="R1323" s="7" t="n">
        <v>0</v>
      </c>
      <c r="S1323" t="inlineStr">
        <is>
          <t>Мало остатка</t>
        </is>
      </c>
      <c r="T1323">
        <f>IF(N1323&lt;$T$1*0.5,"Низшая четверть",IF(N1323&lt;$T$1,"Вторая четверть","Больше половины"))</f>
        <v/>
      </c>
      <c r="U1323">
        <f>IF(O1323&lt;$U$1*0.5,"Низшая четверть",IF(O1323&lt;$U$1,"Вторая четверть","Больше половины"))</f>
        <v/>
      </c>
      <c r="V1323">
        <f>IF(OR(N1323&lt;SUMIFS(L:L,R:R,1,E:E,E1323)/SUMIFS(K:K,R:R,1,E:E,E1323)*0.5,O1323&lt;SUMIFS(M:M,R:R,1,E:E,E1323)/SUMIFS(L:L,R:R,1,E:E,E1323)*0.5),"код для проверки","нормальный код")</f>
        <v/>
      </c>
      <c r="W1323">
        <f>IF(N1323&lt;SUMIFS(L:L,R:R,1,E:E,E1323)/SUMIFS(K:K,R:R,1,E:E,E1323)*0.5,"Низшая четверть",IF(N1323&lt;SUMIFS(L:L,R:R,1,E:E,E1323)/SUMIFS(K:K,R:R,1,E:E,E1323),"Вторая четверть","Больше половины"))</f>
        <v/>
      </c>
      <c r="X1323">
        <f>IF(O1323&lt;SUMIFS(M:M,R:R,1,E:E,E1323)/SUMIFS(L:L,R:R,1,E:E,E1323)*0.5,"Низшая четверть",IF(O1323&lt;SUMIFS(M:M,R:R,1,E:E,E1323)/SUMIFS(L:L,R:R,1,E:E,E1323),"Вторая четверть","Больше половины"))</f>
        <v/>
      </c>
      <c r="Y1323" t="n">
        <v>8</v>
      </c>
    </row>
    <row r="1324">
      <c r="A1324" s="1" t="inlineStr">
        <is>
          <t>39208090</t>
        </is>
      </c>
      <c r="B1324" s="2" t="inlineStr">
        <is>
          <t>372164374</t>
        </is>
      </c>
      <c r="C1324" s="3" t="inlineStr">
        <is>
          <t>Одежда для детей</t>
        </is>
      </c>
      <c r="D1324" s="2" t="inlineStr">
        <is>
          <t>Головные детские уборы для девочек</t>
        </is>
      </c>
      <c r="E1324" s="3" t="inlineStr">
        <is>
          <t>392 Детская летняя шляпа для девочек</t>
        </is>
      </c>
      <c r="F1324" s="2" t="inlineStr">
        <is>
          <t>лето</t>
        </is>
      </c>
      <c r="G1324" s="3" t="inlineStr">
        <is>
          <t>kari</t>
        </is>
      </c>
      <c r="H1324" s="2" t="inlineStr">
        <is>
          <t>Зиннуров Ильнур</t>
        </is>
      </c>
      <c r="J1324" s="3" t="inlineStr">
        <is>
          <t>2026SS</t>
        </is>
      </c>
      <c r="K1324" s="3" t="n">
        <v>29</v>
      </c>
      <c r="L1324" s="3" t="n">
        <v>13</v>
      </c>
      <c r="M1324" s="3" t="n">
        <v>0</v>
      </c>
      <c r="N1324" s="4">
        <f>IFERROR(L1324/K1324,0)</f>
        <v/>
      </c>
      <c r="O1324" s="4">
        <f>IFERROR(M1324/L1324,0)</f>
        <v/>
      </c>
      <c r="P1324" t="n">
        <v>2</v>
      </c>
      <c r="Q1324" s="5" t="n">
        <v>1</v>
      </c>
      <c r="R1324" s="7" t="n">
        <v>0</v>
      </c>
      <c r="S1324" t="inlineStr">
        <is>
          <t>Мало остатка</t>
        </is>
      </c>
      <c r="T1324">
        <f>IF(N1324&lt;$T$1*0.5,"Низшая четверть",IF(N1324&lt;$T$1,"Вторая четверть","Больше половины"))</f>
        <v/>
      </c>
      <c r="U1324">
        <f>IF(O1324&lt;$U$1*0.5,"Низшая четверть",IF(O1324&lt;$U$1,"Вторая четверть","Больше половины"))</f>
        <v/>
      </c>
      <c r="V1324">
        <f>IF(OR(N1324&lt;SUMIFS(L:L,R:R,1,E:E,E1324)/SUMIFS(K:K,R:R,1,E:E,E1324)*0.5,O1324&lt;SUMIFS(M:M,R:R,1,E:E,E1324)/SUMIFS(L:L,R:R,1,E:E,E1324)*0.5),"код для проверки","нормальный код")</f>
        <v/>
      </c>
      <c r="W1324">
        <f>IF(N1324&lt;SUMIFS(L:L,R:R,1,E:E,E1324)/SUMIFS(K:K,R:R,1,E:E,E1324)*0.5,"Низшая четверть",IF(N1324&lt;SUMIFS(L:L,R:R,1,E:E,E1324)/SUMIFS(K:K,R:R,1,E:E,E1324),"Вторая четверть","Больше половины"))</f>
        <v/>
      </c>
      <c r="X1324">
        <f>IF(O1324&lt;SUMIFS(M:M,R:R,1,E:E,E1324)/SUMIFS(L:L,R:R,1,E:E,E1324)*0.5,"Низшая четверть",IF(O1324&lt;SUMIFS(M:M,R:R,1,E:E,E1324)/SUMIFS(L:L,R:R,1,E:E,E1324),"Вторая четверть","Больше половины"))</f>
        <v/>
      </c>
      <c r="Y1324" t="n">
        <v>3</v>
      </c>
    </row>
    <row r="1325">
      <c r="A1325" s="1" t="inlineStr">
        <is>
          <t>93700100</t>
        </is>
      </c>
      <c r="B1325" s="2" t="inlineStr">
        <is>
          <t>848722550</t>
        </is>
      </c>
      <c r="C1325" s="3" t="inlineStr">
        <is>
          <t>Одежда для детей</t>
        </is>
      </c>
      <c r="D1325" s="2" t="inlineStr">
        <is>
          <t>Одежда для новорожденных</t>
        </is>
      </c>
      <c r="E1325" s="3" t="inlineStr">
        <is>
          <t>937 Боди с коротким рукавом для мальчиков</t>
        </is>
      </c>
      <c r="F1325" s="2" t="inlineStr">
        <is>
          <t>всесезонный</t>
        </is>
      </c>
      <c r="G1325" s="3" t="inlineStr">
        <is>
          <t>Kari baby</t>
        </is>
      </c>
      <c r="H1325" s="2" t="inlineStr">
        <is>
          <t>Зиннуров Ильнур</t>
        </is>
      </c>
      <c r="J1325" s="3" t="inlineStr">
        <is>
          <t>2026SS</t>
        </is>
      </c>
      <c r="K1325" s="3" t="n">
        <v>28</v>
      </c>
      <c r="L1325" s="3" t="n">
        <v>24</v>
      </c>
      <c r="M1325" s="3" t="n">
        <v>0</v>
      </c>
      <c r="N1325" s="4">
        <f>IFERROR(L1325/K1325,0)</f>
        <v/>
      </c>
      <c r="O1325" s="4">
        <f>IFERROR(M1325/L1325,0)</f>
        <v/>
      </c>
      <c r="P1325" t="n">
        <v>0</v>
      </c>
      <c r="Q1325" s="5" t="n">
        <v>0</v>
      </c>
      <c r="R1325" s="7" t="n">
        <v>0</v>
      </c>
      <c r="S1325" t="inlineStr">
        <is>
          <t>Мало остатка</t>
        </is>
      </c>
      <c r="T1325">
        <f>IF(N1325&lt;$T$1*0.5,"Низшая четверть",IF(N1325&lt;$T$1,"Вторая четверть","Больше половины"))</f>
        <v/>
      </c>
      <c r="U1325">
        <f>IF(O1325&lt;$U$1*0.5,"Низшая четверть",IF(O1325&lt;$U$1,"Вторая четверть","Больше половины"))</f>
        <v/>
      </c>
      <c r="V1325">
        <f>IF(OR(N1325&lt;SUMIFS(L:L,R:R,1,E:E,E1325)/SUMIFS(K:K,R:R,1,E:E,E1325)*0.5,O1325&lt;SUMIFS(M:M,R:R,1,E:E,E1325)/SUMIFS(L:L,R:R,1,E:E,E1325)*0.5),"код для проверки","нормальный код")</f>
        <v/>
      </c>
      <c r="W1325">
        <f>IF(N1325&lt;SUMIFS(L:L,R:R,1,E:E,E1325)/SUMIFS(K:K,R:R,1,E:E,E1325)*0.5,"Низшая четверть",IF(N1325&lt;SUMIFS(L:L,R:R,1,E:E,E1325)/SUMIFS(K:K,R:R,1,E:E,E1325),"Вторая четверть","Больше половины"))</f>
        <v/>
      </c>
      <c r="X1325">
        <f>IF(O1325&lt;SUMIFS(M:M,R:R,1,E:E,E1325)/SUMIFS(L:L,R:R,1,E:E,E1325)*0.5,"Низшая четверть",IF(O1325&lt;SUMIFS(M:M,R:R,1,E:E,E1325)/SUMIFS(L:L,R:R,1,E:E,E1325),"Вторая четверть","Больше половины"))</f>
        <v/>
      </c>
      <c r="Y1325" t="n">
        <v>13</v>
      </c>
    </row>
    <row r="1326">
      <c r="A1326" s="1" t="inlineStr">
        <is>
          <t>17302190</t>
        </is>
      </c>
      <c r="B1326" s="2" t="inlineStr">
        <is>
          <t>395973039</t>
        </is>
      </c>
      <c r="C1326" s="3" t="inlineStr">
        <is>
          <t>Одежда для детей</t>
        </is>
      </c>
      <c r="D1326" s="2" t="inlineStr">
        <is>
          <t>Чулочные и носочные детские изделия для девочек</t>
        </is>
      </c>
      <c r="E1326" s="3" t="inlineStr">
        <is>
          <t>173 Носки детские для девочек</t>
        </is>
      </c>
      <c r="F1326" s="2" t="inlineStr">
        <is>
          <t>всесезонный</t>
        </is>
      </c>
      <c r="G1326" s="3" t="inlineStr">
        <is>
          <t>kari</t>
        </is>
      </c>
      <c r="H1326" s="2" t="inlineStr">
        <is>
          <t>Зиннуров Ильнур</t>
        </is>
      </c>
      <c r="J1326" s="3" t="inlineStr">
        <is>
          <t>2026SS</t>
        </is>
      </c>
      <c r="K1326" s="3" t="n">
        <v>28</v>
      </c>
      <c r="L1326" s="3" t="n">
        <v>8</v>
      </c>
      <c r="M1326" s="3" t="n">
        <v>0</v>
      </c>
      <c r="N1326" s="4">
        <f>IFERROR(L1326/K1326,0)</f>
        <v/>
      </c>
      <c r="O1326" s="4">
        <f>IFERROR(M1326/L1326,0)</f>
        <v/>
      </c>
      <c r="P1326" t="n">
        <v>0</v>
      </c>
      <c r="Q1326" s="5" t="n">
        <v>0</v>
      </c>
      <c r="R1326" s="7" t="n">
        <v>0</v>
      </c>
      <c r="S1326" t="inlineStr">
        <is>
          <t>Мало остатка</t>
        </is>
      </c>
      <c r="T1326">
        <f>IF(N1326&lt;$T$1*0.5,"Низшая четверть",IF(N1326&lt;$T$1,"Вторая четверть","Больше половины"))</f>
        <v/>
      </c>
      <c r="U1326">
        <f>IF(O1326&lt;$U$1*0.5,"Низшая четверть",IF(O1326&lt;$U$1,"Вторая четверть","Больше половины"))</f>
        <v/>
      </c>
      <c r="V1326">
        <f>IF(OR(N1326&lt;SUMIFS(L:L,R:R,1,E:E,E1326)/SUMIFS(K:K,R:R,1,E:E,E1326)*0.5,O1326&lt;SUMIFS(M:M,R:R,1,E:E,E1326)/SUMIFS(L:L,R:R,1,E:E,E1326)*0.5),"код для проверки","нормальный код")</f>
        <v/>
      </c>
      <c r="W1326">
        <f>IF(N1326&lt;SUMIFS(L:L,R:R,1,E:E,E1326)/SUMIFS(K:K,R:R,1,E:E,E1326)*0.5,"Низшая четверть",IF(N1326&lt;SUMIFS(L:L,R:R,1,E:E,E1326)/SUMIFS(K:K,R:R,1,E:E,E1326),"Вторая четверть","Больше половины"))</f>
        <v/>
      </c>
      <c r="X1326">
        <f>IF(O1326&lt;SUMIFS(M:M,R:R,1,E:E,E1326)/SUMIFS(L:L,R:R,1,E:E,E1326)*0.5,"Низшая четверть",IF(O1326&lt;SUMIFS(M:M,R:R,1,E:E,E1326)/SUMIFS(L:L,R:R,1,E:E,E1326),"Вторая четверть","Больше половины"))</f>
        <v/>
      </c>
      <c r="Y1326" t="n">
        <v>4</v>
      </c>
    </row>
    <row r="1327">
      <c r="A1327" s="1" t="inlineStr">
        <is>
          <t>12408090</t>
        </is>
      </c>
      <c r="B1327" s="2" t="inlineStr">
        <is>
          <t>378959517</t>
        </is>
      </c>
      <c r="C1327" s="3" t="inlineStr">
        <is>
          <t>Одежда и аксессуары</t>
        </is>
      </c>
      <c r="D1327" s="2" t="inlineStr">
        <is>
          <t>Чулочные и носочные изделия для женщин</t>
        </is>
      </c>
      <c r="E1327" s="3" t="inlineStr">
        <is>
          <t>124 Подследники женские</t>
        </is>
      </c>
      <c r="F1327" s="2" t="inlineStr">
        <is>
          <t>всесезонный</t>
        </is>
      </c>
      <c r="G1327" s="3" t="inlineStr">
        <is>
          <t>kari</t>
        </is>
      </c>
      <c r="H1327" s="2" t="inlineStr">
        <is>
          <t>Зиннуров Ильнур</t>
        </is>
      </c>
      <c r="J1327" s="3" t="inlineStr">
        <is>
          <t>2026SS</t>
        </is>
      </c>
      <c r="K1327" s="3" t="n">
        <v>27</v>
      </c>
      <c r="L1327" s="3" t="n">
        <v>2</v>
      </c>
      <c r="M1327" s="3" t="n">
        <v>0</v>
      </c>
      <c r="N1327" s="4">
        <f>IFERROR(L1327/K1327,0)</f>
        <v/>
      </c>
      <c r="O1327" s="4">
        <f>IFERROR(M1327/L1327,0)</f>
        <v/>
      </c>
      <c r="P1327" t="n">
        <v>0</v>
      </c>
      <c r="Q1327" s="5" t="n">
        <v>0</v>
      </c>
      <c r="R1327" s="7" t="n">
        <v>0</v>
      </c>
      <c r="S1327" t="inlineStr">
        <is>
          <t>Мало остатка</t>
        </is>
      </c>
      <c r="T1327">
        <f>IF(N1327&lt;$T$1*0.5,"Низшая четверть",IF(N1327&lt;$T$1,"Вторая четверть","Больше половины"))</f>
        <v/>
      </c>
      <c r="U1327">
        <f>IF(O1327&lt;$U$1*0.5,"Низшая четверть",IF(O1327&lt;$U$1,"Вторая четверть","Больше половины"))</f>
        <v/>
      </c>
      <c r="V1327">
        <f>IF(OR(N1327&lt;SUMIFS(L:L,R:R,1,E:E,E1327)/SUMIFS(K:K,R:R,1,E:E,E1327)*0.5,O1327&lt;SUMIFS(M:M,R:R,1,E:E,E1327)/SUMIFS(L:L,R:R,1,E:E,E1327)*0.5),"код для проверки","нормальный код")</f>
        <v/>
      </c>
      <c r="W1327">
        <f>IF(N1327&lt;SUMIFS(L:L,R:R,1,E:E,E1327)/SUMIFS(K:K,R:R,1,E:E,E1327)*0.5,"Низшая четверть",IF(N1327&lt;SUMIFS(L:L,R:R,1,E:E,E1327)/SUMIFS(K:K,R:R,1,E:E,E1327),"Вторая четверть","Больше половины"))</f>
        <v/>
      </c>
      <c r="X1327">
        <f>IF(O1327&lt;SUMIFS(M:M,R:R,1,E:E,E1327)/SUMIFS(L:L,R:R,1,E:E,E1327)*0.5,"Низшая четверть",IF(O1327&lt;SUMIFS(M:M,R:R,1,E:E,E1327)/SUMIFS(L:L,R:R,1,E:E,E1327),"Вторая четверть","Больше половины"))</f>
        <v/>
      </c>
      <c r="Y1327" t="n">
        <v>7</v>
      </c>
    </row>
    <row r="1328">
      <c r="A1328" s="1" t="inlineStr">
        <is>
          <t>93701050</t>
        </is>
      </c>
      <c r="B1328" s="2" t="inlineStr">
        <is>
          <t>134332571</t>
        </is>
      </c>
      <c r="C1328" s="3" t="inlineStr">
        <is>
          <t>Одежда для детей</t>
        </is>
      </c>
      <c r="D1328" s="2" t="inlineStr">
        <is>
          <t>Одежда для новорожденных</t>
        </is>
      </c>
      <c r="E1328" s="3" t="inlineStr">
        <is>
          <t>937 Боди с коротким рукавом для мальчиков</t>
        </is>
      </c>
      <c r="F1328" s="2" t="inlineStr">
        <is>
          <t>всесезонный</t>
        </is>
      </c>
      <c r="G1328" s="3" t="inlineStr">
        <is>
          <t>Kari baby</t>
        </is>
      </c>
      <c r="H1328" s="2" t="inlineStr">
        <is>
          <t>Зиннуров Ильнур</t>
        </is>
      </c>
      <c r="J1328" s="3" t="inlineStr">
        <is>
          <t>2026SS</t>
        </is>
      </c>
      <c r="K1328" s="3" t="n">
        <v>19</v>
      </c>
      <c r="L1328" s="3" t="n">
        <v>61</v>
      </c>
      <c r="M1328" s="3" t="n">
        <v>0</v>
      </c>
      <c r="N1328" s="4">
        <f>IFERROR(L1328/K1328,0)</f>
        <v/>
      </c>
      <c r="O1328" s="4">
        <f>IFERROR(M1328/L1328,0)</f>
        <v/>
      </c>
      <c r="P1328" t="n">
        <v>0</v>
      </c>
      <c r="Q1328" s="5" t="n">
        <v>0</v>
      </c>
      <c r="R1328" s="7" t="n">
        <v>0</v>
      </c>
      <c r="S1328" t="inlineStr">
        <is>
          <t>Мало остатка</t>
        </is>
      </c>
      <c r="T1328">
        <f>IF(N1328&lt;$T$1*0.5,"Низшая четверть",IF(N1328&lt;$T$1,"Вторая четверть","Больше половины"))</f>
        <v/>
      </c>
      <c r="U1328">
        <f>IF(O1328&lt;$U$1*0.5,"Низшая четверть",IF(O1328&lt;$U$1,"Вторая четверть","Больше половины"))</f>
        <v/>
      </c>
      <c r="V1328">
        <f>IF(OR(N1328&lt;SUMIFS(L:L,R:R,1,E:E,E1328)/SUMIFS(K:K,R:R,1,E:E,E1328)*0.5,O1328&lt;SUMIFS(M:M,R:R,1,E:E,E1328)/SUMIFS(L:L,R:R,1,E:E,E1328)*0.5),"код для проверки","нормальный код")</f>
        <v/>
      </c>
      <c r="W1328">
        <f>IF(N1328&lt;SUMIFS(L:L,R:R,1,E:E,E1328)/SUMIFS(K:K,R:R,1,E:E,E1328)*0.5,"Низшая четверть",IF(N1328&lt;SUMIFS(L:L,R:R,1,E:E,E1328)/SUMIFS(K:K,R:R,1,E:E,E1328),"Вторая четверть","Больше половины"))</f>
        <v/>
      </c>
      <c r="X1328">
        <f>IF(O1328&lt;SUMIFS(M:M,R:R,1,E:E,E1328)/SUMIFS(L:L,R:R,1,E:E,E1328)*0.5,"Низшая четверть",IF(O1328&lt;SUMIFS(M:M,R:R,1,E:E,E1328)/SUMIFS(L:L,R:R,1,E:E,E1328),"Вторая четверть","Больше половины"))</f>
        <v/>
      </c>
      <c r="Y1328" t="n">
        <v>8</v>
      </c>
    </row>
    <row r="1329">
      <c r="A1329" s="1" t="inlineStr">
        <is>
          <t>09508060</t>
        </is>
      </c>
      <c r="B1329" s="2" t="inlineStr">
        <is>
          <t>396206789</t>
        </is>
      </c>
      <c r="C1329" s="3" t="inlineStr">
        <is>
          <t>Одежда и аксессуары</t>
        </is>
      </c>
      <c r="D1329" s="2" t="inlineStr">
        <is>
          <t>Плавки мужские</t>
        </is>
      </c>
      <c r="E1329" s="3" t="inlineStr">
        <is>
          <t>095 Плавки</t>
        </is>
      </c>
      <c r="F1329" s="2" t="inlineStr">
        <is>
          <t>лето</t>
        </is>
      </c>
      <c r="G1329" s="3" t="inlineStr">
        <is>
          <t>kari</t>
        </is>
      </c>
      <c r="H1329" s="2" t="inlineStr">
        <is>
          <t>Никонорова Алина</t>
        </is>
      </c>
      <c r="J1329" s="3" t="inlineStr">
        <is>
          <t>2026SS</t>
        </is>
      </c>
      <c r="K1329" s="3" t="n">
        <v>19</v>
      </c>
      <c r="L1329" s="3" t="n">
        <v>4</v>
      </c>
      <c r="M1329" s="3" t="n">
        <v>0</v>
      </c>
      <c r="N1329" s="4">
        <f>IFERROR(L1329/K1329,0)</f>
        <v/>
      </c>
      <c r="O1329" s="4">
        <f>IFERROR(M1329/L1329,0)</f>
        <v/>
      </c>
      <c r="P1329" t="n">
        <v>0</v>
      </c>
      <c r="Q1329" s="5" t="n">
        <v>0.2</v>
      </c>
      <c r="R1329" s="7" t="n">
        <v>0</v>
      </c>
      <c r="S1329" t="inlineStr">
        <is>
          <t>Мало остатка</t>
        </is>
      </c>
      <c r="T1329">
        <f>IF(N1329&lt;$T$1*0.5,"Низшая четверть",IF(N1329&lt;$T$1,"Вторая четверть","Больше половины"))</f>
        <v/>
      </c>
      <c r="U1329">
        <f>IF(O1329&lt;$U$1*0.5,"Низшая четверть",IF(O1329&lt;$U$1,"Вторая четверть","Больше половины"))</f>
        <v/>
      </c>
      <c r="V1329">
        <f>IF(OR(N1329&lt;SUMIFS(L:L,R:R,1,E:E,E1329)/SUMIFS(K:K,R:R,1,E:E,E1329)*0.5,O1329&lt;SUMIFS(M:M,R:R,1,E:E,E1329)/SUMIFS(L:L,R:R,1,E:E,E1329)*0.5),"код для проверки","нормальный код")</f>
        <v/>
      </c>
      <c r="W1329">
        <f>IF(N1329&lt;SUMIFS(L:L,R:R,1,E:E,E1329)/SUMIFS(K:K,R:R,1,E:E,E1329)*0.5,"Низшая четверть",IF(N1329&lt;SUMIFS(L:L,R:R,1,E:E,E1329)/SUMIFS(K:K,R:R,1,E:E,E1329),"Вторая четверть","Больше половины"))</f>
        <v/>
      </c>
      <c r="X1329">
        <f>IF(O1329&lt;SUMIFS(M:M,R:R,1,E:E,E1329)/SUMIFS(L:L,R:R,1,E:E,E1329)*0.5,"Низшая четверть",IF(O1329&lt;SUMIFS(M:M,R:R,1,E:E,E1329)/SUMIFS(L:L,R:R,1,E:E,E1329),"Вторая четверть","Больше половины"))</f>
        <v/>
      </c>
      <c r="Y1329" t="n">
        <v>5</v>
      </c>
    </row>
    <row r="1330">
      <c r="A1330" s="1" t="inlineStr">
        <is>
          <t>17406810</t>
        </is>
      </c>
      <c r="B1330" s="2" t="inlineStr">
        <is>
          <t>399231299</t>
        </is>
      </c>
      <c r="C1330" s="3" t="inlineStr">
        <is>
          <t>Одежда для детей</t>
        </is>
      </c>
      <c r="D1330" s="2" t="inlineStr">
        <is>
          <t>Чулочные и носочные детские изделия для мальчиков</t>
        </is>
      </c>
      <c r="E1330" s="3" t="inlineStr">
        <is>
          <t>174 Носки детские для мальчиков</t>
        </is>
      </c>
      <c r="F1330" s="2" t="inlineStr">
        <is>
          <t>всесезонный</t>
        </is>
      </c>
      <c r="G1330" s="3" t="inlineStr">
        <is>
          <t>kari</t>
        </is>
      </c>
      <c r="H1330" s="2" t="inlineStr">
        <is>
          <t>Зиннуров Ильнур</t>
        </is>
      </c>
      <c r="J1330" s="3" t="inlineStr">
        <is>
          <t>2026SS</t>
        </is>
      </c>
      <c r="K1330" s="3" t="n">
        <v>17</v>
      </c>
      <c r="L1330" s="3" t="n">
        <v>4</v>
      </c>
      <c r="M1330" s="3" t="n">
        <v>0</v>
      </c>
      <c r="N1330" s="4">
        <f>IFERROR(L1330/K1330,0)</f>
        <v/>
      </c>
      <c r="O1330" s="4">
        <f>IFERROR(M1330/L1330,0)</f>
        <v/>
      </c>
      <c r="P1330" t="n">
        <v>0</v>
      </c>
      <c r="Q1330" s="5" t="n">
        <v>0</v>
      </c>
      <c r="R1330" s="7" t="n">
        <v>0</v>
      </c>
      <c r="S1330" t="inlineStr">
        <is>
          <t>Мало остатка</t>
        </is>
      </c>
      <c r="T1330">
        <f>IF(N1330&lt;$T$1*0.5,"Низшая четверть",IF(N1330&lt;$T$1,"Вторая четверть","Больше половины"))</f>
        <v/>
      </c>
      <c r="U1330">
        <f>IF(O1330&lt;$U$1*0.5,"Низшая четверть",IF(O1330&lt;$U$1,"Вторая четверть","Больше половины"))</f>
        <v/>
      </c>
      <c r="V1330">
        <f>IF(OR(N1330&lt;SUMIFS(L:L,R:R,1,E:E,E1330)/SUMIFS(K:K,R:R,1,E:E,E1330)*0.5,O1330&lt;SUMIFS(M:M,R:R,1,E:E,E1330)/SUMIFS(L:L,R:R,1,E:E,E1330)*0.5),"код для проверки","нормальный код")</f>
        <v/>
      </c>
      <c r="W1330">
        <f>IF(N1330&lt;SUMIFS(L:L,R:R,1,E:E,E1330)/SUMIFS(K:K,R:R,1,E:E,E1330)*0.5,"Низшая четверть",IF(N1330&lt;SUMIFS(L:L,R:R,1,E:E,E1330)/SUMIFS(K:K,R:R,1,E:E,E1330),"Вторая четверть","Больше половины"))</f>
        <v/>
      </c>
      <c r="X1330">
        <f>IF(O1330&lt;SUMIFS(M:M,R:R,1,E:E,E1330)/SUMIFS(L:L,R:R,1,E:E,E1330)*0.5,"Низшая четверть",IF(O1330&lt;SUMIFS(M:M,R:R,1,E:E,E1330)/SUMIFS(L:L,R:R,1,E:E,E1330),"Вторая четверть","Больше половины"))</f>
        <v/>
      </c>
      <c r="Y1330" t="n">
        <v>6</v>
      </c>
    </row>
    <row r="1331">
      <c r="A1331" s="1" t="inlineStr">
        <is>
          <t>20200170</t>
        </is>
      </c>
      <c r="B1331" s="2" t="inlineStr">
        <is>
          <t>211431633</t>
        </is>
      </c>
      <c r="C1331" s="3" t="inlineStr">
        <is>
          <t>Одежда для детей</t>
        </is>
      </c>
      <c r="D1331" s="2" t="inlineStr">
        <is>
          <t>Головные уборы детские для мальчиков</t>
        </is>
      </c>
      <c r="E1331" s="3" t="inlineStr">
        <is>
          <t>202 Бейсболка детская для мальчиков</t>
        </is>
      </c>
      <c r="F1331" s="2" t="inlineStr">
        <is>
          <t>весна, лето</t>
        </is>
      </c>
      <c r="G1331" s="3" t="inlineStr">
        <is>
          <t>kari</t>
        </is>
      </c>
      <c r="H1331" s="2" t="inlineStr">
        <is>
          <t>Никонорова Алина</t>
        </is>
      </c>
      <c r="J1331" s="3" t="inlineStr">
        <is>
          <t>2026SS</t>
        </is>
      </c>
      <c r="K1331" s="3" t="n">
        <v>14</v>
      </c>
      <c r="L1331" s="3" t="n">
        <v>37</v>
      </c>
      <c r="M1331" s="3" t="n">
        <v>0</v>
      </c>
      <c r="N1331" s="4">
        <f>IFERROR(L1331/K1331,0)</f>
        <v/>
      </c>
      <c r="O1331" s="4">
        <f>IFERROR(M1331/L1331,0)</f>
        <v/>
      </c>
      <c r="P1331" t="n">
        <v>0</v>
      </c>
      <c r="Q1331" s="5" t="n">
        <v>0</v>
      </c>
      <c r="R1331" s="7" t="n">
        <v>0</v>
      </c>
      <c r="S1331" t="inlineStr">
        <is>
          <t>Мало остатка</t>
        </is>
      </c>
      <c r="T1331">
        <f>IF(N1331&lt;$T$1*0.5,"Низшая четверть",IF(N1331&lt;$T$1,"Вторая четверть","Больше половины"))</f>
        <v/>
      </c>
      <c r="U1331">
        <f>IF(O1331&lt;$U$1*0.5,"Низшая четверть",IF(O1331&lt;$U$1,"Вторая четверть","Больше половины"))</f>
        <v/>
      </c>
      <c r="V1331">
        <f>IF(OR(N1331&lt;SUMIFS(L:L,R:R,1,E:E,E1331)/SUMIFS(K:K,R:R,1,E:E,E1331)*0.5,O1331&lt;SUMIFS(M:M,R:R,1,E:E,E1331)/SUMIFS(L:L,R:R,1,E:E,E1331)*0.5),"код для проверки","нормальный код")</f>
        <v/>
      </c>
      <c r="W1331">
        <f>IF(N1331&lt;SUMIFS(L:L,R:R,1,E:E,E1331)/SUMIFS(K:K,R:R,1,E:E,E1331)*0.5,"Низшая четверть",IF(N1331&lt;SUMIFS(L:L,R:R,1,E:E,E1331)/SUMIFS(K:K,R:R,1,E:E,E1331),"Вторая четверть","Больше половины"))</f>
        <v/>
      </c>
      <c r="X1331">
        <f>IF(O1331&lt;SUMIFS(M:M,R:R,1,E:E,E1331)/SUMIFS(L:L,R:R,1,E:E,E1331)*0.5,"Низшая четверть",IF(O1331&lt;SUMIFS(M:M,R:R,1,E:E,E1331)/SUMIFS(L:L,R:R,1,E:E,E1331),"Вторая четверть","Больше половины"))</f>
        <v/>
      </c>
      <c r="Y1331" t="n">
        <v>7</v>
      </c>
    </row>
    <row r="1332">
      <c r="A1332" s="1" t="inlineStr">
        <is>
          <t>16508080</t>
        </is>
      </c>
      <c r="B1332" s="2" t="inlineStr">
        <is>
          <t>316075957</t>
        </is>
      </c>
      <c r="C1332" s="3" t="inlineStr">
        <is>
          <t>Одежда и аксессуары</t>
        </is>
      </c>
      <c r="D1332" s="2" t="inlineStr">
        <is>
          <t>Брюки, шорты женские</t>
        </is>
      </c>
      <c r="E1332" s="3" t="inlineStr">
        <is>
          <t>h13 Шорты женские</t>
        </is>
      </c>
      <c r="F1332" s="2" t="inlineStr">
        <is>
          <t>весна, лето</t>
        </is>
      </c>
      <c r="G1332" s="3" t="inlineStr">
        <is>
          <t>kari</t>
        </is>
      </c>
      <c r="H1332" s="2" t="inlineStr">
        <is>
          <t>Зиннуров Ильнур</t>
        </is>
      </c>
      <c r="J1332" s="3" t="inlineStr">
        <is>
          <t>2026SS</t>
        </is>
      </c>
      <c r="K1332" s="3" t="n">
        <v>13</v>
      </c>
      <c r="L1332" s="3" t="n">
        <v>15</v>
      </c>
      <c r="M1332" s="3" t="n">
        <v>0</v>
      </c>
      <c r="N1332" s="4">
        <f>IFERROR(L1332/K1332,0)</f>
        <v/>
      </c>
      <c r="O1332" s="4">
        <f>IFERROR(M1332/L1332,0)</f>
        <v/>
      </c>
      <c r="P1332" t="n">
        <v>0</v>
      </c>
      <c r="Q1332" s="5" t="n">
        <v>0</v>
      </c>
      <c r="R1332" s="7" t="n">
        <v>0</v>
      </c>
      <c r="S1332" t="inlineStr">
        <is>
          <t>Мало остатка</t>
        </is>
      </c>
      <c r="T1332">
        <f>IF(N1332&lt;$T$1*0.5,"Низшая четверть",IF(N1332&lt;$T$1,"Вторая четверть","Больше половины"))</f>
        <v/>
      </c>
      <c r="U1332">
        <f>IF(O1332&lt;$U$1*0.5,"Низшая четверть",IF(O1332&lt;$U$1,"Вторая четверть","Больше половины"))</f>
        <v/>
      </c>
      <c r="V1332">
        <f>IF(OR(N1332&lt;SUMIFS(L:L,R:R,1,E:E,E1332)/SUMIFS(K:K,R:R,1,E:E,E1332)*0.5,O1332&lt;SUMIFS(M:M,R:R,1,E:E,E1332)/SUMIFS(L:L,R:R,1,E:E,E1332)*0.5),"код для проверки","нормальный код")</f>
        <v/>
      </c>
      <c r="W1332">
        <f>IF(N1332&lt;SUMIFS(L:L,R:R,1,E:E,E1332)/SUMIFS(K:K,R:R,1,E:E,E1332)*0.5,"Низшая четверть",IF(N1332&lt;SUMIFS(L:L,R:R,1,E:E,E1332)/SUMIFS(K:K,R:R,1,E:E,E1332),"Вторая четверть","Больше половины"))</f>
        <v/>
      </c>
      <c r="X1332">
        <f>IF(O1332&lt;SUMIFS(M:M,R:R,1,E:E,E1332)/SUMIFS(L:L,R:R,1,E:E,E1332)*0.5,"Низшая четверть",IF(O1332&lt;SUMIFS(M:M,R:R,1,E:E,E1332)/SUMIFS(L:L,R:R,1,E:E,E1332),"Вторая четверть","Больше половины"))</f>
        <v/>
      </c>
      <c r="Y1332" t="n">
        <v>7</v>
      </c>
    </row>
    <row r="1333">
      <c r="A1333" s="1" t="inlineStr">
        <is>
          <t>c1508060</t>
        </is>
      </c>
      <c r="B1333" s="2" t="inlineStr">
        <is>
          <t>332505083</t>
        </is>
      </c>
      <c r="C1333" s="3" t="inlineStr">
        <is>
          <t>Одежда и аксессуары</t>
        </is>
      </c>
      <c r="D1333" s="2" t="inlineStr">
        <is>
          <t>Головные уборы мужские</t>
        </is>
      </c>
      <c r="E1333" s="3" t="inlineStr">
        <is>
          <t>c15 Бейсболка</t>
        </is>
      </c>
      <c r="F1333" s="2" t="inlineStr">
        <is>
          <t>всесезонный</t>
        </is>
      </c>
      <c r="G1333" s="3" t="inlineStr">
        <is>
          <t>kari</t>
        </is>
      </c>
      <c r="H1333" s="2" t="inlineStr">
        <is>
          <t>Зиннуров Ильнур</t>
        </is>
      </c>
      <c r="J1333" s="3" t="inlineStr">
        <is>
          <t>2026SS</t>
        </is>
      </c>
      <c r="K1333" s="3" t="n">
        <v>12</v>
      </c>
      <c r="L1333" s="3" t="n">
        <v>22</v>
      </c>
      <c r="M1333" s="3" t="n">
        <v>0</v>
      </c>
      <c r="N1333" s="4">
        <f>IFERROR(L1333/K1333,0)</f>
        <v/>
      </c>
      <c r="O1333" s="4">
        <f>IFERROR(M1333/L1333,0)</f>
        <v/>
      </c>
      <c r="P1333" t="n">
        <v>0</v>
      </c>
      <c r="Q1333" s="5" t="n">
        <v>1</v>
      </c>
      <c r="R1333" s="7" t="n">
        <v>0</v>
      </c>
      <c r="S1333" t="inlineStr">
        <is>
          <t>Мало остатка</t>
        </is>
      </c>
      <c r="T1333">
        <f>IF(N1333&lt;$T$1*0.5,"Низшая четверть",IF(N1333&lt;$T$1,"Вторая четверть","Больше половины"))</f>
        <v/>
      </c>
      <c r="U1333">
        <f>IF(O1333&lt;$U$1*0.5,"Низшая четверть",IF(O1333&lt;$U$1,"Вторая четверть","Больше половины"))</f>
        <v/>
      </c>
      <c r="V1333">
        <f>IF(OR(N1333&lt;SUMIFS(L:L,R:R,1,E:E,E1333)/SUMIFS(K:K,R:R,1,E:E,E1333)*0.5,O1333&lt;SUMIFS(M:M,R:R,1,E:E,E1333)/SUMIFS(L:L,R:R,1,E:E,E1333)*0.5),"код для проверки","нормальный код")</f>
        <v/>
      </c>
      <c r="W1333">
        <f>IF(N1333&lt;SUMIFS(L:L,R:R,1,E:E,E1333)/SUMIFS(K:K,R:R,1,E:E,E1333)*0.5,"Низшая четверть",IF(N1333&lt;SUMIFS(L:L,R:R,1,E:E,E1333)/SUMIFS(K:K,R:R,1,E:E,E1333),"Вторая четверть","Больше половины"))</f>
        <v/>
      </c>
      <c r="X1333">
        <f>IF(O1333&lt;SUMIFS(M:M,R:R,1,E:E,E1333)/SUMIFS(L:L,R:R,1,E:E,E1333)*0.5,"Низшая четверть",IF(O1333&lt;SUMIFS(M:M,R:R,1,E:E,E1333)/SUMIFS(L:L,R:R,1,E:E,E1333),"Вторая четверть","Больше половины"))</f>
        <v/>
      </c>
      <c r="Y1333" t="n">
        <v>8</v>
      </c>
    </row>
    <row r="1334">
      <c r="A1334" s="1" t="inlineStr">
        <is>
          <t>12408070</t>
        </is>
      </c>
      <c r="B1334" s="2" t="inlineStr">
        <is>
          <t>378959448</t>
        </is>
      </c>
      <c r="C1334" s="3" t="inlineStr">
        <is>
          <t>Одежда и аксессуары</t>
        </is>
      </c>
      <c r="D1334" s="2" t="inlineStr">
        <is>
          <t>Чулочные и носочные изделия для женщин</t>
        </is>
      </c>
      <c r="E1334" s="3" t="inlineStr">
        <is>
          <t>124 Подследники женские</t>
        </is>
      </c>
      <c r="F1334" s="2" t="inlineStr">
        <is>
          <t>всесезонный</t>
        </is>
      </c>
      <c r="G1334" s="3" t="inlineStr">
        <is>
          <t>kari</t>
        </is>
      </c>
      <c r="H1334" s="2" t="inlineStr">
        <is>
          <t>Зиннуров Ильнур</t>
        </is>
      </c>
      <c r="J1334" s="3" t="inlineStr">
        <is>
          <t>2026SS</t>
        </is>
      </c>
      <c r="K1334" s="3" t="n">
        <v>11</v>
      </c>
      <c r="L1334" s="3" t="n">
        <v>0</v>
      </c>
      <c r="M1334" s="3" t="n">
        <v>0</v>
      </c>
      <c r="N1334" s="4">
        <f>IFERROR(L1334/K1334,0)</f>
        <v/>
      </c>
      <c r="O1334" s="4">
        <f>IFERROR(M1334/L1334,0)</f>
        <v/>
      </c>
      <c r="P1334" t="n">
        <v>0</v>
      </c>
      <c r="Q1334" s="5" t="n">
        <v>0</v>
      </c>
      <c r="R1334" s="7" t="n">
        <v>0</v>
      </c>
      <c r="S1334" t="inlineStr">
        <is>
          <t>Мало остатка</t>
        </is>
      </c>
      <c r="T1334">
        <f>IF(N1334&lt;$T$1*0.5,"Низшая четверть",IF(N1334&lt;$T$1,"Вторая четверть","Больше половины"))</f>
        <v/>
      </c>
      <c r="U1334">
        <f>IF(O1334&lt;$U$1*0.5,"Низшая четверть",IF(O1334&lt;$U$1,"Вторая четверть","Больше половины"))</f>
        <v/>
      </c>
      <c r="V1334">
        <f>IF(OR(N1334&lt;SUMIFS(L:L,R:R,1,E:E,E1334)/SUMIFS(K:K,R:R,1,E:E,E1334)*0.5,O1334&lt;SUMIFS(M:M,R:R,1,E:E,E1334)/SUMIFS(L:L,R:R,1,E:E,E1334)*0.5),"код для проверки","нормальный код")</f>
        <v/>
      </c>
      <c r="W1334">
        <f>IF(N1334&lt;SUMIFS(L:L,R:R,1,E:E,E1334)/SUMIFS(K:K,R:R,1,E:E,E1334)*0.5,"Низшая четверть",IF(N1334&lt;SUMIFS(L:L,R:R,1,E:E,E1334)/SUMIFS(K:K,R:R,1,E:E,E1334),"Вторая четверть","Больше половины"))</f>
        <v/>
      </c>
      <c r="X1334">
        <f>IF(O1334&lt;SUMIFS(M:M,R:R,1,E:E,E1334)/SUMIFS(L:L,R:R,1,E:E,E1334)*0.5,"Низшая четверть",IF(O1334&lt;SUMIFS(M:M,R:R,1,E:E,E1334)/SUMIFS(L:L,R:R,1,E:E,E1334),"Вторая четверть","Больше половины"))</f>
        <v/>
      </c>
      <c r="Y1334" t="n">
        <v>6</v>
      </c>
    </row>
    <row r="1335">
      <c r="A1335" s="1" t="inlineStr">
        <is>
          <t>20200190</t>
        </is>
      </c>
      <c r="B1335" s="2" t="inlineStr">
        <is>
          <t>211431607</t>
        </is>
      </c>
      <c r="C1335" s="3" t="inlineStr">
        <is>
          <t>Одежда для детей</t>
        </is>
      </c>
      <c r="D1335" s="2" t="inlineStr">
        <is>
          <t>Головные уборы детские для мальчиков</t>
        </is>
      </c>
      <c r="E1335" s="3" t="inlineStr">
        <is>
          <t>202 Бейсболка детская для мальчиков</t>
        </is>
      </c>
      <c r="F1335" s="2" t="inlineStr">
        <is>
          <t>весна, лето</t>
        </is>
      </c>
      <c r="G1335" s="3" t="inlineStr">
        <is>
          <t>kari</t>
        </is>
      </c>
      <c r="H1335" s="2" t="inlineStr">
        <is>
          <t>Никонорова Алина</t>
        </is>
      </c>
      <c r="J1335" s="3" t="inlineStr">
        <is>
          <t>2026SS</t>
        </is>
      </c>
      <c r="K1335" s="3" t="n">
        <v>10</v>
      </c>
      <c r="L1335" s="3" t="n">
        <v>5</v>
      </c>
      <c r="M1335" s="3" t="n">
        <v>0</v>
      </c>
      <c r="N1335" s="4">
        <f>IFERROR(L1335/K1335,0)</f>
        <v/>
      </c>
      <c r="O1335" s="4">
        <f>IFERROR(M1335/L1335,0)</f>
        <v/>
      </c>
      <c r="P1335" t="n">
        <v>0</v>
      </c>
      <c r="Q1335" s="5" t="n">
        <v>0</v>
      </c>
      <c r="R1335" s="7" t="n">
        <v>0</v>
      </c>
      <c r="S1335" t="inlineStr">
        <is>
          <t>Мало остатка</t>
        </is>
      </c>
      <c r="T1335">
        <f>IF(N1335&lt;$T$1*0.5,"Низшая четверть",IF(N1335&lt;$T$1,"Вторая четверть","Больше половины"))</f>
        <v/>
      </c>
      <c r="U1335">
        <f>IF(O1335&lt;$U$1*0.5,"Низшая четверть",IF(O1335&lt;$U$1,"Вторая четверть","Больше половины"))</f>
        <v/>
      </c>
      <c r="V1335">
        <f>IF(OR(N1335&lt;SUMIFS(L:L,R:R,1,E:E,E1335)/SUMIFS(K:K,R:R,1,E:E,E1335)*0.5,O1335&lt;SUMIFS(M:M,R:R,1,E:E,E1335)/SUMIFS(L:L,R:R,1,E:E,E1335)*0.5),"код для проверки","нормальный код")</f>
        <v/>
      </c>
      <c r="W1335">
        <f>IF(N1335&lt;SUMIFS(L:L,R:R,1,E:E,E1335)/SUMIFS(K:K,R:R,1,E:E,E1335)*0.5,"Низшая четверть",IF(N1335&lt;SUMIFS(L:L,R:R,1,E:E,E1335)/SUMIFS(K:K,R:R,1,E:E,E1335),"Вторая четверть","Больше половины"))</f>
        <v/>
      </c>
      <c r="X1335">
        <f>IF(O1335&lt;SUMIFS(M:M,R:R,1,E:E,E1335)/SUMIFS(L:L,R:R,1,E:E,E1335)*0.5,"Низшая четверть",IF(O1335&lt;SUMIFS(M:M,R:R,1,E:E,E1335)/SUMIFS(L:L,R:R,1,E:E,E1335),"Вторая четверть","Больше половины"))</f>
        <v/>
      </c>
      <c r="Y1335" t="n">
        <v>6</v>
      </c>
    </row>
    <row r="1336">
      <c r="A1336" s="1" t="inlineStr">
        <is>
          <t>17406920</t>
        </is>
      </c>
      <c r="B1336" s="2" t="inlineStr">
        <is>
          <t>372164334</t>
        </is>
      </c>
      <c r="C1336" s="3" t="inlineStr">
        <is>
          <t>Одежда для детей</t>
        </is>
      </c>
      <c r="D1336" s="2" t="inlineStr">
        <is>
          <t>Чулочные и носочные детские изделия для мальчиков</t>
        </is>
      </c>
      <c r="E1336" s="3" t="inlineStr">
        <is>
          <t>174 Носки детские для мальчиков</t>
        </is>
      </c>
      <c r="F1336" s="2" t="inlineStr">
        <is>
          <t>всесезонный</t>
        </is>
      </c>
      <c r="G1336" s="3" t="inlineStr">
        <is>
          <t>kari</t>
        </is>
      </c>
      <c r="H1336" s="2" t="inlineStr">
        <is>
          <t>Зиннуров Ильнур</t>
        </is>
      </c>
      <c r="J1336" s="3" t="inlineStr">
        <is>
          <t>2026SS</t>
        </is>
      </c>
      <c r="K1336" s="3" t="n">
        <v>8</v>
      </c>
      <c r="L1336" s="3" t="n">
        <v>5</v>
      </c>
      <c r="M1336" s="3" t="n">
        <v>0</v>
      </c>
      <c r="N1336" s="4">
        <f>IFERROR(L1336/K1336,0)</f>
        <v/>
      </c>
      <c r="O1336" s="4">
        <f>IFERROR(M1336/L1336,0)</f>
        <v/>
      </c>
      <c r="P1336" t="n">
        <v>0</v>
      </c>
      <c r="Q1336" s="5" t="n">
        <v>0</v>
      </c>
      <c r="R1336" s="7" t="n">
        <v>0</v>
      </c>
      <c r="S1336" t="inlineStr">
        <is>
          <t>Мало остатка</t>
        </is>
      </c>
      <c r="T1336">
        <f>IF(N1336&lt;$T$1*0.5,"Низшая четверть",IF(N1336&lt;$T$1,"Вторая четверть","Больше половины"))</f>
        <v/>
      </c>
      <c r="U1336">
        <f>IF(O1336&lt;$U$1*0.5,"Низшая четверть",IF(O1336&lt;$U$1,"Вторая четверть","Больше половины"))</f>
        <v/>
      </c>
      <c r="V1336">
        <f>IF(OR(N1336&lt;SUMIFS(L:L,R:R,1,E:E,E1336)/SUMIFS(K:K,R:R,1,E:E,E1336)*0.5,O1336&lt;SUMIFS(M:M,R:R,1,E:E,E1336)/SUMIFS(L:L,R:R,1,E:E,E1336)*0.5),"код для проверки","нормальный код")</f>
        <v/>
      </c>
      <c r="W1336">
        <f>IF(N1336&lt;SUMIFS(L:L,R:R,1,E:E,E1336)/SUMIFS(K:K,R:R,1,E:E,E1336)*0.5,"Низшая четверть",IF(N1336&lt;SUMIFS(L:L,R:R,1,E:E,E1336)/SUMIFS(K:K,R:R,1,E:E,E1336),"Вторая четверть","Больше половины"))</f>
        <v/>
      </c>
      <c r="X1336">
        <f>IF(O1336&lt;SUMIFS(M:M,R:R,1,E:E,E1336)/SUMIFS(L:L,R:R,1,E:E,E1336)*0.5,"Низшая четверть",IF(O1336&lt;SUMIFS(M:M,R:R,1,E:E,E1336)/SUMIFS(L:L,R:R,1,E:E,E1336),"Вторая четверть","Больше половины"))</f>
        <v/>
      </c>
      <c r="Y1336" t="n">
        <v>4</v>
      </c>
    </row>
    <row r="1337">
      <c r="A1337" s="1" t="inlineStr">
        <is>
          <t>31908060</t>
        </is>
      </c>
      <c r="B1337" s="2" t="inlineStr">
        <is>
          <t>378959510</t>
        </is>
      </c>
      <c r="C1337" s="3" t="inlineStr">
        <is>
          <t>Одежда для детей</t>
        </is>
      </c>
      <c r="D1337" s="2" t="inlineStr">
        <is>
          <t>Чулочные и носочные детские изделия для девочек</t>
        </is>
      </c>
      <c r="E1337" s="3" t="inlineStr">
        <is>
          <t>319 Гольфы детские для девочек</t>
        </is>
      </c>
      <c r="F1337" s="2" t="inlineStr">
        <is>
          <t>всесезонный</t>
        </is>
      </c>
      <c r="G1337" s="3" t="inlineStr">
        <is>
          <t>kari</t>
        </is>
      </c>
      <c r="H1337" s="2" t="inlineStr">
        <is>
          <t>Зиннуров Ильнур</t>
        </is>
      </c>
      <c r="J1337" s="3" t="inlineStr">
        <is>
          <t>2026SS</t>
        </is>
      </c>
      <c r="K1337" s="3" t="n">
        <v>7</v>
      </c>
      <c r="L1337" s="3" t="n">
        <v>5</v>
      </c>
      <c r="M1337" s="3" t="n">
        <v>0</v>
      </c>
      <c r="N1337" s="4">
        <f>IFERROR(L1337/K1337,0)</f>
        <v/>
      </c>
      <c r="O1337" s="4">
        <f>IFERROR(M1337/L1337,0)</f>
        <v/>
      </c>
      <c r="P1337" t="n">
        <v>0</v>
      </c>
      <c r="Q1337" s="5" t="n">
        <v>0</v>
      </c>
      <c r="R1337" s="7" t="n">
        <v>0</v>
      </c>
      <c r="S1337" t="inlineStr">
        <is>
          <t>Мало остатка</t>
        </is>
      </c>
      <c r="T1337">
        <f>IF(N1337&lt;$T$1*0.5,"Низшая четверть",IF(N1337&lt;$T$1,"Вторая четверть","Больше половины"))</f>
        <v/>
      </c>
      <c r="U1337">
        <f>IF(O1337&lt;$U$1*0.5,"Низшая четверть",IF(O1337&lt;$U$1,"Вторая четверть","Больше половины"))</f>
        <v/>
      </c>
      <c r="V1337">
        <f>IF(OR(N1337&lt;SUMIFS(L:L,R:R,1,E:E,E1337)/SUMIFS(K:K,R:R,1,E:E,E1337)*0.5,O1337&lt;SUMIFS(M:M,R:R,1,E:E,E1337)/SUMIFS(L:L,R:R,1,E:E,E1337)*0.5),"код для проверки","нормальный код")</f>
        <v/>
      </c>
      <c r="W1337">
        <f>IF(N1337&lt;SUMIFS(L:L,R:R,1,E:E,E1337)/SUMIFS(K:K,R:R,1,E:E,E1337)*0.5,"Низшая четверть",IF(N1337&lt;SUMIFS(L:L,R:R,1,E:E,E1337)/SUMIFS(K:K,R:R,1,E:E,E1337),"Вторая четверть","Больше половины"))</f>
        <v/>
      </c>
      <c r="X1337">
        <f>IF(O1337&lt;SUMIFS(M:M,R:R,1,E:E,E1337)/SUMIFS(L:L,R:R,1,E:E,E1337)*0.5,"Низшая четверть",IF(O1337&lt;SUMIFS(M:M,R:R,1,E:E,E1337)/SUMIFS(L:L,R:R,1,E:E,E1337),"Вторая четверть","Больше половины"))</f>
        <v/>
      </c>
      <c r="Y1337" t="n">
        <v>7</v>
      </c>
    </row>
    <row r="1338">
      <c r="A1338" s="1" t="inlineStr">
        <is>
          <t>a6000130</t>
        </is>
      </c>
      <c r="B1338" s="2" t="inlineStr">
        <is>
          <t>806662785</t>
        </is>
      </c>
      <c r="C1338" s="3" t="inlineStr">
        <is>
          <t>Одежда для детей</t>
        </is>
      </c>
      <c r="D1338" s="2" t="inlineStr">
        <is>
          <t>Платья, майки, футболки детские для девочек</t>
        </is>
      </c>
      <c r="E1338" s="3" t="inlineStr">
        <is>
          <t>a60 Футболка детская для девочек</t>
        </is>
      </c>
      <c r="F1338" s="2" t="inlineStr">
        <is>
          <t>всесезонный</t>
        </is>
      </c>
      <c r="G1338" s="3" t="inlineStr">
        <is>
          <t>kari</t>
        </is>
      </c>
      <c r="H1338" s="2" t="inlineStr">
        <is>
          <t>Зиннуров Ильнур</t>
        </is>
      </c>
      <c r="J1338" s="3" t="inlineStr">
        <is>
          <t>2026SS</t>
        </is>
      </c>
      <c r="K1338" s="3" t="n">
        <v>6</v>
      </c>
      <c r="L1338" s="3" t="n">
        <v>44</v>
      </c>
      <c r="M1338" s="3" t="n">
        <v>0</v>
      </c>
      <c r="N1338" s="4">
        <f>IFERROR(L1338/K1338,0)</f>
        <v/>
      </c>
      <c r="O1338" s="4">
        <f>IFERROR(M1338/L1338,0)</f>
        <v/>
      </c>
      <c r="P1338" t="n">
        <v>0</v>
      </c>
      <c r="Q1338" s="5" t="n">
        <v>0</v>
      </c>
      <c r="R1338" s="7" t="n">
        <v>0</v>
      </c>
      <c r="S1338" t="inlineStr">
        <is>
          <t>Мало остатка</t>
        </is>
      </c>
      <c r="T1338">
        <f>IF(N1338&lt;$T$1*0.5,"Низшая четверть",IF(N1338&lt;$T$1,"Вторая четверть","Больше половины"))</f>
        <v/>
      </c>
      <c r="U1338">
        <f>IF(O1338&lt;$U$1*0.5,"Низшая четверть",IF(O1338&lt;$U$1,"Вторая четверть","Больше половины"))</f>
        <v/>
      </c>
      <c r="V1338">
        <f>IF(OR(N1338&lt;SUMIFS(L:L,R:R,1,E:E,E1338)/SUMIFS(K:K,R:R,1,E:E,E1338)*0.5,O1338&lt;SUMIFS(M:M,R:R,1,E:E,E1338)/SUMIFS(L:L,R:R,1,E:E,E1338)*0.5),"код для проверки","нормальный код")</f>
        <v/>
      </c>
      <c r="W1338">
        <f>IF(N1338&lt;SUMIFS(L:L,R:R,1,E:E,E1338)/SUMIFS(K:K,R:R,1,E:E,E1338)*0.5,"Низшая четверть",IF(N1338&lt;SUMIFS(L:L,R:R,1,E:E,E1338)/SUMIFS(K:K,R:R,1,E:E,E1338),"Вторая четверть","Больше половины"))</f>
        <v/>
      </c>
      <c r="X1338">
        <f>IF(O1338&lt;SUMIFS(M:M,R:R,1,E:E,E1338)/SUMIFS(L:L,R:R,1,E:E,E1338)*0.5,"Низшая четверть",IF(O1338&lt;SUMIFS(M:M,R:R,1,E:E,E1338)/SUMIFS(L:L,R:R,1,E:E,E1338),"Вторая четверть","Больше половины"))</f>
        <v/>
      </c>
      <c r="Y1338" t="n">
        <v>10</v>
      </c>
    </row>
    <row r="1339">
      <c r="A1339" s="1" t="inlineStr">
        <is>
          <t>05704170</t>
        </is>
      </c>
      <c r="B1339" s="2" t="inlineStr">
        <is>
          <t>395973036</t>
        </is>
      </c>
      <c r="C1339" s="3" t="inlineStr">
        <is>
          <t>Одежда и аксессуары</t>
        </is>
      </c>
      <c r="D1339" s="2" t="inlineStr">
        <is>
          <t>Чулочные и носочные изделия для мужчин</t>
        </is>
      </c>
      <c r="E1339" s="3" t="inlineStr">
        <is>
          <t>057 Носки мужские</t>
        </is>
      </c>
      <c r="F1339" s="2" t="inlineStr">
        <is>
          <t>всесезонный</t>
        </is>
      </c>
      <c r="G1339" s="3" t="inlineStr">
        <is>
          <t>kari</t>
        </is>
      </c>
      <c r="H1339" s="2" t="inlineStr">
        <is>
          <t>Зиннуров Ильнур</t>
        </is>
      </c>
      <c r="J1339" s="3" t="inlineStr">
        <is>
          <t>2026SS</t>
        </is>
      </c>
      <c r="K1339" s="3" t="n">
        <v>6</v>
      </c>
      <c r="L1339" s="3" t="n">
        <v>0</v>
      </c>
      <c r="M1339" s="3" t="n">
        <v>0</v>
      </c>
      <c r="N1339" s="4">
        <f>IFERROR(L1339/K1339,0)</f>
        <v/>
      </c>
      <c r="O1339" s="4">
        <f>IFERROR(M1339/L1339,0)</f>
        <v/>
      </c>
      <c r="P1339" t="n">
        <v>0</v>
      </c>
      <c r="Q1339" s="5" t="n">
        <v>0</v>
      </c>
      <c r="R1339" s="7" t="n">
        <v>0</v>
      </c>
      <c r="S1339" t="inlineStr">
        <is>
          <t>Мало остатка</t>
        </is>
      </c>
      <c r="T1339">
        <f>IF(N1339&lt;$T$1*0.5,"Низшая четверть",IF(N1339&lt;$T$1,"Вторая четверть","Больше половины"))</f>
        <v/>
      </c>
      <c r="U1339">
        <f>IF(O1339&lt;$U$1*0.5,"Низшая четверть",IF(O1339&lt;$U$1,"Вторая четверть","Больше половины"))</f>
        <v/>
      </c>
      <c r="V1339">
        <f>IF(OR(N1339&lt;SUMIFS(L:L,R:R,1,E:E,E1339)/SUMIFS(K:K,R:R,1,E:E,E1339)*0.5,O1339&lt;SUMIFS(M:M,R:R,1,E:E,E1339)/SUMIFS(L:L,R:R,1,E:E,E1339)*0.5),"код для проверки","нормальный код")</f>
        <v/>
      </c>
      <c r="W1339">
        <f>IF(N1339&lt;SUMIFS(L:L,R:R,1,E:E,E1339)/SUMIFS(K:K,R:R,1,E:E,E1339)*0.5,"Низшая четверть",IF(N1339&lt;SUMIFS(L:L,R:R,1,E:E,E1339)/SUMIFS(K:K,R:R,1,E:E,E1339),"Вторая четверть","Больше половины"))</f>
        <v/>
      </c>
      <c r="X1339">
        <f>IF(O1339&lt;SUMIFS(M:M,R:R,1,E:E,E1339)/SUMIFS(L:L,R:R,1,E:E,E1339)*0.5,"Низшая четверть",IF(O1339&lt;SUMIFS(M:M,R:R,1,E:E,E1339)/SUMIFS(L:L,R:R,1,E:E,E1339),"Вторая четверть","Больше половины"))</f>
        <v/>
      </c>
      <c r="Y1339" t="n">
        <v>4</v>
      </c>
    </row>
    <row r="1340">
      <c r="A1340" s="1" t="inlineStr">
        <is>
          <t>17402190</t>
        </is>
      </c>
      <c r="B1340" s="2" t="inlineStr">
        <is>
          <t>399231334</t>
        </is>
      </c>
      <c r="C1340" s="3" t="inlineStr">
        <is>
          <t>Одежда для детей</t>
        </is>
      </c>
      <c r="D1340" s="2" t="inlineStr">
        <is>
          <t>Чулочные и носочные детские изделия для мальчиков</t>
        </is>
      </c>
      <c r="E1340" s="3" t="inlineStr">
        <is>
          <t>174 Носки детские для мальчиков</t>
        </is>
      </c>
      <c r="F1340" s="2" t="inlineStr">
        <is>
          <t>всесезонный</t>
        </is>
      </c>
      <c r="G1340" s="3" t="inlineStr">
        <is>
          <t>kari</t>
        </is>
      </c>
      <c r="H1340" s="2" t="inlineStr">
        <is>
          <t>Зиннуров Ильнур</t>
        </is>
      </c>
      <c r="J1340" s="3" t="inlineStr">
        <is>
          <t>2026SS</t>
        </is>
      </c>
      <c r="K1340" s="3" t="n">
        <v>6</v>
      </c>
      <c r="L1340" s="3" t="n">
        <v>2</v>
      </c>
      <c r="M1340" s="3" t="n">
        <v>0</v>
      </c>
      <c r="N1340" s="4">
        <f>IFERROR(L1340/K1340,0)</f>
        <v/>
      </c>
      <c r="O1340" s="4">
        <f>IFERROR(M1340/L1340,0)</f>
        <v/>
      </c>
      <c r="P1340" t="n">
        <v>0</v>
      </c>
      <c r="Q1340" s="5" t="n">
        <v>0</v>
      </c>
      <c r="R1340" s="7" t="n">
        <v>0</v>
      </c>
      <c r="S1340" t="inlineStr">
        <is>
          <t>Мало остатка</t>
        </is>
      </c>
      <c r="T1340">
        <f>IF(N1340&lt;$T$1*0.5,"Низшая четверть",IF(N1340&lt;$T$1,"Вторая четверть","Больше половины"))</f>
        <v/>
      </c>
      <c r="U1340">
        <f>IF(O1340&lt;$U$1*0.5,"Низшая четверть",IF(O1340&lt;$U$1,"Вторая четверть","Больше половины"))</f>
        <v/>
      </c>
      <c r="V1340">
        <f>IF(OR(N1340&lt;SUMIFS(L:L,R:R,1,E:E,E1340)/SUMIFS(K:K,R:R,1,E:E,E1340)*0.5,O1340&lt;SUMIFS(M:M,R:R,1,E:E,E1340)/SUMIFS(L:L,R:R,1,E:E,E1340)*0.5),"код для проверки","нормальный код")</f>
        <v/>
      </c>
      <c r="W1340">
        <f>IF(N1340&lt;SUMIFS(L:L,R:R,1,E:E,E1340)/SUMIFS(K:K,R:R,1,E:E,E1340)*0.5,"Низшая четверть",IF(N1340&lt;SUMIFS(L:L,R:R,1,E:E,E1340)/SUMIFS(K:K,R:R,1,E:E,E1340),"Вторая четверть","Больше половины"))</f>
        <v/>
      </c>
      <c r="X1340">
        <f>IF(O1340&lt;SUMIFS(M:M,R:R,1,E:E,E1340)/SUMIFS(L:L,R:R,1,E:E,E1340)*0.5,"Низшая четверть",IF(O1340&lt;SUMIFS(M:M,R:R,1,E:E,E1340)/SUMIFS(L:L,R:R,1,E:E,E1340),"Вторая четверть","Больше половины"))</f>
        <v/>
      </c>
      <c r="Y1340" t="n">
        <v>4</v>
      </c>
    </row>
    <row r="1341">
      <c r="A1341" s="1" t="inlineStr">
        <is>
          <t>31906100</t>
        </is>
      </c>
      <c r="B1341" s="2" t="inlineStr">
        <is>
          <t>395973138</t>
        </is>
      </c>
      <c r="C1341" s="3" t="inlineStr">
        <is>
          <t>Одежда для детей</t>
        </is>
      </c>
      <c r="D1341" s="2" t="inlineStr">
        <is>
          <t>Чулочные и носочные детские изделия для девочек</t>
        </is>
      </c>
      <c r="E1341" s="3" t="inlineStr">
        <is>
          <t>319 Гольфы детские для девочек</t>
        </is>
      </c>
      <c r="F1341" s="2" t="inlineStr">
        <is>
          <t>всесезонный</t>
        </is>
      </c>
      <c r="G1341" s="3" t="inlineStr">
        <is>
          <t>kari</t>
        </is>
      </c>
      <c r="H1341" s="2" t="inlineStr">
        <is>
          <t>Зиннуров Ильнур</t>
        </is>
      </c>
      <c r="J1341" s="3" t="inlineStr">
        <is>
          <t>2026SS</t>
        </is>
      </c>
      <c r="K1341" s="3" t="n">
        <v>5</v>
      </c>
      <c r="L1341" s="3" t="n">
        <v>0</v>
      </c>
      <c r="M1341" s="3" t="n">
        <v>0</v>
      </c>
      <c r="N1341" s="4">
        <f>IFERROR(L1341/K1341,0)</f>
        <v/>
      </c>
      <c r="O1341" s="4">
        <f>IFERROR(M1341/L1341,0)</f>
        <v/>
      </c>
      <c r="P1341" t="n">
        <v>0</v>
      </c>
      <c r="Q1341" s="5" t="n">
        <v>0</v>
      </c>
      <c r="R1341" s="7" t="n">
        <v>0</v>
      </c>
      <c r="S1341" t="inlineStr">
        <is>
          <t>Мало остатка</t>
        </is>
      </c>
      <c r="T1341">
        <f>IF(N1341&lt;$T$1*0.5,"Низшая четверть",IF(N1341&lt;$T$1,"Вторая четверть","Больше половины"))</f>
        <v/>
      </c>
      <c r="U1341">
        <f>IF(O1341&lt;$U$1*0.5,"Низшая четверть",IF(O1341&lt;$U$1,"Вторая четверть","Больше половины"))</f>
        <v/>
      </c>
      <c r="V1341">
        <f>IF(OR(N1341&lt;SUMIFS(L:L,R:R,1,E:E,E1341)/SUMIFS(K:K,R:R,1,E:E,E1341)*0.5,O1341&lt;SUMIFS(M:M,R:R,1,E:E,E1341)/SUMIFS(L:L,R:R,1,E:E,E1341)*0.5),"код для проверки","нормальный код")</f>
        <v/>
      </c>
      <c r="W1341">
        <f>IF(N1341&lt;SUMIFS(L:L,R:R,1,E:E,E1341)/SUMIFS(K:K,R:R,1,E:E,E1341)*0.5,"Низшая четверть",IF(N1341&lt;SUMIFS(L:L,R:R,1,E:E,E1341)/SUMIFS(K:K,R:R,1,E:E,E1341),"Вторая четверть","Больше половины"))</f>
        <v/>
      </c>
      <c r="X1341">
        <f>IF(O1341&lt;SUMIFS(M:M,R:R,1,E:E,E1341)/SUMIFS(L:L,R:R,1,E:E,E1341)*0.5,"Низшая четверть",IF(O1341&lt;SUMIFS(M:M,R:R,1,E:E,E1341)/SUMIFS(L:L,R:R,1,E:E,E1341),"Вторая четверть","Больше половины"))</f>
        <v/>
      </c>
      <c r="Y1341" t="n">
        <v>4</v>
      </c>
    </row>
    <row r="1342">
      <c r="A1342" s="1" t="inlineStr">
        <is>
          <t>31906120</t>
        </is>
      </c>
      <c r="B1342" s="2" t="inlineStr">
        <is>
          <t>395973139</t>
        </is>
      </c>
      <c r="C1342" s="3" t="inlineStr">
        <is>
          <t>Одежда для детей</t>
        </is>
      </c>
      <c r="D1342" s="2" t="inlineStr">
        <is>
          <t>Чулочные и носочные детские изделия для девочек</t>
        </is>
      </c>
      <c r="E1342" s="3" t="inlineStr">
        <is>
          <t>319 Гольфы детские для девочек</t>
        </is>
      </c>
      <c r="F1342" s="2" t="inlineStr">
        <is>
          <t>всесезонный</t>
        </is>
      </c>
      <c r="G1342" s="3" t="inlineStr">
        <is>
          <t>kari</t>
        </is>
      </c>
      <c r="H1342" s="2" t="inlineStr">
        <is>
          <t>Зиннуров Ильнур</t>
        </is>
      </c>
      <c r="J1342" s="3" t="inlineStr">
        <is>
          <t>2026SS</t>
        </is>
      </c>
      <c r="K1342" s="3" t="n">
        <v>5</v>
      </c>
      <c r="L1342" s="3" t="n">
        <v>0</v>
      </c>
      <c r="M1342" s="3" t="n">
        <v>0</v>
      </c>
      <c r="N1342" s="4">
        <f>IFERROR(L1342/K1342,0)</f>
        <v/>
      </c>
      <c r="O1342" s="4">
        <f>IFERROR(M1342/L1342,0)</f>
        <v/>
      </c>
      <c r="P1342" t="n">
        <v>0</v>
      </c>
      <c r="Q1342" s="5" t="n">
        <v>0</v>
      </c>
      <c r="R1342" s="7" t="n">
        <v>0</v>
      </c>
      <c r="S1342" t="inlineStr">
        <is>
          <t>Мало остатка</t>
        </is>
      </c>
      <c r="T1342">
        <f>IF(N1342&lt;$T$1*0.5,"Низшая четверть",IF(N1342&lt;$T$1,"Вторая четверть","Больше половины"))</f>
        <v/>
      </c>
      <c r="U1342">
        <f>IF(O1342&lt;$U$1*0.5,"Низшая четверть",IF(O1342&lt;$U$1,"Вторая четверть","Больше половины"))</f>
        <v/>
      </c>
      <c r="V1342">
        <f>IF(OR(N1342&lt;SUMIFS(L:L,R:R,1,E:E,E1342)/SUMIFS(K:K,R:R,1,E:E,E1342)*0.5,O1342&lt;SUMIFS(M:M,R:R,1,E:E,E1342)/SUMIFS(L:L,R:R,1,E:E,E1342)*0.5),"код для проверки","нормальный код")</f>
        <v/>
      </c>
      <c r="W1342">
        <f>IF(N1342&lt;SUMIFS(L:L,R:R,1,E:E,E1342)/SUMIFS(K:K,R:R,1,E:E,E1342)*0.5,"Низшая четверть",IF(N1342&lt;SUMIFS(L:L,R:R,1,E:E,E1342)/SUMIFS(K:K,R:R,1,E:E,E1342),"Вторая четверть","Больше половины"))</f>
        <v/>
      </c>
      <c r="X1342">
        <f>IF(O1342&lt;SUMIFS(M:M,R:R,1,E:E,E1342)/SUMIFS(L:L,R:R,1,E:E,E1342)*0.5,"Низшая четверть",IF(O1342&lt;SUMIFS(M:M,R:R,1,E:E,E1342)/SUMIFS(L:L,R:R,1,E:E,E1342),"Вторая четверть","Больше половины"))</f>
        <v/>
      </c>
      <c r="Y1342" t="n">
        <v>4</v>
      </c>
    </row>
    <row r="1343">
      <c r="A1343" s="1" t="inlineStr">
        <is>
          <t>12406310</t>
        </is>
      </c>
      <c r="B1343" s="2" t="inlineStr">
        <is>
          <t>372164801</t>
        </is>
      </c>
      <c r="C1343" s="3" t="inlineStr">
        <is>
          <t>Одежда и аксессуары</t>
        </is>
      </c>
      <c r="D1343" s="2" t="inlineStr">
        <is>
          <t>Чулочные и носочные изделия для женщин</t>
        </is>
      </c>
      <c r="E1343" s="3" t="inlineStr">
        <is>
          <t>124 Подследники женские</t>
        </is>
      </c>
      <c r="F1343" s="2" t="inlineStr">
        <is>
          <t>всесезонный</t>
        </is>
      </c>
      <c r="G1343" s="3" t="inlineStr">
        <is>
          <t>kari</t>
        </is>
      </c>
      <c r="H1343" s="2" t="inlineStr">
        <is>
          <t>Зиннуров Ильнур</t>
        </is>
      </c>
      <c r="J1343" s="3" t="inlineStr">
        <is>
          <t>2026SS</t>
        </is>
      </c>
      <c r="K1343" s="3" t="n">
        <v>5</v>
      </c>
      <c r="L1343" s="3" t="n">
        <v>1</v>
      </c>
      <c r="M1343" s="3" t="n">
        <v>0</v>
      </c>
      <c r="N1343" s="4">
        <f>IFERROR(L1343/K1343,0)</f>
        <v/>
      </c>
      <c r="O1343" s="4">
        <f>IFERROR(M1343/L1343,0)</f>
        <v/>
      </c>
      <c r="P1343" t="n">
        <v>0</v>
      </c>
      <c r="Q1343" s="5" t="n">
        <v>0</v>
      </c>
      <c r="R1343" s="7" t="n">
        <v>0</v>
      </c>
      <c r="S1343" t="inlineStr">
        <is>
          <t>Мало остатка</t>
        </is>
      </c>
      <c r="T1343">
        <f>IF(N1343&lt;$T$1*0.5,"Низшая четверть",IF(N1343&lt;$T$1,"Вторая четверть","Больше половины"))</f>
        <v/>
      </c>
      <c r="U1343">
        <f>IF(O1343&lt;$U$1*0.5,"Низшая четверть",IF(O1343&lt;$U$1,"Вторая четверть","Больше половины"))</f>
        <v/>
      </c>
      <c r="V1343">
        <f>IF(OR(N1343&lt;SUMIFS(L:L,R:R,1,E:E,E1343)/SUMIFS(K:K,R:R,1,E:E,E1343)*0.5,O1343&lt;SUMIFS(M:M,R:R,1,E:E,E1343)/SUMIFS(L:L,R:R,1,E:E,E1343)*0.5),"код для проверки","нормальный код")</f>
        <v/>
      </c>
      <c r="W1343">
        <f>IF(N1343&lt;SUMIFS(L:L,R:R,1,E:E,E1343)/SUMIFS(K:K,R:R,1,E:E,E1343)*0.5,"Низшая четверть",IF(N1343&lt;SUMIFS(L:L,R:R,1,E:E,E1343)/SUMIFS(K:K,R:R,1,E:E,E1343),"Вторая четверть","Больше половины"))</f>
        <v/>
      </c>
      <c r="X1343">
        <f>IF(O1343&lt;SUMIFS(M:M,R:R,1,E:E,E1343)/SUMIFS(L:L,R:R,1,E:E,E1343)*0.5,"Низшая четверть",IF(O1343&lt;SUMIFS(M:M,R:R,1,E:E,E1343)/SUMIFS(L:L,R:R,1,E:E,E1343),"Вторая четверть","Больше половины"))</f>
        <v/>
      </c>
      <c r="Y1343" t="n">
        <v>4</v>
      </c>
    </row>
    <row r="1344">
      <c r="A1344" s="1" t="inlineStr">
        <is>
          <t>09508090</t>
        </is>
      </c>
      <c r="B1344" s="2" t="inlineStr">
        <is>
          <t>396206792</t>
        </is>
      </c>
      <c r="C1344" s="3" t="inlineStr">
        <is>
          <t>Одежда и аксессуары</t>
        </is>
      </c>
      <c r="D1344" s="2" t="inlineStr">
        <is>
          <t>Плавки мужские</t>
        </is>
      </c>
      <c r="E1344" s="3" t="inlineStr">
        <is>
          <t>095 Плавки</t>
        </is>
      </c>
      <c r="F1344" s="2" t="inlineStr">
        <is>
          <t>лето</t>
        </is>
      </c>
      <c r="G1344" s="3" t="inlineStr">
        <is>
          <t>kari</t>
        </is>
      </c>
      <c r="H1344" s="2" t="inlineStr">
        <is>
          <t>Никонорова Алина</t>
        </is>
      </c>
      <c r="J1344" s="3" t="inlineStr">
        <is>
          <t>2026SS</t>
        </is>
      </c>
      <c r="K1344" s="3" t="n">
        <v>5</v>
      </c>
      <c r="L1344" s="3" t="n">
        <v>1</v>
      </c>
      <c r="M1344" s="3" t="n">
        <v>0</v>
      </c>
      <c r="N1344" s="4">
        <f>IFERROR(L1344/K1344,0)</f>
        <v/>
      </c>
      <c r="O1344" s="4">
        <f>IFERROR(M1344/L1344,0)</f>
        <v/>
      </c>
      <c r="P1344" t="n">
        <v>0</v>
      </c>
      <c r="Q1344" s="5" t="n">
        <v>0</v>
      </c>
      <c r="R1344" s="7" t="n">
        <v>0</v>
      </c>
      <c r="S1344" t="inlineStr">
        <is>
          <t>Мало остатка</t>
        </is>
      </c>
      <c r="T1344">
        <f>IF(N1344&lt;$T$1*0.5,"Низшая четверть",IF(N1344&lt;$T$1,"Вторая четверть","Больше половины"))</f>
        <v/>
      </c>
      <c r="U1344">
        <f>IF(O1344&lt;$U$1*0.5,"Низшая четверть",IF(O1344&lt;$U$1,"Вторая четверть","Больше половины"))</f>
        <v/>
      </c>
      <c r="V1344">
        <f>IF(OR(N1344&lt;SUMIFS(L:L,R:R,1,E:E,E1344)/SUMIFS(K:K,R:R,1,E:E,E1344)*0.5,O1344&lt;SUMIFS(M:M,R:R,1,E:E,E1344)/SUMIFS(L:L,R:R,1,E:E,E1344)*0.5),"код для проверки","нормальный код")</f>
        <v/>
      </c>
      <c r="W1344">
        <f>IF(N1344&lt;SUMIFS(L:L,R:R,1,E:E,E1344)/SUMIFS(K:K,R:R,1,E:E,E1344)*0.5,"Низшая четверть",IF(N1344&lt;SUMIFS(L:L,R:R,1,E:E,E1344)/SUMIFS(K:K,R:R,1,E:E,E1344),"Вторая четверть","Больше половины"))</f>
        <v/>
      </c>
      <c r="X1344">
        <f>IF(O1344&lt;SUMIFS(M:M,R:R,1,E:E,E1344)/SUMIFS(L:L,R:R,1,E:E,E1344)*0.5,"Низшая четверть",IF(O1344&lt;SUMIFS(M:M,R:R,1,E:E,E1344)/SUMIFS(L:L,R:R,1,E:E,E1344),"Вторая четверть","Больше половины"))</f>
        <v/>
      </c>
      <c r="Y1344" t="n">
        <v>5</v>
      </c>
    </row>
    <row r="1345">
      <c r="A1345" s="1" t="inlineStr">
        <is>
          <t>12408020</t>
        </is>
      </c>
      <c r="B1345" s="2" t="inlineStr">
        <is>
          <t>378959489</t>
        </is>
      </c>
      <c r="C1345" s="3" t="inlineStr">
        <is>
          <t>Одежда и аксессуары</t>
        </is>
      </c>
      <c r="D1345" s="2" t="inlineStr">
        <is>
          <t>Чулочные и носочные изделия для женщин</t>
        </is>
      </c>
      <c r="E1345" s="3" t="inlineStr">
        <is>
          <t>124 Подследники женские</t>
        </is>
      </c>
      <c r="F1345" s="2" t="inlineStr">
        <is>
          <t>всесезонный</t>
        </is>
      </c>
      <c r="G1345" s="3" t="inlineStr">
        <is>
          <t>kari</t>
        </is>
      </c>
      <c r="H1345" s="2" t="inlineStr">
        <is>
          <t>Зиннуров Ильнур</t>
        </is>
      </c>
      <c r="J1345" s="3" t="inlineStr">
        <is>
          <t>2026SS</t>
        </is>
      </c>
      <c r="K1345" s="3" t="n">
        <v>5</v>
      </c>
      <c r="L1345" s="3" t="n">
        <v>0</v>
      </c>
      <c r="M1345" s="3" t="n">
        <v>0</v>
      </c>
      <c r="N1345" s="4">
        <f>IFERROR(L1345/K1345,0)</f>
        <v/>
      </c>
      <c r="O1345" s="4">
        <f>IFERROR(M1345/L1345,0)</f>
        <v/>
      </c>
      <c r="P1345" t="n">
        <v>0</v>
      </c>
      <c r="Q1345" s="5" t="n">
        <v>0</v>
      </c>
      <c r="R1345" s="7" t="n">
        <v>0</v>
      </c>
      <c r="S1345" t="inlineStr">
        <is>
          <t>Мало остатка</t>
        </is>
      </c>
      <c r="T1345">
        <f>IF(N1345&lt;$T$1*0.5,"Низшая четверть",IF(N1345&lt;$T$1,"Вторая четверть","Больше половины"))</f>
        <v/>
      </c>
      <c r="U1345">
        <f>IF(O1345&lt;$U$1*0.5,"Низшая четверть",IF(O1345&lt;$U$1,"Вторая четверть","Больше половины"))</f>
        <v/>
      </c>
      <c r="V1345">
        <f>IF(OR(N1345&lt;SUMIFS(L:L,R:R,1,E:E,E1345)/SUMIFS(K:K,R:R,1,E:E,E1345)*0.5,O1345&lt;SUMIFS(M:M,R:R,1,E:E,E1345)/SUMIFS(L:L,R:R,1,E:E,E1345)*0.5),"код для проверки","нормальный код")</f>
        <v/>
      </c>
      <c r="W1345">
        <f>IF(N1345&lt;SUMIFS(L:L,R:R,1,E:E,E1345)/SUMIFS(K:K,R:R,1,E:E,E1345)*0.5,"Низшая четверть",IF(N1345&lt;SUMIFS(L:L,R:R,1,E:E,E1345)/SUMIFS(K:K,R:R,1,E:E,E1345),"Вторая четверть","Больше половины"))</f>
        <v/>
      </c>
      <c r="X1345">
        <f>IF(O1345&lt;SUMIFS(M:M,R:R,1,E:E,E1345)/SUMIFS(L:L,R:R,1,E:E,E1345)*0.5,"Низшая четверть",IF(O1345&lt;SUMIFS(M:M,R:R,1,E:E,E1345)/SUMIFS(L:L,R:R,1,E:E,E1345),"Вторая четверть","Больше половины"))</f>
        <v/>
      </c>
      <c r="Y1345" t="n">
        <v>5</v>
      </c>
    </row>
    <row r="1346">
      <c r="A1346" s="1" t="inlineStr">
        <is>
          <t>a5000220</t>
        </is>
      </c>
      <c r="B1346" s="2" t="inlineStr">
        <is>
          <t>852780326</t>
        </is>
      </c>
      <c r="C1346" s="3" t="inlineStr">
        <is>
          <t>Одежда для детей</t>
        </is>
      </c>
      <c r="D1346" s="2" t="inlineStr">
        <is>
          <t>Чулочные и носочные детские изделия для девочек</t>
        </is>
      </c>
      <c r="E1346" s="3" t="inlineStr">
        <is>
          <t>a50 Капри и велосипедки для девочек</t>
        </is>
      </c>
      <c r="F1346" s="2" t="inlineStr">
        <is>
          <t>весна, лето</t>
        </is>
      </c>
      <c r="G1346" s="3" t="inlineStr">
        <is>
          <t>kari</t>
        </is>
      </c>
      <c r="H1346" s="2" t="inlineStr">
        <is>
          <t>Зиннуров Ильнур</t>
        </is>
      </c>
      <c r="J1346" s="3" t="inlineStr">
        <is>
          <t>2026SS</t>
        </is>
      </c>
      <c r="K1346" s="3" t="n">
        <v>4</v>
      </c>
      <c r="L1346" s="3" t="n">
        <v>4</v>
      </c>
      <c r="M1346" s="3" t="n">
        <v>0</v>
      </c>
      <c r="N1346" s="4">
        <f>IFERROR(L1346/K1346,0)</f>
        <v/>
      </c>
      <c r="O1346" s="4">
        <f>IFERROR(M1346/L1346,0)</f>
        <v/>
      </c>
      <c r="P1346" t="n">
        <v>0</v>
      </c>
      <c r="Q1346" s="5" t="n">
        <v>0</v>
      </c>
      <c r="R1346" s="7" t="n">
        <v>0</v>
      </c>
      <c r="S1346" t="inlineStr">
        <is>
          <t>Мало остатка</t>
        </is>
      </c>
      <c r="T1346">
        <f>IF(N1346&lt;$T$1*0.5,"Низшая четверть",IF(N1346&lt;$T$1,"Вторая четверть","Больше половины"))</f>
        <v/>
      </c>
      <c r="U1346">
        <f>IF(O1346&lt;$U$1*0.5,"Низшая четверть",IF(O1346&lt;$U$1,"Вторая четверть","Больше половины"))</f>
        <v/>
      </c>
      <c r="V1346">
        <f>IF(OR(N1346&lt;SUMIFS(L:L,R:R,1,E:E,E1346)/SUMIFS(K:K,R:R,1,E:E,E1346)*0.5,O1346&lt;SUMIFS(M:M,R:R,1,E:E,E1346)/SUMIFS(L:L,R:R,1,E:E,E1346)*0.5),"код для проверки","нормальный код")</f>
        <v/>
      </c>
      <c r="W1346">
        <f>IF(N1346&lt;SUMIFS(L:L,R:R,1,E:E,E1346)/SUMIFS(K:K,R:R,1,E:E,E1346)*0.5,"Низшая четверть",IF(N1346&lt;SUMIFS(L:L,R:R,1,E:E,E1346)/SUMIFS(K:K,R:R,1,E:E,E1346),"Вторая четверть","Больше половины"))</f>
        <v/>
      </c>
      <c r="X1346">
        <f>IF(O1346&lt;SUMIFS(M:M,R:R,1,E:E,E1346)/SUMIFS(L:L,R:R,1,E:E,E1346)*0.5,"Низшая четверть",IF(O1346&lt;SUMIFS(M:M,R:R,1,E:E,E1346)/SUMIFS(L:L,R:R,1,E:E,E1346),"Вторая четверть","Больше половины"))</f>
        <v/>
      </c>
      <c r="Y1346" t="n">
        <v>5</v>
      </c>
    </row>
    <row r="1347">
      <c r="A1347" s="1" t="inlineStr">
        <is>
          <t>17302260</t>
        </is>
      </c>
      <c r="B1347" s="2" t="inlineStr">
        <is>
          <t>395973040</t>
        </is>
      </c>
      <c r="C1347" s="3" t="inlineStr">
        <is>
          <t>Одежда для детей</t>
        </is>
      </c>
      <c r="D1347" s="2" t="inlineStr">
        <is>
          <t>Чулочные и носочные детские изделия для девочек</t>
        </is>
      </c>
      <c r="E1347" s="3" t="inlineStr">
        <is>
          <t>173 Носки детские для девочек</t>
        </is>
      </c>
      <c r="F1347" s="2" t="inlineStr">
        <is>
          <t>всесезонный</t>
        </is>
      </c>
      <c r="G1347" s="3" t="inlineStr">
        <is>
          <t>kari</t>
        </is>
      </c>
      <c r="H1347" s="2" t="inlineStr">
        <is>
          <t>Зиннуров Ильнур</t>
        </is>
      </c>
      <c r="J1347" s="3" t="inlineStr">
        <is>
          <t>2026SS</t>
        </is>
      </c>
      <c r="K1347" s="3" t="n">
        <v>4</v>
      </c>
      <c r="L1347" s="3" t="n">
        <v>6</v>
      </c>
      <c r="M1347" s="3" t="n">
        <v>0</v>
      </c>
      <c r="N1347" s="4">
        <f>IFERROR(L1347/K1347,0)</f>
        <v/>
      </c>
      <c r="O1347" s="4">
        <f>IFERROR(M1347/L1347,0)</f>
        <v/>
      </c>
      <c r="P1347" t="n">
        <v>0</v>
      </c>
      <c r="Q1347" s="5" t="n">
        <v>0</v>
      </c>
      <c r="R1347" s="7" t="n">
        <v>0</v>
      </c>
      <c r="S1347" t="inlineStr">
        <is>
          <t>Мало остатка</t>
        </is>
      </c>
      <c r="T1347">
        <f>IF(N1347&lt;$T$1*0.5,"Низшая четверть",IF(N1347&lt;$T$1,"Вторая четверть","Больше половины"))</f>
        <v/>
      </c>
      <c r="U1347">
        <f>IF(O1347&lt;$U$1*0.5,"Низшая четверть",IF(O1347&lt;$U$1,"Вторая четверть","Больше половины"))</f>
        <v/>
      </c>
      <c r="V1347">
        <f>IF(OR(N1347&lt;SUMIFS(L:L,R:R,1,E:E,E1347)/SUMIFS(K:K,R:R,1,E:E,E1347)*0.5,O1347&lt;SUMIFS(M:M,R:R,1,E:E,E1347)/SUMIFS(L:L,R:R,1,E:E,E1347)*0.5),"код для проверки","нормальный код")</f>
        <v/>
      </c>
      <c r="W1347">
        <f>IF(N1347&lt;SUMIFS(L:L,R:R,1,E:E,E1347)/SUMIFS(K:K,R:R,1,E:E,E1347)*0.5,"Низшая четверть",IF(N1347&lt;SUMIFS(L:L,R:R,1,E:E,E1347)/SUMIFS(K:K,R:R,1,E:E,E1347),"Вторая четверть","Больше половины"))</f>
        <v/>
      </c>
      <c r="X1347">
        <f>IF(O1347&lt;SUMIFS(M:M,R:R,1,E:E,E1347)/SUMIFS(L:L,R:R,1,E:E,E1347)*0.5,"Низшая четверть",IF(O1347&lt;SUMIFS(M:M,R:R,1,E:E,E1347)/SUMIFS(L:L,R:R,1,E:E,E1347),"Вторая четверть","Больше половины"))</f>
        <v/>
      </c>
      <c r="Y1347" t="n">
        <v>4</v>
      </c>
    </row>
    <row r="1348">
      <c r="A1348" s="1" t="inlineStr">
        <is>
          <t>b4306000</t>
        </is>
      </c>
      <c r="B1348" s="2" t="inlineStr">
        <is>
          <t>395973190</t>
        </is>
      </c>
      <c r="C1348" s="3" t="inlineStr">
        <is>
          <t>Одежда и аксессуары</t>
        </is>
      </c>
      <c r="D1348" s="2" t="inlineStr">
        <is>
          <t>Чулочные и носочные изделия для мужчин</t>
        </is>
      </c>
      <c r="E1348" s="3" t="inlineStr">
        <is>
          <t>b43 Носки мужские (укороченные)</t>
        </is>
      </c>
      <c r="F1348" s="2" t="inlineStr">
        <is>
          <t>весна, лето</t>
        </is>
      </c>
      <c r="G1348" s="3" t="inlineStr">
        <is>
          <t>kari</t>
        </is>
      </c>
      <c r="H1348" s="2" t="inlineStr">
        <is>
          <t>Зиннуров Ильнур</t>
        </is>
      </c>
      <c r="J1348" s="3" t="inlineStr">
        <is>
          <t>2026SS</t>
        </is>
      </c>
      <c r="K1348" s="3" t="n">
        <v>3</v>
      </c>
      <c r="L1348" s="3" t="n">
        <v>0</v>
      </c>
      <c r="M1348" s="3" t="n">
        <v>0</v>
      </c>
      <c r="N1348" s="4">
        <f>IFERROR(L1348/K1348,0)</f>
        <v/>
      </c>
      <c r="O1348" s="4">
        <f>IFERROR(M1348/L1348,0)</f>
        <v/>
      </c>
      <c r="P1348" t="n">
        <v>0</v>
      </c>
      <c r="Q1348" s="5" t="n">
        <v>0</v>
      </c>
      <c r="R1348" s="7" t="n">
        <v>0</v>
      </c>
      <c r="S1348" t="inlineStr">
        <is>
          <t>Мало остатка</t>
        </is>
      </c>
      <c r="T1348">
        <f>IF(N1348&lt;$T$1*0.5,"Низшая четверть",IF(N1348&lt;$T$1,"Вторая четверть","Больше половины"))</f>
        <v/>
      </c>
      <c r="U1348">
        <f>IF(O1348&lt;$U$1*0.5,"Низшая четверть",IF(O1348&lt;$U$1,"Вторая четверть","Больше половины"))</f>
        <v/>
      </c>
      <c r="V1348">
        <f>IF(OR(N1348&lt;SUMIFS(L:L,R:R,1,E:E,E1348)/SUMIFS(K:K,R:R,1,E:E,E1348)*0.5,O1348&lt;SUMIFS(M:M,R:R,1,E:E,E1348)/SUMIFS(L:L,R:R,1,E:E,E1348)*0.5),"код для проверки","нормальный код")</f>
        <v/>
      </c>
      <c r="W1348">
        <f>IF(N1348&lt;SUMIFS(L:L,R:R,1,E:E,E1348)/SUMIFS(K:K,R:R,1,E:E,E1348)*0.5,"Низшая четверть",IF(N1348&lt;SUMIFS(L:L,R:R,1,E:E,E1348)/SUMIFS(K:K,R:R,1,E:E,E1348),"Вторая четверть","Больше половины"))</f>
        <v/>
      </c>
      <c r="X1348">
        <f>IF(O1348&lt;SUMIFS(M:M,R:R,1,E:E,E1348)/SUMIFS(L:L,R:R,1,E:E,E1348)*0.5,"Низшая четверть",IF(O1348&lt;SUMIFS(M:M,R:R,1,E:E,E1348)/SUMIFS(L:L,R:R,1,E:E,E1348),"Вторая четверть","Больше половины"))</f>
        <v/>
      </c>
      <c r="Y1348" t="n">
        <v>4</v>
      </c>
    </row>
    <row r="1349">
      <c r="A1349" s="1" t="inlineStr">
        <is>
          <t>95500420</t>
        </is>
      </c>
      <c r="B1349" s="2" t="inlineStr">
        <is>
          <t>912731118</t>
        </is>
      </c>
      <c r="C1349" s="3" t="inlineStr">
        <is>
          <t>Одежда для детей</t>
        </is>
      </c>
      <c r="D1349" s="2" t="inlineStr">
        <is>
          <t>Платья, майки, футболки детские для девочек</t>
        </is>
      </c>
      <c r="E1349" s="3" t="inlineStr">
        <is>
          <t>955 Топ детский для девочек</t>
        </is>
      </c>
      <c r="F1349" s="2" t="inlineStr">
        <is>
          <t>лето</t>
        </is>
      </c>
      <c r="G1349" s="3" t="inlineStr">
        <is>
          <t>kari</t>
        </is>
      </c>
      <c r="H1349" s="2" t="inlineStr">
        <is>
          <t>Зиннуров Ильнур</t>
        </is>
      </c>
      <c r="J1349" s="3" t="inlineStr">
        <is>
          <t>2026SS</t>
        </is>
      </c>
      <c r="K1349" s="3" t="n">
        <v>3</v>
      </c>
      <c r="L1349" s="3" t="n">
        <v>3</v>
      </c>
      <c r="M1349" s="3" t="n">
        <v>0</v>
      </c>
      <c r="N1349" s="4">
        <f>IFERROR(L1349/K1349,0)</f>
        <v/>
      </c>
      <c r="O1349" s="4">
        <f>IFERROR(M1349/L1349,0)</f>
        <v/>
      </c>
      <c r="P1349" t="n">
        <v>0</v>
      </c>
      <c r="Q1349" s="5" t="n">
        <v>0</v>
      </c>
      <c r="R1349" s="7" t="n">
        <v>0</v>
      </c>
      <c r="S1349" t="inlineStr">
        <is>
          <t>Мало остатка</t>
        </is>
      </c>
      <c r="T1349">
        <f>IF(N1349&lt;$T$1*0.5,"Низшая четверть",IF(N1349&lt;$T$1,"Вторая четверть","Больше половины"))</f>
        <v/>
      </c>
      <c r="U1349">
        <f>IF(O1349&lt;$U$1*0.5,"Низшая четверть",IF(O1349&lt;$U$1,"Вторая четверть","Больше половины"))</f>
        <v/>
      </c>
      <c r="V1349">
        <f>IF(OR(N1349&lt;SUMIFS(L:L,R:R,1,E:E,E1349)/SUMIFS(K:K,R:R,1,E:E,E1349)*0.5,O1349&lt;SUMIFS(M:M,R:R,1,E:E,E1349)/SUMIFS(L:L,R:R,1,E:E,E1349)*0.5),"код для проверки","нормальный код")</f>
        <v/>
      </c>
      <c r="W1349">
        <f>IF(N1349&lt;SUMIFS(L:L,R:R,1,E:E,E1349)/SUMIFS(K:K,R:R,1,E:E,E1349)*0.5,"Низшая четверть",IF(N1349&lt;SUMIFS(L:L,R:R,1,E:E,E1349)/SUMIFS(K:K,R:R,1,E:E,E1349),"Вторая четверть","Больше половины"))</f>
        <v/>
      </c>
      <c r="X1349">
        <f>IF(O1349&lt;SUMIFS(M:M,R:R,1,E:E,E1349)/SUMIFS(L:L,R:R,1,E:E,E1349)*0.5,"Низшая четверть",IF(O1349&lt;SUMIFS(M:M,R:R,1,E:E,E1349)/SUMIFS(L:L,R:R,1,E:E,E1349),"Вторая четверть","Больше половины"))</f>
        <v/>
      </c>
      <c r="Y1349" t="n">
        <v>9</v>
      </c>
    </row>
    <row r="1350">
      <c r="A1350" s="1" t="inlineStr">
        <is>
          <t>a5000060</t>
        </is>
      </c>
      <c r="B1350" s="2" t="inlineStr">
        <is>
          <t>852780274</t>
        </is>
      </c>
      <c r="C1350" s="3" t="inlineStr">
        <is>
          <t>Одежда для детей</t>
        </is>
      </c>
      <c r="D1350" s="2" t="inlineStr">
        <is>
          <t>Чулочные и носочные детские изделия для девочек</t>
        </is>
      </c>
      <c r="E1350" s="3" t="inlineStr">
        <is>
          <t>a50 Капри и велосипедки для девочек</t>
        </is>
      </c>
      <c r="F1350" s="2" t="inlineStr">
        <is>
          <t>весна, лето</t>
        </is>
      </c>
      <c r="G1350" s="3" t="inlineStr">
        <is>
          <t>kari</t>
        </is>
      </c>
      <c r="H1350" s="2" t="inlineStr">
        <is>
          <t>Зиннуров Ильнур</t>
        </is>
      </c>
      <c r="J1350" s="3" t="inlineStr">
        <is>
          <t>2026SS</t>
        </is>
      </c>
      <c r="K1350" s="3" t="n">
        <v>3</v>
      </c>
      <c r="L1350" s="3" t="n">
        <v>3</v>
      </c>
      <c r="M1350" s="3" t="n">
        <v>0</v>
      </c>
      <c r="N1350" s="4">
        <f>IFERROR(L1350/K1350,0)</f>
        <v/>
      </c>
      <c r="O1350" s="4">
        <f>IFERROR(M1350/L1350,0)</f>
        <v/>
      </c>
      <c r="P1350" t="n">
        <v>0</v>
      </c>
      <c r="Q1350" s="5" t="n">
        <v>0</v>
      </c>
      <c r="R1350" s="7" t="n">
        <v>0</v>
      </c>
      <c r="S1350" t="inlineStr">
        <is>
          <t>Мало остатка</t>
        </is>
      </c>
      <c r="T1350">
        <f>IF(N1350&lt;$T$1*0.5,"Низшая четверть",IF(N1350&lt;$T$1,"Вторая четверть","Больше половины"))</f>
        <v/>
      </c>
      <c r="U1350">
        <f>IF(O1350&lt;$U$1*0.5,"Низшая четверть",IF(O1350&lt;$U$1,"Вторая четверть","Больше половины"))</f>
        <v/>
      </c>
      <c r="V1350">
        <f>IF(OR(N1350&lt;SUMIFS(L:L,R:R,1,E:E,E1350)/SUMIFS(K:K,R:R,1,E:E,E1350)*0.5,O1350&lt;SUMIFS(M:M,R:R,1,E:E,E1350)/SUMIFS(L:L,R:R,1,E:E,E1350)*0.5),"код для проверки","нормальный код")</f>
        <v/>
      </c>
      <c r="W1350">
        <f>IF(N1350&lt;SUMIFS(L:L,R:R,1,E:E,E1350)/SUMIFS(K:K,R:R,1,E:E,E1350)*0.5,"Низшая четверть",IF(N1350&lt;SUMIFS(L:L,R:R,1,E:E,E1350)/SUMIFS(K:K,R:R,1,E:E,E1350),"Вторая четверть","Больше половины"))</f>
        <v/>
      </c>
      <c r="X1350">
        <f>IF(O1350&lt;SUMIFS(M:M,R:R,1,E:E,E1350)/SUMIFS(L:L,R:R,1,E:E,E1350)*0.5,"Низшая четверть",IF(O1350&lt;SUMIFS(M:M,R:R,1,E:E,E1350)/SUMIFS(L:L,R:R,1,E:E,E1350),"Вторая четверть","Больше половины"))</f>
        <v/>
      </c>
      <c r="Y1350" t="n">
        <v>11</v>
      </c>
    </row>
    <row r="1351">
      <c r="A1351" s="1" t="inlineStr">
        <is>
          <t>31908090</t>
        </is>
      </c>
      <c r="B1351" s="2" t="inlineStr">
        <is>
          <t>378959464</t>
        </is>
      </c>
      <c r="C1351" s="3" t="inlineStr">
        <is>
          <t>Одежда для детей</t>
        </is>
      </c>
      <c r="D1351" s="2" t="inlineStr">
        <is>
          <t>Чулочные и носочные детские изделия для девочек</t>
        </is>
      </c>
      <c r="E1351" s="3" t="inlineStr">
        <is>
          <t>319 Гольфы детские для девочек</t>
        </is>
      </c>
      <c r="F1351" s="2" t="inlineStr">
        <is>
          <t>всесезонный</t>
        </is>
      </c>
      <c r="G1351" s="3" t="inlineStr">
        <is>
          <t>kari</t>
        </is>
      </c>
      <c r="H1351" s="2" t="inlineStr">
        <is>
          <t>Зиннуров Ильнур</t>
        </is>
      </c>
      <c r="J1351" s="3" t="inlineStr">
        <is>
          <t>2026SS</t>
        </is>
      </c>
      <c r="K1351" s="3" t="n">
        <v>3</v>
      </c>
      <c r="L1351" s="3" t="n">
        <v>5</v>
      </c>
      <c r="M1351" s="3" t="n">
        <v>0</v>
      </c>
      <c r="N1351" s="4">
        <f>IFERROR(L1351/K1351,0)</f>
        <v/>
      </c>
      <c r="O1351" s="4">
        <f>IFERROR(M1351/L1351,0)</f>
        <v/>
      </c>
      <c r="P1351" t="n">
        <v>0</v>
      </c>
      <c r="Q1351" s="5" t="n">
        <v>0</v>
      </c>
      <c r="R1351" s="7" t="n">
        <v>0</v>
      </c>
      <c r="S1351" t="inlineStr">
        <is>
          <t>Мало остатка</t>
        </is>
      </c>
      <c r="T1351">
        <f>IF(N1351&lt;$T$1*0.5,"Низшая четверть",IF(N1351&lt;$T$1,"Вторая четверть","Больше половины"))</f>
        <v/>
      </c>
      <c r="U1351">
        <f>IF(O1351&lt;$U$1*0.5,"Низшая четверть",IF(O1351&lt;$U$1,"Вторая четверть","Больше половины"))</f>
        <v/>
      </c>
      <c r="V1351">
        <f>IF(OR(N1351&lt;SUMIFS(L:L,R:R,1,E:E,E1351)/SUMIFS(K:K,R:R,1,E:E,E1351)*0.5,O1351&lt;SUMIFS(M:M,R:R,1,E:E,E1351)/SUMIFS(L:L,R:R,1,E:E,E1351)*0.5),"код для проверки","нормальный код")</f>
        <v/>
      </c>
      <c r="W1351">
        <f>IF(N1351&lt;SUMIFS(L:L,R:R,1,E:E,E1351)/SUMIFS(K:K,R:R,1,E:E,E1351)*0.5,"Низшая четверть",IF(N1351&lt;SUMIFS(L:L,R:R,1,E:E,E1351)/SUMIFS(K:K,R:R,1,E:E,E1351),"Вторая четверть","Больше половины"))</f>
        <v/>
      </c>
      <c r="X1351">
        <f>IF(O1351&lt;SUMIFS(M:M,R:R,1,E:E,E1351)/SUMIFS(L:L,R:R,1,E:E,E1351)*0.5,"Низшая четверть",IF(O1351&lt;SUMIFS(M:M,R:R,1,E:E,E1351)/SUMIFS(L:L,R:R,1,E:E,E1351),"Вторая четверть","Больше половины"))</f>
        <v/>
      </c>
      <c r="Y1351" t="n">
        <v>8</v>
      </c>
    </row>
    <row r="1352">
      <c r="A1352" s="1" t="inlineStr">
        <is>
          <t>31906070</t>
        </is>
      </c>
      <c r="B1352" s="2" t="inlineStr">
        <is>
          <t>395973136</t>
        </is>
      </c>
      <c r="C1352" s="3" t="inlineStr">
        <is>
          <t>Одежда для детей</t>
        </is>
      </c>
      <c r="D1352" s="2" t="inlineStr">
        <is>
          <t>Чулочные и носочные детские изделия для девочек</t>
        </is>
      </c>
      <c r="E1352" s="3" t="inlineStr">
        <is>
          <t>319 Гольфы детские для девочек</t>
        </is>
      </c>
      <c r="F1352" s="2" t="inlineStr">
        <is>
          <t>всесезонный</t>
        </is>
      </c>
      <c r="G1352" s="3" t="inlineStr">
        <is>
          <t>kari</t>
        </is>
      </c>
      <c r="H1352" s="2" t="inlineStr">
        <is>
          <t>Зиннуров Ильнур</t>
        </is>
      </c>
      <c r="J1352" s="3" t="inlineStr">
        <is>
          <t>2026SS</t>
        </is>
      </c>
      <c r="K1352" s="3" t="n">
        <v>3</v>
      </c>
      <c r="L1352" s="3" t="n">
        <v>0</v>
      </c>
      <c r="M1352" s="3" t="n">
        <v>0</v>
      </c>
      <c r="N1352" s="4">
        <f>IFERROR(L1352/K1352,0)</f>
        <v/>
      </c>
      <c r="O1352" s="4">
        <f>IFERROR(M1352/L1352,0)</f>
        <v/>
      </c>
      <c r="P1352" t="n">
        <v>0</v>
      </c>
      <c r="Q1352" s="5" t="n">
        <v>0</v>
      </c>
      <c r="R1352" s="7" t="n">
        <v>0</v>
      </c>
      <c r="S1352" t="inlineStr">
        <is>
          <t>Мало остатка</t>
        </is>
      </c>
      <c r="T1352">
        <f>IF(N1352&lt;$T$1*0.5,"Низшая четверть",IF(N1352&lt;$T$1,"Вторая четверть","Больше половины"))</f>
        <v/>
      </c>
      <c r="U1352">
        <f>IF(O1352&lt;$U$1*0.5,"Низшая четверть",IF(O1352&lt;$U$1,"Вторая четверть","Больше половины"))</f>
        <v/>
      </c>
      <c r="V1352">
        <f>IF(OR(N1352&lt;SUMIFS(L:L,R:R,1,E:E,E1352)/SUMIFS(K:K,R:R,1,E:E,E1352)*0.5,O1352&lt;SUMIFS(M:M,R:R,1,E:E,E1352)/SUMIFS(L:L,R:R,1,E:E,E1352)*0.5),"код для проверки","нормальный код")</f>
        <v/>
      </c>
      <c r="W1352">
        <f>IF(N1352&lt;SUMIFS(L:L,R:R,1,E:E,E1352)/SUMIFS(K:K,R:R,1,E:E,E1352)*0.5,"Низшая четверть",IF(N1352&lt;SUMIFS(L:L,R:R,1,E:E,E1352)/SUMIFS(K:K,R:R,1,E:E,E1352),"Вторая четверть","Больше половины"))</f>
        <v/>
      </c>
      <c r="X1352">
        <f>IF(O1352&lt;SUMIFS(M:M,R:R,1,E:E,E1352)/SUMIFS(L:L,R:R,1,E:E,E1352)*0.5,"Низшая четверть",IF(O1352&lt;SUMIFS(M:M,R:R,1,E:E,E1352)/SUMIFS(L:L,R:R,1,E:E,E1352),"Вторая четверть","Больше половины"))</f>
        <v/>
      </c>
      <c r="Y1352" t="n">
        <v>3</v>
      </c>
    </row>
    <row r="1353">
      <c r="A1353" s="1" t="inlineStr">
        <is>
          <t>19400440</t>
        </is>
      </c>
      <c r="B1353" s="2" t="inlineStr">
        <is>
          <t>837332299</t>
        </is>
      </c>
      <c r="C1353" s="3" t="inlineStr">
        <is>
          <t>Одежда для детей</t>
        </is>
      </c>
      <c r="D1353" s="2" t="inlineStr">
        <is>
          <t>Брюки детские для девочек</t>
        </is>
      </c>
      <c r="E1353" s="3" t="inlineStr">
        <is>
          <t>194 Шорты детские для девочек</t>
        </is>
      </c>
      <c r="F1353" s="2" t="inlineStr">
        <is>
          <t>лето</t>
        </is>
      </c>
      <c r="G1353" s="3" t="inlineStr">
        <is>
          <t>Kari KIDS</t>
        </is>
      </c>
      <c r="H1353" s="2" t="inlineStr">
        <is>
          <t>Зиннуров Ильнур</t>
        </is>
      </c>
      <c r="J1353" s="3" t="inlineStr">
        <is>
          <t>2026SS</t>
        </is>
      </c>
      <c r="K1353" s="3" t="n">
        <v>3</v>
      </c>
      <c r="L1353" s="3" t="n">
        <v>5</v>
      </c>
      <c r="M1353" s="3" t="n">
        <v>0</v>
      </c>
      <c r="N1353" s="4">
        <f>IFERROR(L1353/K1353,0)</f>
        <v/>
      </c>
      <c r="O1353" s="4">
        <f>IFERROR(M1353/L1353,0)</f>
        <v/>
      </c>
      <c r="P1353" t="n">
        <v>0</v>
      </c>
      <c r="Q1353" s="5" t="n">
        <v>0</v>
      </c>
      <c r="R1353" s="7" t="n">
        <v>0</v>
      </c>
      <c r="S1353" t="inlineStr">
        <is>
          <t>Мало остатка</t>
        </is>
      </c>
      <c r="T1353">
        <f>IF(N1353&lt;$T$1*0.5,"Низшая четверть",IF(N1353&lt;$T$1,"Вторая четверть","Больше половины"))</f>
        <v/>
      </c>
      <c r="U1353">
        <f>IF(O1353&lt;$U$1*0.5,"Низшая четверть",IF(O1353&lt;$U$1,"Вторая четверть","Больше половины"))</f>
        <v/>
      </c>
      <c r="V1353">
        <f>IF(OR(N1353&lt;SUMIFS(L:L,R:R,1,E:E,E1353)/SUMIFS(K:K,R:R,1,E:E,E1353)*0.5,O1353&lt;SUMIFS(M:M,R:R,1,E:E,E1353)/SUMIFS(L:L,R:R,1,E:E,E1353)*0.5),"код для проверки","нормальный код")</f>
        <v/>
      </c>
      <c r="W1353">
        <f>IF(N1353&lt;SUMIFS(L:L,R:R,1,E:E,E1353)/SUMIFS(K:K,R:R,1,E:E,E1353)*0.5,"Низшая четверть",IF(N1353&lt;SUMIFS(L:L,R:R,1,E:E,E1353)/SUMIFS(K:K,R:R,1,E:E,E1353),"Вторая четверть","Больше половины"))</f>
        <v/>
      </c>
      <c r="X1353">
        <f>IF(O1353&lt;SUMIFS(M:M,R:R,1,E:E,E1353)/SUMIFS(L:L,R:R,1,E:E,E1353)*0.5,"Низшая четверть",IF(O1353&lt;SUMIFS(M:M,R:R,1,E:E,E1353)/SUMIFS(L:L,R:R,1,E:E,E1353),"Вторая четверть","Больше половины"))</f>
        <v/>
      </c>
      <c r="Y1353" t="n">
        <v>16</v>
      </c>
    </row>
    <row r="1354">
      <c r="A1354" s="1" t="inlineStr">
        <is>
          <t>12406360</t>
        </is>
      </c>
      <c r="B1354" s="2" t="inlineStr">
        <is>
          <t>378959541</t>
        </is>
      </c>
      <c r="C1354" s="3" t="inlineStr">
        <is>
          <t>Одежда и аксессуары</t>
        </is>
      </c>
      <c r="D1354" s="2" t="inlineStr">
        <is>
          <t>Чулочные и носочные изделия для женщин</t>
        </is>
      </c>
      <c r="E1354" s="3" t="inlineStr">
        <is>
          <t>124 Подследники женские</t>
        </is>
      </c>
      <c r="F1354" s="2" t="inlineStr">
        <is>
          <t>всесезонный</t>
        </is>
      </c>
      <c r="G1354" s="3" t="inlineStr">
        <is>
          <t>kari</t>
        </is>
      </c>
      <c r="H1354" s="2" t="inlineStr">
        <is>
          <t>Зиннуров Ильнур</t>
        </is>
      </c>
      <c r="J1354" s="3" t="inlineStr">
        <is>
          <t>2026SS</t>
        </is>
      </c>
      <c r="K1354" s="3" t="n">
        <v>3</v>
      </c>
      <c r="L1354" s="3" t="n">
        <v>0</v>
      </c>
      <c r="M1354" s="3" t="n">
        <v>0</v>
      </c>
      <c r="N1354" s="4">
        <f>IFERROR(L1354/K1354,0)</f>
        <v/>
      </c>
      <c r="O1354" s="4">
        <f>IFERROR(M1354/L1354,0)</f>
        <v/>
      </c>
      <c r="P1354" t="n">
        <v>0</v>
      </c>
      <c r="Q1354" s="5" t="n">
        <v>0</v>
      </c>
      <c r="R1354" s="7" t="n">
        <v>0</v>
      </c>
      <c r="S1354" t="inlineStr">
        <is>
          <t>Мало остатка</t>
        </is>
      </c>
      <c r="T1354">
        <f>IF(N1354&lt;$T$1*0.5,"Низшая четверть",IF(N1354&lt;$T$1,"Вторая четверть","Больше половины"))</f>
        <v/>
      </c>
      <c r="U1354">
        <f>IF(O1354&lt;$U$1*0.5,"Низшая четверть",IF(O1354&lt;$U$1,"Вторая четверть","Больше половины"))</f>
        <v/>
      </c>
      <c r="V1354">
        <f>IF(OR(N1354&lt;SUMIFS(L:L,R:R,1,E:E,E1354)/SUMIFS(K:K,R:R,1,E:E,E1354)*0.5,O1354&lt;SUMIFS(M:M,R:R,1,E:E,E1354)/SUMIFS(L:L,R:R,1,E:E,E1354)*0.5),"код для проверки","нормальный код")</f>
        <v/>
      </c>
      <c r="W1354">
        <f>IF(N1354&lt;SUMIFS(L:L,R:R,1,E:E,E1354)/SUMIFS(K:K,R:R,1,E:E,E1354)*0.5,"Низшая четверть",IF(N1354&lt;SUMIFS(L:L,R:R,1,E:E,E1354)/SUMIFS(K:K,R:R,1,E:E,E1354),"Вторая четверть","Больше половины"))</f>
        <v/>
      </c>
      <c r="X1354">
        <f>IF(O1354&lt;SUMIFS(M:M,R:R,1,E:E,E1354)/SUMIFS(L:L,R:R,1,E:E,E1354)*0.5,"Низшая четверть",IF(O1354&lt;SUMIFS(M:M,R:R,1,E:E,E1354)/SUMIFS(L:L,R:R,1,E:E,E1354),"Вторая четверть","Больше половины"))</f>
        <v/>
      </c>
      <c r="Y1354" t="n">
        <v>5</v>
      </c>
    </row>
    <row r="1355">
      <c r="A1355" s="1" t="inlineStr">
        <is>
          <t>17306850</t>
        </is>
      </c>
      <c r="B1355" s="2" t="inlineStr">
        <is>
          <t>395973170</t>
        </is>
      </c>
      <c r="C1355" s="3" t="inlineStr">
        <is>
          <t>Одежда для детей</t>
        </is>
      </c>
      <c r="D1355" s="2" t="inlineStr">
        <is>
          <t>Чулочные и носочные детские изделия для девочек</t>
        </is>
      </c>
      <c r="E1355" s="3" t="inlineStr">
        <is>
          <t>173 Носки детские для девочек</t>
        </is>
      </c>
      <c r="F1355" s="2" t="inlineStr">
        <is>
          <t>всесезонный</t>
        </is>
      </c>
      <c r="G1355" s="3" t="inlineStr">
        <is>
          <t>kari</t>
        </is>
      </c>
      <c r="H1355" s="2" t="inlineStr">
        <is>
          <t>Зиннуров Ильнур</t>
        </is>
      </c>
      <c r="J1355" s="3" t="inlineStr">
        <is>
          <t>2026SS</t>
        </is>
      </c>
      <c r="K1355" s="3" t="n">
        <v>3</v>
      </c>
      <c r="L1355" s="3" t="n">
        <v>0</v>
      </c>
      <c r="M1355" s="3" t="n">
        <v>0</v>
      </c>
      <c r="N1355" s="4">
        <f>IFERROR(L1355/K1355,0)</f>
        <v/>
      </c>
      <c r="O1355" s="4">
        <f>IFERROR(M1355/L1355,0)</f>
        <v/>
      </c>
      <c r="P1355" t="n">
        <v>0</v>
      </c>
      <c r="Q1355" s="5" t="n">
        <v>0</v>
      </c>
      <c r="R1355" s="7" t="n">
        <v>0</v>
      </c>
      <c r="S1355" t="inlineStr">
        <is>
          <t>Мало остатка</t>
        </is>
      </c>
      <c r="T1355">
        <f>IF(N1355&lt;$T$1*0.5,"Низшая четверть",IF(N1355&lt;$T$1,"Вторая четверть","Больше половины"))</f>
        <v/>
      </c>
      <c r="U1355">
        <f>IF(O1355&lt;$U$1*0.5,"Низшая четверть",IF(O1355&lt;$U$1,"Вторая четверть","Больше половины"))</f>
        <v/>
      </c>
      <c r="V1355">
        <f>IF(OR(N1355&lt;SUMIFS(L:L,R:R,1,E:E,E1355)/SUMIFS(K:K,R:R,1,E:E,E1355)*0.5,O1355&lt;SUMIFS(M:M,R:R,1,E:E,E1355)/SUMIFS(L:L,R:R,1,E:E,E1355)*0.5),"код для проверки","нормальный код")</f>
        <v/>
      </c>
      <c r="W1355">
        <f>IF(N1355&lt;SUMIFS(L:L,R:R,1,E:E,E1355)/SUMIFS(K:K,R:R,1,E:E,E1355)*0.5,"Низшая четверть",IF(N1355&lt;SUMIFS(L:L,R:R,1,E:E,E1355)/SUMIFS(K:K,R:R,1,E:E,E1355),"Вторая четверть","Больше половины"))</f>
        <v/>
      </c>
      <c r="X1355">
        <f>IF(O1355&lt;SUMIFS(M:M,R:R,1,E:E,E1355)/SUMIFS(L:L,R:R,1,E:E,E1355)*0.5,"Низшая четверть",IF(O1355&lt;SUMIFS(M:M,R:R,1,E:E,E1355)/SUMIFS(L:L,R:R,1,E:E,E1355),"Вторая четверть","Больше половины"))</f>
        <v/>
      </c>
      <c r="Y1355" t="n">
        <v>4</v>
      </c>
    </row>
    <row r="1356">
      <c r="A1356" s="1" t="inlineStr">
        <is>
          <t>h1000210</t>
        </is>
      </c>
      <c r="B1356" s="2" t="inlineStr">
        <is>
          <t>879308833</t>
        </is>
      </c>
      <c r="C1356" s="3" t="inlineStr">
        <is>
          <t>Одежда и аксессуары</t>
        </is>
      </c>
      <c r="D1356" s="2" t="inlineStr">
        <is>
          <t>Футболки, рубашки мужские</t>
        </is>
      </c>
      <c r="E1356" s="3" t="inlineStr">
        <is>
          <t>h10 Футболка мужская</t>
        </is>
      </c>
      <c r="F1356" s="2" t="inlineStr">
        <is>
          <t>всесезонный</t>
        </is>
      </c>
      <c r="G1356" s="3" t="inlineStr">
        <is>
          <t>kari</t>
        </is>
      </c>
      <c r="H1356" s="2" t="inlineStr">
        <is>
          <t>Зиннуров Ильнур</t>
        </is>
      </c>
      <c r="J1356" s="3" t="inlineStr">
        <is>
          <t>2026SS</t>
        </is>
      </c>
      <c r="K1356" s="3" t="n">
        <v>2</v>
      </c>
      <c r="L1356" s="3" t="n">
        <v>4</v>
      </c>
      <c r="M1356" s="3" t="n">
        <v>0</v>
      </c>
      <c r="N1356" s="4">
        <f>IFERROR(L1356/K1356,0)</f>
        <v/>
      </c>
      <c r="O1356" s="4">
        <f>IFERROR(M1356/L1356,0)</f>
        <v/>
      </c>
      <c r="P1356" t="n">
        <v>0</v>
      </c>
      <c r="Q1356" s="5" t="n">
        <v>0</v>
      </c>
      <c r="R1356" s="7" t="n">
        <v>0</v>
      </c>
      <c r="S1356" t="inlineStr">
        <is>
          <t>Мало остатка</t>
        </is>
      </c>
      <c r="T1356">
        <f>IF(N1356&lt;$T$1*0.5,"Низшая четверть",IF(N1356&lt;$T$1,"Вторая четверть","Больше половины"))</f>
        <v/>
      </c>
      <c r="U1356">
        <f>IF(O1356&lt;$U$1*0.5,"Низшая четверть",IF(O1356&lt;$U$1,"Вторая четверть","Больше половины"))</f>
        <v/>
      </c>
      <c r="V1356">
        <f>IF(OR(N1356&lt;SUMIFS(L:L,R:R,1,E:E,E1356)/SUMIFS(K:K,R:R,1,E:E,E1356)*0.5,O1356&lt;SUMIFS(M:M,R:R,1,E:E,E1356)/SUMIFS(L:L,R:R,1,E:E,E1356)*0.5),"код для проверки","нормальный код")</f>
        <v/>
      </c>
      <c r="W1356">
        <f>IF(N1356&lt;SUMIFS(L:L,R:R,1,E:E,E1356)/SUMIFS(K:K,R:R,1,E:E,E1356)*0.5,"Низшая четверть",IF(N1356&lt;SUMIFS(L:L,R:R,1,E:E,E1356)/SUMIFS(K:K,R:R,1,E:E,E1356),"Вторая четверть","Больше половины"))</f>
        <v/>
      </c>
      <c r="X1356">
        <f>IF(O1356&lt;SUMIFS(M:M,R:R,1,E:E,E1356)/SUMIFS(L:L,R:R,1,E:E,E1356)*0.5,"Низшая четверть",IF(O1356&lt;SUMIFS(M:M,R:R,1,E:E,E1356)/SUMIFS(L:L,R:R,1,E:E,E1356),"Вторая четверть","Больше половины"))</f>
        <v/>
      </c>
      <c r="Y1356" t="n">
        <v>14</v>
      </c>
    </row>
    <row r="1357">
      <c r="A1357" s="1" t="inlineStr">
        <is>
          <t>a60001U0</t>
        </is>
      </c>
      <c r="B1357" s="2" t="inlineStr">
        <is>
          <t>914766151</t>
        </is>
      </c>
      <c r="C1357" s="3" t="inlineStr">
        <is>
          <t>Одежда для детей</t>
        </is>
      </c>
      <c r="D1357" s="2" t="inlineStr">
        <is>
          <t>Платья, майки, футболки детские для девочек</t>
        </is>
      </c>
      <c r="E1357" s="3" t="inlineStr">
        <is>
          <t>a60 Футболка детская для девочек</t>
        </is>
      </c>
      <c r="F1357" s="2" t="inlineStr">
        <is>
          <t>всесезонный</t>
        </is>
      </c>
      <c r="G1357" s="3" t="inlineStr">
        <is>
          <t>Kari KIDS</t>
        </is>
      </c>
      <c r="H1357" s="2" t="inlineStr">
        <is>
          <t>Зиннуров Ильнур</t>
        </is>
      </c>
      <c r="J1357" s="3" t="inlineStr">
        <is>
          <t>2026SS</t>
        </is>
      </c>
      <c r="K1357" s="3" t="n">
        <v>2</v>
      </c>
      <c r="L1357" s="3" t="n">
        <v>1</v>
      </c>
      <c r="M1357" s="3" t="n">
        <v>0</v>
      </c>
      <c r="N1357" s="4">
        <f>IFERROR(L1357/K1357,0)</f>
        <v/>
      </c>
      <c r="O1357" s="4">
        <f>IFERROR(M1357/L1357,0)</f>
        <v/>
      </c>
      <c r="P1357" t="n">
        <v>0</v>
      </c>
      <c r="Q1357" s="5" t="n">
        <v>0</v>
      </c>
      <c r="R1357" s="7" t="n">
        <v>0</v>
      </c>
      <c r="S1357" t="inlineStr">
        <is>
          <t>Мало остатка</t>
        </is>
      </c>
      <c r="T1357">
        <f>IF(N1357&lt;$T$1*0.5,"Низшая четверть",IF(N1357&lt;$T$1,"Вторая четверть","Больше половины"))</f>
        <v/>
      </c>
      <c r="U1357">
        <f>IF(O1357&lt;$U$1*0.5,"Низшая четверть",IF(O1357&lt;$U$1,"Вторая четверть","Больше половины"))</f>
        <v/>
      </c>
      <c r="V1357">
        <f>IF(OR(N1357&lt;SUMIFS(L:L,R:R,1,E:E,E1357)/SUMIFS(K:K,R:R,1,E:E,E1357)*0.5,O1357&lt;SUMIFS(M:M,R:R,1,E:E,E1357)/SUMIFS(L:L,R:R,1,E:E,E1357)*0.5),"код для проверки","нормальный код")</f>
        <v/>
      </c>
      <c r="W1357">
        <f>IF(N1357&lt;SUMIFS(L:L,R:R,1,E:E,E1357)/SUMIFS(K:K,R:R,1,E:E,E1357)*0.5,"Низшая четверть",IF(N1357&lt;SUMIFS(L:L,R:R,1,E:E,E1357)/SUMIFS(K:K,R:R,1,E:E,E1357),"Вторая четверть","Больше половины"))</f>
        <v/>
      </c>
      <c r="X1357">
        <f>IF(O1357&lt;SUMIFS(M:M,R:R,1,E:E,E1357)/SUMIFS(L:L,R:R,1,E:E,E1357)*0.5,"Низшая четверть",IF(O1357&lt;SUMIFS(M:M,R:R,1,E:E,E1357)/SUMIFS(L:L,R:R,1,E:E,E1357),"Вторая четверть","Больше половины"))</f>
        <v/>
      </c>
      <c r="Y1357" t="n">
        <v>6</v>
      </c>
    </row>
    <row r="1358">
      <c r="A1358" s="1" t="inlineStr">
        <is>
          <t>a5000080</t>
        </is>
      </c>
      <c r="B1358" s="2" t="inlineStr">
        <is>
          <t>879308832</t>
        </is>
      </c>
      <c r="C1358" s="3" t="inlineStr">
        <is>
          <t>Одежда для детей</t>
        </is>
      </c>
      <c r="D1358" s="2" t="inlineStr">
        <is>
          <t>Чулочные и носочные детские изделия для девочек</t>
        </is>
      </c>
      <c r="E1358" s="3" t="inlineStr">
        <is>
          <t>a50 Капри и велосипедки для девочек</t>
        </is>
      </c>
      <c r="F1358" s="2" t="inlineStr">
        <is>
          <t>весна, лето</t>
        </is>
      </c>
      <c r="G1358" s="3" t="inlineStr">
        <is>
          <t>Kari KIDS</t>
        </is>
      </c>
      <c r="H1358" s="2" t="inlineStr">
        <is>
          <t>Зиннуров Ильнур</t>
        </is>
      </c>
      <c r="J1358" s="3" t="inlineStr">
        <is>
          <t>2026SS</t>
        </is>
      </c>
      <c r="K1358" s="3" t="n">
        <v>2</v>
      </c>
      <c r="L1358" s="3" t="n">
        <v>3</v>
      </c>
      <c r="M1358" s="3" t="n">
        <v>0</v>
      </c>
      <c r="N1358" s="4">
        <f>IFERROR(L1358/K1358,0)</f>
        <v/>
      </c>
      <c r="O1358" s="4">
        <f>IFERROR(M1358/L1358,0)</f>
        <v/>
      </c>
      <c r="P1358" t="n">
        <v>0</v>
      </c>
      <c r="Q1358" s="5" t="n">
        <v>0</v>
      </c>
      <c r="R1358" s="7" t="n">
        <v>0</v>
      </c>
      <c r="S1358" t="inlineStr">
        <is>
          <t>Мало остатка</t>
        </is>
      </c>
      <c r="T1358">
        <f>IF(N1358&lt;$T$1*0.5,"Низшая четверть",IF(N1358&lt;$T$1,"Вторая четверть","Больше половины"))</f>
        <v/>
      </c>
      <c r="U1358">
        <f>IF(O1358&lt;$U$1*0.5,"Низшая четверть",IF(O1358&lt;$U$1,"Вторая четверть","Больше половины"))</f>
        <v/>
      </c>
      <c r="V1358">
        <f>IF(OR(N1358&lt;SUMIFS(L:L,R:R,1,E:E,E1358)/SUMIFS(K:K,R:R,1,E:E,E1358)*0.5,O1358&lt;SUMIFS(M:M,R:R,1,E:E,E1358)/SUMIFS(L:L,R:R,1,E:E,E1358)*0.5),"код для проверки","нормальный код")</f>
        <v/>
      </c>
      <c r="W1358">
        <f>IF(N1358&lt;SUMIFS(L:L,R:R,1,E:E,E1358)/SUMIFS(K:K,R:R,1,E:E,E1358)*0.5,"Низшая четверть",IF(N1358&lt;SUMIFS(L:L,R:R,1,E:E,E1358)/SUMIFS(K:K,R:R,1,E:E,E1358),"Вторая четверть","Больше половины"))</f>
        <v/>
      </c>
      <c r="X1358">
        <f>IF(O1358&lt;SUMIFS(M:M,R:R,1,E:E,E1358)/SUMIFS(L:L,R:R,1,E:E,E1358)*0.5,"Низшая четверть",IF(O1358&lt;SUMIFS(M:M,R:R,1,E:E,E1358)/SUMIFS(L:L,R:R,1,E:E,E1358),"Вторая четверть","Больше половины"))</f>
        <v/>
      </c>
      <c r="Y1358" t="n">
        <v>10</v>
      </c>
    </row>
    <row r="1359">
      <c r="A1359" s="1" t="inlineStr">
        <is>
          <t>a60002B0</t>
        </is>
      </c>
      <c r="B1359" s="2" t="inlineStr">
        <is>
          <t>932503610</t>
        </is>
      </c>
      <c r="C1359" s="3" t="inlineStr">
        <is>
          <t>Одежда для детей</t>
        </is>
      </c>
      <c r="D1359" s="2" t="inlineStr">
        <is>
          <t>Платья, майки, футболки детские для девочек</t>
        </is>
      </c>
      <c r="E1359" s="3" t="inlineStr">
        <is>
          <t>a60 Футболка детская для девочек</t>
        </is>
      </c>
      <c r="F1359" s="2" t="inlineStr">
        <is>
          <t>всесезонный</t>
        </is>
      </c>
      <c r="G1359" s="3" t="inlineStr">
        <is>
          <t>Kari KIDS</t>
        </is>
      </c>
      <c r="H1359" s="2" t="inlineStr">
        <is>
          <t>Зиннуров Ильнур</t>
        </is>
      </c>
      <c r="J1359" s="3" t="inlineStr">
        <is>
          <t>2026SS</t>
        </is>
      </c>
      <c r="K1359" s="3" t="n">
        <v>2</v>
      </c>
      <c r="L1359" s="3" t="n">
        <v>1</v>
      </c>
      <c r="M1359" s="3" t="n">
        <v>0</v>
      </c>
      <c r="N1359" s="4">
        <f>IFERROR(L1359/K1359,0)</f>
        <v/>
      </c>
      <c r="O1359" s="4">
        <f>IFERROR(M1359/L1359,0)</f>
        <v/>
      </c>
      <c r="P1359" t="n">
        <v>0</v>
      </c>
      <c r="Q1359" s="5" t="n">
        <v>0</v>
      </c>
      <c r="R1359" s="7" t="n">
        <v>0</v>
      </c>
      <c r="S1359" t="inlineStr">
        <is>
          <t>Мало остатка</t>
        </is>
      </c>
      <c r="T1359">
        <f>IF(N1359&lt;$T$1*0.5,"Низшая четверть",IF(N1359&lt;$T$1,"Вторая четверть","Больше половины"))</f>
        <v/>
      </c>
      <c r="U1359">
        <f>IF(O1359&lt;$U$1*0.5,"Низшая четверть",IF(O1359&lt;$U$1,"Вторая четверть","Больше половины"))</f>
        <v/>
      </c>
      <c r="V1359">
        <f>IF(OR(N1359&lt;SUMIFS(L:L,R:R,1,E:E,E1359)/SUMIFS(K:K,R:R,1,E:E,E1359)*0.5,O1359&lt;SUMIFS(M:M,R:R,1,E:E,E1359)/SUMIFS(L:L,R:R,1,E:E,E1359)*0.5),"код для проверки","нормальный код")</f>
        <v/>
      </c>
      <c r="W1359">
        <f>IF(N1359&lt;SUMIFS(L:L,R:R,1,E:E,E1359)/SUMIFS(K:K,R:R,1,E:E,E1359)*0.5,"Низшая четверть",IF(N1359&lt;SUMIFS(L:L,R:R,1,E:E,E1359)/SUMIFS(K:K,R:R,1,E:E,E1359),"Вторая четверть","Больше половины"))</f>
        <v/>
      </c>
      <c r="X1359">
        <f>IF(O1359&lt;SUMIFS(M:M,R:R,1,E:E,E1359)/SUMIFS(L:L,R:R,1,E:E,E1359)*0.5,"Низшая четверть",IF(O1359&lt;SUMIFS(M:M,R:R,1,E:E,E1359)/SUMIFS(L:L,R:R,1,E:E,E1359),"Вторая четверть","Больше половины"))</f>
        <v/>
      </c>
      <c r="Y1359" t="n">
        <v>18</v>
      </c>
    </row>
    <row r="1360">
      <c r="A1360" s="1" t="inlineStr">
        <is>
          <t>29200240</t>
        </is>
      </c>
      <c r="B1360" s="2" t="inlineStr">
        <is>
          <t>788748506</t>
        </is>
      </c>
      <c r="C1360" s="3" t="inlineStr">
        <is>
          <t>Одежда для детей</t>
        </is>
      </c>
      <c r="D1360" s="2" t="inlineStr">
        <is>
          <t>Платья, майки, футболки детские для девочек</t>
        </is>
      </c>
      <c r="E1360" s="3" t="inlineStr">
        <is>
          <t>292 Сарафан детский для девочек</t>
        </is>
      </c>
      <c r="F1360" s="2" t="inlineStr">
        <is>
          <t>лето</t>
        </is>
      </c>
      <c r="G1360" s="3" t="inlineStr">
        <is>
          <t>kari</t>
        </is>
      </c>
      <c r="H1360" s="2" t="inlineStr">
        <is>
          <t>Зиннуров Ильнур</t>
        </is>
      </c>
      <c r="J1360" s="3" t="inlineStr">
        <is>
          <t>2026SS</t>
        </is>
      </c>
      <c r="K1360" s="3" t="n">
        <v>2</v>
      </c>
      <c r="L1360" s="3" t="n">
        <v>50</v>
      </c>
      <c r="M1360" s="3" t="n">
        <v>0</v>
      </c>
      <c r="N1360" s="4">
        <f>IFERROR(L1360/K1360,0)</f>
        <v/>
      </c>
      <c r="O1360" s="4">
        <f>IFERROR(M1360/L1360,0)</f>
        <v/>
      </c>
      <c r="P1360" t="n">
        <v>0</v>
      </c>
      <c r="Q1360" s="5" t="n">
        <v>0</v>
      </c>
      <c r="R1360" s="7" t="n">
        <v>0</v>
      </c>
      <c r="S1360" t="inlineStr">
        <is>
          <t>Мало остатка</t>
        </is>
      </c>
      <c r="T1360">
        <f>IF(N1360&lt;$T$1*0.5,"Низшая четверть",IF(N1360&lt;$T$1,"Вторая четверть","Больше половины"))</f>
        <v/>
      </c>
      <c r="U1360">
        <f>IF(O1360&lt;$U$1*0.5,"Низшая четверть",IF(O1360&lt;$U$1,"Вторая четверть","Больше половины"))</f>
        <v/>
      </c>
      <c r="V1360">
        <f>IF(OR(N1360&lt;SUMIFS(L:L,R:R,1,E:E,E1360)/SUMIFS(K:K,R:R,1,E:E,E1360)*0.5,O1360&lt;SUMIFS(M:M,R:R,1,E:E,E1360)/SUMIFS(L:L,R:R,1,E:E,E1360)*0.5),"код для проверки","нормальный код")</f>
        <v/>
      </c>
      <c r="W1360">
        <f>IF(N1360&lt;SUMIFS(L:L,R:R,1,E:E,E1360)/SUMIFS(K:K,R:R,1,E:E,E1360)*0.5,"Низшая четверть",IF(N1360&lt;SUMIFS(L:L,R:R,1,E:E,E1360)/SUMIFS(K:K,R:R,1,E:E,E1360),"Вторая четверть","Больше половины"))</f>
        <v/>
      </c>
      <c r="X1360">
        <f>IF(O1360&lt;SUMIFS(M:M,R:R,1,E:E,E1360)/SUMIFS(L:L,R:R,1,E:E,E1360)*0.5,"Низшая четверть",IF(O1360&lt;SUMIFS(M:M,R:R,1,E:E,E1360)/SUMIFS(L:L,R:R,1,E:E,E1360),"Вторая четверть","Больше половины"))</f>
        <v/>
      </c>
      <c r="Y1360" t="n">
        <v>18</v>
      </c>
    </row>
    <row r="1361">
      <c r="A1361" s="1" t="inlineStr">
        <is>
          <t>19400580</t>
        </is>
      </c>
      <c r="B1361" s="2" t="inlineStr">
        <is>
          <t>910240412</t>
        </is>
      </c>
      <c r="C1361" s="3" t="inlineStr">
        <is>
          <t>Одежда для детей</t>
        </is>
      </c>
      <c r="D1361" s="2" t="inlineStr">
        <is>
          <t>Брюки детские для девочек</t>
        </is>
      </c>
      <c r="E1361" s="3" t="inlineStr">
        <is>
          <t>194 Шорты детские для девочек</t>
        </is>
      </c>
      <c r="F1361" s="2" t="inlineStr">
        <is>
          <t>лето</t>
        </is>
      </c>
      <c r="G1361" s="3" t="inlineStr">
        <is>
          <t>Kari KIDS</t>
        </is>
      </c>
      <c r="H1361" s="2" t="inlineStr">
        <is>
          <t>Зиннуров Ильнур</t>
        </is>
      </c>
      <c r="J1361" s="3" t="inlineStr">
        <is>
          <t>2026SS</t>
        </is>
      </c>
      <c r="K1361" s="3" t="n">
        <v>2</v>
      </c>
      <c r="L1361" s="3" t="n">
        <v>2</v>
      </c>
      <c r="M1361" s="3" t="n">
        <v>0</v>
      </c>
      <c r="N1361" s="4">
        <f>IFERROR(L1361/K1361,0)</f>
        <v/>
      </c>
      <c r="O1361" s="4">
        <f>IFERROR(M1361/L1361,0)</f>
        <v/>
      </c>
      <c r="P1361" t="n">
        <v>0</v>
      </c>
      <c r="Q1361" s="5" t="n">
        <v>0</v>
      </c>
      <c r="R1361" s="7" t="n">
        <v>0</v>
      </c>
      <c r="S1361" t="inlineStr">
        <is>
          <t>Мало остатка</t>
        </is>
      </c>
      <c r="T1361">
        <f>IF(N1361&lt;$T$1*0.5,"Низшая четверть",IF(N1361&lt;$T$1,"Вторая четверть","Больше половины"))</f>
        <v/>
      </c>
      <c r="U1361">
        <f>IF(O1361&lt;$U$1*0.5,"Низшая четверть",IF(O1361&lt;$U$1,"Вторая четверть","Больше половины"))</f>
        <v/>
      </c>
      <c r="V1361">
        <f>IF(OR(N1361&lt;SUMIFS(L:L,R:R,1,E:E,E1361)/SUMIFS(K:K,R:R,1,E:E,E1361)*0.5,O1361&lt;SUMIFS(M:M,R:R,1,E:E,E1361)/SUMIFS(L:L,R:R,1,E:E,E1361)*0.5),"код для проверки","нормальный код")</f>
        <v/>
      </c>
      <c r="W1361">
        <f>IF(N1361&lt;SUMIFS(L:L,R:R,1,E:E,E1361)/SUMIFS(K:K,R:R,1,E:E,E1361)*0.5,"Низшая четверть",IF(N1361&lt;SUMIFS(L:L,R:R,1,E:E,E1361)/SUMIFS(K:K,R:R,1,E:E,E1361),"Вторая четверть","Больше половины"))</f>
        <v/>
      </c>
      <c r="X1361">
        <f>IF(O1361&lt;SUMIFS(M:M,R:R,1,E:E,E1361)/SUMIFS(L:L,R:R,1,E:E,E1361)*0.5,"Низшая четверть",IF(O1361&lt;SUMIFS(M:M,R:R,1,E:E,E1361)/SUMIFS(L:L,R:R,1,E:E,E1361),"Вторая четверть","Больше половины"))</f>
        <v/>
      </c>
      <c r="Y1361" t="n">
        <v>19</v>
      </c>
    </row>
    <row r="1362">
      <c r="A1362" s="1" t="inlineStr">
        <is>
          <t>07200710</t>
        </is>
      </c>
      <c r="B1362" s="2" t="inlineStr">
        <is>
          <t>936940523</t>
        </is>
      </c>
      <c r="C1362" s="3" t="inlineStr">
        <is>
          <t>Одежда и аксессуары</t>
        </is>
      </c>
      <c r="D1362" s="2" t="inlineStr">
        <is>
          <t>Нижнее белье женское</t>
        </is>
      </c>
      <c r="E1362" s="3" t="inlineStr">
        <is>
          <t>072 Трусы женские</t>
        </is>
      </c>
      <c r="F1362" s="2" t="inlineStr">
        <is>
          <t>всесезонный</t>
        </is>
      </c>
      <c r="G1362" s="3" t="inlineStr">
        <is>
          <t>kari</t>
        </is>
      </c>
      <c r="H1362" s="2" t="inlineStr">
        <is>
          <t>Никонорова Алина</t>
        </is>
      </c>
      <c r="J1362" s="3" t="inlineStr">
        <is>
          <t>2026SS</t>
        </is>
      </c>
      <c r="K1362" s="3" t="n">
        <v>2</v>
      </c>
      <c r="L1362" s="3" t="n">
        <v>3</v>
      </c>
      <c r="M1362" s="3" t="n">
        <v>0</v>
      </c>
      <c r="N1362" s="4">
        <f>IFERROR(L1362/K1362,0)</f>
        <v/>
      </c>
      <c r="O1362" s="4">
        <f>IFERROR(M1362/L1362,0)</f>
        <v/>
      </c>
      <c r="P1362" t="n">
        <v>0</v>
      </c>
      <c r="Q1362" s="5" t="n">
        <v>0</v>
      </c>
      <c r="R1362" s="7" t="n">
        <v>0</v>
      </c>
      <c r="S1362" t="inlineStr">
        <is>
          <t>Мало остатка</t>
        </is>
      </c>
      <c r="T1362">
        <f>IF(N1362&lt;$T$1*0.5,"Низшая четверть",IF(N1362&lt;$T$1,"Вторая четверть","Больше половины"))</f>
        <v/>
      </c>
      <c r="U1362">
        <f>IF(O1362&lt;$U$1*0.5,"Низшая четверть",IF(O1362&lt;$U$1,"Вторая четверть","Больше половины"))</f>
        <v/>
      </c>
      <c r="V1362">
        <f>IF(OR(N1362&lt;SUMIFS(L:L,R:R,1,E:E,E1362)/SUMIFS(K:K,R:R,1,E:E,E1362)*0.5,O1362&lt;SUMIFS(M:M,R:R,1,E:E,E1362)/SUMIFS(L:L,R:R,1,E:E,E1362)*0.5),"код для проверки","нормальный код")</f>
        <v/>
      </c>
      <c r="W1362">
        <f>IF(N1362&lt;SUMIFS(L:L,R:R,1,E:E,E1362)/SUMIFS(K:K,R:R,1,E:E,E1362)*0.5,"Низшая четверть",IF(N1362&lt;SUMIFS(L:L,R:R,1,E:E,E1362)/SUMIFS(K:K,R:R,1,E:E,E1362),"Вторая четверть","Больше половины"))</f>
        <v/>
      </c>
      <c r="X1362">
        <f>IF(O1362&lt;SUMIFS(M:M,R:R,1,E:E,E1362)/SUMIFS(L:L,R:R,1,E:E,E1362)*0.5,"Низшая четверть",IF(O1362&lt;SUMIFS(M:M,R:R,1,E:E,E1362)/SUMIFS(L:L,R:R,1,E:E,E1362),"Вторая четверть","Больше половины"))</f>
        <v/>
      </c>
      <c r="Y1362" t="n">
        <v>11</v>
      </c>
    </row>
    <row r="1363">
      <c r="A1363" s="1" t="inlineStr">
        <is>
          <t>12408040</t>
        </is>
      </c>
      <c r="B1363" s="2" t="inlineStr">
        <is>
          <t>378965484</t>
        </is>
      </c>
      <c r="C1363" s="3" t="inlineStr">
        <is>
          <t>Одежда и аксессуары</t>
        </is>
      </c>
      <c r="D1363" s="2" t="inlineStr">
        <is>
          <t>Чулочные и носочные изделия для женщин</t>
        </is>
      </c>
      <c r="E1363" s="3" t="inlineStr">
        <is>
          <t>124 Подследники женские</t>
        </is>
      </c>
      <c r="F1363" s="2" t="inlineStr">
        <is>
          <t>всесезонный</t>
        </is>
      </c>
      <c r="G1363" s="3" t="inlineStr">
        <is>
          <t>kari</t>
        </is>
      </c>
      <c r="H1363" s="2" t="inlineStr">
        <is>
          <t>Зиннуров Ильнур</t>
        </is>
      </c>
      <c r="J1363" s="3" t="inlineStr">
        <is>
          <t>2026SS</t>
        </is>
      </c>
      <c r="K1363" s="3" t="n">
        <v>2</v>
      </c>
      <c r="L1363" s="3" t="n">
        <v>2</v>
      </c>
      <c r="M1363" s="3" t="n">
        <v>0</v>
      </c>
      <c r="N1363" s="4">
        <f>IFERROR(L1363/K1363,0)</f>
        <v/>
      </c>
      <c r="O1363" s="4">
        <f>IFERROR(M1363/L1363,0)</f>
        <v/>
      </c>
      <c r="P1363" t="n">
        <v>0</v>
      </c>
      <c r="Q1363" s="5" t="n">
        <v>0</v>
      </c>
      <c r="R1363" s="7" t="n">
        <v>0</v>
      </c>
      <c r="S1363" t="inlineStr">
        <is>
          <t>Мало остатка</t>
        </is>
      </c>
      <c r="T1363">
        <f>IF(N1363&lt;$T$1*0.5,"Низшая четверть",IF(N1363&lt;$T$1,"Вторая четверть","Больше половины"))</f>
        <v/>
      </c>
      <c r="U1363">
        <f>IF(O1363&lt;$U$1*0.5,"Низшая четверть",IF(O1363&lt;$U$1,"Вторая четверть","Больше половины"))</f>
        <v/>
      </c>
      <c r="V1363">
        <f>IF(OR(N1363&lt;SUMIFS(L:L,R:R,1,E:E,E1363)/SUMIFS(K:K,R:R,1,E:E,E1363)*0.5,O1363&lt;SUMIFS(M:M,R:R,1,E:E,E1363)/SUMIFS(L:L,R:R,1,E:E,E1363)*0.5),"код для проверки","нормальный код")</f>
        <v/>
      </c>
      <c r="W1363">
        <f>IF(N1363&lt;SUMIFS(L:L,R:R,1,E:E,E1363)/SUMIFS(K:K,R:R,1,E:E,E1363)*0.5,"Низшая четверть",IF(N1363&lt;SUMIFS(L:L,R:R,1,E:E,E1363)/SUMIFS(K:K,R:R,1,E:E,E1363),"Вторая четверть","Больше половины"))</f>
        <v/>
      </c>
      <c r="X1363">
        <f>IF(O1363&lt;SUMIFS(M:M,R:R,1,E:E,E1363)/SUMIFS(L:L,R:R,1,E:E,E1363)*0.5,"Низшая четверть",IF(O1363&lt;SUMIFS(M:M,R:R,1,E:E,E1363)/SUMIFS(L:L,R:R,1,E:E,E1363),"Вторая четверть","Больше половины"))</f>
        <v/>
      </c>
      <c r="Y1363" t="n">
        <v>6</v>
      </c>
    </row>
    <row r="1364">
      <c r="A1364" s="1" t="inlineStr">
        <is>
          <t>12406110</t>
        </is>
      </c>
      <c r="B1364" s="2" t="inlineStr">
        <is>
          <t>372164805</t>
        </is>
      </c>
      <c r="C1364" s="3" t="inlineStr">
        <is>
          <t>Одежда и аксессуары</t>
        </is>
      </c>
      <c r="D1364" s="2" t="inlineStr">
        <is>
          <t>Чулочные и носочные изделия для женщин</t>
        </is>
      </c>
      <c r="E1364" s="3" t="inlineStr">
        <is>
          <t>124 Подследники женские</t>
        </is>
      </c>
      <c r="F1364" s="2" t="inlineStr">
        <is>
          <t>всесезонный</t>
        </is>
      </c>
      <c r="G1364" s="3" t="inlineStr">
        <is>
          <t>kari</t>
        </is>
      </c>
      <c r="H1364" s="2" t="inlineStr">
        <is>
          <t>Зиннуров Ильнур</t>
        </is>
      </c>
      <c r="J1364" s="3" t="inlineStr">
        <is>
          <t>2026SS</t>
        </is>
      </c>
      <c r="K1364" s="3" t="n">
        <v>2</v>
      </c>
      <c r="L1364" s="3" t="n">
        <v>0</v>
      </c>
      <c r="M1364" s="3" t="n">
        <v>0</v>
      </c>
      <c r="N1364" s="4">
        <f>IFERROR(L1364/K1364,0)</f>
        <v/>
      </c>
      <c r="O1364" s="4">
        <f>IFERROR(M1364/L1364,0)</f>
        <v/>
      </c>
      <c r="P1364" t="n">
        <v>0</v>
      </c>
      <c r="Q1364" s="5" t="n">
        <v>0</v>
      </c>
      <c r="R1364" s="7" t="n">
        <v>0</v>
      </c>
      <c r="S1364" t="inlineStr">
        <is>
          <t>Мало остатка</t>
        </is>
      </c>
      <c r="T1364">
        <f>IF(N1364&lt;$T$1*0.5,"Низшая четверть",IF(N1364&lt;$T$1,"Вторая четверть","Больше половины"))</f>
        <v/>
      </c>
      <c r="U1364">
        <f>IF(O1364&lt;$U$1*0.5,"Низшая четверть",IF(O1364&lt;$U$1,"Вторая четверть","Больше половины"))</f>
        <v/>
      </c>
      <c r="V1364">
        <f>IF(OR(N1364&lt;SUMIFS(L:L,R:R,1,E:E,E1364)/SUMIFS(K:K,R:R,1,E:E,E1364)*0.5,O1364&lt;SUMIFS(M:M,R:R,1,E:E,E1364)/SUMIFS(L:L,R:R,1,E:E,E1364)*0.5),"код для проверки","нормальный код")</f>
        <v/>
      </c>
      <c r="W1364">
        <f>IF(N1364&lt;SUMIFS(L:L,R:R,1,E:E,E1364)/SUMIFS(K:K,R:R,1,E:E,E1364)*0.5,"Низшая четверть",IF(N1364&lt;SUMIFS(L:L,R:R,1,E:E,E1364)/SUMIFS(K:K,R:R,1,E:E,E1364),"Вторая четверть","Больше половины"))</f>
        <v/>
      </c>
      <c r="X1364">
        <f>IF(O1364&lt;SUMIFS(M:M,R:R,1,E:E,E1364)/SUMIFS(L:L,R:R,1,E:E,E1364)*0.5,"Низшая четверть",IF(O1364&lt;SUMIFS(M:M,R:R,1,E:E,E1364)/SUMIFS(L:L,R:R,1,E:E,E1364),"Вторая четверть","Больше половины"))</f>
        <v/>
      </c>
      <c r="Y1364" t="n">
        <v>5</v>
      </c>
    </row>
    <row r="1365">
      <c r="A1365" s="1" t="inlineStr">
        <is>
          <t>05608230</t>
        </is>
      </c>
      <c r="B1365" s="2" t="inlineStr">
        <is>
          <t>378959423</t>
        </is>
      </c>
      <c r="C1365" s="3" t="inlineStr">
        <is>
          <t>Одежда и аксессуары</t>
        </is>
      </c>
      <c r="D1365" s="2" t="inlineStr">
        <is>
          <t>Чулочные и носочные изделия для женщин</t>
        </is>
      </c>
      <c r="E1365" s="3" t="inlineStr">
        <is>
          <t>056 Носки женские</t>
        </is>
      </c>
      <c r="F1365" s="2" t="inlineStr">
        <is>
          <t>всесезонный</t>
        </is>
      </c>
      <c r="G1365" s="3" t="inlineStr">
        <is>
          <t>kari</t>
        </is>
      </c>
      <c r="H1365" s="2" t="inlineStr">
        <is>
          <t>Зиннуров Ильнур</t>
        </is>
      </c>
      <c r="J1365" s="3" t="inlineStr">
        <is>
          <t>2026SS</t>
        </is>
      </c>
      <c r="K1365" s="3" t="n">
        <v>2</v>
      </c>
      <c r="L1365" s="3" t="n">
        <v>0</v>
      </c>
      <c r="M1365" s="3" t="n">
        <v>0</v>
      </c>
      <c r="N1365" s="4">
        <f>IFERROR(L1365/K1365,0)</f>
        <v/>
      </c>
      <c r="O1365" s="4">
        <f>IFERROR(M1365/L1365,0)</f>
        <v/>
      </c>
      <c r="P1365" t="n">
        <v>0</v>
      </c>
      <c r="Q1365" s="5" t="n">
        <v>0</v>
      </c>
      <c r="R1365" s="7" t="n">
        <v>0</v>
      </c>
      <c r="S1365" t="inlineStr">
        <is>
          <t>Мало остатка</t>
        </is>
      </c>
      <c r="T1365">
        <f>IF(N1365&lt;$T$1*0.5,"Низшая четверть",IF(N1365&lt;$T$1,"Вторая четверть","Больше половины"))</f>
        <v/>
      </c>
      <c r="U1365">
        <f>IF(O1365&lt;$U$1*0.5,"Низшая четверть",IF(O1365&lt;$U$1,"Вторая четверть","Больше половины"))</f>
        <v/>
      </c>
      <c r="V1365">
        <f>IF(OR(N1365&lt;SUMIFS(L:L,R:R,1,E:E,E1365)/SUMIFS(K:K,R:R,1,E:E,E1365)*0.5,O1365&lt;SUMIFS(M:M,R:R,1,E:E,E1365)/SUMIFS(L:L,R:R,1,E:E,E1365)*0.5),"код для проверки","нормальный код")</f>
        <v/>
      </c>
      <c r="W1365">
        <f>IF(N1365&lt;SUMIFS(L:L,R:R,1,E:E,E1365)/SUMIFS(K:K,R:R,1,E:E,E1365)*0.5,"Низшая четверть",IF(N1365&lt;SUMIFS(L:L,R:R,1,E:E,E1365)/SUMIFS(K:K,R:R,1,E:E,E1365),"Вторая четверть","Больше половины"))</f>
        <v/>
      </c>
      <c r="X1365">
        <f>IF(O1365&lt;SUMIFS(M:M,R:R,1,E:E,E1365)/SUMIFS(L:L,R:R,1,E:E,E1365)*0.5,"Низшая четверть",IF(O1365&lt;SUMIFS(M:M,R:R,1,E:E,E1365)/SUMIFS(L:L,R:R,1,E:E,E1365),"Вторая четверть","Больше половины"))</f>
        <v/>
      </c>
      <c r="Y1365" t="n">
        <v>5</v>
      </c>
    </row>
    <row r="1366">
      <c r="A1366" s="1" t="inlineStr">
        <is>
          <t>17402150</t>
        </is>
      </c>
      <c r="B1366" s="2" t="inlineStr">
        <is>
          <t>395973063</t>
        </is>
      </c>
      <c r="C1366" s="3" t="inlineStr">
        <is>
          <t>Одежда для детей</t>
        </is>
      </c>
      <c r="D1366" s="2" t="inlineStr">
        <is>
          <t>Чулочные и носочные детские изделия для мальчиков</t>
        </is>
      </c>
      <c r="E1366" s="3" t="inlineStr">
        <is>
          <t>174 Носки детские для мальчиков</t>
        </is>
      </c>
      <c r="F1366" s="2" t="inlineStr">
        <is>
          <t>всесезонный</t>
        </is>
      </c>
      <c r="G1366" s="3" t="inlineStr">
        <is>
          <t>kari</t>
        </is>
      </c>
      <c r="H1366" s="2" t="inlineStr">
        <is>
          <t>Зиннуров Ильнур</t>
        </is>
      </c>
      <c r="J1366" s="3" t="inlineStr">
        <is>
          <t>2026SS</t>
        </is>
      </c>
      <c r="K1366" s="3" t="n">
        <v>2</v>
      </c>
      <c r="L1366" s="3" t="n">
        <v>0</v>
      </c>
      <c r="M1366" s="3" t="n">
        <v>0</v>
      </c>
      <c r="N1366" s="4">
        <f>IFERROR(L1366/K1366,0)</f>
        <v/>
      </c>
      <c r="O1366" s="4">
        <f>IFERROR(M1366/L1366,0)</f>
        <v/>
      </c>
      <c r="P1366" t="n">
        <v>0</v>
      </c>
      <c r="Q1366" s="5" t="n">
        <v>0</v>
      </c>
      <c r="R1366" s="7" t="n">
        <v>0</v>
      </c>
      <c r="S1366" t="inlineStr">
        <is>
          <t>Мало остатка</t>
        </is>
      </c>
      <c r="T1366">
        <f>IF(N1366&lt;$T$1*0.5,"Низшая четверть",IF(N1366&lt;$T$1,"Вторая четверть","Больше половины"))</f>
        <v/>
      </c>
      <c r="U1366">
        <f>IF(O1366&lt;$U$1*0.5,"Низшая четверть",IF(O1366&lt;$U$1,"Вторая четверть","Больше половины"))</f>
        <v/>
      </c>
      <c r="V1366">
        <f>IF(OR(N1366&lt;SUMIFS(L:L,R:R,1,E:E,E1366)/SUMIFS(K:K,R:R,1,E:E,E1366)*0.5,O1366&lt;SUMIFS(M:M,R:R,1,E:E,E1366)/SUMIFS(L:L,R:R,1,E:E,E1366)*0.5),"код для проверки","нормальный код")</f>
        <v/>
      </c>
      <c r="W1366">
        <f>IF(N1366&lt;SUMIFS(L:L,R:R,1,E:E,E1366)/SUMIFS(K:K,R:R,1,E:E,E1366)*0.5,"Низшая четверть",IF(N1366&lt;SUMIFS(L:L,R:R,1,E:E,E1366)/SUMIFS(K:K,R:R,1,E:E,E1366),"Вторая четверть","Больше половины"))</f>
        <v/>
      </c>
      <c r="X1366">
        <f>IF(O1366&lt;SUMIFS(M:M,R:R,1,E:E,E1366)/SUMIFS(L:L,R:R,1,E:E,E1366)*0.5,"Низшая четверть",IF(O1366&lt;SUMIFS(M:M,R:R,1,E:E,E1366)/SUMIFS(L:L,R:R,1,E:E,E1366),"Вторая четверть","Больше половины"))</f>
        <v/>
      </c>
      <c r="Y1366" t="n">
        <v>5</v>
      </c>
    </row>
    <row r="1367">
      <c r="A1367" s="1" t="inlineStr">
        <is>
          <t>05708070</t>
        </is>
      </c>
      <c r="B1367" s="2" t="inlineStr">
        <is>
          <t>399231306</t>
        </is>
      </c>
      <c r="C1367" s="3" t="inlineStr">
        <is>
          <t>Одежда и аксессуары</t>
        </is>
      </c>
      <c r="D1367" s="2" t="inlineStr">
        <is>
          <t>Чулочные и носочные изделия для мужчин</t>
        </is>
      </c>
      <c r="E1367" s="3" t="inlineStr">
        <is>
          <t>057 Носки мужские</t>
        </is>
      </c>
      <c r="F1367" s="2" t="inlineStr">
        <is>
          <t>всесезонный</t>
        </is>
      </c>
      <c r="G1367" s="3" t="inlineStr">
        <is>
          <t>kari</t>
        </is>
      </c>
      <c r="H1367" s="2" t="inlineStr">
        <is>
          <t>Зиннуров Ильнур</t>
        </is>
      </c>
      <c r="J1367" s="3" t="inlineStr">
        <is>
          <t>2026SS</t>
        </is>
      </c>
      <c r="K1367" s="3" t="n">
        <v>2</v>
      </c>
      <c r="L1367" s="3" t="n">
        <v>0</v>
      </c>
      <c r="M1367" s="3" t="n">
        <v>0</v>
      </c>
      <c r="N1367" s="4">
        <f>IFERROR(L1367/K1367,0)</f>
        <v/>
      </c>
      <c r="O1367" s="4">
        <f>IFERROR(M1367/L1367,0)</f>
        <v/>
      </c>
      <c r="P1367" t="n">
        <v>0</v>
      </c>
      <c r="Q1367" s="5" t="n">
        <v>0</v>
      </c>
      <c r="R1367" s="7" t="n">
        <v>0</v>
      </c>
      <c r="S1367" t="inlineStr">
        <is>
          <t>Мало остатка</t>
        </is>
      </c>
      <c r="T1367">
        <f>IF(N1367&lt;$T$1*0.5,"Низшая четверть",IF(N1367&lt;$T$1,"Вторая четверть","Больше половины"))</f>
        <v/>
      </c>
      <c r="U1367">
        <f>IF(O1367&lt;$U$1*0.5,"Низшая четверть",IF(O1367&lt;$U$1,"Вторая четверть","Больше половины"))</f>
        <v/>
      </c>
      <c r="V1367">
        <f>IF(OR(N1367&lt;SUMIFS(L:L,R:R,1,E:E,E1367)/SUMIFS(K:K,R:R,1,E:E,E1367)*0.5,O1367&lt;SUMIFS(M:M,R:R,1,E:E,E1367)/SUMIFS(L:L,R:R,1,E:E,E1367)*0.5),"код для проверки","нормальный код")</f>
        <v/>
      </c>
      <c r="W1367">
        <f>IF(N1367&lt;SUMIFS(L:L,R:R,1,E:E,E1367)/SUMIFS(K:K,R:R,1,E:E,E1367)*0.5,"Низшая четверть",IF(N1367&lt;SUMIFS(L:L,R:R,1,E:E,E1367)/SUMIFS(K:K,R:R,1,E:E,E1367),"Вторая четверть","Больше половины"))</f>
        <v/>
      </c>
      <c r="X1367">
        <f>IF(O1367&lt;SUMIFS(M:M,R:R,1,E:E,E1367)/SUMIFS(L:L,R:R,1,E:E,E1367)*0.5,"Низшая четверть",IF(O1367&lt;SUMIFS(M:M,R:R,1,E:E,E1367)/SUMIFS(L:L,R:R,1,E:E,E1367),"Вторая четверть","Больше половины"))</f>
        <v/>
      </c>
      <c r="Y1367" t="n">
        <v>3</v>
      </c>
    </row>
    <row r="1368">
      <c r="A1368" s="1" t="inlineStr">
        <is>
          <t>12407020</t>
        </is>
      </c>
      <c r="B1368" s="2" t="inlineStr">
        <is>
          <t>378959379</t>
        </is>
      </c>
      <c r="C1368" s="3" t="inlineStr">
        <is>
          <t>Одежда и аксессуары</t>
        </is>
      </c>
      <c r="D1368" s="2" t="inlineStr">
        <is>
          <t>Чулочные и носочные изделия для женщин</t>
        </is>
      </c>
      <c r="E1368" s="3" t="inlineStr">
        <is>
          <t>124 Подследники женские</t>
        </is>
      </c>
      <c r="F1368" s="2" t="inlineStr">
        <is>
          <t>всесезонный</t>
        </is>
      </c>
      <c r="G1368" s="3" t="inlineStr">
        <is>
          <t>kari</t>
        </is>
      </c>
      <c r="H1368" s="2" t="inlineStr">
        <is>
          <t>Зиннуров Ильнур</t>
        </is>
      </c>
      <c r="J1368" s="3" t="inlineStr">
        <is>
          <t>2026SS</t>
        </is>
      </c>
      <c r="K1368" s="3" t="n">
        <v>2</v>
      </c>
      <c r="L1368" s="3" t="n">
        <v>0</v>
      </c>
      <c r="M1368" s="3" t="n">
        <v>0</v>
      </c>
      <c r="N1368" s="4">
        <f>IFERROR(L1368/K1368,0)</f>
        <v/>
      </c>
      <c r="O1368" s="4">
        <f>IFERROR(M1368/L1368,0)</f>
        <v/>
      </c>
      <c r="P1368" t="n">
        <v>0</v>
      </c>
      <c r="Q1368" s="5" t="n">
        <v>0</v>
      </c>
      <c r="R1368" s="7" t="n">
        <v>0</v>
      </c>
      <c r="S1368" t="inlineStr">
        <is>
          <t>Мало остатка</t>
        </is>
      </c>
      <c r="T1368">
        <f>IF(N1368&lt;$T$1*0.5,"Низшая четверть",IF(N1368&lt;$T$1,"Вторая четверть","Больше половины"))</f>
        <v/>
      </c>
      <c r="U1368">
        <f>IF(O1368&lt;$U$1*0.5,"Низшая четверть",IF(O1368&lt;$U$1,"Вторая четверть","Больше половины"))</f>
        <v/>
      </c>
      <c r="V1368">
        <f>IF(OR(N1368&lt;SUMIFS(L:L,R:R,1,E:E,E1368)/SUMIFS(K:K,R:R,1,E:E,E1368)*0.5,O1368&lt;SUMIFS(M:M,R:R,1,E:E,E1368)/SUMIFS(L:L,R:R,1,E:E,E1368)*0.5),"код для проверки","нормальный код")</f>
        <v/>
      </c>
      <c r="W1368">
        <f>IF(N1368&lt;SUMIFS(L:L,R:R,1,E:E,E1368)/SUMIFS(K:K,R:R,1,E:E,E1368)*0.5,"Низшая четверть",IF(N1368&lt;SUMIFS(L:L,R:R,1,E:E,E1368)/SUMIFS(K:K,R:R,1,E:E,E1368),"Вторая четверть","Больше половины"))</f>
        <v/>
      </c>
      <c r="X1368">
        <f>IF(O1368&lt;SUMIFS(M:M,R:R,1,E:E,E1368)/SUMIFS(L:L,R:R,1,E:E,E1368)*0.5,"Низшая четверть",IF(O1368&lt;SUMIFS(M:M,R:R,1,E:E,E1368)/SUMIFS(L:L,R:R,1,E:E,E1368),"Вторая четверть","Больше половины"))</f>
        <v/>
      </c>
      <c r="Y1368" t="n">
        <v>4</v>
      </c>
    </row>
    <row r="1369">
      <c r="A1369" s="1" t="inlineStr">
        <is>
          <t>a5000150</t>
        </is>
      </c>
      <c r="B1369" s="2" t="inlineStr">
        <is>
          <t>898547230</t>
        </is>
      </c>
      <c r="C1369" s="3" t="inlineStr">
        <is>
          <t>Одежда для детей</t>
        </is>
      </c>
      <c r="D1369" s="2" t="inlineStr">
        <is>
          <t>Чулочные и носочные детские изделия для девочек</t>
        </is>
      </c>
      <c r="E1369" s="3" t="inlineStr">
        <is>
          <t>a50 Капри и велосипедки для девочек</t>
        </is>
      </c>
      <c r="F1369" s="2" t="inlineStr">
        <is>
          <t>весна, лето</t>
        </is>
      </c>
      <c r="G1369" s="3" t="inlineStr">
        <is>
          <t>Kari KIDS</t>
        </is>
      </c>
      <c r="H1369" s="2" t="inlineStr">
        <is>
          <t>Зиннуров Ильнур</t>
        </is>
      </c>
      <c r="J1369" s="3" t="inlineStr">
        <is>
          <t>2026SS</t>
        </is>
      </c>
      <c r="K1369" s="3" t="n">
        <v>1</v>
      </c>
      <c r="L1369" s="3" t="n">
        <v>1</v>
      </c>
      <c r="M1369" s="3" t="n">
        <v>0</v>
      </c>
      <c r="N1369" s="4">
        <f>IFERROR(L1369/K1369,0)</f>
        <v/>
      </c>
      <c r="O1369" s="4">
        <f>IFERROR(M1369/L1369,0)</f>
        <v/>
      </c>
      <c r="P1369" t="n">
        <v>0</v>
      </c>
      <c r="Q1369" s="5" t="n">
        <v>0</v>
      </c>
      <c r="R1369" s="7" t="n">
        <v>0</v>
      </c>
      <c r="S1369" t="inlineStr">
        <is>
          <t>Мало остатка</t>
        </is>
      </c>
      <c r="T1369">
        <f>IF(N1369&lt;$T$1*0.5,"Низшая четверть",IF(N1369&lt;$T$1,"Вторая четверть","Больше половины"))</f>
        <v/>
      </c>
      <c r="U1369">
        <f>IF(O1369&lt;$U$1*0.5,"Низшая четверть",IF(O1369&lt;$U$1,"Вторая четверть","Больше половины"))</f>
        <v/>
      </c>
      <c r="V1369">
        <f>IF(OR(N1369&lt;SUMIFS(L:L,R:R,1,E:E,E1369)/SUMIFS(K:K,R:R,1,E:E,E1369)*0.5,O1369&lt;SUMIFS(M:M,R:R,1,E:E,E1369)/SUMIFS(L:L,R:R,1,E:E,E1369)*0.5),"код для проверки","нормальный код")</f>
        <v/>
      </c>
      <c r="W1369">
        <f>IF(N1369&lt;SUMIFS(L:L,R:R,1,E:E,E1369)/SUMIFS(K:K,R:R,1,E:E,E1369)*0.5,"Низшая четверть",IF(N1369&lt;SUMIFS(L:L,R:R,1,E:E,E1369)/SUMIFS(K:K,R:R,1,E:E,E1369),"Вторая четверть","Больше половины"))</f>
        <v/>
      </c>
      <c r="X1369">
        <f>IF(O1369&lt;SUMIFS(M:M,R:R,1,E:E,E1369)/SUMIFS(L:L,R:R,1,E:E,E1369)*0.5,"Низшая четверть",IF(O1369&lt;SUMIFS(M:M,R:R,1,E:E,E1369)/SUMIFS(L:L,R:R,1,E:E,E1369),"Вторая четверть","Больше половины"))</f>
        <v/>
      </c>
      <c r="Y1369" t="n">
        <v>8</v>
      </c>
    </row>
    <row r="1370">
      <c r="A1370" s="1" t="inlineStr">
        <is>
          <t>a5000040</t>
        </is>
      </c>
      <c r="B1370" s="2" t="inlineStr">
        <is>
          <t>852780332</t>
        </is>
      </c>
      <c r="C1370" s="3" t="inlineStr">
        <is>
          <t>Одежда для детей</t>
        </is>
      </c>
      <c r="D1370" s="2" t="inlineStr">
        <is>
          <t>Чулочные и носочные детские изделия для девочек</t>
        </is>
      </c>
      <c r="E1370" s="3" t="inlineStr">
        <is>
          <t>a50 Капри и велосипедки для девочек</t>
        </is>
      </c>
      <c r="F1370" s="2" t="inlineStr">
        <is>
          <t>весна, лето</t>
        </is>
      </c>
      <c r="G1370" s="3" t="inlineStr">
        <is>
          <t>Kari KIDS</t>
        </is>
      </c>
      <c r="H1370" s="2" t="inlineStr">
        <is>
          <t>Зиннуров Ильнур</t>
        </is>
      </c>
      <c r="J1370" s="3" t="inlineStr">
        <is>
          <t>2026SS</t>
        </is>
      </c>
      <c r="K1370" s="3" t="n">
        <v>1</v>
      </c>
      <c r="L1370" s="3" t="n">
        <v>2</v>
      </c>
      <c r="M1370" s="3" t="n">
        <v>0</v>
      </c>
      <c r="N1370" s="4">
        <f>IFERROR(L1370/K1370,0)</f>
        <v/>
      </c>
      <c r="O1370" s="4">
        <f>IFERROR(M1370/L1370,0)</f>
        <v/>
      </c>
      <c r="P1370" t="n">
        <v>0</v>
      </c>
      <c r="Q1370" s="5" t="n">
        <v>0</v>
      </c>
      <c r="R1370" s="7" t="n">
        <v>0</v>
      </c>
      <c r="S1370" t="inlineStr">
        <is>
          <t>Мало остатка</t>
        </is>
      </c>
      <c r="T1370">
        <f>IF(N1370&lt;$T$1*0.5,"Низшая четверть",IF(N1370&lt;$T$1,"Вторая четверть","Больше половины"))</f>
        <v/>
      </c>
      <c r="U1370">
        <f>IF(O1370&lt;$U$1*0.5,"Низшая четверть",IF(O1370&lt;$U$1,"Вторая четверть","Больше половины"))</f>
        <v/>
      </c>
      <c r="V1370">
        <f>IF(OR(N1370&lt;SUMIFS(L:L,R:R,1,E:E,E1370)/SUMIFS(K:K,R:R,1,E:E,E1370)*0.5,O1370&lt;SUMIFS(M:M,R:R,1,E:E,E1370)/SUMIFS(L:L,R:R,1,E:E,E1370)*0.5),"код для проверки","нормальный код")</f>
        <v/>
      </c>
      <c r="W1370">
        <f>IF(N1370&lt;SUMIFS(L:L,R:R,1,E:E,E1370)/SUMIFS(K:K,R:R,1,E:E,E1370)*0.5,"Низшая четверть",IF(N1370&lt;SUMIFS(L:L,R:R,1,E:E,E1370)/SUMIFS(K:K,R:R,1,E:E,E1370),"Вторая четверть","Больше половины"))</f>
        <v/>
      </c>
      <c r="X1370">
        <f>IF(O1370&lt;SUMIFS(M:M,R:R,1,E:E,E1370)/SUMIFS(L:L,R:R,1,E:E,E1370)*0.5,"Низшая четверть",IF(O1370&lt;SUMIFS(M:M,R:R,1,E:E,E1370)/SUMIFS(L:L,R:R,1,E:E,E1370),"Вторая четверть","Больше половины"))</f>
        <v/>
      </c>
      <c r="Y1370" t="n">
        <v>13</v>
      </c>
    </row>
    <row r="1371">
      <c r="A1371" s="1" t="inlineStr">
        <is>
          <t>a60001G0</t>
        </is>
      </c>
      <c r="B1371" s="2" t="inlineStr">
        <is>
          <t>884287740</t>
        </is>
      </c>
      <c r="C1371" s="3" t="inlineStr">
        <is>
          <t>Одежда для детей</t>
        </is>
      </c>
      <c r="D1371" s="2" t="inlineStr">
        <is>
          <t>Платья, майки, футболки детские для девочек</t>
        </is>
      </c>
      <c r="E1371" s="3" t="inlineStr">
        <is>
          <t>a60 Футболка детская для девочек</t>
        </is>
      </c>
      <c r="F1371" s="2" t="inlineStr">
        <is>
          <t>всесезонный</t>
        </is>
      </c>
      <c r="G1371" s="3" t="inlineStr">
        <is>
          <t>Kari KIDS</t>
        </is>
      </c>
      <c r="H1371" s="2" t="inlineStr">
        <is>
          <t>Зиннуров Ильнур</t>
        </is>
      </c>
      <c r="J1371" s="3" t="inlineStr">
        <is>
          <t>2026SS</t>
        </is>
      </c>
      <c r="K1371" s="3" t="n">
        <v>1</v>
      </c>
      <c r="L1371" s="3" t="n">
        <v>1</v>
      </c>
      <c r="M1371" s="3" t="n">
        <v>0</v>
      </c>
      <c r="N1371" s="4">
        <f>IFERROR(L1371/K1371,0)</f>
        <v/>
      </c>
      <c r="O1371" s="4">
        <f>IFERROR(M1371/L1371,0)</f>
        <v/>
      </c>
      <c r="P1371" t="n">
        <v>0</v>
      </c>
      <c r="Q1371" s="5" t="n">
        <v>0</v>
      </c>
      <c r="R1371" s="7" t="n">
        <v>0</v>
      </c>
      <c r="S1371" t="inlineStr">
        <is>
          <t>Мало остатка</t>
        </is>
      </c>
      <c r="T1371">
        <f>IF(N1371&lt;$T$1*0.5,"Низшая четверть",IF(N1371&lt;$T$1,"Вторая четверть","Больше половины"))</f>
        <v/>
      </c>
      <c r="U1371">
        <f>IF(O1371&lt;$U$1*0.5,"Низшая четверть",IF(O1371&lt;$U$1,"Вторая четверть","Больше половины"))</f>
        <v/>
      </c>
      <c r="V1371">
        <f>IF(OR(N1371&lt;SUMIFS(L:L,R:R,1,E:E,E1371)/SUMIFS(K:K,R:R,1,E:E,E1371)*0.5,O1371&lt;SUMIFS(M:M,R:R,1,E:E,E1371)/SUMIFS(L:L,R:R,1,E:E,E1371)*0.5),"код для проверки","нормальный код")</f>
        <v/>
      </c>
      <c r="W1371">
        <f>IF(N1371&lt;SUMIFS(L:L,R:R,1,E:E,E1371)/SUMIFS(K:K,R:R,1,E:E,E1371)*0.5,"Низшая четверть",IF(N1371&lt;SUMIFS(L:L,R:R,1,E:E,E1371)/SUMIFS(K:K,R:R,1,E:E,E1371),"Вторая четверть","Больше половины"))</f>
        <v/>
      </c>
      <c r="X1371">
        <f>IF(O1371&lt;SUMIFS(M:M,R:R,1,E:E,E1371)/SUMIFS(L:L,R:R,1,E:E,E1371)*0.5,"Низшая четверть",IF(O1371&lt;SUMIFS(M:M,R:R,1,E:E,E1371)/SUMIFS(L:L,R:R,1,E:E,E1371),"Вторая четверть","Больше половины"))</f>
        <v/>
      </c>
      <c r="Y1371" t="n">
        <v>9</v>
      </c>
    </row>
    <row r="1372">
      <c r="A1372" s="1" t="inlineStr">
        <is>
          <t>a5000110</t>
        </is>
      </c>
      <c r="B1372" s="2" t="inlineStr">
        <is>
          <t>879342922</t>
        </is>
      </c>
      <c r="C1372" s="3" t="inlineStr">
        <is>
          <t>Одежда для детей</t>
        </is>
      </c>
      <c r="D1372" s="2" t="inlineStr">
        <is>
          <t>Чулочные и носочные детские изделия для девочек</t>
        </is>
      </c>
      <c r="E1372" s="3" t="inlineStr">
        <is>
          <t>a50 Капри и велосипедки для девочек</t>
        </is>
      </c>
      <c r="F1372" s="2" t="inlineStr">
        <is>
          <t>весна, лето</t>
        </is>
      </c>
      <c r="G1372" s="3" t="inlineStr">
        <is>
          <t>Kari KIDS</t>
        </is>
      </c>
      <c r="H1372" s="2" t="inlineStr">
        <is>
          <t>Зиннуров Ильнур</t>
        </is>
      </c>
      <c r="J1372" s="3" t="inlineStr">
        <is>
          <t>2026SS</t>
        </is>
      </c>
      <c r="K1372" s="3" t="n">
        <v>1</v>
      </c>
      <c r="L1372" s="3" t="n">
        <v>1</v>
      </c>
      <c r="M1372" s="3" t="n">
        <v>0</v>
      </c>
      <c r="N1372" s="4">
        <f>IFERROR(L1372/K1372,0)</f>
        <v/>
      </c>
      <c r="O1372" s="4">
        <f>IFERROR(M1372/L1372,0)</f>
        <v/>
      </c>
      <c r="P1372" t="n">
        <v>0</v>
      </c>
      <c r="Q1372" s="5" t="n">
        <v>0</v>
      </c>
      <c r="R1372" s="7" t="n">
        <v>0</v>
      </c>
      <c r="S1372" t="inlineStr">
        <is>
          <t>Мало остатка</t>
        </is>
      </c>
      <c r="T1372">
        <f>IF(N1372&lt;$T$1*0.5,"Низшая четверть",IF(N1372&lt;$T$1,"Вторая четверть","Больше половины"))</f>
        <v/>
      </c>
      <c r="U1372">
        <f>IF(O1372&lt;$U$1*0.5,"Низшая четверть",IF(O1372&lt;$U$1,"Вторая четверть","Больше половины"))</f>
        <v/>
      </c>
      <c r="V1372">
        <f>IF(OR(N1372&lt;SUMIFS(L:L,R:R,1,E:E,E1372)/SUMIFS(K:K,R:R,1,E:E,E1372)*0.5,O1372&lt;SUMIFS(M:M,R:R,1,E:E,E1372)/SUMIFS(L:L,R:R,1,E:E,E1372)*0.5),"код для проверки","нормальный код")</f>
        <v/>
      </c>
      <c r="W1372">
        <f>IF(N1372&lt;SUMIFS(L:L,R:R,1,E:E,E1372)/SUMIFS(K:K,R:R,1,E:E,E1372)*0.5,"Низшая четверть",IF(N1372&lt;SUMIFS(L:L,R:R,1,E:E,E1372)/SUMIFS(K:K,R:R,1,E:E,E1372),"Вторая четверть","Больше половины"))</f>
        <v/>
      </c>
      <c r="X1372">
        <f>IF(O1372&lt;SUMIFS(M:M,R:R,1,E:E,E1372)/SUMIFS(L:L,R:R,1,E:E,E1372)*0.5,"Низшая четверть",IF(O1372&lt;SUMIFS(M:M,R:R,1,E:E,E1372)/SUMIFS(L:L,R:R,1,E:E,E1372),"Вторая четверть","Больше половины"))</f>
        <v/>
      </c>
      <c r="Y1372" t="n">
        <v>6</v>
      </c>
    </row>
    <row r="1373">
      <c r="A1373" s="1" t="inlineStr">
        <is>
          <t>a5000120</t>
        </is>
      </c>
      <c r="B1373" s="2" t="inlineStr">
        <is>
          <t>879308759</t>
        </is>
      </c>
      <c r="C1373" s="3" t="inlineStr">
        <is>
          <t>Одежда для детей</t>
        </is>
      </c>
      <c r="D1373" s="2" t="inlineStr">
        <is>
          <t>Чулочные и носочные детские изделия для девочек</t>
        </is>
      </c>
      <c r="E1373" s="3" t="inlineStr">
        <is>
          <t>a50 Капри и велосипедки для девочек</t>
        </is>
      </c>
      <c r="F1373" s="2" t="inlineStr">
        <is>
          <t>весна, лето</t>
        </is>
      </c>
      <c r="G1373" s="3" t="inlineStr">
        <is>
          <t>kari</t>
        </is>
      </c>
      <c r="H1373" s="2" t="inlineStr">
        <is>
          <t>Зиннуров Ильнур</t>
        </is>
      </c>
      <c r="J1373" s="3" t="inlineStr">
        <is>
          <t>2026SS</t>
        </is>
      </c>
      <c r="K1373" s="3" t="n">
        <v>1</v>
      </c>
      <c r="L1373" s="3" t="n">
        <v>2</v>
      </c>
      <c r="M1373" s="3" t="n">
        <v>0</v>
      </c>
      <c r="N1373" s="4">
        <f>IFERROR(L1373/K1373,0)</f>
        <v/>
      </c>
      <c r="O1373" s="4">
        <f>IFERROR(M1373/L1373,0)</f>
        <v/>
      </c>
      <c r="P1373" t="n">
        <v>0</v>
      </c>
      <c r="Q1373" s="5" t="n">
        <v>0</v>
      </c>
      <c r="R1373" s="7" t="n">
        <v>0</v>
      </c>
      <c r="S1373" t="inlineStr">
        <is>
          <t>Мало остатка</t>
        </is>
      </c>
      <c r="T1373">
        <f>IF(N1373&lt;$T$1*0.5,"Низшая четверть",IF(N1373&lt;$T$1,"Вторая четверть","Больше половины"))</f>
        <v/>
      </c>
      <c r="U1373">
        <f>IF(O1373&lt;$U$1*0.5,"Низшая четверть",IF(O1373&lt;$U$1,"Вторая четверть","Больше половины"))</f>
        <v/>
      </c>
      <c r="V1373">
        <f>IF(OR(N1373&lt;SUMIFS(L:L,R:R,1,E:E,E1373)/SUMIFS(K:K,R:R,1,E:E,E1373)*0.5,O1373&lt;SUMIFS(M:M,R:R,1,E:E,E1373)/SUMIFS(L:L,R:R,1,E:E,E1373)*0.5),"код для проверки","нормальный код")</f>
        <v/>
      </c>
      <c r="W1373">
        <f>IF(N1373&lt;SUMIFS(L:L,R:R,1,E:E,E1373)/SUMIFS(K:K,R:R,1,E:E,E1373)*0.5,"Низшая четверть",IF(N1373&lt;SUMIFS(L:L,R:R,1,E:E,E1373)/SUMIFS(K:K,R:R,1,E:E,E1373),"Вторая четверть","Больше половины"))</f>
        <v/>
      </c>
      <c r="X1373">
        <f>IF(O1373&lt;SUMIFS(M:M,R:R,1,E:E,E1373)/SUMIFS(L:L,R:R,1,E:E,E1373)*0.5,"Низшая четверть",IF(O1373&lt;SUMIFS(M:M,R:R,1,E:E,E1373)/SUMIFS(L:L,R:R,1,E:E,E1373),"Вторая четверть","Больше половины"))</f>
        <v/>
      </c>
      <c r="Y1373" t="n">
        <v>7</v>
      </c>
    </row>
    <row r="1374">
      <c r="A1374" s="1" t="inlineStr">
        <is>
          <t>a60000Y0</t>
        </is>
      </c>
      <c r="B1374" s="2" t="inlineStr">
        <is>
          <t>932503648</t>
        </is>
      </c>
      <c r="C1374" s="3" t="inlineStr">
        <is>
          <t>Одежда для детей</t>
        </is>
      </c>
      <c r="D1374" s="2" t="inlineStr">
        <is>
          <t>Платья, майки, футболки детские для девочек</t>
        </is>
      </c>
      <c r="E1374" s="3" t="inlineStr">
        <is>
          <t>a60 Футболка детская для девочек</t>
        </is>
      </c>
      <c r="F1374" s="2" t="inlineStr">
        <is>
          <t>всесезонный</t>
        </is>
      </c>
      <c r="G1374" s="3" t="inlineStr">
        <is>
          <t>Kari KIDS</t>
        </is>
      </c>
      <c r="H1374" s="2" t="inlineStr">
        <is>
          <t>Зиннуров Ильнур</t>
        </is>
      </c>
      <c r="J1374" s="3" t="inlineStr">
        <is>
          <t>2026SS</t>
        </is>
      </c>
      <c r="K1374" s="3" t="n">
        <v>1</v>
      </c>
      <c r="L1374" s="3" t="n">
        <v>1</v>
      </c>
      <c r="M1374" s="3" t="n">
        <v>0</v>
      </c>
      <c r="N1374" s="4">
        <f>IFERROR(L1374/K1374,0)</f>
        <v/>
      </c>
      <c r="O1374" s="4">
        <f>IFERROR(M1374/L1374,0)</f>
        <v/>
      </c>
      <c r="P1374" t="n">
        <v>0</v>
      </c>
      <c r="Q1374" s="5" t="n">
        <v>0</v>
      </c>
      <c r="R1374" s="7" t="n">
        <v>0</v>
      </c>
      <c r="S1374" t="inlineStr">
        <is>
          <t>Мало остатка</t>
        </is>
      </c>
      <c r="T1374">
        <f>IF(N1374&lt;$T$1*0.5,"Низшая четверть",IF(N1374&lt;$T$1,"Вторая четверть","Больше половины"))</f>
        <v/>
      </c>
      <c r="U1374">
        <f>IF(O1374&lt;$U$1*0.5,"Низшая четверть",IF(O1374&lt;$U$1,"Вторая четверть","Больше половины"))</f>
        <v/>
      </c>
      <c r="V1374">
        <f>IF(OR(N1374&lt;SUMIFS(L:L,R:R,1,E:E,E1374)/SUMIFS(K:K,R:R,1,E:E,E1374)*0.5,O1374&lt;SUMIFS(M:M,R:R,1,E:E,E1374)/SUMIFS(L:L,R:R,1,E:E,E1374)*0.5),"код для проверки","нормальный код")</f>
        <v/>
      </c>
      <c r="W1374">
        <f>IF(N1374&lt;SUMIFS(L:L,R:R,1,E:E,E1374)/SUMIFS(K:K,R:R,1,E:E,E1374)*0.5,"Низшая четверть",IF(N1374&lt;SUMIFS(L:L,R:R,1,E:E,E1374)/SUMIFS(K:K,R:R,1,E:E,E1374),"Вторая четверть","Больше половины"))</f>
        <v/>
      </c>
      <c r="X1374">
        <f>IF(O1374&lt;SUMIFS(M:M,R:R,1,E:E,E1374)/SUMIFS(L:L,R:R,1,E:E,E1374)*0.5,"Низшая четверть",IF(O1374&lt;SUMIFS(M:M,R:R,1,E:E,E1374)/SUMIFS(L:L,R:R,1,E:E,E1374),"Вторая четверть","Больше половины"))</f>
        <v/>
      </c>
      <c r="Y1374" t="n">
        <v>19</v>
      </c>
    </row>
    <row r="1375">
      <c r="A1375" s="1" t="inlineStr">
        <is>
          <t>a60001F0</t>
        </is>
      </c>
      <c r="B1375" s="2" t="inlineStr">
        <is>
          <t>901240952</t>
        </is>
      </c>
      <c r="C1375" s="3" t="inlineStr">
        <is>
          <t>Одежда для детей</t>
        </is>
      </c>
      <c r="D1375" s="2" t="inlineStr">
        <is>
          <t>Платья, майки, футболки детские для девочек</t>
        </is>
      </c>
      <c r="E1375" s="3" t="inlineStr">
        <is>
          <t>a60 Футболка детская для девочек</t>
        </is>
      </c>
      <c r="F1375" s="2" t="inlineStr">
        <is>
          <t>всесезонный</t>
        </is>
      </c>
      <c r="G1375" s="3" t="inlineStr">
        <is>
          <t>Kari KIDS</t>
        </is>
      </c>
      <c r="H1375" s="2" t="inlineStr">
        <is>
          <t>Зиннуров Ильнур</t>
        </is>
      </c>
      <c r="J1375" s="3" t="inlineStr">
        <is>
          <t>2026SS</t>
        </is>
      </c>
      <c r="K1375" s="3" t="n">
        <v>1</v>
      </c>
      <c r="L1375" s="3" t="n">
        <v>1</v>
      </c>
      <c r="M1375" s="3" t="n">
        <v>0</v>
      </c>
      <c r="N1375" s="4">
        <f>IFERROR(L1375/K1375,0)</f>
        <v/>
      </c>
      <c r="O1375" s="4">
        <f>IFERROR(M1375/L1375,0)</f>
        <v/>
      </c>
      <c r="P1375" t="n">
        <v>0</v>
      </c>
      <c r="Q1375" s="5" t="n">
        <v>0</v>
      </c>
      <c r="R1375" s="7" t="n">
        <v>0</v>
      </c>
      <c r="S1375" t="inlineStr">
        <is>
          <t>Мало остатка</t>
        </is>
      </c>
      <c r="T1375">
        <f>IF(N1375&lt;$T$1*0.5,"Низшая четверть",IF(N1375&lt;$T$1,"Вторая четверть","Больше половины"))</f>
        <v/>
      </c>
      <c r="U1375">
        <f>IF(O1375&lt;$U$1*0.5,"Низшая четверть",IF(O1375&lt;$U$1,"Вторая четверть","Больше половины"))</f>
        <v/>
      </c>
      <c r="V1375">
        <f>IF(OR(N1375&lt;SUMIFS(L:L,R:R,1,E:E,E1375)/SUMIFS(K:K,R:R,1,E:E,E1375)*0.5,O1375&lt;SUMIFS(M:M,R:R,1,E:E,E1375)/SUMIFS(L:L,R:R,1,E:E,E1375)*0.5),"код для проверки","нормальный код")</f>
        <v/>
      </c>
      <c r="W1375">
        <f>IF(N1375&lt;SUMIFS(L:L,R:R,1,E:E,E1375)/SUMIFS(K:K,R:R,1,E:E,E1375)*0.5,"Низшая четверть",IF(N1375&lt;SUMIFS(L:L,R:R,1,E:E,E1375)/SUMIFS(K:K,R:R,1,E:E,E1375),"Вторая четверть","Больше половины"))</f>
        <v/>
      </c>
      <c r="X1375">
        <f>IF(O1375&lt;SUMIFS(M:M,R:R,1,E:E,E1375)/SUMIFS(L:L,R:R,1,E:E,E1375)*0.5,"Низшая четверть",IF(O1375&lt;SUMIFS(M:M,R:R,1,E:E,E1375)/SUMIFS(L:L,R:R,1,E:E,E1375),"Вторая четверть","Больше половины"))</f>
        <v/>
      </c>
      <c r="Y1375" t="n">
        <v>12</v>
      </c>
    </row>
    <row r="1376">
      <c r="A1376" s="1" t="inlineStr">
        <is>
          <t>310001M0</t>
        </is>
      </c>
      <c r="B1376" s="2" t="inlineStr">
        <is>
          <t>917592353</t>
        </is>
      </c>
      <c r="C1376" s="3" t="inlineStr">
        <is>
          <t>Одежда для детей</t>
        </is>
      </c>
      <c r="D1376" s="2" t="inlineStr">
        <is>
          <t>Футболки, майки, рубашки детские для мальчиков</t>
        </is>
      </c>
      <c r="E1376" s="3" t="inlineStr">
        <is>
          <t>310 Футболка детская для мальчиков</t>
        </is>
      </c>
      <c r="F1376" s="2" t="inlineStr">
        <is>
          <t>всесезонный</t>
        </is>
      </c>
      <c r="G1376" s="3" t="inlineStr">
        <is>
          <t>kari</t>
        </is>
      </c>
      <c r="H1376" s="2" t="inlineStr">
        <is>
          <t>Зиннуров Ильнур</t>
        </is>
      </c>
      <c r="J1376" s="3" t="inlineStr">
        <is>
          <t>2026SS</t>
        </is>
      </c>
      <c r="K1376" s="3" t="n">
        <v>1</v>
      </c>
      <c r="L1376" s="3" t="n">
        <v>1</v>
      </c>
      <c r="M1376" s="3" t="n">
        <v>0</v>
      </c>
      <c r="N1376" s="4">
        <f>IFERROR(L1376/K1376,0)</f>
        <v/>
      </c>
      <c r="O1376" s="4">
        <f>IFERROR(M1376/L1376,0)</f>
        <v/>
      </c>
      <c r="P1376" t="n">
        <v>0</v>
      </c>
      <c r="Q1376" s="5" t="n">
        <v>0</v>
      </c>
      <c r="R1376" s="7" t="n">
        <v>0</v>
      </c>
      <c r="S1376" t="inlineStr">
        <is>
          <t>Мало остатка</t>
        </is>
      </c>
      <c r="T1376">
        <f>IF(N1376&lt;$T$1*0.5,"Низшая четверть",IF(N1376&lt;$T$1,"Вторая четверть","Больше половины"))</f>
        <v/>
      </c>
      <c r="U1376">
        <f>IF(O1376&lt;$U$1*0.5,"Низшая четверть",IF(O1376&lt;$U$1,"Вторая четверть","Больше половины"))</f>
        <v/>
      </c>
      <c r="V1376">
        <f>IF(OR(N1376&lt;SUMIFS(L:L,R:R,1,E:E,E1376)/SUMIFS(K:K,R:R,1,E:E,E1376)*0.5,O1376&lt;SUMIFS(M:M,R:R,1,E:E,E1376)/SUMIFS(L:L,R:R,1,E:E,E1376)*0.5),"код для проверки","нормальный код")</f>
        <v/>
      </c>
      <c r="W1376">
        <f>IF(N1376&lt;SUMIFS(L:L,R:R,1,E:E,E1376)/SUMIFS(K:K,R:R,1,E:E,E1376)*0.5,"Низшая четверть",IF(N1376&lt;SUMIFS(L:L,R:R,1,E:E,E1376)/SUMIFS(K:K,R:R,1,E:E,E1376),"Вторая четверть","Больше половины"))</f>
        <v/>
      </c>
      <c r="X1376">
        <f>IF(O1376&lt;SUMIFS(M:M,R:R,1,E:E,E1376)/SUMIFS(L:L,R:R,1,E:E,E1376)*0.5,"Низшая четверть",IF(O1376&lt;SUMIFS(M:M,R:R,1,E:E,E1376)/SUMIFS(L:L,R:R,1,E:E,E1376),"Вторая четверть","Больше половины"))</f>
        <v/>
      </c>
      <c r="Y1376" t="n">
        <v>8</v>
      </c>
    </row>
    <row r="1377">
      <c r="A1377" s="1" t="inlineStr">
        <is>
          <t>31906090</t>
        </is>
      </c>
      <c r="B1377" s="2" t="inlineStr">
        <is>
          <t>395973137</t>
        </is>
      </c>
      <c r="C1377" s="3" t="inlineStr">
        <is>
          <t>Одежда для детей</t>
        </is>
      </c>
      <c r="D1377" s="2" t="inlineStr">
        <is>
          <t>Чулочные и носочные детские изделия для девочек</t>
        </is>
      </c>
      <c r="E1377" s="3" t="inlineStr">
        <is>
          <t>319 Гольфы детские для девочек</t>
        </is>
      </c>
      <c r="F1377" s="2" t="inlineStr">
        <is>
          <t>всесезонный</t>
        </is>
      </c>
      <c r="G1377" s="3" t="inlineStr">
        <is>
          <t>kari</t>
        </is>
      </c>
      <c r="H1377" s="2" t="inlineStr">
        <is>
          <t>Зиннуров Ильнур</t>
        </is>
      </c>
      <c r="J1377" s="3" t="inlineStr">
        <is>
          <t>2026SS</t>
        </is>
      </c>
      <c r="K1377" s="3" t="n">
        <v>1</v>
      </c>
      <c r="L1377" s="3" t="n">
        <v>0</v>
      </c>
      <c r="M1377" s="3" t="n">
        <v>0</v>
      </c>
      <c r="N1377" s="4">
        <f>IFERROR(L1377/K1377,0)</f>
        <v/>
      </c>
      <c r="O1377" s="4">
        <f>IFERROR(M1377/L1377,0)</f>
        <v/>
      </c>
      <c r="P1377" t="n">
        <v>0</v>
      </c>
      <c r="Q1377" s="5" t="n">
        <v>0</v>
      </c>
      <c r="R1377" s="7" t="n">
        <v>0</v>
      </c>
      <c r="S1377" t="inlineStr">
        <is>
          <t>Мало остатка</t>
        </is>
      </c>
      <c r="T1377">
        <f>IF(N1377&lt;$T$1*0.5,"Низшая четверть",IF(N1377&lt;$T$1,"Вторая четверть","Больше половины"))</f>
        <v/>
      </c>
      <c r="U1377">
        <f>IF(O1377&lt;$U$1*0.5,"Низшая четверть",IF(O1377&lt;$U$1,"Вторая четверть","Больше половины"))</f>
        <v/>
      </c>
      <c r="V1377">
        <f>IF(OR(N1377&lt;SUMIFS(L:L,R:R,1,E:E,E1377)/SUMIFS(K:K,R:R,1,E:E,E1377)*0.5,O1377&lt;SUMIFS(M:M,R:R,1,E:E,E1377)/SUMIFS(L:L,R:R,1,E:E,E1377)*0.5),"код для проверки","нормальный код")</f>
        <v/>
      </c>
      <c r="W1377">
        <f>IF(N1377&lt;SUMIFS(L:L,R:R,1,E:E,E1377)/SUMIFS(K:K,R:R,1,E:E,E1377)*0.5,"Низшая четверть",IF(N1377&lt;SUMIFS(L:L,R:R,1,E:E,E1377)/SUMIFS(K:K,R:R,1,E:E,E1377),"Вторая четверть","Больше половины"))</f>
        <v/>
      </c>
      <c r="X1377">
        <f>IF(O1377&lt;SUMIFS(M:M,R:R,1,E:E,E1377)/SUMIFS(L:L,R:R,1,E:E,E1377)*0.5,"Низшая четверть",IF(O1377&lt;SUMIFS(M:M,R:R,1,E:E,E1377)/SUMIFS(L:L,R:R,1,E:E,E1377),"Вторая четверть","Больше половины"))</f>
        <v/>
      </c>
      <c r="Y1377" t="n">
        <v>4</v>
      </c>
    </row>
    <row r="1378">
      <c r="A1378" s="1" t="inlineStr">
        <is>
          <t>310001L0</t>
        </is>
      </c>
      <c r="B1378" s="2" t="inlineStr">
        <is>
          <t>917592348</t>
        </is>
      </c>
      <c r="C1378" s="3" t="inlineStr">
        <is>
          <t>Одежда для детей</t>
        </is>
      </c>
      <c r="D1378" s="2" t="inlineStr">
        <is>
          <t>Футболки, майки, рубашки детские для мальчиков</t>
        </is>
      </c>
      <c r="E1378" s="3" t="inlineStr">
        <is>
          <t>310 Футболка детская для мальчиков</t>
        </is>
      </c>
      <c r="F1378" s="2" t="inlineStr">
        <is>
          <t>всесезонный</t>
        </is>
      </c>
      <c r="G1378" s="3" t="inlineStr">
        <is>
          <t>kari</t>
        </is>
      </c>
      <c r="H1378" s="2" t="inlineStr">
        <is>
          <t>Зиннуров Ильнур</t>
        </is>
      </c>
      <c r="J1378" s="3" t="inlineStr">
        <is>
          <t>2026SS</t>
        </is>
      </c>
      <c r="K1378" s="3" t="n">
        <v>1</v>
      </c>
      <c r="L1378" s="3" t="n">
        <v>3</v>
      </c>
      <c r="M1378" s="3" t="n">
        <v>0</v>
      </c>
      <c r="N1378" s="4">
        <f>IFERROR(L1378/K1378,0)</f>
        <v/>
      </c>
      <c r="O1378" s="4">
        <f>IFERROR(M1378/L1378,0)</f>
        <v/>
      </c>
      <c r="P1378" t="n">
        <v>0</v>
      </c>
      <c r="Q1378" s="5" t="n">
        <v>0</v>
      </c>
      <c r="R1378" s="7" t="n">
        <v>0</v>
      </c>
      <c r="S1378" t="inlineStr">
        <is>
          <t>Мало остатка</t>
        </is>
      </c>
      <c r="T1378">
        <f>IF(N1378&lt;$T$1*0.5,"Низшая четверть",IF(N1378&lt;$T$1,"Вторая четверть","Больше половины"))</f>
        <v/>
      </c>
      <c r="U1378">
        <f>IF(O1378&lt;$U$1*0.5,"Низшая четверть",IF(O1378&lt;$U$1,"Вторая четверть","Больше половины"))</f>
        <v/>
      </c>
      <c r="V1378">
        <f>IF(OR(N1378&lt;SUMIFS(L:L,R:R,1,E:E,E1378)/SUMIFS(K:K,R:R,1,E:E,E1378)*0.5,O1378&lt;SUMIFS(M:M,R:R,1,E:E,E1378)/SUMIFS(L:L,R:R,1,E:E,E1378)*0.5),"код для проверки","нормальный код")</f>
        <v/>
      </c>
      <c r="W1378">
        <f>IF(N1378&lt;SUMIFS(L:L,R:R,1,E:E,E1378)/SUMIFS(K:K,R:R,1,E:E,E1378)*0.5,"Низшая четверть",IF(N1378&lt;SUMIFS(L:L,R:R,1,E:E,E1378)/SUMIFS(K:K,R:R,1,E:E,E1378),"Вторая четверть","Больше половины"))</f>
        <v/>
      </c>
      <c r="X1378">
        <f>IF(O1378&lt;SUMIFS(M:M,R:R,1,E:E,E1378)/SUMIFS(L:L,R:R,1,E:E,E1378)*0.5,"Низшая четверть",IF(O1378&lt;SUMIFS(M:M,R:R,1,E:E,E1378)/SUMIFS(L:L,R:R,1,E:E,E1378),"Вторая четверть","Больше половины"))</f>
        <v/>
      </c>
      <c r="Y1378" t="n">
        <v>7</v>
      </c>
    </row>
    <row r="1379">
      <c r="A1379" s="1" t="inlineStr">
        <is>
          <t>19400300</t>
        </is>
      </c>
      <c r="B1379" s="2" t="inlineStr">
        <is>
          <t>837332235</t>
        </is>
      </c>
      <c r="C1379" s="3" t="inlineStr">
        <is>
          <t>Одежда для детей</t>
        </is>
      </c>
      <c r="D1379" s="2" t="inlineStr">
        <is>
          <t>Брюки детские для девочек</t>
        </is>
      </c>
      <c r="E1379" s="3" t="inlineStr">
        <is>
          <t>194 Шорты детские для девочек</t>
        </is>
      </c>
      <c r="F1379" s="2" t="inlineStr">
        <is>
          <t>лето</t>
        </is>
      </c>
      <c r="G1379" s="3" t="inlineStr">
        <is>
          <t>kari</t>
        </is>
      </c>
      <c r="H1379" s="2" t="inlineStr">
        <is>
          <t>Зиннуров Ильнур</t>
        </is>
      </c>
      <c r="J1379" s="3" t="inlineStr">
        <is>
          <t>2026SS</t>
        </is>
      </c>
      <c r="K1379" s="3" t="n">
        <v>1</v>
      </c>
      <c r="L1379" s="3" t="n">
        <v>3</v>
      </c>
      <c r="M1379" s="3" t="n">
        <v>0</v>
      </c>
      <c r="N1379" s="4">
        <f>IFERROR(L1379/K1379,0)</f>
        <v/>
      </c>
      <c r="O1379" s="4">
        <f>IFERROR(M1379/L1379,0)</f>
        <v/>
      </c>
      <c r="P1379" t="n">
        <v>0</v>
      </c>
      <c r="Q1379" s="5" t="n">
        <v>0</v>
      </c>
      <c r="R1379" s="7" t="n">
        <v>0</v>
      </c>
      <c r="S1379" t="inlineStr">
        <is>
          <t>Мало остатка</t>
        </is>
      </c>
      <c r="T1379">
        <f>IF(N1379&lt;$T$1*0.5,"Низшая четверть",IF(N1379&lt;$T$1,"Вторая четверть","Больше половины"))</f>
        <v/>
      </c>
      <c r="U1379">
        <f>IF(O1379&lt;$U$1*0.5,"Низшая четверть",IF(O1379&lt;$U$1,"Вторая четверть","Больше половины"))</f>
        <v/>
      </c>
      <c r="V1379">
        <f>IF(OR(N1379&lt;SUMIFS(L:L,R:R,1,E:E,E1379)/SUMIFS(K:K,R:R,1,E:E,E1379)*0.5,O1379&lt;SUMIFS(M:M,R:R,1,E:E,E1379)/SUMIFS(L:L,R:R,1,E:E,E1379)*0.5),"код для проверки","нормальный код")</f>
        <v/>
      </c>
      <c r="W1379">
        <f>IF(N1379&lt;SUMIFS(L:L,R:R,1,E:E,E1379)/SUMIFS(K:K,R:R,1,E:E,E1379)*0.5,"Низшая четверть",IF(N1379&lt;SUMIFS(L:L,R:R,1,E:E,E1379)/SUMIFS(K:K,R:R,1,E:E,E1379),"Вторая четверть","Больше половины"))</f>
        <v/>
      </c>
      <c r="X1379">
        <f>IF(O1379&lt;SUMIFS(M:M,R:R,1,E:E,E1379)/SUMIFS(L:L,R:R,1,E:E,E1379)*0.5,"Низшая четверть",IF(O1379&lt;SUMIFS(M:M,R:R,1,E:E,E1379)/SUMIFS(L:L,R:R,1,E:E,E1379),"Вторая четверть","Больше половины"))</f>
        <v/>
      </c>
      <c r="Y1379" t="n">
        <v>12</v>
      </c>
    </row>
    <row r="1380">
      <c r="A1380" s="1" t="inlineStr">
        <is>
          <t>19400260</t>
        </is>
      </c>
      <c r="B1380" s="2" t="inlineStr">
        <is>
          <t>837332414</t>
        </is>
      </c>
      <c r="C1380" s="3" t="inlineStr">
        <is>
          <t>Одежда для детей</t>
        </is>
      </c>
      <c r="D1380" s="2" t="inlineStr">
        <is>
          <t>Брюки детские для девочек</t>
        </is>
      </c>
      <c r="E1380" s="3" t="inlineStr">
        <is>
          <t>194 Шорты детские для девочек</t>
        </is>
      </c>
      <c r="F1380" s="2" t="inlineStr">
        <is>
          <t>лето</t>
        </is>
      </c>
      <c r="G1380" s="3" t="inlineStr">
        <is>
          <t>kari</t>
        </is>
      </c>
      <c r="H1380" s="2" t="inlineStr">
        <is>
          <t>Зиннуров Ильнур</t>
        </is>
      </c>
      <c r="J1380" s="3" t="inlineStr">
        <is>
          <t>2026SS</t>
        </is>
      </c>
      <c r="K1380" s="3" t="n">
        <v>1</v>
      </c>
      <c r="L1380" s="3" t="n">
        <v>3</v>
      </c>
      <c r="M1380" s="3" t="n">
        <v>0</v>
      </c>
      <c r="N1380" s="4">
        <f>IFERROR(L1380/K1380,0)</f>
        <v/>
      </c>
      <c r="O1380" s="4">
        <f>IFERROR(M1380/L1380,0)</f>
        <v/>
      </c>
      <c r="P1380" t="n">
        <v>0</v>
      </c>
      <c r="Q1380" s="5" t="n">
        <v>0</v>
      </c>
      <c r="R1380" s="7" t="n">
        <v>0</v>
      </c>
      <c r="S1380" t="inlineStr">
        <is>
          <t>Мало остатка</t>
        </is>
      </c>
      <c r="T1380">
        <f>IF(N1380&lt;$T$1*0.5,"Низшая четверть",IF(N1380&lt;$T$1,"Вторая четверть","Больше половины"))</f>
        <v/>
      </c>
      <c r="U1380">
        <f>IF(O1380&lt;$U$1*0.5,"Низшая четверть",IF(O1380&lt;$U$1,"Вторая четверть","Больше половины"))</f>
        <v/>
      </c>
      <c r="V1380">
        <f>IF(OR(N1380&lt;SUMIFS(L:L,R:R,1,E:E,E1380)/SUMIFS(K:K,R:R,1,E:E,E1380)*0.5,O1380&lt;SUMIFS(M:M,R:R,1,E:E,E1380)/SUMIFS(L:L,R:R,1,E:E,E1380)*0.5),"код для проверки","нормальный код")</f>
        <v/>
      </c>
      <c r="W1380">
        <f>IF(N1380&lt;SUMIFS(L:L,R:R,1,E:E,E1380)/SUMIFS(K:K,R:R,1,E:E,E1380)*0.5,"Низшая четверть",IF(N1380&lt;SUMIFS(L:L,R:R,1,E:E,E1380)/SUMIFS(K:K,R:R,1,E:E,E1380),"Вторая четверть","Больше половины"))</f>
        <v/>
      </c>
      <c r="X1380">
        <f>IF(O1380&lt;SUMIFS(M:M,R:R,1,E:E,E1380)/SUMIFS(L:L,R:R,1,E:E,E1380)*0.5,"Низшая четверть",IF(O1380&lt;SUMIFS(M:M,R:R,1,E:E,E1380)/SUMIFS(L:L,R:R,1,E:E,E1380),"Вторая четверть","Больше половины"))</f>
        <v/>
      </c>
      <c r="Y1380" t="n">
        <v>21</v>
      </c>
    </row>
    <row r="1381">
      <c r="A1381" s="1" t="inlineStr">
        <is>
          <t>19300610</t>
        </is>
      </c>
      <c r="B1381" s="2" t="inlineStr">
        <is>
          <t>837332179</t>
        </is>
      </c>
      <c r="C1381" s="3" t="inlineStr">
        <is>
          <t>Одежда для детей</t>
        </is>
      </c>
      <c r="D1381" s="2" t="inlineStr">
        <is>
          <t>Брюки детские для мальчиков</t>
        </is>
      </c>
      <c r="E1381" s="3" t="inlineStr">
        <is>
          <t>193 Шорты детские для мальчиков</t>
        </is>
      </c>
      <c r="F1381" s="2" t="inlineStr">
        <is>
          <t>лето</t>
        </is>
      </c>
      <c r="G1381" s="3" t="inlineStr">
        <is>
          <t>Kari KIDS</t>
        </is>
      </c>
      <c r="H1381" s="2" t="inlineStr">
        <is>
          <t>Зиннуров Ильнур</t>
        </is>
      </c>
      <c r="J1381" s="3" t="inlineStr">
        <is>
          <t>2026SS</t>
        </is>
      </c>
      <c r="K1381" s="3" t="n">
        <v>1</v>
      </c>
      <c r="L1381" s="3" t="n">
        <v>3</v>
      </c>
      <c r="M1381" s="3" t="n">
        <v>0</v>
      </c>
      <c r="N1381" s="4">
        <f>IFERROR(L1381/K1381,0)</f>
        <v/>
      </c>
      <c r="O1381" s="4">
        <f>IFERROR(M1381/L1381,0)</f>
        <v/>
      </c>
      <c r="P1381" t="n">
        <v>0</v>
      </c>
      <c r="Q1381" s="5" t="n">
        <v>0</v>
      </c>
      <c r="R1381" s="7" t="n">
        <v>0</v>
      </c>
      <c r="S1381" t="inlineStr">
        <is>
          <t>Мало остатка</t>
        </is>
      </c>
      <c r="T1381">
        <f>IF(N1381&lt;$T$1*0.5,"Низшая четверть",IF(N1381&lt;$T$1,"Вторая четверть","Больше половины"))</f>
        <v/>
      </c>
      <c r="U1381">
        <f>IF(O1381&lt;$U$1*0.5,"Низшая четверть",IF(O1381&lt;$U$1,"Вторая четверть","Больше половины"))</f>
        <v/>
      </c>
      <c r="V1381">
        <f>IF(OR(N1381&lt;SUMIFS(L:L,R:R,1,E:E,E1381)/SUMIFS(K:K,R:R,1,E:E,E1381)*0.5,O1381&lt;SUMIFS(M:M,R:R,1,E:E,E1381)/SUMIFS(L:L,R:R,1,E:E,E1381)*0.5),"код для проверки","нормальный код")</f>
        <v/>
      </c>
      <c r="W1381">
        <f>IF(N1381&lt;SUMIFS(L:L,R:R,1,E:E,E1381)/SUMIFS(K:K,R:R,1,E:E,E1381)*0.5,"Низшая четверть",IF(N1381&lt;SUMIFS(L:L,R:R,1,E:E,E1381)/SUMIFS(K:K,R:R,1,E:E,E1381),"Вторая четверть","Больше половины"))</f>
        <v/>
      </c>
      <c r="X1381">
        <f>IF(O1381&lt;SUMIFS(M:M,R:R,1,E:E,E1381)/SUMIFS(L:L,R:R,1,E:E,E1381)*0.5,"Низшая четверть",IF(O1381&lt;SUMIFS(M:M,R:R,1,E:E,E1381)/SUMIFS(L:L,R:R,1,E:E,E1381),"Вторая четверть","Больше половины"))</f>
        <v/>
      </c>
      <c r="Y1381" t="n">
        <v>13</v>
      </c>
    </row>
    <row r="1382">
      <c r="A1382" s="1" t="inlineStr">
        <is>
          <t>17406870</t>
        </is>
      </c>
      <c r="B1382" s="2" t="inlineStr">
        <is>
          <t>399231331</t>
        </is>
      </c>
      <c r="C1382" s="3" t="inlineStr">
        <is>
          <t>Одежда для детей</t>
        </is>
      </c>
      <c r="D1382" s="2" t="inlineStr">
        <is>
          <t>Чулочные и носочные детские изделия для мальчиков</t>
        </is>
      </c>
      <c r="E1382" s="3" t="inlineStr">
        <is>
          <t>174 Носки детские для мальчиков</t>
        </is>
      </c>
      <c r="F1382" s="2" t="inlineStr">
        <is>
          <t>всесезонный</t>
        </is>
      </c>
      <c r="G1382" s="3" t="inlineStr">
        <is>
          <t>kari</t>
        </is>
      </c>
      <c r="H1382" s="2" t="inlineStr">
        <is>
          <t>Зиннуров Ильнур</t>
        </is>
      </c>
      <c r="J1382" s="3" t="inlineStr">
        <is>
          <t>2026SS</t>
        </is>
      </c>
      <c r="K1382" s="3" t="n">
        <v>1</v>
      </c>
      <c r="L1382" s="3" t="n">
        <v>0</v>
      </c>
      <c r="M1382" s="3" t="n">
        <v>0</v>
      </c>
      <c r="N1382" s="4">
        <f>IFERROR(L1382/K1382,0)</f>
        <v/>
      </c>
      <c r="O1382" s="4">
        <f>IFERROR(M1382/L1382,0)</f>
        <v/>
      </c>
      <c r="P1382" t="n">
        <v>0</v>
      </c>
      <c r="Q1382" s="5" t="n">
        <v>0</v>
      </c>
      <c r="R1382" s="7" t="n">
        <v>0</v>
      </c>
      <c r="S1382" t="inlineStr">
        <is>
          <t>Мало остатка</t>
        </is>
      </c>
      <c r="T1382">
        <f>IF(N1382&lt;$T$1*0.5,"Низшая четверть",IF(N1382&lt;$T$1,"Вторая четверть","Больше половины"))</f>
        <v/>
      </c>
      <c r="U1382">
        <f>IF(O1382&lt;$U$1*0.5,"Низшая четверть",IF(O1382&lt;$U$1,"Вторая четверть","Больше половины"))</f>
        <v/>
      </c>
      <c r="V1382">
        <f>IF(OR(N1382&lt;SUMIFS(L:L,R:R,1,E:E,E1382)/SUMIFS(K:K,R:R,1,E:E,E1382)*0.5,O1382&lt;SUMIFS(M:M,R:R,1,E:E,E1382)/SUMIFS(L:L,R:R,1,E:E,E1382)*0.5),"код для проверки","нормальный код")</f>
        <v/>
      </c>
      <c r="W1382">
        <f>IF(N1382&lt;SUMIFS(L:L,R:R,1,E:E,E1382)/SUMIFS(K:K,R:R,1,E:E,E1382)*0.5,"Низшая четверть",IF(N1382&lt;SUMIFS(L:L,R:R,1,E:E,E1382)/SUMIFS(K:K,R:R,1,E:E,E1382),"Вторая четверть","Больше половины"))</f>
        <v/>
      </c>
      <c r="X1382">
        <f>IF(O1382&lt;SUMIFS(M:M,R:R,1,E:E,E1382)/SUMIFS(L:L,R:R,1,E:E,E1382)*0.5,"Низшая четверть",IF(O1382&lt;SUMIFS(M:M,R:R,1,E:E,E1382)/SUMIFS(L:L,R:R,1,E:E,E1382),"Вторая четверть","Больше половины"))</f>
        <v/>
      </c>
      <c r="Y1382" t="n">
        <v>4</v>
      </c>
    </row>
    <row r="1383">
      <c r="A1383" s="1" t="inlineStr">
        <is>
          <t>05606280</t>
        </is>
      </c>
      <c r="B1383" s="2" t="inlineStr">
        <is>
          <t>399231319</t>
        </is>
      </c>
      <c r="C1383" s="3" t="inlineStr">
        <is>
          <t>Одежда и аксессуары</t>
        </is>
      </c>
      <c r="D1383" s="2" t="inlineStr">
        <is>
          <t>Чулочные и носочные изделия для женщин</t>
        </is>
      </c>
      <c r="E1383" s="3" t="inlineStr">
        <is>
          <t>056 Носки женские</t>
        </is>
      </c>
      <c r="F1383" s="2" t="inlineStr">
        <is>
          <t>всесезонный</t>
        </is>
      </c>
      <c r="G1383" s="3" t="inlineStr">
        <is>
          <t>kari</t>
        </is>
      </c>
      <c r="H1383" s="2" t="inlineStr">
        <is>
          <t>Зиннуров Ильнур</t>
        </is>
      </c>
      <c r="J1383" s="3" t="inlineStr">
        <is>
          <t>2026SS</t>
        </is>
      </c>
      <c r="K1383" s="3" t="n">
        <v>1</v>
      </c>
      <c r="L1383" s="3" t="n">
        <v>0</v>
      </c>
      <c r="M1383" s="3" t="n">
        <v>0</v>
      </c>
      <c r="N1383" s="4">
        <f>IFERROR(L1383/K1383,0)</f>
        <v/>
      </c>
      <c r="O1383" s="4">
        <f>IFERROR(M1383/L1383,0)</f>
        <v/>
      </c>
      <c r="P1383" t="n">
        <v>0</v>
      </c>
      <c r="Q1383" s="5" t="n">
        <v>0</v>
      </c>
      <c r="R1383" s="7" t="n">
        <v>0</v>
      </c>
      <c r="S1383" t="inlineStr">
        <is>
          <t>Мало остатка</t>
        </is>
      </c>
      <c r="T1383">
        <f>IF(N1383&lt;$T$1*0.5,"Низшая четверть",IF(N1383&lt;$T$1,"Вторая четверть","Больше половины"))</f>
        <v/>
      </c>
      <c r="U1383">
        <f>IF(O1383&lt;$U$1*0.5,"Низшая четверть",IF(O1383&lt;$U$1,"Вторая четверть","Больше половины"))</f>
        <v/>
      </c>
      <c r="V1383">
        <f>IF(OR(N1383&lt;SUMIFS(L:L,R:R,1,E:E,E1383)/SUMIFS(K:K,R:R,1,E:E,E1383)*0.5,O1383&lt;SUMIFS(M:M,R:R,1,E:E,E1383)/SUMIFS(L:L,R:R,1,E:E,E1383)*0.5),"код для проверки","нормальный код")</f>
        <v/>
      </c>
      <c r="W1383">
        <f>IF(N1383&lt;SUMIFS(L:L,R:R,1,E:E,E1383)/SUMIFS(K:K,R:R,1,E:E,E1383)*0.5,"Низшая четверть",IF(N1383&lt;SUMIFS(L:L,R:R,1,E:E,E1383)/SUMIFS(K:K,R:R,1,E:E,E1383),"Вторая четверть","Больше половины"))</f>
        <v/>
      </c>
      <c r="X1383">
        <f>IF(O1383&lt;SUMIFS(M:M,R:R,1,E:E,E1383)/SUMIFS(L:L,R:R,1,E:E,E1383)*0.5,"Низшая четверть",IF(O1383&lt;SUMIFS(M:M,R:R,1,E:E,E1383)/SUMIFS(L:L,R:R,1,E:E,E1383),"Вторая четверть","Больше половины"))</f>
        <v/>
      </c>
      <c r="Y1383" t="n">
        <v>4</v>
      </c>
    </row>
    <row r="1384">
      <c r="A1384" s="1" t="inlineStr">
        <is>
          <t>12406100</t>
        </is>
      </c>
      <c r="B1384" s="2" t="inlineStr">
        <is>
          <t>372164804</t>
        </is>
      </c>
      <c r="C1384" s="3" t="inlineStr">
        <is>
          <t>Одежда и аксессуары</t>
        </is>
      </c>
      <c r="D1384" s="2" t="inlineStr">
        <is>
          <t>Чулочные и носочные изделия для женщин</t>
        </is>
      </c>
      <c r="E1384" s="3" t="inlineStr">
        <is>
          <t>124 Подследники женские</t>
        </is>
      </c>
      <c r="F1384" s="2" t="inlineStr">
        <is>
          <t>всесезонный</t>
        </is>
      </c>
      <c r="G1384" s="3" t="inlineStr">
        <is>
          <t>kari</t>
        </is>
      </c>
      <c r="H1384" s="2" t="inlineStr">
        <is>
          <t>Зиннуров Ильнур</t>
        </is>
      </c>
      <c r="J1384" s="3" t="inlineStr">
        <is>
          <t>2026SS</t>
        </is>
      </c>
      <c r="K1384" s="3" t="n">
        <v>1</v>
      </c>
      <c r="L1384" s="3" t="n">
        <v>0</v>
      </c>
      <c r="M1384" s="3" t="n">
        <v>0</v>
      </c>
      <c r="N1384" s="4">
        <f>IFERROR(L1384/K1384,0)</f>
        <v/>
      </c>
      <c r="O1384" s="4">
        <f>IFERROR(M1384/L1384,0)</f>
        <v/>
      </c>
      <c r="P1384" t="n">
        <v>0</v>
      </c>
      <c r="Q1384" s="5" t="n">
        <v>0</v>
      </c>
      <c r="R1384" s="7" t="n">
        <v>0</v>
      </c>
      <c r="S1384" t="inlineStr">
        <is>
          <t>Мало остатка</t>
        </is>
      </c>
      <c r="T1384">
        <f>IF(N1384&lt;$T$1*0.5,"Низшая четверть",IF(N1384&lt;$T$1,"Вторая четверть","Больше половины"))</f>
        <v/>
      </c>
      <c r="U1384">
        <f>IF(O1384&lt;$U$1*0.5,"Низшая четверть",IF(O1384&lt;$U$1,"Вторая четверть","Больше половины"))</f>
        <v/>
      </c>
      <c r="V1384">
        <f>IF(OR(N1384&lt;SUMIFS(L:L,R:R,1,E:E,E1384)/SUMIFS(K:K,R:R,1,E:E,E1384)*0.5,O1384&lt;SUMIFS(M:M,R:R,1,E:E,E1384)/SUMIFS(L:L,R:R,1,E:E,E1384)*0.5),"код для проверки","нормальный код")</f>
        <v/>
      </c>
      <c r="W1384">
        <f>IF(N1384&lt;SUMIFS(L:L,R:R,1,E:E,E1384)/SUMIFS(K:K,R:R,1,E:E,E1384)*0.5,"Низшая четверть",IF(N1384&lt;SUMIFS(L:L,R:R,1,E:E,E1384)/SUMIFS(K:K,R:R,1,E:E,E1384),"Вторая четверть","Больше половины"))</f>
        <v/>
      </c>
      <c r="X1384">
        <f>IF(O1384&lt;SUMIFS(M:M,R:R,1,E:E,E1384)/SUMIFS(L:L,R:R,1,E:E,E1384)*0.5,"Низшая четверть",IF(O1384&lt;SUMIFS(M:M,R:R,1,E:E,E1384)/SUMIFS(L:L,R:R,1,E:E,E1384),"Вторая четверть","Больше половины"))</f>
        <v/>
      </c>
      <c r="Y1384" t="n">
        <v>5</v>
      </c>
    </row>
    <row r="1385">
      <c r="A1385" s="1" t="inlineStr">
        <is>
          <t>05604140</t>
        </is>
      </c>
      <c r="B1385" s="2" t="inlineStr">
        <is>
          <t>399231314</t>
        </is>
      </c>
      <c r="C1385" s="3" t="inlineStr">
        <is>
          <t>Одежда и аксессуары</t>
        </is>
      </c>
      <c r="D1385" s="2" t="inlineStr">
        <is>
          <t>Чулочные и носочные изделия для женщин</t>
        </is>
      </c>
      <c r="E1385" s="3" t="inlineStr">
        <is>
          <t>056 Носки женские</t>
        </is>
      </c>
      <c r="F1385" s="2" t="inlineStr">
        <is>
          <t>всесезонный</t>
        </is>
      </c>
      <c r="G1385" s="3" t="inlineStr">
        <is>
          <t>kari</t>
        </is>
      </c>
      <c r="H1385" s="2" t="inlineStr">
        <is>
          <t>Зиннуров Ильнур</t>
        </is>
      </c>
      <c r="J1385" s="3" t="inlineStr">
        <is>
          <t>2026SS</t>
        </is>
      </c>
      <c r="K1385" s="3" t="n">
        <v>1</v>
      </c>
      <c r="L1385" s="3" t="n">
        <v>0</v>
      </c>
      <c r="M1385" s="3" t="n">
        <v>0</v>
      </c>
      <c r="N1385" s="4">
        <f>IFERROR(L1385/K1385,0)</f>
        <v/>
      </c>
      <c r="O1385" s="4">
        <f>IFERROR(M1385/L1385,0)</f>
        <v/>
      </c>
      <c r="P1385" t="n">
        <v>0</v>
      </c>
      <c r="Q1385" s="5" t="n">
        <v>0</v>
      </c>
      <c r="R1385" s="7" t="n">
        <v>0</v>
      </c>
      <c r="S1385" t="inlineStr">
        <is>
          <t>Мало остатка</t>
        </is>
      </c>
      <c r="T1385">
        <f>IF(N1385&lt;$T$1*0.5,"Низшая четверть",IF(N1385&lt;$T$1,"Вторая четверть","Больше половины"))</f>
        <v/>
      </c>
      <c r="U1385">
        <f>IF(O1385&lt;$U$1*0.5,"Низшая четверть",IF(O1385&lt;$U$1,"Вторая четверть","Больше половины"))</f>
        <v/>
      </c>
      <c r="V1385">
        <f>IF(OR(N1385&lt;SUMIFS(L:L,R:R,1,E:E,E1385)/SUMIFS(K:K,R:R,1,E:E,E1385)*0.5,O1385&lt;SUMIFS(M:M,R:R,1,E:E,E1385)/SUMIFS(L:L,R:R,1,E:E,E1385)*0.5),"код для проверки","нормальный код")</f>
        <v/>
      </c>
      <c r="W1385">
        <f>IF(N1385&lt;SUMIFS(L:L,R:R,1,E:E,E1385)/SUMIFS(K:K,R:R,1,E:E,E1385)*0.5,"Низшая четверть",IF(N1385&lt;SUMIFS(L:L,R:R,1,E:E,E1385)/SUMIFS(K:K,R:R,1,E:E,E1385),"Вторая четверть","Больше половины"))</f>
        <v/>
      </c>
      <c r="X1385">
        <f>IF(O1385&lt;SUMIFS(M:M,R:R,1,E:E,E1385)/SUMIFS(L:L,R:R,1,E:E,E1385)*0.5,"Низшая четверть",IF(O1385&lt;SUMIFS(M:M,R:R,1,E:E,E1385)/SUMIFS(L:L,R:R,1,E:E,E1385),"Вторая четверть","Больше половины"))</f>
        <v/>
      </c>
      <c r="Y1385" t="n">
        <v>4</v>
      </c>
    </row>
    <row r="1386">
      <c r="A1386" s="1" t="inlineStr">
        <is>
          <t>05608240</t>
        </is>
      </c>
      <c r="B1386" s="2" t="inlineStr">
        <is>
          <t>378959398</t>
        </is>
      </c>
      <c r="C1386" s="3" t="inlineStr">
        <is>
          <t>Одежда и аксессуары</t>
        </is>
      </c>
      <c r="D1386" s="2" t="inlineStr">
        <is>
          <t>Чулочные и носочные изделия для женщин</t>
        </is>
      </c>
      <c r="E1386" s="3" t="inlineStr">
        <is>
          <t>056 Носки женские</t>
        </is>
      </c>
      <c r="F1386" s="2" t="inlineStr">
        <is>
          <t>всесезонный</t>
        </is>
      </c>
      <c r="G1386" s="3" t="inlineStr">
        <is>
          <t>kari</t>
        </is>
      </c>
      <c r="H1386" s="2" t="inlineStr">
        <is>
          <t>Зиннуров Ильнур</t>
        </is>
      </c>
      <c r="J1386" s="3" t="inlineStr">
        <is>
          <t>2026SS</t>
        </is>
      </c>
      <c r="K1386" s="3" t="n">
        <v>1</v>
      </c>
      <c r="L1386" s="3" t="n">
        <v>0</v>
      </c>
      <c r="M1386" s="3" t="n">
        <v>0</v>
      </c>
      <c r="N1386" s="4">
        <f>IFERROR(L1386/K1386,0)</f>
        <v/>
      </c>
      <c r="O1386" s="4">
        <f>IFERROR(M1386/L1386,0)</f>
        <v/>
      </c>
      <c r="P1386" t="n">
        <v>0</v>
      </c>
      <c r="Q1386" s="5" t="n">
        <v>0</v>
      </c>
      <c r="R1386" s="7" t="n">
        <v>0</v>
      </c>
      <c r="S1386" t="inlineStr">
        <is>
          <t>Мало остатка</t>
        </is>
      </c>
      <c r="T1386">
        <f>IF(N1386&lt;$T$1*0.5,"Низшая четверть",IF(N1386&lt;$T$1,"Вторая четверть","Больше половины"))</f>
        <v/>
      </c>
      <c r="U1386">
        <f>IF(O1386&lt;$U$1*0.5,"Низшая четверть",IF(O1386&lt;$U$1,"Вторая четверть","Больше половины"))</f>
        <v/>
      </c>
      <c r="V1386">
        <f>IF(OR(N1386&lt;SUMIFS(L:L,R:R,1,E:E,E1386)/SUMIFS(K:K,R:R,1,E:E,E1386)*0.5,O1386&lt;SUMIFS(M:M,R:R,1,E:E,E1386)/SUMIFS(L:L,R:R,1,E:E,E1386)*0.5),"код для проверки","нормальный код")</f>
        <v/>
      </c>
      <c r="W1386">
        <f>IF(N1386&lt;SUMIFS(L:L,R:R,1,E:E,E1386)/SUMIFS(K:K,R:R,1,E:E,E1386)*0.5,"Низшая четверть",IF(N1386&lt;SUMIFS(L:L,R:R,1,E:E,E1386)/SUMIFS(K:K,R:R,1,E:E,E1386),"Вторая четверть","Больше половины"))</f>
        <v/>
      </c>
      <c r="X1386">
        <f>IF(O1386&lt;SUMIFS(M:M,R:R,1,E:E,E1386)/SUMIFS(L:L,R:R,1,E:E,E1386)*0.5,"Низшая четверть",IF(O1386&lt;SUMIFS(M:M,R:R,1,E:E,E1386)/SUMIFS(L:L,R:R,1,E:E,E1386),"Вторая четверть","Больше половины"))</f>
        <v/>
      </c>
      <c r="Y1386" t="n">
        <v>5</v>
      </c>
    </row>
    <row r="1387">
      <c r="A1387" s="1" t="inlineStr">
        <is>
          <t>05608280</t>
        </is>
      </c>
      <c r="B1387" s="2" t="inlineStr">
        <is>
          <t>378959563</t>
        </is>
      </c>
      <c r="C1387" s="3" t="inlineStr">
        <is>
          <t>Одежда и аксессуары</t>
        </is>
      </c>
      <c r="D1387" s="2" t="inlineStr">
        <is>
          <t>Чулочные и носочные изделия для женщин</t>
        </is>
      </c>
      <c r="E1387" s="3" t="inlineStr">
        <is>
          <t>056 Носки женские</t>
        </is>
      </c>
      <c r="F1387" s="2" t="inlineStr">
        <is>
          <t>всесезонный</t>
        </is>
      </c>
      <c r="G1387" s="3" t="inlineStr">
        <is>
          <t>kari</t>
        </is>
      </c>
      <c r="H1387" s="2" t="inlineStr">
        <is>
          <t>Зиннуров Ильнур</t>
        </is>
      </c>
      <c r="J1387" s="3" t="inlineStr">
        <is>
          <t>2026SS</t>
        </is>
      </c>
      <c r="K1387" s="3" t="n">
        <v>1</v>
      </c>
      <c r="L1387" s="3" t="n">
        <v>0</v>
      </c>
      <c r="M1387" s="3" t="n">
        <v>0</v>
      </c>
      <c r="N1387" s="4">
        <f>IFERROR(L1387/K1387,0)</f>
        <v/>
      </c>
      <c r="O1387" s="4">
        <f>IFERROR(M1387/L1387,0)</f>
        <v/>
      </c>
      <c r="P1387" t="n">
        <v>0</v>
      </c>
      <c r="Q1387" s="5" t="n">
        <v>0</v>
      </c>
      <c r="R1387" s="7" t="n">
        <v>0</v>
      </c>
      <c r="S1387" t="inlineStr">
        <is>
          <t>Мало остатка</t>
        </is>
      </c>
      <c r="T1387">
        <f>IF(N1387&lt;$T$1*0.5,"Низшая четверть",IF(N1387&lt;$T$1,"Вторая четверть","Больше половины"))</f>
        <v/>
      </c>
      <c r="U1387">
        <f>IF(O1387&lt;$U$1*0.5,"Низшая четверть",IF(O1387&lt;$U$1,"Вторая четверть","Больше половины"))</f>
        <v/>
      </c>
      <c r="V1387">
        <f>IF(OR(N1387&lt;SUMIFS(L:L,R:R,1,E:E,E1387)/SUMIFS(K:K,R:R,1,E:E,E1387)*0.5,O1387&lt;SUMIFS(M:M,R:R,1,E:E,E1387)/SUMIFS(L:L,R:R,1,E:E,E1387)*0.5),"код для проверки","нормальный код")</f>
        <v/>
      </c>
      <c r="W1387">
        <f>IF(N1387&lt;SUMIFS(L:L,R:R,1,E:E,E1387)/SUMIFS(K:K,R:R,1,E:E,E1387)*0.5,"Низшая четверть",IF(N1387&lt;SUMIFS(L:L,R:R,1,E:E,E1387)/SUMIFS(K:K,R:R,1,E:E,E1387),"Вторая четверть","Больше половины"))</f>
        <v/>
      </c>
      <c r="X1387">
        <f>IF(O1387&lt;SUMIFS(M:M,R:R,1,E:E,E1387)/SUMIFS(L:L,R:R,1,E:E,E1387)*0.5,"Низшая четверть",IF(O1387&lt;SUMIFS(M:M,R:R,1,E:E,E1387)/SUMIFS(L:L,R:R,1,E:E,E1387),"Вторая четверть","Больше половины"))</f>
        <v/>
      </c>
      <c r="Y1387" t="n">
        <v>5</v>
      </c>
    </row>
    <row r="1388">
      <c r="A1388" s="1" t="inlineStr">
        <is>
          <t>12408080</t>
        </is>
      </c>
      <c r="B1388" s="2" t="inlineStr">
        <is>
          <t>378959396</t>
        </is>
      </c>
      <c r="C1388" s="3" t="inlineStr">
        <is>
          <t>Одежда и аксессуары</t>
        </is>
      </c>
      <c r="D1388" s="2" t="inlineStr">
        <is>
          <t>Чулочные и носочные изделия для женщин</t>
        </is>
      </c>
      <c r="E1388" s="3" t="inlineStr">
        <is>
          <t>124 Подследники женские</t>
        </is>
      </c>
      <c r="F1388" s="2" t="inlineStr">
        <is>
          <t>всесезонный</t>
        </is>
      </c>
      <c r="G1388" s="3" t="inlineStr">
        <is>
          <t>kari</t>
        </is>
      </c>
      <c r="H1388" s="2" t="inlineStr">
        <is>
          <t>Зиннуров Ильнур</t>
        </is>
      </c>
      <c r="J1388" s="3" t="inlineStr">
        <is>
          <t>2026SS</t>
        </is>
      </c>
      <c r="K1388" s="3" t="n">
        <v>1</v>
      </c>
      <c r="L1388" s="3" t="n">
        <v>0</v>
      </c>
      <c r="M1388" s="3" t="n">
        <v>0</v>
      </c>
      <c r="N1388" s="4">
        <f>IFERROR(L1388/K1388,0)</f>
        <v/>
      </c>
      <c r="O1388" s="4">
        <f>IFERROR(M1388/L1388,0)</f>
        <v/>
      </c>
      <c r="P1388" t="n">
        <v>0</v>
      </c>
      <c r="Q1388" s="5" t="n">
        <v>0</v>
      </c>
      <c r="R1388" s="7" t="n">
        <v>0</v>
      </c>
      <c r="S1388" t="inlineStr">
        <is>
          <t>Мало остатка</t>
        </is>
      </c>
      <c r="T1388">
        <f>IF(N1388&lt;$T$1*0.5,"Низшая четверть",IF(N1388&lt;$T$1,"Вторая четверть","Больше половины"))</f>
        <v/>
      </c>
      <c r="U1388">
        <f>IF(O1388&lt;$U$1*0.5,"Низшая четверть",IF(O1388&lt;$U$1,"Вторая четверть","Больше половины"))</f>
        <v/>
      </c>
      <c r="V1388">
        <f>IF(OR(N1388&lt;SUMIFS(L:L,R:R,1,E:E,E1388)/SUMIFS(K:K,R:R,1,E:E,E1388)*0.5,O1388&lt;SUMIFS(M:M,R:R,1,E:E,E1388)/SUMIFS(L:L,R:R,1,E:E,E1388)*0.5),"код для проверки","нормальный код")</f>
        <v/>
      </c>
      <c r="W1388">
        <f>IF(N1388&lt;SUMIFS(L:L,R:R,1,E:E,E1388)/SUMIFS(K:K,R:R,1,E:E,E1388)*0.5,"Низшая четверть",IF(N1388&lt;SUMIFS(L:L,R:R,1,E:E,E1388)/SUMIFS(K:K,R:R,1,E:E,E1388),"Вторая четверть","Больше половины"))</f>
        <v/>
      </c>
      <c r="X1388">
        <f>IF(O1388&lt;SUMIFS(M:M,R:R,1,E:E,E1388)/SUMIFS(L:L,R:R,1,E:E,E1388)*0.5,"Низшая четверть",IF(O1388&lt;SUMIFS(M:M,R:R,1,E:E,E1388)/SUMIFS(L:L,R:R,1,E:E,E1388),"Вторая четверть","Больше половины"))</f>
        <v/>
      </c>
      <c r="Y1388" t="n">
        <v>3</v>
      </c>
    </row>
    <row r="1389">
      <c r="A1389" s="1" t="inlineStr">
        <is>
          <t>05606000</t>
        </is>
      </c>
      <c r="B1389" s="2" t="inlineStr">
        <is>
          <t>395973224</t>
        </is>
      </c>
      <c r="C1389" s="3" t="inlineStr">
        <is>
          <t>Одежда и аксессуары</t>
        </is>
      </c>
      <c r="D1389" s="2" t="inlineStr">
        <is>
          <t>Чулочные и носочные изделия для женщин</t>
        </is>
      </c>
      <c r="E1389" s="3" t="inlineStr">
        <is>
          <t>056 Носки женские</t>
        </is>
      </c>
      <c r="F1389" s="2" t="inlineStr">
        <is>
          <t>всесезонный</t>
        </is>
      </c>
      <c r="G1389" s="3" t="inlineStr">
        <is>
          <t>kari</t>
        </is>
      </c>
      <c r="H1389" s="2" t="inlineStr">
        <is>
          <t>Зиннуров Ильнур</t>
        </is>
      </c>
      <c r="J1389" s="3" t="inlineStr">
        <is>
          <t>2026SS</t>
        </is>
      </c>
      <c r="K1389" s="3" t="n">
        <v>1</v>
      </c>
      <c r="L1389" s="3" t="n">
        <v>1</v>
      </c>
      <c r="M1389" s="3" t="n">
        <v>0</v>
      </c>
      <c r="N1389" s="4">
        <f>IFERROR(L1389/K1389,0)</f>
        <v/>
      </c>
      <c r="O1389" s="4">
        <f>IFERROR(M1389/L1389,0)</f>
        <v/>
      </c>
      <c r="P1389" t="n">
        <v>0</v>
      </c>
      <c r="Q1389" s="5" t="n">
        <v>0</v>
      </c>
      <c r="R1389" s="7" t="n">
        <v>0</v>
      </c>
      <c r="S1389" t="inlineStr">
        <is>
          <t>Мало остатка</t>
        </is>
      </c>
      <c r="T1389">
        <f>IF(N1389&lt;$T$1*0.5,"Низшая четверть",IF(N1389&lt;$T$1,"Вторая четверть","Больше половины"))</f>
        <v/>
      </c>
      <c r="U1389">
        <f>IF(O1389&lt;$U$1*0.5,"Низшая четверть",IF(O1389&lt;$U$1,"Вторая четверть","Больше половины"))</f>
        <v/>
      </c>
      <c r="V1389">
        <f>IF(OR(N1389&lt;SUMIFS(L:L,R:R,1,E:E,E1389)/SUMIFS(K:K,R:R,1,E:E,E1389)*0.5,O1389&lt;SUMIFS(M:M,R:R,1,E:E,E1389)/SUMIFS(L:L,R:R,1,E:E,E1389)*0.5),"код для проверки","нормальный код")</f>
        <v/>
      </c>
      <c r="W1389">
        <f>IF(N1389&lt;SUMIFS(L:L,R:R,1,E:E,E1389)/SUMIFS(K:K,R:R,1,E:E,E1389)*0.5,"Низшая четверть",IF(N1389&lt;SUMIFS(L:L,R:R,1,E:E,E1389)/SUMIFS(K:K,R:R,1,E:E,E1389),"Вторая четверть","Больше половины"))</f>
        <v/>
      </c>
      <c r="X1389">
        <f>IF(O1389&lt;SUMIFS(M:M,R:R,1,E:E,E1389)/SUMIFS(L:L,R:R,1,E:E,E1389)*0.5,"Низшая четверть",IF(O1389&lt;SUMIFS(M:M,R:R,1,E:E,E1389)/SUMIFS(L:L,R:R,1,E:E,E1389),"Вторая четверть","Больше половины"))</f>
        <v/>
      </c>
      <c r="Y1389" t="n">
        <v>4</v>
      </c>
    </row>
    <row r="1390">
      <c r="A1390" s="1" t="inlineStr">
        <is>
          <t>y5000090</t>
        </is>
      </c>
      <c r="B1390" s="2" t="inlineStr">
        <is>
          <t>929006456</t>
        </is>
      </c>
      <c r="C1390" s="3" t="inlineStr">
        <is>
          <t>Одежда для детей</t>
        </is>
      </c>
      <c r="D1390" s="2" t="inlineStr">
        <is>
          <t>Спортивная детская одежда для мальчиков</t>
        </is>
      </c>
      <c r="E1390" s="3" t="inlineStr">
        <is>
          <t>y50 Комплект летней одежды для мальчиков</t>
        </is>
      </c>
      <c r="F1390" s="2" t="inlineStr">
        <is>
          <t>весна, лето</t>
        </is>
      </c>
      <c r="G1390" s="3" t="inlineStr">
        <is>
          <t>kari</t>
        </is>
      </c>
      <c r="H1390" s="2" t="inlineStr">
        <is>
          <t>Зиннуров Ильнур</t>
        </is>
      </c>
      <c r="J1390" s="3" t="inlineStr">
        <is>
          <t>2026SS</t>
        </is>
      </c>
      <c r="K1390" s="3" t="n">
        <v>0</v>
      </c>
      <c r="L1390" s="3" t="n">
        <v>8</v>
      </c>
      <c r="M1390" s="3" t="n">
        <v>0</v>
      </c>
      <c r="N1390" s="4">
        <f>IFERROR(L1390/K1390,0)</f>
        <v/>
      </c>
      <c r="O1390" s="4">
        <f>IFERROR(M1390/L1390,0)</f>
        <v/>
      </c>
      <c r="P1390" t="n">
        <v>0</v>
      </c>
      <c r="Q1390" s="5" t="n">
        <v>0</v>
      </c>
      <c r="R1390" s="7" t="n">
        <v>0</v>
      </c>
      <c r="S1390" t="inlineStr">
        <is>
          <t>Мало остатка</t>
        </is>
      </c>
      <c r="T1390">
        <f>IF(N1390&lt;$T$1*0.5,"Низшая четверть",IF(N1390&lt;$T$1,"Вторая четверть","Больше половины"))</f>
        <v/>
      </c>
      <c r="U1390">
        <f>IF(O1390&lt;$U$1*0.5,"Низшая четверть",IF(O1390&lt;$U$1,"Вторая четверть","Больше половины"))</f>
        <v/>
      </c>
      <c r="V1390">
        <f>IF(OR(N1390&lt;SUMIFS(L:L,R:R,1,E:E,E1390)/SUMIFS(K:K,R:R,1,E:E,E1390)*0.5,O1390&lt;SUMIFS(M:M,R:R,1,E:E,E1390)/SUMIFS(L:L,R:R,1,E:E,E1390)*0.5),"код для проверки","нормальный код")</f>
        <v/>
      </c>
      <c r="W1390">
        <f>IF(N1390&lt;SUMIFS(L:L,R:R,1,E:E,E1390)/SUMIFS(K:K,R:R,1,E:E,E1390)*0.5,"Низшая четверть",IF(N1390&lt;SUMIFS(L:L,R:R,1,E:E,E1390)/SUMIFS(K:K,R:R,1,E:E,E1390),"Вторая четверть","Больше половины"))</f>
        <v/>
      </c>
      <c r="X1390">
        <f>IF(O1390&lt;SUMIFS(M:M,R:R,1,E:E,E1390)/SUMIFS(L:L,R:R,1,E:E,E1390)*0.5,"Низшая четверть",IF(O1390&lt;SUMIFS(M:M,R:R,1,E:E,E1390)/SUMIFS(L:L,R:R,1,E:E,E1390),"Вторая четверть","Больше половины"))</f>
        <v/>
      </c>
      <c r="Y1390" t="n">
        <v>24</v>
      </c>
    </row>
    <row r="1391">
      <c r="A1391" s="1" t="inlineStr">
        <is>
          <t>c1508100</t>
        </is>
      </c>
      <c r="B1391" s="2" t="inlineStr">
        <is>
          <t>332505106</t>
        </is>
      </c>
      <c r="C1391" s="3" t="inlineStr">
        <is>
          <t>Одежда и аксессуары</t>
        </is>
      </c>
      <c r="D1391" s="2" t="inlineStr">
        <is>
          <t>Головные уборы мужские</t>
        </is>
      </c>
      <c r="E1391" s="3" t="inlineStr">
        <is>
          <t>c15 Бейсболка</t>
        </is>
      </c>
      <c r="F1391" s="2" t="inlineStr">
        <is>
          <t>всесезонный</t>
        </is>
      </c>
      <c r="G1391" s="3" t="inlineStr">
        <is>
          <t>kari</t>
        </is>
      </c>
      <c r="H1391" s="2" t="inlineStr">
        <is>
          <t>Зиннуров Ильнур</t>
        </is>
      </c>
      <c r="J1391" s="3" t="inlineStr">
        <is>
          <t>2026SS</t>
        </is>
      </c>
      <c r="K1391" s="3" t="n">
        <v>0</v>
      </c>
      <c r="L1391" s="3" t="n">
        <v>3</v>
      </c>
      <c r="M1391" s="3" t="n">
        <v>0</v>
      </c>
      <c r="N1391" s="4">
        <f>IFERROR(L1391/K1391,0)</f>
        <v/>
      </c>
      <c r="O1391" s="4">
        <f>IFERROR(M1391/L1391,0)</f>
        <v/>
      </c>
      <c r="P1391" t="n">
        <v>0</v>
      </c>
      <c r="Q1391" s="5" t="n">
        <v>0</v>
      </c>
      <c r="R1391" s="7" t="n">
        <v>0</v>
      </c>
      <c r="S1391" t="inlineStr">
        <is>
          <t>Мало остатка</t>
        </is>
      </c>
      <c r="T1391">
        <f>IF(N1391&lt;$T$1*0.5,"Низшая четверть",IF(N1391&lt;$T$1,"Вторая четверть","Больше половины"))</f>
        <v/>
      </c>
      <c r="U1391">
        <f>IF(O1391&lt;$U$1*0.5,"Низшая четверть",IF(O1391&lt;$U$1,"Вторая четверть","Больше половины"))</f>
        <v/>
      </c>
      <c r="V1391">
        <f>IF(OR(N1391&lt;SUMIFS(L:L,R:R,1,E:E,E1391)/SUMIFS(K:K,R:R,1,E:E,E1391)*0.5,O1391&lt;SUMIFS(M:M,R:R,1,E:E,E1391)/SUMIFS(L:L,R:R,1,E:E,E1391)*0.5),"код для проверки","нормальный код")</f>
        <v/>
      </c>
      <c r="W1391">
        <f>IF(N1391&lt;SUMIFS(L:L,R:R,1,E:E,E1391)/SUMIFS(K:K,R:R,1,E:E,E1391)*0.5,"Низшая четверть",IF(N1391&lt;SUMIFS(L:L,R:R,1,E:E,E1391)/SUMIFS(K:K,R:R,1,E:E,E1391),"Вторая четверть","Больше половины"))</f>
        <v/>
      </c>
      <c r="X1391">
        <f>IF(O1391&lt;SUMIFS(M:M,R:R,1,E:E,E1391)/SUMIFS(L:L,R:R,1,E:E,E1391)*0.5,"Низшая четверть",IF(O1391&lt;SUMIFS(M:M,R:R,1,E:E,E1391)/SUMIFS(L:L,R:R,1,E:E,E1391),"Вторая четверть","Больше половины"))</f>
        <v/>
      </c>
      <c r="Y1391" t="n">
        <v>8</v>
      </c>
    </row>
    <row r="1392">
      <c r="A1392" s="1" t="inlineStr">
        <is>
          <t>y4900060</t>
        </is>
      </c>
      <c r="B1392" s="2" t="inlineStr">
        <is>
          <t>879308794</t>
        </is>
      </c>
      <c r="C1392" s="3" t="inlineStr">
        <is>
          <t>Одежда для детей</t>
        </is>
      </c>
      <c r="D1392" s="2" t="inlineStr">
        <is>
          <t>Спортивная одежда детская для девочек</t>
        </is>
      </c>
      <c r="E1392" s="3" t="inlineStr">
        <is>
          <t>y49 Комплект летней одежды для девочки</t>
        </is>
      </c>
      <c r="F1392" s="2" t="inlineStr">
        <is>
          <t>весна, лето</t>
        </is>
      </c>
      <c r="G1392" s="3" t="inlineStr">
        <is>
          <t>kari</t>
        </is>
      </c>
      <c r="H1392" s="2" t="inlineStr">
        <is>
          <t>Зиннуров Ильнур</t>
        </is>
      </c>
      <c r="J1392" s="3" t="inlineStr">
        <is>
          <t>2026SS</t>
        </is>
      </c>
      <c r="K1392" s="3" t="n">
        <v>0</v>
      </c>
      <c r="L1392" s="3" t="n">
        <v>1</v>
      </c>
      <c r="M1392" s="3" t="n">
        <v>0</v>
      </c>
      <c r="N1392" s="4">
        <f>IFERROR(L1392/K1392,0)</f>
        <v/>
      </c>
      <c r="O1392" s="4">
        <f>IFERROR(M1392/L1392,0)</f>
        <v/>
      </c>
      <c r="P1392" t="n">
        <v>0</v>
      </c>
      <c r="Q1392" s="5" t="n">
        <v>0</v>
      </c>
      <c r="R1392" s="7" t="n">
        <v>0</v>
      </c>
      <c r="S1392" t="inlineStr">
        <is>
          <t>Мало остатка</t>
        </is>
      </c>
      <c r="T1392">
        <f>IF(N1392&lt;$T$1*0.5,"Низшая четверть",IF(N1392&lt;$T$1,"Вторая четверть","Больше половины"))</f>
        <v/>
      </c>
      <c r="U1392">
        <f>IF(O1392&lt;$U$1*0.5,"Низшая четверть",IF(O1392&lt;$U$1,"Вторая четверть","Больше половины"))</f>
        <v/>
      </c>
      <c r="V1392">
        <f>IF(OR(N1392&lt;SUMIFS(L:L,R:R,1,E:E,E1392)/SUMIFS(K:K,R:R,1,E:E,E1392)*0.5,O1392&lt;SUMIFS(M:M,R:R,1,E:E,E1392)/SUMIFS(L:L,R:R,1,E:E,E1392)*0.5),"код для проверки","нормальный код")</f>
        <v/>
      </c>
      <c r="W1392">
        <f>IF(N1392&lt;SUMIFS(L:L,R:R,1,E:E,E1392)/SUMIFS(K:K,R:R,1,E:E,E1392)*0.5,"Низшая четверть",IF(N1392&lt;SUMIFS(L:L,R:R,1,E:E,E1392)/SUMIFS(K:K,R:R,1,E:E,E1392),"Вторая четверть","Больше половины"))</f>
        <v/>
      </c>
      <c r="X1392">
        <f>IF(O1392&lt;SUMIFS(M:M,R:R,1,E:E,E1392)/SUMIFS(L:L,R:R,1,E:E,E1392)*0.5,"Низшая четверть",IF(O1392&lt;SUMIFS(M:M,R:R,1,E:E,E1392)/SUMIFS(L:L,R:R,1,E:E,E1392),"Вторая четверть","Больше половины"))</f>
        <v/>
      </c>
      <c r="Y1392" t="n">
        <v>8</v>
      </c>
    </row>
    <row r="1393">
      <c r="A1393" s="1" t="inlineStr">
        <is>
          <t>a6000950</t>
        </is>
      </c>
      <c r="B1393" s="2" t="inlineStr">
        <is>
          <t>847884024</t>
        </is>
      </c>
      <c r="C1393" s="3" t="inlineStr">
        <is>
          <t>Одежда для детей</t>
        </is>
      </c>
      <c r="D1393" s="2" t="inlineStr">
        <is>
          <t>Платья, майки, футболки детские для девочек</t>
        </is>
      </c>
      <c r="E1393" s="3" t="inlineStr">
        <is>
          <t>a60 Футболка детская для девочек</t>
        </is>
      </c>
      <c r="F1393" s="2" t="inlineStr">
        <is>
          <t>всесезонный</t>
        </is>
      </c>
      <c r="G1393" s="3" t="inlineStr">
        <is>
          <t>kari</t>
        </is>
      </c>
      <c r="H1393" s="2" t="inlineStr">
        <is>
          <t>Зиннуров Ильнур</t>
        </is>
      </c>
      <c r="J1393" s="3" t="inlineStr">
        <is>
          <t>2026SS</t>
        </is>
      </c>
      <c r="K1393" s="3" t="n">
        <v>0</v>
      </c>
      <c r="L1393" s="3" t="n">
        <v>3</v>
      </c>
      <c r="M1393" s="3" t="n">
        <v>0</v>
      </c>
      <c r="N1393" s="4">
        <f>IFERROR(L1393/K1393,0)</f>
        <v/>
      </c>
      <c r="O1393" s="4">
        <f>IFERROR(M1393/L1393,0)</f>
        <v/>
      </c>
      <c r="P1393" t="n">
        <v>0</v>
      </c>
      <c r="Q1393" s="5" t="n">
        <v>0</v>
      </c>
      <c r="R1393" s="7" t="n">
        <v>0</v>
      </c>
      <c r="S1393" t="inlineStr">
        <is>
          <t>Мало остатка</t>
        </is>
      </c>
      <c r="T1393">
        <f>IF(N1393&lt;$T$1*0.5,"Низшая четверть",IF(N1393&lt;$T$1,"Вторая четверть","Больше половины"))</f>
        <v/>
      </c>
      <c r="U1393">
        <f>IF(O1393&lt;$U$1*0.5,"Низшая четверть",IF(O1393&lt;$U$1,"Вторая четверть","Больше половины"))</f>
        <v/>
      </c>
      <c r="V1393">
        <f>IF(OR(N1393&lt;SUMIFS(L:L,R:R,1,E:E,E1393)/SUMIFS(K:K,R:R,1,E:E,E1393)*0.5,O1393&lt;SUMIFS(M:M,R:R,1,E:E,E1393)/SUMIFS(L:L,R:R,1,E:E,E1393)*0.5),"код для проверки","нормальный код")</f>
        <v/>
      </c>
      <c r="W1393">
        <f>IF(N1393&lt;SUMIFS(L:L,R:R,1,E:E,E1393)/SUMIFS(K:K,R:R,1,E:E,E1393)*0.5,"Низшая четверть",IF(N1393&lt;SUMIFS(L:L,R:R,1,E:E,E1393)/SUMIFS(K:K,R:R,1,E:E,E1393),"Вторая четверть","Больше половины"))</f>
        <v/>
      </c>
      <c r="X1393">
        <f>IF(O1393&lt;SUMIFS(M:M,R:R,1,E:E,E1393)/SUMIFS(L:L,R:R,1,E:E,E1393)*0.5,"Низшая четверть",IF(O1393&lt;SUMIFS(M:M,R:R,1,E:E,E1393)/SUMIFS(L:L,R:R,1,E:E,E1393),"Вторая четверть","Больше половины"))</f>
        <v/>
      </c>
      <c r="Y1393" t="n">
        <v>14</v>
      </c>
    </row>
    <row r="1394">
      <c r="A1394" s="1" t="inlineStr">
        <is>
          <t>h1000360</t>
        </is>
      </c>
      <c r="B1394" s="2" t="inlineStr">
        <is>
          <t>859016030</t>
        </is>
      </c>
      <c r="C1394" s="3" t="inlineStr">
        <is>
          <t>Одежда и аксессуары</t>
        </is>
      </c>
      <c r="D1394" s="2" t="inlineStr">
        <is>
          <t>Футболки, рубашки мужские</t>
        </is>
      </c>
      <c r="E1394" s="3" t="inlineStr">
        <is>
          <t>h10 Футболка мужская</t>
        </is>
      </c>
      <c r="F1394" s="2" t="inlineStr">
        <is>
          <t>всесезонный</t>
        </is>
      </c>
      <c r="G1394" s="3" t="inlineStr">
        <is>
          <t>kari</t>
        </is>
      </c>
      <c r="H1394" s="2" t="inlineStr">
        <is>
          <t>Зиннуров Ильнур</t>
        </is>
      </c>
      <c r="J1394" s="3" t="inlineStr">
        <is>
          <t>2026SS</t>
        </is>
      </c>
      <c r="K1394" s="3" t="n">
        <v>0</v>
      </c>
      <c r="L1394" s="3" t="n">
        <v>0</v>
      </c>
      <c r="M1394" s="3" t="n">
        <v>0</v>
      </c>
      <c r="N1394" s="4">
        <f>IFERROR(L1394/K1394,0)</f>
        <v/>
      </c>
      <c r="O1394" s="4">
        <f>IFERROR(M1394/L1394,0)</f>
        <v/>
      </c>
      <c r="P1394" t="n">
        <v>0</v>
      </c>
      <c r="Q1394" s="5" t="n">
        <v>0</v>
      </c>
      <c r="R1394" s="7" t="n">
        <v>0</v>
      </c>
      <c r="S1394" t="inlineStr">
        <is>
          <t>Мало остатка</t>
        </is>
      </c>
      <c r="T1394">
        <f>IF(N1394&lt;$T$1*0.5,"Низшая четверть",IF(N1394&lt;$T$1,"Вторая четверть","Больше половины"))</f>
        <v/>
      </c>
      <c r="U1394">
        <f>IF(O1394&lt;$U$1*0.5,"Низшая четверть",IF(O1394&lt;$U$1,"Вторая четверть","Больше половины"))</f>
        <v/>
      </c>
      <c r="V1394">
        <f>IF(OR(N1394&lt;SUMIFS(L:L,R:R,1,E:E,E1394)/SUMIFS(K:K,R:R,1,E:E,E1394)*0.5,O1394&lt;SUMIFS(M:M,R:R,1,E:E,E1394)/SUMIFS(L:L,R:R,1,E:E,E1394)*0.5),"код для проверки","нормальный код")</f>
        <v/>
      </c>
      <c r="W1394">
        <f>IF(N1394&lt;SUMIFS(L:L,R:R,1,E:E,E1394)/SUMIFS(K:K,R:R,1,E:E,E1394)*0.5,"Низшая четверть",IF(N1394&lt;SUMIFS(L:L,R:R,1,E:E,E1394)/SUMIFS(K:K,R:R,1,E:E,E1394),"Вторая четверть","Больше половины"))</f>
        <v/>
      </c>
      <c r="X1394">
        <f>IF(O1394&lt;SUMIFS(M:M,R:R,1,E:E,E1394)/SUMIFS(L:L,R:R,1,E:E,E1394)*0.5,"Низшая четверть",IF(O1394&lt;SUMIFS(M:M,R:R,1,E:E,E1394)/SUMIFS(L:L,R:R,1,E:E,E1394),"Вторая четверть","Больше половины"))</f>
        <v/>
      </c>
      <c r="Y1394" t="e">
        <v>#N/A</v>
      </c>
    </row>
    <row r="1395">
      <c r="A1395" s="1" t="inlineStr">
        <is>
          <t>a6000980</t>
        </is>
      </c>
      <c r="B1395" s="2" t="inlineStr">
        <is>
          <t>847884237</t>
        </is>
      </c>
      <c r="C1395" s="3" t="inlineStr">
        <is>
          <t>Одежда для детей</t>
        </is>
      </c>
      <c r="D1395" s="2" t="inlineStr">
        <is>
          <t>Платья, майки, футболки детские для девочек</t>
        </is>
      </c>
      <c r="E1395" s="3" t="inlineStr">
        <is>
          <t>a60 Футболка детская для девочек</t>
        </is>
      </c>
      <c r="F1395" s="2" t="inlineStr">
        <is>
          <t>всесезонный</t>
        </is>
      </c>
      <c r="G1395" s="3" t="inlineStr">
        <is>
          <t>kari</t>
        </is>
      </c>
      <c r="H1395" s="2" t="inlineStr">
        <is>
          <t>Зиннуров Ильнур</t>
        </is>
      </c>
      <c r="J1395" s="3" t="inlineStr">
        <is>
          <t>2026SS</t>
        </is>
      </c>
      <c r="K1395" s="3" t="n">
        <v>0</v>
      </c>
      <c r="L1395" s="3" t="n">
        <v>3</v>
      </c>
      <c r="M1395" s="3" t="n">
        <v>0</v>
      </c>
      <c r="N1395" s="4">
        <f>IFERROR(L1395/K1395,0)</f>
        <v/>
      </c>
      <c r="O1395" s="4">
        <f>IFERROR(M1395/L1395,0)</f>
        <v/>
      </c>
      <c r="P1395" t="n">
        <v>0</v>
      </c>
      <c r="Q1395" s="5" t="n">
        <v>0</v>
      </c>
      <c r="R1395" s="7" t="n">
        <v>0</v>
      </c>
      <c r="S1395" t="inlineStr">
        <is>
          <t>Мало остатка</t>
        </is>
      </c>
      <c r="T1395">
        <f>IF(N1395&lt;$T$1*0.5,"Низшая четверть",IF(N1395&lt;$T$1,"Вторая четверть","Больше половины"))</f>
        <v/>
      </c>
      <c r="U1395">
        <f>IF(O1395&lt;$U$1*0.5,"Низшая четверть",IF(O1395&lt;$U$1,"Вторая четверть","Больше половины"))</f>
        <v/>
      </c>
      <c r="V1395">
        <f>IF(OR(N1395&lt;SUMIFS(L:L,R:R,1,E:E,E1395)/SUMIFS(K:K,R:R,1,E:E,E1395)*0.5,O1395&lt;SUMIFS(M:M,R:R,1,E:E,E1395)/SUMIFS(L:L,R:R,1,E:E,E1395)*0.5),"код для проверки","нормальный код")</f>
        <v/>
      </c>
      <c r="W1395">
        <f>IF(N1395&lt;SUMIFS(L:L,R:R,1,E:E,E1395)/SUMIFS(K:K,R:R,1,E:E,E1395)*0.5,"Низшая четверть",IF(N1395&lt;SUMIFS(L:L,R:R,1,E:E,E1395)/SUMIFS(K:K,R:R,1,E:E,E1395),"Вторая четверть","Больше половины"))</f>
        <v/>
      </c>
      <c r="X1395">
        <f>IF(O1395&lt;SUMIFS(M:M,R:R,1,E:E,E1395)/SUMIFS(L:L,R:R,1,E:E,E1395)*0.5,"Низшая четверть",IF(O1395&lt;SUMIFS(M:M,R:R,1,E:E,E1395)/SUMIFS(L:L,R:R,1,E:E,E1395),"Вторая четверть","Больше половины"))</f>
        <v/>
      </c>
      <c r="Y1395" t="n">
        <v>14</v>
      </c>
    </row>
    <row r="1396">
      <c r="A1396" s="1" t="inlineStr">
        <is>
          <t>a60000W0</t>
        </is>
      </c>
      <c r="B1396" s="2" t="inlineStr">
        <is>
          <t>932503507</t>
        </is>
      </c>
      <c r="C1396" s="3" t="inlineStr">
        <is>
          <t>Одежда для детей</t>
        </is>
      </c>
      <c r="D1396" s="2" t="inlineStr">
        <is>
          <t>Платья, майки, футболки детские для девочек</t>
        </is>
      </c>
      <c r="E1396" s="3" t="inlineStr">
        <is>
          <t>a60 Футболка детская для девочек</t>
        </is>
      </c>
      <c r="F1396" s="2" t="inlineStr">
        <is>
          <t>всесезонный</t>
        </is>
      </c>
      <c r="G1396" s="3" t="inlineStr">
        <is>
          <t>Kari KIDS</t>
        </is>
      </c>
      <c r="H1396" s="2" t="inlineStr">
        <is>
          <t>Зиннуров Ильнур</t>
        </is>
      </c>
      <c r="J1396" s="3" t="inlineStr">
        <is>
          <t>2026SS</t>
        </is>
      </c>
      <c r="K1396" s="3" t="n">
        <v>0</v>
      </c>
      <c r="L1396" s="3" t="n">
        <v>7</v>
      </c>
      <c r="M1396" s="3" t="n">
        <v>0</v>
      </c>
      <c r="N1396" s="4">
        <f>IFERROR(L1396/K1396,0)</f>
        <v/>
      </c>
      <c r="O1396" s="4">
        <f>IFERROR(M1396/L1396,0)</f>
        <v/>
      </c>
      <c r="P1396" t="n">
        <v>0</v>
      </c>
      <c r="Q1396" s="5" t="n">
        <v>0</v>
      </c>
      <c r="R1396" s="7" t="n">
        <v>0</v>
      </c>
      <c r="S1396" t="inlineStr">
        <is>
          <t>Мало остатка</t>
        </is>
      </c>
      <c r="T1396">
        <f>IF(N1396&lt;$T$1*0.5,"Низшая четверть",IF(N1396&lt;$T$1,"Вторая четверть","Больше половины"))</f>
        <v/>
      </c>
      <c r="U1396">
        <f>IF(O1396&lt;$U$1*0.5,"Низшая четверть",IF(O1396&lt;$U$1,"Вторая четверть","Больше половины"))</f>
        <v/>
      </c>
      <c r="V1396">
        <f>IF(OR(N1396&lt;SUMIFS(L:L,R:R,1,E:E,E1396)/SUMIFS(K:K,R:R,1,E:E,E1396)*0.5,O1396&lt;SUMIFS(M:M,R:R,1,E:E,E1396)/SUMIFS(L:L,R:R,1,E:E,E1396)*0.5),"код для проверки","нормальный код")</f>
        <v/>
      </c>
      <c r="W1396">
        <f>IF(N1396&lt;SUMIFS(L:L,R:R,1,E:E,E1396)/SUMIFS(K:K,R:R,1,E:E,E1396)*0.5,"Низшая четверть",IF(N1396&lt;SUMIFS(L:L,R:R,1,E:E,E1396)/SUMIFS(K:K,R:R,1,E:E,E1396),"Вторая четверть","Больше половины"))</f>
        <v/>
      </c>
      <c r="X1396">
        <f>IF(O1396&lt;SUMIFS(M:M,R:R,1,E:E,E1396)/SUMIFS(L:L,R:R,1,E:E,E1396)*0.5,"Низшая четверть",IF(O1396&lt;SUMIFS(M:M,R:R,1,E:E,E1396)/SUMIFS(L:L,R:R,1,E:E,E1396),"Вторая четверть","Больше половины"))</f>
        <v/>
      </c>
      <c r="Y1396" t="n">
        <v>13</v>
      </c>
    </row>
    <row r="1397">
      <c r="A1397" s="1" t="inlineStr">
        <is>
          <t>93700110</t>
        </is>
      </c>
      <c r="B1397" s="2" t="inlineStr">
        <is>
          <t>924163593</t>
        </is>
      </c>
      <c r="C1397" s="3" t="inlineStr">
        <is>
          <t>Одежда для детей</t>
        </is>
      </c>
      <c r="D1397" s="2" t="inlineStr">
        <is>
          <t>Одежда для новорожденных</t>
        </is>
      </c>
      <c r="E1397" s="3" t="inlineStr">
        <is>
          <t>937 Боди с коротким рукавом для мальчиков</t>
        </is>
      </c>
      <c r="F1397" s="2" t="inlineStr">
        <is>
          <t>всесезонный</t>
        </is>
      </c>
      <c r="G1397" s="3" t="inlineStr">
        <is>
          <t>Kari baby</t>
        </is>
      </c>
      <c r="H1397" s="2" t="inlineStr">
        <is>
          <t>Зиннуров Ильнур</t>
        </is>
      </c>
      <c r="J1397" s="3" t="inlineStr">
        <is>
          <t>2026SS</t>
        </is>
      </c>
      <c r="K1397" s="3" t="n">
        <v>0</v>
      </c>
      <c r="L1397" s="3" t="n">
        <v>1</v>
      </c>
      <c r="M1397" s="3" t="n">
        <v>0</v>
      </c>
      <c r="N1397" s="4">
        <f>IFERROR(L1397/K1397,0)</f>
        <v/>
      </c>
      <c r="O1397" s="4">
        <f>IFERROR(M1397/L1397,0)</f>
        <v/>
      </c>
      <c r="P1397" t="n">
        <v>0</v>
      </c>
      <c r="Q1397" s="5" t="n">
        <v>0</v>
      </c>
      <c r="R1397" s="7" t="n">
        <v>0</v>
      </c>
      <c r="S1397" t="inlineStr">
        <is>
          <t>Мало остатка</t>
        </is>
      </c>
      <c r="T1397">
        <f>IF(N1397&lt;$T$1*0.5,"Низшая четверть",IF(N1397&lt;$T$1,"Вторая четверть","Больше половины"))</f>
        <v/>
      </c>
      <c r="U1397">
        <f>IF(O1397&lt;$U$1*0.5,"Низшая четверть",IF(O1397&lt;$U$1,"Вторая четверть","Больше половины"))</f>
        <v/>
      </c>
      <c r="V1397">
        <f>IF(OR(N1397&lt;SUMIFS(L:L,R:R,1,E:E,E1397)/SUMIFS(K:K,R:R,1,E:E,E1397)*0.5,O1397&lt;SUMIFS(M:M,R:R,1,E:E,E1397)/SUMIFS(L:L,R:R,1,E:E,E1397)*0.5),"код для проверки","нормальный код")</f>
        <v/>
      </c>
      <c r="W1397">
        <f>IF(N1397&lt;SUMIFS(L:L,R:R,1,E:E,E1397)/SUMIFS(K:K,R:R,1,E:E,E1397)*0.5,"Низшая четверть",IF(N1397&lt;SUMIFS(L:L,R:R,1,E:E,E1397)/SUMIFS(K:K,R:R,1,E:E,E1397),"Вторая четверть","Больше половины"))</f>
        <v/>
      </c>
      <c r="X1397">
        <f>IF(O1397&lt;SUMIFS(M:M,R:R,1,E:E,E1397)/SUMIFS(L:L,R:R,1,E:E,E1397)*0.5,"Низшая четверть",IF(O1397&lt;SUMIFS(M:M,R:R,1,E:E,E1397)/SUMIFS(L:L,R:R,1,E:E,E1397),"Вторая четверть","Больше половины"))</f>
        <v/>
      </c>
      <c r="Y1397" t="n">
        <v>13</v>
      </c>
    </row>
    <row r="1398">
      <c r="A1398" s="1" t="inlineStr">
        <is>
          <t>92500110</t>
        </is>
      </c>
      <c r="B1398" s="2" t="inlineStr">
        <is>
          <t>924163583</t>
        </is>
      </c>
      <c r="C1398" s="3" t="inlineStr">
        <is>
          <t>Одежда для детей</t>
        </is>
      </c>
      <c r="D1398" s="2" t="inlineStr">
        <is>
          <t>Одежда для новорожденных</t>
        </is>
      </c>
      <c r="E1398" s="3" t="inlineStr">
        <is>
          <t>925 Платье-боди</t>
        </is>
      </c>
      <c r="F1398" s="2" t="inlineStr">
        <is>
          <t>лето</t>
        </is>
      </c>
      <c r="G1398" s="3" t="inlineStr">
        <is>
          <t>Kari baby</t>
        </is>
      </c>
      <c r="H1398" s="2" t="inlineStr">
        <is>
          <t>Зиннуров Ильнур</t>
        </is>
      </c>
      <c r="J1398" s="3" t="inlineStr">
        <is>
          <t>2026SS</t>
        </is>
      </c>
      <c r="K1398" s="3" t="n">
        <v>0</v>
      </c>
      <c r="L1398" s="3" t="n">
        <v>2</v>
      </c>
      <c r="M1398" s="3" t="n">
        <v>0</v>
      </c>
      <c r="N1398" s="4">
        <f>IFERROR(L1398/K1398,0)</f>
        <v/>
      </c>
      <c r="O1398" s="4">
        <f>IFERROR(M1398/L1398,0)</f>
        <v/>
      </c>
      <c r="P1398" t="n">
        <v>0</v>
      </c>
      <c r="Q1398" s="5" t="n">
        <v>0</v>
      </c>
      <c r="R1398" s="7" t="n">
        <v>0</v>
      </c>
      <c r="S1398" t="inlineStr">
        <is>
          <t>Мало остатка</t>
        </is>
      </c>
      <c r="T1398">
        <f>IF(N1398&lt;$T$1*0.5,"Низшая четверть",IF(N1398&lt;$T$1,"Вторая четверть","Больше половины"))</f>
        <v/>
      </c>
      <c r="U1398">
        <f>IF(O1398&lt;$U$1*0.5,"Низшая четверть",IF(O1398&lt;$U$1,"Вторая четверть","Больше половины"))</f>
        <v/>
      </c>
      <c r="V1398">
        <f>IF(OR(N1398&lt;SUMIFS(L:L,R:R,1,E:E,E1398)/SUMIFS(K:K,R:R,1,E:E,E1398)*0.5,O1398&lt;SUMIFS(M:M,R:R,1,E:E,E1398)/SUMIFS(L:L,R:R,1,E:E,E1398)*0.5),"код для проверки","нормальный код")</f>
        <v/>
      </c>
      <c r="W1398">
        <f>IF(N1398&lt;SUMIFS(L:L,R:R,1,E:E,E1398)/SUMIFS(K:K,R:R,1,E:E,E1398)*0.5,"Низшая четверть",IF(N1398&lt;SUMIFS(L:L,R:R,1,E:E,E1398)/SUMIFS(K:K,R:R,1,E:E,E1398),"Вторая четверть","Больше половины"))</f>
        <v/>
      </c>
      <c r="X1398">
        <f>IF(O1398&lt;SUMIFS(M:M,R:R,1,E:E,E1398)/SUMIFS(L:L,R:R,1,E:E,E1398)*0.5,"Низшая четверть",IF(O1398&lt;SUMIFS(M:M,R:R,1,E:E,E1398)/SUMIFS(L:L,R:R,1,E:E,E1398),"Вторая четверть","Больше половины"))</f>
        <v/>
      </c>
      <c r="Y1398" t="n">
        <v>24</v>
      </c>
    </row>
    <row r="1399">
      <c r="A1399" s="1" t="inlineStr">
        <is>
          <t>94700130</t>
        </is>
      </c>
      <c r="B1399" s="2" t="inlineStr">
        <is>
          <t>925964429</t>
        </is>
      </c>
      <c r="C1399" s="3" t="inlineStr">
        <is>
          <t>Одежда для детей</t>
        </is>
      </c>
      <c r="D1399" s="2" t="inlineStr">
        <is>
          <t>Одежда для новорожденных</t>
        </is>
      </c>
      <c r="E1399" s="3" t="inlineStr">
        <is>
          <t>947 Ромпер для девочки</t>
        </is>
      </c>
      <c r="F1399" s="2" t="inlineStr">
        <is>
          <t>лето</t>
        </is>
      </c>
      <c r="G1399" s="3" t="inlineStr">
        <is>
          <t>Kari baby</t>
        </is>
      </c>
      <c r="H1399" s="2" t="inlineStr">
        <is>
          <t>Зиннуров Ильнур</t>
        </is>
      </c>
      <c r="J1399" s="3" t="inlineStr">
        <is>
          <t>2026SS</t>
        </is>
      </c>
      <c r="K1399" s="3" t="n">
        <v>0</v>
      </c>
      <c r="L1399" s="3" t="n">
        <v>2</v>
      </c>
      <c r="M1399" s="3" t="n">
        <v>0</v>
      </c>
      <c r="N1399" s="4">
        <f>IFERROR(L1399/K1399,0)</f>
        <v/>
      </c>
      <c r="O1399" s="4">
        <f>IFERROR(M1399/L1399,0)</f>
        <v/>
      </c>
      <c r="P1399" t="n">
        <v>0</v>
      </c>
      <c r="Q1399" s="5" t="n">
        <v>0</v>
      </c>
      <c r="R1399" s="7" t="n">
        <v>0</v>
      </c>
      <c r="S1399" t="inlineStr">
        <is>
          <t>Мало остатка</t>
        </is>
      </c>
      <c r="T1399">
        <f>IF(N1399&lt;$T$1*0.5,"Низшая четверть",IF(N1399&lt;$T$1,"Вторая четверть","Больше половины"))</f>
        <v/>
      </c>
      <c r="U1399">
        <f>IF(O1399&lt;$U$1*0.5,"Низшая четверть",IF(O1399&lt;$U$1,"Вторая четверть","Больше половины"))</f>
        <v/>
      </c>
      <c r="V1399">
        <f>IF(OR(N1399&lt;SUMIFS(L:L,R:R,1,E:E,E1399)/SUMIFS(K:K,R:R,1,E:E,E1399)*0.5,O1399&lt;SUMIFS(M:M,R:R,1,E:E,E1399)/SUMIFS(L:L,R:R,1,E:E,E1399)*0.5),"код для проверки","нормальный код")</f>
        <v/>
      </c>
      <c r="W1399">
        <f>IF(N1399&lt;SUMIFS(L:L,R:R,1,E:E,E1399)/SUMIFS(K:K,R:R,1,E:E,E1399)*0.5,"Низшая четверть",IF(N1399&lt;SUMIFS(L:L,R:R,1,E:E,E1399)/SUMIFS(K:K,R:R,1,E:E,E1399),"Вторая четверть","Больше половины"))</f>
        <v/>
      </c>
      <c r="X1399">
        <f>IF(O1399&lt;SUMIFS(M:M,R:R,1,E:E,E1399)/SUMIFS(L:L,R:R,1,E:E,E1399)*0.5,"Низшая четверть",IF(O1399&lt;SUMIFS(M:M,R:R,1,E:E,E1399)/SUMIFS(L:L,R:R,1,E:E,E1399),"Вторая четверть","Больше половины"))</f>
        <v/>
      </c>
      <c r="Y1399" t="n">
        <v>14</v>
      </c>
    </row>
    <row r="1400">
      <c r="A1400" s="1" t="inlineStr">
        <is>
          <t>a5000160</t>
        </is>
      </c>
      <c r="B1400" s="2" t="inlineStr">
        <is>
          <t>852785170</t>
        </is>
      </c>
      <c r="C1400" s="3" t="inlineStr">
        <is>
          <t>Одежда для детей</t>
        </is>
      </c>
      <c r="D1400" s="2" t="inlineStr">
        <is>
          <t>Чулочные и носочные детские изделия для девочек</t>
        </is>
      </c>
      <c r="E1400" s="3" t="inlineStr">
        <is>
          <t>a50 Капри и велосипедки для девочек</t>
        </is>
      </c>
      <c r="F1400" s="2" t="inlineStr">
        <is>
          <t>весна, лето</t>
        </is>
      </c>
      <c r="G1400" s="3" t="inlineStr">
        <is>
          <t>Kari KIDS</t>
        </is>
      </c>
      <c r="H1400" s="2" t="inlineStr">
        <is>
          <t>Зиннуров Ильнур</t>
        </is>
      </c>
      <c r="J1400" s="3" t="inlineStr">
        <is>
          <t>2026SS</t>
        </is>
      </c>
      <c r="K1400" s="3" t="n">
        <v>0</v>
      </c>
      <c r="L1400" s="3" t="n">
        <v>3</v>
      </c>
      <c r="M1400" s="3" t="n">
        <v>0</v>
      </c>
      <c r="N1400" s="4">
        <f>IFERROR(L1400/K1400,0)</f>
        <v/>
      </c>
      <c r="O1400" s="4">
        <f>IFERROR(M1400/L1400,0)</f>
        <v/>
      </c>
      <c r="P1400" t="n">
        <v>0</v>
      </c>
      <c r="Q1400" s="5" t="n">
        <v>0</v>
      </c>
      <c r="R1400" s="7" t="n">
        <v>0</v>
      </c>
      <c r="S1400" t="inlineStr">
        <is>
          <t>Мало остатка</t>
        </is>
      </c>
      <c r="T1400">
        <f>IF(N1400&lt;$T$1*0.5,"Низшая четверть",IF(N1400&lt;$T$1,"Вторая четверть","Больше половины"))</f>
        <v/>
      </c>
      <c r="U1400">
        <f>IF(O1400&lt;$U$1*0.5,"Низшая четверть",IF(O1400&lt;$U$1,"Вторая четверть","Больше половины"))</f>
        <v/>
      </c>
      <c r="V1400">
        <f>IF(OR(N1400&lt;SUMIFS(L:L,R:R,1,E:E,E1400)/SUMIFS(K:K,R:R,1,E:E,E1400)*0.5,O1400&lt;SUMIFS(M:M,R:R,1,E:E,E1400)/SUMIFS(L:L,R:R,1,E:E,E1400)*0.5),"код для проверки","нормальный код")</f>
        <v/>
      </c>
      <c r="W1400">
        <f>IF(N1400&lt;SUMIFS(L:L,R:R,1,E:E,E1400)/SUMIFS(K:K,R:R,1,E:E,E1400)*0.5,"Низшая четверть",IF(N1400&lt;SUMIFS(L:L,R:R,1,E:E,E1400)/SUMIFS(K:K,R:R,1,E:E,E1400),"Вторая четверть","Больше половины"))</f>
        <v/>
      </c>
      <c r="X1400">
        <f>IF(O1400&lt;SUMIFS(M:M,R:R,1,E:E,E1400)/SUMIFS(L:L,R:R,1,E:E,E1400)*0.5,"Низшая четверть",IF(O1400&lt;SUMIFS(M:M,R:R,1,E:E,E1400)/SUMIFS(L:L,R:R,1,E:E,E1400),"Вторая четверть","Больше половины"))</f>
        <v/>
      </c>
      <c r="Y1400" t="n">
        <v>17</v>
      </c>
    </row>
    <row r="1401">
      <c r="A1401" s="1" t="inlineStr">
        <is>
          <t>a5000140</t>
        </is>
      </c>
      <c r="B1401" s="2" t="inlineStr">
        <is>
          <t>879308853</t>
        </is>
      </c>
      <c r="C1401" s="3" t="inlineStr">
        <is>
          <t>Одежда для детей</t>
        </is>
      </c>
      <c r="D1401" s="2" t="inlineStr">
        <is>
          <t>Чулочные и носочные детские изделия для девочек</t>
        </is>
      </c>
      <c r="E1401" s="3" t="inlineStr">
        <is>
          <t>a50 Капри и велосипедки для девочек</t>
        </is>
      </c>
      <c r="F1401" s="2" t="inlineStr">
        <is>
          <t>весна, лето</t>
        </is>
      </c>
      <c r="G1401" s="3" t="inlineStr">
        <is>
          <t>kari</t>
        </is>
      </c>
      <c r="H1401" s="2" t="inlineStr">
        <is>
          <t>Зиннуров Ильнур</t>
        </is>
      </c>
      <c r="J1401" s="3" t="inlineStr">
        <is>
          <t>2026SS</t>
        </is>
      </c>
      <c r="K1401" s="3" t="n">
        <v>0</v>
      </c>
      <c r="L1401" s="3" t="n">
        <v>3</v>
      </c>
      <c r="M1401" s="3" t="n">
        <v>0</v>
      </c>
      <c r="N1401" s="4">
        <f>IFERROR(L1401/K1401,0)</f>
        <v/>
      </c>
      <c r="O1401" s="4">
        <f>IFERROR(M1401/L1401,0)</f>
        <v/>
      </c>
      <c r="P1401" t="n">
        <v>0</v>
      </c>
      <c r="Q1401" s="5" t="n">
        <v>0</v>
      </c>
      <c r="R1401" s="7" t="n">
        <v>0</v>
      </c>
      <c r="S1401" t="inlineStr">
        <is>
          <t>Мало остатка</t>
        </is>
      </c>
      <c r="T1401">
        <f>IF(N1401&lt;$T$1*0.5,"Низшая четверть",IF(N1401&lt;$T$1,"Вторая четверть","Больше половины"))</f>
        <v/>
      </c>
      <c r="U1401">
        <f>IF(O1401&lt;$U$1*0.5,"Низшая четверть",IF(O1401&lt;$U$1,"Вторая четверть","Больше половины"))</f>
        <v/>
      </c>
      <c r="V1401">
        <f>IF(OR(N1401&lt;SUMIFS(L:L,R:R,1,E:E,E1401)/SUMIFS(K:K,R:R,1,E:E,E1401)*0.5,O1401&lt;SUMIFS(M:M,R:R,1,E:E,E1401)/SUMIFS(L:L,R:R,1,E:E,E1401)*0.5),"код для проверки","нормальный код")</f>
        <v/>
      </c>
      <c r="W1401">
        <f>IF(N1401&lt;SUMIFS(L:L,R:R,1,E:E,E1401)/SUMIFS(K:K,R:R,1,E:E,E1401)*0.5,"Низшая четверть",IF(N1401&lt;SUMIFS(L:L,R:R,1,E:E,E1401)/SUMIFS(K:K,R:R,1,E:E,E1401),"Вторая четверть","Больше половины"))</f>
        <v/>
      </c>
      <c r="X1401">
        <f>IF(O1401&lt;SUMIFS(M:M,R:R,1,E:E,E1401)/SUMIFS(L:L,R:R,1,E:E,E1401)*0.5,"Низшая четверть",IF(O1401&lt;SUMIFS(M:M,R:R,1,E:E,E1401)/SUMIFS(L:L,R:R,1,E:E,E1401),"Вторая четверть","Больше половины"))</f>
        <v/>
      </c>
      <c r="Y1401" t="n">
        <v>7</v>
      </c>
    </row>
    <row r="1402">
      <c r="A1402" s="1" t="inlineStr">
        <is>
          <t>a5000200</t>
        </is>
      </c>
      <c r="B1402" s="2" t="inlineStr">
        <is>
          <t>879308762</t>
        </is>
      </c>
      <c r="C1402" s="3" t="inlineStr">
        <is>
          <t>Одежда для детей</t>
        </is>
      </c>
      <c r="D1402" s="2" t="inlineStr">
        <is>
          <t>Чулочные и носочные детские изделия для девочек</t>
        </is>
      </c>
      <c r="E1402" s="3" t="inlineStr">
        <is>
          <t>a50 Капри и велосипедки для девочек</t>
        </is>
      </c>
      <c r="F1402" s="2" t="inlineStr">
        <is>
          <t>весна, лето</t>
        </is>
      </c>
      <c r="G1402" s="3" t="inlineStr">
        <is>
          <t>kari</t>
        </is>
      </c>
      <c r="H1402" s="2" t="inlineStr">
        <is>
          <t>Зиннуров Ильнур</t>
        </is>
      </c>
      <c r="J1402" s="3" t="inlineStr">
        <is>
          <t>2026SS</t>
        </is>
      </c>
      <c r="K1402" s="3" t="n">
        <v>0</v>
      </c>
      <c r="L1402" s="3" t="n">
        <v>3</v>
      </c>
      <c r="M1402" s="3" t="n">
        <v>0</v>
      </c>
      <c r="N1402" s="4">
        <f>IFERROR(L1402/K1402,0)</f>
        <v/>
      </c>
      <c r="O1402" s="4">
        <f>IFERROR(M1402/L1402,0)</f>
        <v/>
      </c>
      <c r="P1402" t="n">
        <v>0</v>
      </c>
      <c r="Q1402" s="5" t="n">
        <v>0</v>
      </c>
      <c r="R1402" s="7" t="n">
        <v>0</v>
      </c>
      <c r="S1402" t="inlineStr">
        <is>
          <t>Мало остатка</t>
        </is>
      </c>
      <c r="T1402">
        <f>IF(N1402&lt;$T$1*0.5,"Низшая четверть",IF(N1402&lt;$T$1,"Вторая четверть","Больше половины"))</f>
        <v/>
      </c>
      <c r="U1402">
        <f>IF(O1402&lt;$U$1*0.5,"Низшая четверть",IF(O1402&lt;$U$1,"Вторая четверть","Больше половины"))</f>
        <v/>
      </c>
      <c r="V1402">
        <f>IF(OR(N1402&lt;SUMIFS(L:L,R:R,1,E:E,E1402)/SUMIFS(K:K,R:R,1,E:E,E1402)*0.5,O1402&lt;SUMIFS(M:M,R:R,1,E:E,E1402)/SUMIFS(L:L,R:R,1,E:E,E1402)*0.5),"код для проверки","нормальный код")</f>
        <v/>
      </c>
      <c r="W1402">
        <f>IF(N1402&lt;SUMIFS(L:L,R:R,1,E:E,E1402)/SUMIFS(K:K,R:R,1,E:E,E1402)*0.5,"Низшая четверть",IF(N1402&lt;SUMIFS(L:L,R:R,1,E:E,E1402)/SUMIFS(K:K,R:R,1,E:E,E1402),"Вторая четверть","Больше половины"))</f>
        <v/>
      </c>
      <c r="X1402">
        <f>IF(O1402&lt;SUMIFS(M:M,R:R,1,E:E,E1402)/SUMIFS(L:L,R:R,1,E:E,E1402)*0.5,"Низшая четверть",IF(O1402&lt;SUMIFS(M:M,R:R,1,E:E,E1402)/SUMIFS(L:L,R:R,1,E:E,E1402),"Вторая четверть","Больше половины"))</f>
        <v/>
      </c>
      <c r="Y1402" t="n">
        <v>7</v>
      </c>
    </row>
    <row r="1403">
      <c r="A1403" s="1" t="inlineStr">
        <is>
          <t>94600180</t>
        </is>
      </c>
      <c r="B1403" s="2" t="inlineStr">
        <is>
          <t>925964345</t>
        </is>
      </c>
      <c r="C1403" s="3" t="inlineStr">
        <is>
          <t>Одежда для детей</t>
        </is>
      </c>
      <c r="D1403" s="2" t="inlineStr">
        <is>
          <t>Одежда для новорожденных</t>
        </is>
      </c>
      <c r="E1403" s="3" t="inlineStr">
        <is>
          <t>946 Ромпер для мальчика</t>
        </is>
      </c>
      <c r="F1403" s="2" t="inlineStr">
        <is>
          <t>лето</t>
        </is>
      </c>
      <c r="G1403" s="3" t="inlineStr">
        <is>
          <t>Kari baby</t>
        </is>
      </c>
      <c r="H1403" s="2" t="inlineStr">
        <is>
          <t>Зиннуров Ильнур</t>
        </is>
      </c>
      <c r="J1403" s="3" t="inlineStr">
        <is>
          <t>2026SS</t>
        </is>
      </c>
      <c r="K1403" s="3" t="n">
        <v>0</v>
      </c>
      <c r="L1403" s="3" t="n">
        <v>3</v>
      </c>
      <c r="M1403" s="3" t="n">
        <v>0</v>
      </c>
      <c r="N1403" s="4">
        <f>IFERROR(L1403/K1403,0)</f>
        <v/>
      </c>
      <c r="O1403" s="4">
        <f>IFERROR(M1403/L1403,0)</f>
        <v/>
      </c>
      <c r="P1403" t="n">
        <v>0</v>
      </c>
      <c r="Q1403" s="5" t="n">
        <v>0</v>
      </c>
      <c r="R1403" s="7" t="n">
        <v>0</v>
      </c>
      <c r="S1403" t="inlineStr">
        <is>
          <t>Мало остатка</t>
        </is>
      </c>
      <c r="T1403">
        <f>IF(N1403&lt;$T$1*0.5,"Низшая четверть",IF(N1403&lt;$T$1,"Вторая четверть","Больше половины"))</f>
        <v/>
      </c>
      <c r="U1403">
        <f>IF(O1403&lt;$U$1*0.5,"Низшая четверть",IF(O1403&lt;$U$1,"Вторая четверть","Больше половины"))</f>
        <v/>
      </c>
      <c r="V1403">
        <f>IF(OR(N1403&lt;SUMIFS(L:L,R:R,1,E:E,E1403)/SUMIFS(K:K,R:R,1,E:E,E1403)*0.5,O1403&lt;SUMIFS(M:M,R:R,1,E:E,E1403)/SUMIFS(L:L,R:R,1,E:E,E1403)*0.5),"код для проверки","нормальный код")</f>
        <v/>
      </c>
      <c r="W1403">
        <f>IF(N1403&lt;SUMIFS(L:L,R:R,1,E:E,E1403)/SUMIFS(K:K,R:R,1,E:E,E1403)*0.5,"Низшая четверть",IF(N1403&lt;SUMIFS(L:L,R:R,1,E:E,E1403)/SUMIFS(K:K,R:R,1,E:E,E1403),"Вторая четверть","Больше половины"))</f>
        <v/>
      </c>
      <c r="X1403">
        <f>IF(O1403&lt;SUMIFS(M:M,R:R,1,E:E,E1403)/SUMIFS(L:L,R:R,1,E:E,E1403)*0.5,"Низшая четверть",IF(O1403&lt;SUMIFS(M:M,R:R,1,E:E,E1403)/SUMIFS(L:L,R:R,1,E:E,E1403),"Вторая четверть","Больше половины"))</f>
        <v/>
      </c>
      <c r="Y1403" t="n">
        <v>14</v>
      </c>
    </row>
    <row r="1404">
      <c r="A1404" s="1" t="inlineStr">
        <is>
          <t>a5000130</t>
        </is>
      </c>
      <c r="B1404" s="2" t="inlineStr">
        <is>
          <t>879308756</t>
        </is>
      </c>
      <c r="C1404" s="3" t="inlineStr">
        <is>
          <t>Одежда для детей</t>
        </is>
      </c>
      <c r="D1404" s="2" t="inlineStr">
        <is>
          <t>Чулочные и носочные детские изделия для девочек</t>
        </is>
      </c>
      <c r="E1404" s="3" t="inlineStr">
        <is>
          <t>a50 Капри и велосипедки для девочек</t>
        </is>
      </c>
      <c r="F1404" s="2" t="inlineStr">
        <is>
          <t>весна, лето</t>
        </is>
      </c>
      <c r="G1404" s="3" t="inlineStr">
        <is>
          <t>kari</t>
        </is>
      </c>
      <c r="H1404" s="2" t="inlineStr">
        <is>
          <t>Зиннуров Ильнур</t>
        </is>
      </c>
      <c r="J1404" s="3" t="inlineStr">
        <is>
          <t>2026SS</t>
        </is>
      </c>
      <c r="K1404" s="3" t="n">
        <v>0</v>
      </c>
      <c r="L1404" s="3" t="n">
        <v>3</v>
      </c>
      <c r="M1404" s="3" t="n">
        <v>0</v>
      </c>
      <c r="N1404" s="4">
        <f>IFERROR(L1404/K1404,0)</f>
        <v/>
      </c>
      <c r="O1404" s="4">
        <f>IFERROR(M1404/L1404,0)</f>
        <v/>
      </c>
      <c r="P1404" t="n">
        <v>0</v>
      </c>
      <c r="Q1404" s="5" t="n">
        <v>0</v>
      </c>
      <c r="R1404" s="7" t="n">
        <v>0</v>
      </c>
      <c r="S1404" t="inlineStr">
        <is>
          <t>Мало остатка</t>
        </is>
      </c>
      <c r="T1404">
        <f>IF(N1404&lt;$T$1*0.5,"Низшая четверть",IF(N1404&lt;$T$1,"Вторая четверть","Больше половины"))</f>
        <v/>
      </c>
      <c r="U1404">
        <f>IF(O1404&lt;$U$1*0.5,"Низшая четверть",IF(O1404&lt;$U$1,"Вторая четверть","Больше половины"))</f>
        <v/>
      </c>
      <c r="V1404">
        <f>IF(OR(N1404&lt;SUMIFS(L:L,R:R,1,E:E,E1404)/SUMIFS(K:K,R:R,1,E:E,E1404)*0.5,O1404&lt;SUMIFS(M:M,R:R,1,E:E,E1404)/SUMIFS(L:L,R:R,1,E:E,E1404)*0.5),"код для проверки","нормальный код")</f>
        <v/>
      </c>
      <c r="W1404">
        <f>IF(N1404&lt;SUMIFS(L:L,R:R,1,E:E,E1404)/SUMIFS(K:K,R:R,1,E:E,E1404)*0.5,"Низшая четверть",IF(N1404&lt;SUMIFS(L:L,R:R,1,E:E,E1404)/SUMIFS(K:K,R:R,1,E:E,E1404),"Вторая четверть","Больше половины"))</f>
        <v/>
      </c>
      <c r="X1404">
        <f>IF(O1404&lt;SUMIFS(M:M,R:R,1,E:E,E1404)/SUMIFS(L:L,R:R,1,E:E,E1404)*0.5,"Низшая четверть",IF(O1404&lt;SUMIFS(M:M,R:R,1,E:E,E1404)/SUMIFS(L:L,R:R,1,E:E,E1404),"Вторая четверть","Больше половины"))</f>
        <v/>
      </c>
      <c r="Y1404" t="n">
        <v>7</v>
      </c>
    </row>
    <row r="1405">
      <c r="A1405" s="1" t="inlineStr">
        <is>
          <t>310005A0</t>
        </is>
      </c>
      <c r="B1405" s="2" t="inlineStr">
        <is>
          <t>917592372</t>
        </is>
      </c>
      <c r="C1405" s="3" t="inlineStr">
        <is>
          <t>Одежда для детей</t>
        </is>
      </c>
      <c r="D1405" s="2" t="inlineStr">
        <is>
          <t>Футболки, майки, рубашки детские для мальчиков</t>
        </is>
      </c>
      <c r="E1405" s="3" t="inlineStr">
        <is>
          <t>310 Футболка детская для мальчиков</t>
        </is>
      </c>
      <c r="F1405" s="2" t="inlineStr">
        <is>
          <t>всесезонный</t>
        </is>
      </c>
      <c r="G1405" s="3" t="inlineStr">
        <is>
          <t>Kari KIDS</t>
        </is>
      </c>
      <c r="H1405" s="2" t="inlineStr">
        <is>
          <t>Зиннуров Ильнур</t>
        </is>
      </c>
      <c r="J1405" s="3" t="inlineStr">
        <is>
          <t>2026SS</t>
        </is>
      </c>
      <c r="K1405" s="3" t="n">
        <v>0</v>
      </c>
      <c r="L1405" s="3" t="n">
        <v>1</v>
      </c>
      <c r="M1405" s="3" t="n">
        <v>0</v>
      </c>
      <c r="N1405" s="4">
        <f>IFERROR(L1405/K1405,0)</f>
        <v/>
      </c>
      <c r="O1405" s="4">
        <f>IFERROR(M1405/L1405,0)</f>
        <v/>
      </c>
      <c r="P1405" t="n">
        <v>0</v>
      </c>
      <c r="Q1405" s="5" t="n">
        <v>0</v>
      </c>
      <c r="R1405" s="7" t="n">
        <v>0</v>
      </c>
      <c r="S1405" t="inlineStr">
        <is>
          <t>Мало остатка</t>
        </is>
      </c>
      <c r="T1405">
        <f>IF(N1405&lt;$T$1*0.5,"Низшая четверть",IF(N1405&lt;$T$1,"Вторая четверть","Больше половины"))</f>
        <v/>
      </c>
      <c r="U1405">
        <f>IF(O1405&lt;$U$1*0.5,"Низшая четверть",IF(O1405&lt;$U$1,"Вторая четверть","Больше половины"))</f>
        <v/>
      </c>
      <c r="V1405">
        <f>IF(OR(N1405&lt;SUMIFS(L:L,R:R,1,E:E,E1405)/SUMIFS(K:K,R:R,1,E:E,E1405)*0.5,O1405&lt;SUMIFS(M:M,R:R,1,E:E,E1405)/SUMIFS(L:L,R:R,1,E:E,E1405)*0.5),"код для проверки","нормальный код")</f>
        <v/>
      </c>
      <c r="W1405">
        <f>IF(N1405&lt;SUMIFS(L:L,R:R,1,E:E,E1405)/SUMIFS(K:K,R:R,1,E:E,E1405)*0.5,"Низшая четверть",IF(N1405&lt;SUMIFS(L:L,R:R,1,E:E,E1405)/SUMIFS(K:K,R:R,1,E:E,E1405),"Вторая четверть","Больше половины"))</f>
        <v/>
      </c>
      <c r="X1405">
        <f>IF(O1405&lt;SUMIFS(M:M,R:R,1,E:E,E1405)/SUMIFS(L:L,R:R,1,E:E,E1405)*0.5,"Низшая четверть",IF(O1405&lt;SUMIFS(M:M,R:R,1,E:E,E1405)/SUMIFS(L:L,R:R,1,E:E,E1405),"Вторая четверть","Больше половины"))</f>
        <v/>
      </c>
      <c r="Y1405" t="n">
        <v>9</v>
      </c>
    </row>
    <row r="1406">
      <c r="A1406" s="1" t="inlineStr">
        <is>
          <t>310004W0</t>
        </is>
      </c>
      <c r="B1406" s="2" t="inlineStr">
        <is>
          <t>917592376</t>
        </is>
      </c>
      <c r="C1406" s="3" t="inlineStr">
        <is>
          <t>Одежда для детей</t>
        </is>
      </c>
      <c r="D1406" s="2" t="inlineStr">
        <is>
          <t>Футболки, майки, рубашки детские для мальчиков</t>
        </is>
      </c>
      <c r="E1406" s="3" t="inlineStr">
        <is>
          <t>310 Футболка детская для мальчиков</t>
        </is>
      </c>
      <c r="F1406" s="2" t="inlineStr">
        <is>
          <t>всесезонный</t>
        </is>
      </c>
      <c r="G1406" s="3" t="inlineStr">
        <is>
          <t>Kari KIDS</t>
        </is>
      </c>
      <c r="H1406" s="2" t="inlineStr">
        <is>
          <t>Зиннуров Ильнур</t>
        </is>
      </c>
      <c r="J1406" s="3" t="inlineStr">
        <is>
          <t>2026SS</t>
        </is>
      </c>
      <c r="K1406" s="3" t="n">
        <v>0</v>
      </c>
      <c r="L1406" s="3" t="n">
        <v>1</v>
      </c>
      <c r="M1406" s="3" t="n">
        <v>0</v>
      </c>
      <c r="N1406" s="4">
        <f>IFERROR(L1406/K1406,0)</f>
        <v/>
      </c>
      <c r="O1406" s="4">
        <f>IFERROR(M1406/L1406,0)</f>
        <v/>
      </c>
      <c r="P1406" t="n">
        <v>0</v>
      </c>
      <c r="Q1406" s="5" t="n">
        <v>0</v>
      </c>
      <c r="R1406" s="7" t="n">
        <v>0</v>
      </c>
      <c r="S1406" t="inlineStr">
        <is>
          <t>Мало остатка</t>
        </is>
      </c>
      <c r="T1406">
        <f>IF(N1406&lt;$T$1*0.5,"Низшая четверть",IF(N1406&lt;$T$1,"Вторая четверть","Больше половины"))</f>
        <v/>
      </c>
      <c r="U1406">
        <f>IF(O1406&lt;$U$1*0.5,"Низшая четверть",IF(O1406&lt;$U$1,"Вторая четверть","Больше половины"))</f>
        <v/>
      </c>
      <c r="V1406">
        <f>IF(OR(N1406&lt;SUMIFS(L:L,R:R,1,E:E,E1406)/SUMIFS(K:K,R:R,1,E:E,E1406)*0.5,O1406&lt;SUMIFS(M:M,R:R,1,E:E,E1406)/SUMIFS(L:L,R:R,1,E:E,E1406)*0.5),"код для проверки","нормальный код")</f>
        <v/>
      </c>
      <c r="W1406">
        <f>IF(N1406&lt;SUMIFS(L:L,R:R,1,E:E,E1406)/SUMIFS(K:K,R:R,1,E:E,E1406)*0.5,"Низшая четверть",IF(N1406&lt;SUMIFS(L:L,R:R,1,E:E,E1406)/SUMIFS(K:K,R:R,1,E:E,E1406),"Вторая четверть","Больше половины"))</f>
        <v/>
      </c>
      <c r="X1406">
        <f>IF(O1406&lt;SUMIFS(M:M,R:R,1,E:E,E1406)/SUMIFS(L:L,R:R,1,E:E,E1406)*0.5,"Низшая четверть",IF(O1406&lt;SUMIFS(M:M,R:R,1,E:E,E1406)/SUMIFS(L:L,R:R,1,E:E,E1406),"Вторая четверть","Больше половины"))</f>
        <v/>
      </c>
      <c r="Y1406" t="n">
        <v>6</v>
      </c>
    </row>
    <row r="1407">
      <c r="A1407" s="1" t="inlineStr">
        <is>
          <t>310004Q0</t>
        </is>
      </c>
      <c r="B1407" s="2" t="inlineStr">
        <is>
          <t>879308889</t>
        </is>
      </c>
      <c r="C1407" s="3" t="inlineStr">
        <is>
          <t>Одежда для детей</t>
        </is>
      </c>
      <c r="D1407" s="2" t="inlineStr">
        <is>
          <t>Футболки, майки, рубашки детские для мальчиков</t>
        </is>
      </c>
      <c r="E1407" s="3" t="inlineStr">
        <is>
          <t>310 Футболка детская для мальчиков</t>
        </is>
      </c>
      <c r="F1407" s="2" t="inlineStr">
        <is>
          <t>всесезонный</t>
        </is>
      </c>
      <c r="G1407" s="3" t="inlineStr">
        <is>
          <t>Kari KIDS</t>
        </is>
      </c>
      <c r="H1407" s="2" t="inlineStr">
        <is>
          <t>Зиннуров Ильнур</t>
        </is>
      </c>
      <c r="J1407" s="3" t="inlineStr">
        <is>
          <t>2026SS</t>
        </is>
      </c>
      <c r="K1407" s="3" t="n">
        <v>0</v>
      </c>
      <c r="L1407" s="3" t="n">
        <v>1</v>
      </c>
      <c r="M1407" s="3" t="n">
        <v>0</v>
      </c>
      <c r="N1407" s="4">
        <f>IFERROR(L1407/K1407,0)</f>
        <v/>
      </c>
      <c r="O1407" s="4">
        <f>IFERROR(M1407/L1407,0)</f>
        <v/>
      </c>
      <c r="P1407" t="n">
        <v>0</v>
      </c>
      <c r="Q1407" s="5" t="n">
        <v>0</v>
      </c>
      <c r="R1407" s="7" t="n">
        <v>0</v>
      </c>
      <c r="S1407" t="inlineStr">
        <is>
          <t>Мало остатка</t>
        </is>
      </c>
      <c r="T1407">
        <f>IF(N1407&lt;$T$1*0.5,"Низшая четверть",IF(N1407&lt;$T$1,"Вторая четверть","Больше половины"))</f>
        <v/>
      </c>
      <c r="U1407">
        <f>IF(O1407&lt;$U$1*0.5,"Низшая четверть",IF(O1407&lt;$U$1,"Вторая четверть","Больше половины"))</f>
        <v/>
      </c>
      <c r="V1407">
        <f>IF(OR(N1407&lt;SUMIFS(L:L,R:R,1,E:E,E1407)/SUMIFS(K:K,R:R,1,E:E,E1407)*0.5,O1407&lt;SUMIFS(M:M,R:R,1,E:E,E1407)/SUMIFS(L:L,R:R,1,E:E,E1407)*0.5),"код для проверки","нормальный код")</f>
        <v/>
      </c>
      <c r="W1407">
        <f>IF(N1407&lt;SUMIFS(L:L,R:R,1,E:E,E1407)/SUMIFS(K:K,R:R,1,E:E,E1407)*0.5,"Низшая четверть",IF(N1407&lt;SUMIFS(L:L,R:R,1,E:E,E1407)/SUMIFS(K:K,R:R,1,E:E,E1407),"Вторая четверть","Больше половины"))</f>
        <v/>
      </c>
      <c r="X1407">
        <f>IF(O1407&lt;SUMIFS(M:M,R:R,1,E:E,E1407)/SUMIFS(L:L,R:R,1,E:E,E1407)*0.5,"Низшая четверть",IF(O1407&lt;SUMIFS(M:M,R:R,1,E:E,E1407)/SUMIFS(L:L,R:R,1,E:E,E1407),"Вторая четверть","Больше половины"))</f>
        <v/>
      </c>
      <c r="Y1407" t="n">
        <v>6</v>
      </c>
    </row>
    <row r="1408">
      <c r="A1408" s="1" t="inlineStr">
        <is>
          <t>310004J0</t>
        </is>
      </c>
      <c r="B1408" s="2" t="inlineStr">
        <is>
          <t>847884135</t>
        </is>
      </c>
      <c r="C1408" s="3" t="inlineStr">
        <is>
          <t>Одежда для детей</t>
        </is>
      </c>
      <c r="D1408" s="2" t="inlineStr">
        <is>
          <t>Футболки, майки, рубашки детские для мальчиков</t>
        </is>
      </c>
      <c r="E1408" s="3" t="inlineStr">
        <is>
          <t>310 Футболка детская для мальчиков</t>
        </is>
      </c>
      <c r="F1408" s="2" t="inlineStr">
        <is>
          <t>всесезонный</t>
        </is>
      </c>
      <c r="G1408" s="3" t="inlineStr">
        <is>
          <t>Kari KIDS</t>
        </is>
      </c>
      <c r="H1408" s="2" t="inlineStr">
        <is>
          <t>Зиннуров Ильнур</t>
        </is>
      </c>
      <c r="J1408" s="3" t="inlineStr">
        <is>
          <t>2026SS</t>
        </is>
      </c>
      <c r="K1408" s="3" t="n">
        <v>0</v>
      </c>
      <c r="L1408" s="3" t="n">
        <v>99</v>
      </c>
      <c r="M1408" s="3" t="n">
        <v>0</v>
      </c>
      <c r="N1408" s="4">
        <f>IFERROR(L1408/K1408,0)</f>
        <v/>
      </c>
      <c r="O1408" s="4">
        <f>IFERROR(M1408/L1408,0)</f>
        <v/>
      </c>
      <c r="P1408" t="n">
        <v>0</v>
      </c>
      <c r="Q1408" s="5" t="n">
        <v>0</v>
      </c>
      <c r="R1408" s="7" t="n">
        <v>0</v>
      </c>
      <c r="S1408" t="inlineStr">
        <is>
          <t>Мало остатка</t>
        </is>
      </c>
      <c r="T1408">
        <f>IF(N1408&lt;$T$1*0.5,"Низшая четверть",IF(N1408&lt;$T$1,"Вторая четверть","Больше половины"))</f>
        <v/>
      </c>
      <c r="U1408">
        <f>IF(O1408&lt;$U$1*0.5,"Низшая четверть",IF(O1408&lt;$U$1,"Вторая четверть","Больше половины"))</f>
        <v/>
      </c>
      <c r="V1408">
        <f>IF(OR(N1408&lt;SUMIFS(L:L,R:R,1,E:E,E1408)/SUMIFS(K:K,R:R,1,E:E,E1408)*0.5,O1408&lt;SUMIFS(M:M,R:R,1,E:E,E1408)/SUMIFS(L:L,R:R,1,E:E,E1408)*0.5),"код для проверки","нормальный код")</f>
        <v/>
      </c>
      <c r="W1408">
        <f>IF(N1408&lt;SUMIFS(L:L,R:R,1,E:E,E1408)/SUMIFS(K:K,R:R,1,E:E,E1408)*0.5,"Низшая четверть",IF(N1408&lt;SUMIFS(L:L,R:R,1,E:E,E1408)/SUMIFS(K:K,R:R,1,E:E,E1408),"Вторая четверть","Больше половины"))</f>
        <v/>
      </c>
      <c r="X1408">
        <f>IF(O1408&lt;SUMIFS(M:M,R:R,1,E:E,E1408)/SUMIFS(L:L,R:R,1,E:E,E1408)*0.5,"Низшая четверть",IF(O1408&lt;SUMIFS(M:M,R:R,1,E:E,E1408)/SUMIFS(L:L,R:R,1,E:E,E1408),"Вторая четверть","Больше половины"))</f>
        <v/>
      </c>
      <c r="Y1408" t="n">
        <v>9</v>
      </c>
    </row>
    <row r="1409">
      <c r="A1409" s="1" t="inlineStr">
        <is>
          <t>310004P0</t>
        </is>
      </c>
      <c r="B1409" s="2" t="inlineStr">
        <is>
          <t>879308816</t>
        </is>
      </c>
      <c r="C1409" s="3" t="inlineStr">
        <is>
          <t>Одежда для детей</t>
        </is>
      </c>
      <c r="D1409" s="2" t="inlineStr">
        <is>
          <t>Футболки, майки, рубашки детские для мальчиков</t>
        </is>
      </c>
      <c r="E1409" s="3" t="inlineStr">
        <is>
          <t>310 Футболка детская для мальчиков</t>
        </is>
      </c>
      <c r="F1409" s="2" t="inlineStr">
        <is>
          <t>всесезонный</t>
        </is>
      </c>
      <c r="G1409" s="3" t="inlineStr">
        <is>
          <t>Kari KIDS</t>
        </is>
      </c>
      <c r="H1409" s="2" t="inlineStr">
        <is>
          <t>Зиннуров Ильнур</t>
        </is>
      </c>
      <c r="J1409" s="3" t="inlineStr">
        <is>
          <t>2026SS</t>
        </is>
      </c>
      <c r="K1409" s="3" t="n">
        <v>0</v>
      </c>
      <c r="L1409" s="3" t="n">
        <v>1</v>
      </c>
      <c r="M1409" s="3" t="n">
        <v>0</v>
      </c>
      <c r="N1409" s="4">
        <f>IFERROR(L1409/K1409,0)</f>
        <v/>
      </c>
      <c r="O1409" s="4">
        <f>IFERROR(M1409/L1409,0)</f>
        <v/>
      </c>
      <c r="P1409" t="n">
        <v>0</v>
      </c>
      <c r="Q1409" s="5" t="n">
        <v>0</v>
      </c>
      <c r="R1409" s="7" t="n">
        <v>0</v>
      </c>
      <c r="S1409" t="inlineStr">
        <is>
          <t>Мало остатка</t>
        </is>
      </c>
      <c r="T1409">
        <f>IF(N1409&lt;$T$1*0.5,"Низшая четверть",IF(N1409&lt;$T$1,"Вторая четверть","Больше половины"))</f>
        <v/>
      </c>
      <c r="U1409">
        <f>IF(O1409&lt;$U$1*0.5,"Низшая четверть",IF(O1409&lt;$U$1,"Вторая четверть","Больше половины"))</f>
        <v/>
      </c>
      <c r="V1409">
        <f>IF(OR(N1409&lt;SUMIFS(L:L,R:R,1,E:E,E1409)/SUMIFS(K:K,R:R,1,E:E,E1409)*0.5,O1409&lt;SUMIFS(M:M,R:R,1,E:E,E1409)/SUMIFS(L:L,R:R,1,E:E,E1409)*0.5),"код для проверки","нормальный код")</f>
        <v/>
      </c>
      <c r="W1409">
        <f>IF(N1409&lt;SUMIFS(L:L,R:R,1,E:E,E1409)/SUMIFS(K:K,R:R,1,E:E,E1409)*0.5,"Низшая четверть",IF(N1409&lt;SUMIFS(L:L,R:R,1,E:E,E1409)/SUMIFS(K:K,R:R,1,E:E,E1409),"Вторая четверть","Больше половины"))</f>
        <v/>
      </c>
      <c r="X1409">
        <f>IF(O1409&lt;SUMIFS(M:M,R:R,1,E:E,E1409)/SUMIFS(L:L,R:R,1,E:E,E1409)*0.5,"Низшая четверть",IF(O1409&lt;SUMIFS(M:M,R:R,1,E:E,E1409)/SUMIFS(L:L,R:R,1,E:E,E1409),"Вторая четверть","Больше половины"))</f>
        <v/>
      </c>
      <c r="Y1409" t="n">
        <v>6</v>
      </c>
    </row>
    <row r="1410">
      <c r="A1410" s="1" t="inlineStr">
        <is>
          <t>31400060</t>
        </is>
      </c>
      <c r="B1410" s="2" t="inlineStr">
        <is>
          <t>889709097</t>
        </is>
      </c>
      <c r="C1410" s="3" t="inlineStr">
        <is>
          <t>Одежда и аксессуары</t>
        </is>
      </c>
      <c r="D1410" s="2" t="inlineStr">
        <is>
          <t>Футболки, рубашки мужские</t>
        </is>
      </c>
      <c r="E1410" s="3" t="inlineStr">
        <is>
          <t>314 Рубашка короткий рукав мужская</t>
        </is>
      </c>
      <c r="F1410" s="2" t="inlineStr">
        <is>
          <t>лето</t>
        </is>
      </c>
      <c r="G1410" s="3" t="inlineStr">
        <is>
          <t>kari</t>
        </is>
      </c>
      <c r="H1410" s="2" t="n"/>
      <c r="J1410" s="3" t="inlineStr">
        <is>
          <t>2026SS</t>
        </is>
      </c>
      <c r="K1410" s="3" t="n">
        <v>0</v>
      </c>
      <c r="L1410" s="3" t="n">
        <v>4</v>
      </c>
      <c r="M1410" s="3" t="n">
        <v>0</v>
      </c>
      <c r="N1410" s="4">
        <f>IFERROR(L1410/K1410,0)</f>
        <v/>
      </c>
      <c r="O1410" s="4">
        <f>IFERROR(M1410/L1410,0)</f>
        <v/>
      </c>
      <c r="P1410" t="n">
        <v>0</v>
      </c>
      <c r="Q1410" s="5" t="n">
        <v>0</v>
      </c>
      <c r="R1410" s="7" t="n">
        <v>0</v>
      </c>
      <c r="S1410" t="inlineStr">
        <is>
          <t>Мало остатка</t>
        </is>
      </c>
      <c r="T1410">
        <f>IF(N1410&lt;$T$1*0.5,"Низшая четверть",IF(N1410&lt;$T$1,"Вторая четверть","Больше половины"))</f>
        <v/>
      </c>
      <c r="U1410">
        <f>IF(O1410&lt;$U$1*0.5,"Низшая четверть",IF(O1410&lt;$U$1,"Вторая четверть","Больше половины"))</f>
        <v/>
      </c>
      <c r="V1410">
        <f>IF(OR(N1410&lt;SUMIFS(L:L,R:R,1,E:E,E1410)/SUMIFS(K:K,R:R,1,E:E,E1410)*0.5,O1410&lt;SUMIFS(M:M,R:R,1,E:E,E1410)/SUMIFS(L:L,R:R,1,E:E,E1410)*0.5),"код для проверки","нормальный код")</f>
        <v/>
      </c>
      <c r="W1410">
        <f>IF(N1410&lt;SUMIFS(L:L,R:R,1,E:E,E1410)/SUMIFS(K:K,R:R,1,E:E,E1410)*0.5,"Низшая четверть",IF(N1410&lt;SUMIFS(L:L,R:R,1,E:E,E1410)/SUMIFS(K:K,R:R,1,E:E,E1410),"Вторая четверть","Больше половины"))</f>
        <v/>
      </c>
      <c r="X1410">
        <f>IF(O1410&lt;SUMIFS(M:M,R:R,1,E:E,E1410)/SUMIFS(L:L,R:R,1,E:E,E1410)*0.5,"Низшая четверть",IF(O1410&lt;SUMIFS(M:M,R:R,1,E:E,E1410)/SUMIFS(L:L,R:R,1,E:E,E1410),"Вторая четверть","Больше половины"))</f>
        <v/>
      </c>
      <c r="Y1410" t="n">
        <v>9</v>
      </c>
    </row>
    <row r="1411">
      <c r="A1411" s="1" t="inlineStr">
        <is>
          <t>56800210</t>
        </is>
      </c>
      <c r="B1411" s="2" t="inlineStr">
        <is>
          <t>924182379</t>
        </is>
      </c>
      <c r="C1411" s="3" t="inlineStr">
        <is>
          <t>Одежда для детей</t>
        </is>
      </c>
      <c r="D1411" s="2" t="inlineStr">
        <is>
          <t>Одежда для новорожденных</t>
        </is>
      </c>
      <c r="E1411" s="3" t="inlineStr">
        <is>
          <t>568 Боди с коротким рукавом для девочек</t>
        </is>
      </c>
      <c r="F1411" s="2" t="inlineStr">
        <is>
          <t>всесезонный</t>
        </is>
      </c>
      <c r="G1411" s="3" t="inlineStr">
        <is>
          <t>Kari baby</t>
        </is>
      </c>
      <c r="H1411" s="2" t="inlineStr">
        <is>
          <t>Зиннуров Ильнур</t>
        </is>
      </c>
      <c r="J1411" s="3" t="inlineStr">
        <is>
          <t>2026SS</t>
        </is>
      </c>
      <c r="K1411" s="3" t="n">
        <v>0</v>
      </c>
      <c r="L1411" s="3" t="n">
        <v>1</v>
      </c>
      <c r="M1411" s="3" t="n">
        <v>0</v>
      </c>
      <c r="N1411" s="4">
        <f>IFERROR(L1411/K1411,0)</f>
        <v/>
      </c>
      <c r="O1411" s="4">
        <f>IFERROR(M1411/L1411,0)</f>
        <v/>
      </c>
      <c r="P1411" t="n">
        <v>0</v>
      </c>
      <c r="Q1411" s="5" t="n">
        <v>0</v>
      </c>
      <c r="R1411" s="7" t="n">
        <v>0</v>
      </c>
      <c r="S1411" t="inlineStr">
        <is>
          <t>Мало остатка</t>
        </is>
      </c>
      <c r="T1411">
        <f>IF(N1411&lt;$T$1*0.5,"Низшая четверть",IF(N1411&lt;$T$1,"Вторая четверть","Больше половины"))</f>
        <v/>
      </c>
      <c r="U1411">
        <f>IF(O1411&lt;$U$1*0.5,"Низшая четверть",IF(O1411&lt;$U$1,"Вторая четверть","Больше половины"))</f>
        <v/>
      </c>
      <c r="V1411">
        <f>IF(OR(N1411&lt;SUMIFS(L:L,R:R,1,E:E,E1411)/SUMIFS(K:K,R:R,1,E:E,E1411)*0.5,O1411&lt;SUMIFS(M:M,R:R,1,E:E,E1411)/SUMIFS(L:L,R:R,1,E:E,E1411)*0.5),"код для проверки","нормальный код")</f>
        <v/>
      </c>
      <c r="W1411">
        <f>IF(N1411&lt;SUMIFS(L:L,R:R,1,E:E,E1411)/SUMIFS(K:K,R:R,1,E:E,E1411)*0.5,"Низшая четверть",IF(N1411&lt;SUMIFS(L:L,R:R,1,E:E,E1411)/SUMIFS(K:K,R:R,1,E:E,E1411),"Вторая четверть","Больше половины"))</f>
        <v/>
      </c>
      <c r="X1411">
        <f>IF(O1411&lt;SUMIFS(M:M,R:R,1,E:E,E1411)/SUMIFS(L:L,R:R,1,E:E,E1411)*0.5,"Низшая четверть",IF(O1411&lt;SUMIFS(M:M,R:R,1,E:E,E1411)/SUMIFS(L:L,R:R,1,E:E,E1411),"Вторая четверть","Больше половины"))</f>
        <v/>
      </c>
      <c r="Y1411" t="n">
        <v>24</v>
      </c>
    </row>
    <row r="1412">
      <c r="A1412" s="1" t="inlineStr">
        <is>
          <t>31400070</t>
        </is>
      </c>
      <c r="B1412" s="2" t="inlineStr">
        <is>
          <t>889709103</t>
        </is>
      </c>
      <c r="C1412" s="3" t="inlineStr">
        <is>
          <t>Одежда и аксессуары</t>
        </is>
      </c>
      <c r="D1412" s="2" t="inlineStr">
        <is>
          <t>Футболки, рубашки мужские</t>
        </is>
      </c>
      <c r="E1412" s="3" t="inlineStr">
        <is>
          <t>314 Рубашка короткий рукав мужская</t>
        </is>
      </c>
      <c r="F1412" s="2" t="inlineStr">
        <is>
          <t>лето</t>
        </is>
      </c>
      <c r="G1412" s="3" t="inlineStr">
        <is>
          <t>kari</t>
        </is>
      </c>
      <c r="H1412" s="2" t="n"/>
      <c r="J1412" s="3" t="inlineStr">
        <is>
          <t>2026SS</t>
        </is>
      </c>
      <c r="K1412" s="3" t="n">
        <v>0</v>
      </c>
      <c r="L1412" s="3" t="n">
        <v>4</v>
      </c>
      <c r="M1412" s="3" t="n">
        <v>0</v>
      </c>
      <c r="N1412" s="4">
        <f>IFERROR(L1412/K1412,0)</f>
        <v/>
      </c>
      <c r="O1412" s="4">
        <f>IFERROR(M1412/L1412,0)</f>
        <v/>
      </c>
      <c r="P1412" t="n">
        <v>0</v>
      </c>
      <c r="Q1412" s="5" t="n">
        <v>0</v>
      </c>
      <c r="R1412" s="7" t="n">
        <v>0</v>
      </c>
      <c r="S1412" t="inlineStr">
        <is>
          <t>Мало остатка</t>
        </is>
      </c>
      <c r="T1412">
        <f>IF(N1412&lt;$T$1*0.5,"Низшая четверть",IF(N1412&lt;$T$1,"Вторая четверть","Больше половины"))</f>
        <v/>
      </c>
      <c r="U1412">
        <f>IF(O1412&lt;$U$1*0.5,"Низшая четверть",IF(O1412&lt;$U$1,"Вторая четверть","Больше половины"))</f>
        <v/>
      </c>
      <c r="V1412">
        <f>IF(OR(N1412&lt;SUMIFS(L:L,R:R,1,E:E,E1412)/SUMIFS(K:K,R:R,1,E:E,E1412)*0.5,O1412&lt;SUMIFS(M:M,R:R,1,E:E,E1412)/SUMIFS(L:L,R:R,1,E:E,E1412)*0.5),"код для проверки","нормальный код")</f>
        <v/>
      </c>
      <c r="W1412">
        <f>IF(N1412&lt;SUMIFS(L:L,R:R,1,E:E,E1412)/SUMIFS(K:K,R:R,1,E:E,E1412)*0.5,"Низшая четверть",IF(N1412&lt;SUMIFS(L:L,R:R,1,E:E,E1412)/SUMIFS(K:K,R:R,1,E:E,E1412),"Вторая четверть","Больше половины"))</f>
        <v/>
      </c>
      <c r="X1412">
        <f>IF(O1412&lt;SUMIFS(M:M,R:R,1,E:E,E1412)/SUMIFS(L:L,R:R,1,E:E,E1412)*0.5,"Низшая четверть",IF(O1412&lt;SUMIFS(M:M,R:R,1,E:E,E1412)/SUMIFS(L:L,R:R,1,E:E,E1412),"Вторая четверть","Больше половины"))</f>
        <v/>
      </c>
      <c r="Y1412" t="n">
        <v>9</v>
      </c>
    </row>
    <row r="1413">
      <c r="A1413" s="1" t="inlineStr">
        <is>
          <t>31800060</t>
        </is>
      </c>
      <c r="B1413" s="2" t="inlineStr">
        <is>
          <t>804188275</t>
        </is>
      </c>
      <c r="C1413" s="3" t="inlineStr">
        <is>
          <t>Одежда для детей</t>
        </is>
      </c>
      <c r="D1413" s="2" t="inlineStr">
        <is>
          <t>Нижнее белье детское для девочек</t>
        </is>
      </c>
      <c r="E1413" s="3" t="inlineStr">
        <is>
          <t>318 Набор лиф и трусики детский для девочек</t>
        </is>
      </c>
      <c r="F1413" s="2" t="inlineStr">
        <is>
          <t>всесезонный</t>
        </is>
      </c>
      <c r="G1413" s="3" t="inlineStr">
        <is>
          <t>kari</t>
        </is>
      </c>
      <c r="H1413" s="2" t="inlineStr">
        <is>
          <t>Зиннуров Ильнур</t>
        </is>
      </c>
      <c r="J1413" s="3" t="inlineStr">
        <is>
          <t>2026SS</t>
        </is>
      </c>
      <c r="K1413" s="3" t="n">
        <v>0</v>
      </c>
      <c r="L1413" s="3" t="n">
        <v>1</v>
      </c>
      <c r="M1413" s="3" t="n">
        <v>0</v>
      </c>
      <c r="N1413" s="4">
        <f>IFERROR(L1413/K1413,0)</f>
        <v/>
      </c>
      <c r="O1413" s="4">
        <f>IFERROR(M1413/L1413,0)</f>
        <v/>
      </c>
      <c r="P1413" t="n">
        <v>0</v>
      </c>
      <c r="Q1413" s="5" t="n">
        <v>0</v>
      </c>
      <c r="R1413" s="7" t="n">
        <v>0</v>
      </c>
      <c r="S1413" t="inlineStr">
        <is>
          <t>Мало остатка</t>
        </is>
      </c>
      <c r="T1413">
        <f>IF(N1413&lt;$T$1*0.5,"Низшая четверть",IF(N1413&lt;$T$1,"Вторая четверть","Больше половины"))</f>
        <v/>
      </c>
      <c r="U1413">
        <f>IF(O1413&lt;$U$1*0.5,"Низшая четверть",IF(O1413&lt;$U$1,"Вторая четверть","Больше половины"))</f>
        <v/>
      </c>
      <c r="V1413">
        <f>IF(OR(N1413&lt;SUMIFS(L:L,R:R,1,E:E,E1413)/SUMIFS(K:K,R:R,1,E:E,E1413)*0.5,O1413&lt;SUMIFS(M:M,R:R,1,E:E,E1413)/SUMIFS(L:L,R:R,1,E:E,E1413)*0.5),"код для проверки","нормальный код")</f>
        <v/>
      </c>
      <c r="W1413">
        <f>IF(N1413&lt;SUMIFS(L:L,R:R,1,E:E,E1413)/SUMIFS(K:K,R:R,1,E:E,E1413)*0.5,"Низшая четверть",IF(N1413&lt;SUMIFS(L:L,R:R,1,E:E,E1413)/SUMIFS(K:K,R:R,1,E:E,E1413),"Вторая четверть","Больше половины"))</f>
        <v/>
      </c>
      <c r="X1413">
        <f>IF(O1413&lt;SUMIFS(M:M,R:R,1,E:E,E1413)/SUMIFS(L:L,R:R,1,E:E,E1413)*0.5,"Низшая четверть",IF(O1413&lt;SUMIFS(M:M,R:R,1,E:E,E1413)/SUMIFS(L:L,R:R,1,E:E,E1413),"Вторая четверть","Больше половины"))</f>
        <v/>
      </c>
      <c r="Y1413" t="n">
        <v>9</v>
      </c>
    </row>
    <row r="1414">
      <c r="A1414" s="1" t="inlineStr">
        <is>
          <t>19400490</t>
        </is>
      </c>
      <c r="B1414" s="2" t="inlineStr">
        <is>
          <t>911791798</t>
        </is>
      </c>
      <c r="C1414" s="3" t="inlineStr">
        <is>
          <t>Одежда для детей</t>
        </is>
      </c>
      <c r="D1414" s="2" t="inlineStr">
        <is>
          <t>Брюки детские для девочек</t>
        </is>
      </c>
      <c r="E1414" s="3" t="inlineStr">
        <is>
          <t>194 Шорты детские для девочек</t>
        </is>
      </c>
      <c r="F1414" s="2" t="inlineStr">
        <is>
          <t>лето</t>
        </is>
      </c>
      <c r="G1414" s="3" t="inlineStr">
        <is>
          <t>Kari KIDS</t>
        </is>
      </c>
      <c r="H1414" s="2" t="inlineStr">
        <is>
          <t>Зиннуров Ильнур</t>
        </is>
      </c>
      <c r="J1414" s="3" t="inlineStr">
        <is>
          <t>2026SS</t>
        </is>
      </c>
      <c r="K1414" s="3" t="n">
        <v>0</v>
      </c>
      <c r="L1414" s="3" t="n">
        <v>1</v>
      </c>
      <c r="M1414" s="3" t="n">
        <v>0</v>
      </c>
      <c r="N1414" s="4">
        <f>IFERROR(L1414/K1414,0)</f>
        <v/>
      </c>
      <c r="O1414" s="4">
        <f>IFERROR(M1414/L1414,0)</f>
        <v/>
      </c>
      <c r="P1414" t="n">
        <v>0</v>
      </c>
      <c r="Q1414" s="5" t="n">
        <v>0</v>
      </c>
      <c r="R1414" s="7" t="n">
        <v>0</v>
      </c>
      <c r="S1414" t="inlineStr">
        <is>
          <t>Мало остатка</t>
        </is>
      </c>
      <c r="T1414">
        <f>IF(N1414&lt;$T$1*0.5,"Низшая четверть",IF(N1414&lt;$T$1,"Вторая четверть","Больше половины"))</f>
        <v/>
      </c>
      <c r="U1414">
        <f>IF(O1414&lt;$U$1*0.5,"Низшая четверть",IF(O1414&lt;$U$1,"Вторая четверть","Больше половины"))</f>
        <v/>
      </c>
      <c r="V1414">
        <f>IF(OR(N1414&lt;SUMIFS(L:L,R:R,1,E:E,E1414)/SUMIFS(K:K,R:R,1,E:E,E1414)*0.5,O1414&lt;SUMIFS(M:M,R:R,1,E:E,E1414)/SUMIFS(L:L,R:R,1,E:E,E1414)*0.5),"код для проверки","нормальный код")</f>
        <v/>
      </c>
      <c r="W1414">
        <f>IF(N1414&lt;SUMIFS(L:L,R:R,1,E:E,E1414)/SUMIFS(K:K,R:R,1,E:E,E1414)*0.5,"Низшая четверть",IF(N1414&lt;SUMIFS(L:L,R:R,1,E:E,E1414)/SUMIFS(K:K,R:R,1,E:E,E1414),"Вторая четверть","Больше половины"))</f>
        <v/>
      </c>
      <c r="X1414">
        <f>IF(O1414&lt;SUMIFS(M:M,R:R,1,E:E,E1414)/SUMIFS(L:L,R:R,1,E:E,E1414)*0.5,"Низшая четверть",IF(O1414&lt;SUMIFS(M:M,R:R,1,E:E,E1414)/SUMIFS(L:L,R:R,1,E:E,E1414),"Вторая четверть","Больше половины"))</f>
        <v/>
      </c>
      <c r="Y1414" t="n">
        <v>14</v>
      </c>
    </row>
    <row r="1415">
      <c r="A1415" s="1" t="inlineStr">
        <is>
          <t>19300410</t>
        </is>
      </c>
      <c r="B1415" s="2" t="inlineStr">
        <is>
          <t>837332435</t>
        </is>
      </c>
      <c r="C1415" s="3" t="inlineStr">
        <is>
          <t>Одежда для детей</t>
        </is>
      </c>
      <c r="D1415" s="2" t="inlineStr">
        <is>
          <t>Брюки детские для мальчиков</t>
        </is>
      </c>
      <c r="E1415" s="3" t="inlineStr">
        <is>
          <t>193 Шорты детские для мальчиков</t>
        </is>
      </c>
      <c r="F1415" s="2" t="inlineStr">
        <is>
          <t>лето</t>
        </is>
      </c>
      <c r="G1415" s="3" t="inlineStr">
        <is>
          <t>Kari KIDS</t>
        </is>
      </c>
      <c r="H1415" s="2" t="inlineStr">
        <is>
          <t>Зиннуров Ильнур</t>
        </is>
      </c>
      <c r="J1415" s="3" t="inlineStr">
        <is>
          <t>2026SS</t>
        </is>
      </c>
      <c r="K1415" s="3" t="n">
        <v>0</v>
      </c>
      <c r="L1415" s="3" t="n">
        <v>7</v>
      </c>
      <c r="M1415" s="3" t="n">
        <v>0</v>
      </c>
      <c r="N1415" s="4">
        <f>IFERROR(L1415/K1415,0)</f>
        <v/>
      </c>
      <c r="O1415" s="4">
        <f>IFERROR(M1415/L1415,0)</f>
        <v/>
      </c>
      <c r="P1415" t="n">
        <v>0</v>
      </c>
      <c r="Q1415" s="5" t="n">
        <v>0</v>
      </c>
      <c r="R1415" s="7" t="n">
        <v>0</v>
      </c>
      <c r="S1415" t="inlineStr">
        <is>
          <t>Мало остатка</t>
        </is>
      </c>
      <c r="T1415">
        <f>IF(N1415&lt;$T$1*0.5,"Низшая четверть",IF(N1415&lt;$T$1,"Вторая четверть","Больше половины"))</f>
        <v/>
      </c>
      <c r="U1415">
        <f>IF(O1415&lt;$U$1*0.5,"Низшая четверть",IF(O1415&lt;$U$1,"Вторая четверть","Больше половины"))</f>
        <v/>
      </c>
      <c r="V1415">
        <f>IF(OR(N1415&lt;SUMIFS(L:L,R:R,1,E:E,E1415)/SUMIFS(K:K,R:R,1,E:E,E1415)*0.5,O1415&lt;SUMIFS(M:M,R:R,1,E:E,E1415)/SUMIFS(L:L,R:R,1,E:E,E1415)*0.5),"код для проверки","нормальный код")</f>
        <v/>
      </c>
      <c r="W1415">
        <f>IF(N1415&lt;SUMIFS(L:L,R:R,1,E:E,E1415)/SUMIFS(K:K,R:R,1,E:E,E1415)*0.5,"Низшая четверть",IF(N1415&lt;SUMIFS(L:L,R:R,1,E:E,E1415)/SUMIFS(K:K,R:R,1,E:E,E1415),"Вторая четверть","Больше половины"))</f>
        <v/>
      </c>
      <c r="X1415">
        <f>IF(O1415&lt;SUMIFS(M:M,R:R,1,E:E,E1415)/SUMIFS(L:L,R:R,1,E:E,E1415)*0.5,"Низшая четверть",IF(O1415&lt;SUMIFS(M:M,R:R,1,E:E,E1415)/SUMIFS(L:L,R:R,1,E:E,E1415),"Вторая четверть","Больше половины"))</f>
        <v/>
      </c>
      <c r="Y1415" t="n">
        <v>15</v>
      </c>
    </row>
    <row r="1416">
      <c r="A1416" s="1" t="inlineStr">
        <is>
          <t>19300360</t>
        </is>
      </c>
      <c r="B1416" s="2" t="inlineStr">
        <is>
          <t>837332321</t>
        </is>
      </c>
      <c r="C1416" s="3" t="inlineStr">
        <is>
          <t>Одежда для детей</t>
        </is>
      </c>
      <c r="D1416" s="2" t="inlineStr">
        <is>
          <t>Брюки детские для мальчиков</t>
        </is>
      </c>
      <c r="E1416" s="3" t="inlineStr">
        <is>
          <t>193 Шорты детские для мальчиков</t>
        </is>
      </c>
      <c r="F1416" s="2" t="inlineStr">
        <is>
          <t>лето</t>
        </is>
      </c>
      <c r="G1416" s="3" t="inlineStr">
        <is>
          <t>Kari KIDS</t>
        </is>
      </c>
      <c r="H1416" s="2" t="inlineStr">
        <is>
          <t>Зиннуров Ильнур</t>
        </is>
      </c>
      <c r="J1416" s="3" t="inlineStr">
        <is>
          <t>2026SS</t>
        </is>
      </c>
      <c r="K1416" s="3" t="n">
        <v>0</v>
      </c>
      <c r="L1416" s="3" t="n">
        <v>1</v>
      </c>
      <c r="M1416" s="3" t="n">
        <v>0</v>
      </c>
      <c r="N1416" s="4">
        <f>IFERROR(L1416/K1416,0)</f>
        <v/>
      </c>
      <c r="O1416" s="4">
        <f>IFERROR(M1416/L1416,0)</f>
        <v/>
      </c>
      <c r="P1416" t="n">
        <v>0</v>
      </c>
      <c r="Q1416" s="5" t="n">
        <v>0</v>
      </c>
      <c r="R1416" s="7" t="n">
        <v>0</v>
      </c>
      <c r="S1416" t="inlineStr">
        <is>
          <t>Мало остатка</t>
        </is>
      </c>
      <c r="T1416">
        <f>IF(N1416&lt;$T$1*0.5,"Низшая четверть",IF(N1416&lt;$T$1,"Вторая четверть","Больше половины"))</f>
        <v/>
      </c>
      <c r="U1416">
        <f>IF(O1416&lt;$U$1*0.5,"Низшая четверть",IF(O1416&lt;$U$1,"Вторая четверть","Больше половины"))</f>
        <v/>
      </c>
      <c r="V1416">
        <f>IF(OR(N1416&lt;SUMIFS(L:L,R:R,1,E:E,E1416)/SUMIFS(K:K,R:R,1,E:E,E1416)*0.5,O1416&lt;SUMIFS(M:M,R:R,1,E:E,E1416)/SUMIFS(L:L,R:R,1,E:E,E1416)*0.5),"код для проверки","нормальный код")</f>
        <v/>
      </c>
      <c r="W1416">
        <f>IF(N1416&lt;SUMIFS(L:L,R:R,1,E:E,E1416)/SUMIFS(K:K,R:R,1,E:E,E1416)*0.5,"Низшая четверть",IF(N1416&lt;SUMIFS(L:L,R:R,1,E:E,E1416)/SUMIFS(K:K,R:R,1,E:E,E1416),"Вторая четверть","Больше половины"))</f>
        <v/>
      </c>
      <c r="X1416">
        <f>IF(O1416&lt;SUMIFS(M:M,R:R,1,E:E,E1416)/SUMIFS(L:L,R:R,1,E:E,E1416)*0.5,"Низшая четверть",IF(O1416&lt;SUMIFS(M:M,R:R,1,E:E,E1416)/SUMIFS(L:L,R:R,1,E:E,E1416),"Вторая четверть","Больше половины"))</f>
        <v/>
      </c>
      <c r="Y1416" t="n">
        <v>14</v>
      </c>
    </row>
    <row r="1417">
      <c r="A1417" s="1" t="inlineStr">
        <is>
          <t>19400540</t>
        </is>
      </c>
      <c r="B1417" s="2" t="inlineStr">
        <is>
          <t>910240364</t>
        </is>
      </c>
      <c r="C1417" s="3" t="inlineStr">
        <is>
          <t>Одежда для детей</t>
        </is>
      </c>
      <c r="D1417" s="2" t="inlineStr">
        <is>
          <t>Брюки детские для девочек</t>
        </is>
      </c>
      <c r="E1417" s="3" t="inlineStr">
        <is>
          <t>194 Шорты детские для девочек</t>
        </is>
      </c>
      <c r="F1417" s="2" t="inlineStr">
        <is>
          <t>лето</t>
        </is>
      </c>
      <c r="G1417" s="3" t="inlineStr">
        <is>
          <t>Kari KIDS</t>
        </is>
      </c>
      <c r="H1417" s="2" t="inlineStr">
        <is>
          <t>Зиннуров Ильнур</t>
        </is>
      </c>
      <c r="J1417" s="3" t="inlineStr">
        <is>
          <t>2026SS</t>
        </is>
      </c>
      <c r="K1417" s="3" t="n">
        <v>0</v>
      </c>
      <c r="L1417" s="3" t="n">
        <v>2</v>
      </c>
      <c r="M1417" s="3" t="n">
        <v>0</v>
      </c>
      <c r="N1417" s="4">
        <f>IFERROR(L1417/K1417,0)</f>
        <v/>
      </c>
      <c r="O1417" s="4">
        <f>IFERROR(M1417/L1417,0)</f>
        <v/>
      </c>
      <c r="P1417" t="n">
        <v>0</v>
      </c>
      <c r="Q1417" s="5" t="n">
        <v>0</v>
      </c>
      <c r="R1417" s="7" t="n">
        <v>0</v>
      </c>
      <c r="S1417" t="inlineStr">
        <is>
          <t>Мало остатка</t>
        </is>
      </c>
      <c r="T1417">
        <f>IF(N1417&lt;$T$1*0.5,"Низшая четверть",IF(N1417&lt;$T$1,"Вторая четверть","Больше половины"))</f>
        <v/>
      </c>
      <c r="U1417">
        <f>IF(O1417&lt;$U$1*0.5,"Низшая четверть",IF(O1417&lt;$U$1,"Вторая четверть","Больше половины"))</f>
        <v/>
      </c>
      <c r="V1417">
        <f>IF(OR(N1417&lt;SUMIFS(L:L,R:R,1,E:E,E1417)/SUMIFS(K:K,R:R,1,E:E,E1417)*0.5,O1417&lt;SUMIFS(M:M,R:R,1,E:E,E1417)/SUMIFS(L:L,R:R,1,E:E,E1417)*0.5),"код для проверки","нормальный код")</f>
        <v/>
      </c>
      <c r="W1417">
        <f>IF(N1417&lt;SUMIFS(L:L,R:R,1,E:E,E1417)/SUMIFS(K:K,R:R,1,E:E,E1417)*0.5,"Низшая четверть",IF(N1417&lt;SUMIFS(L:L,R:R,1,E:E,E1417)/SUMIFS(K:K,R:R,1,E:E,E1417),"Вторая четверть","Больше половины"))</f>
        <v/>
      </c>
      <c r="X1417">
        <f>IF(O1417&lt;SUMIFS(M:M,R:R,1,E:E,E1417)/SUMIFS(L:L,R:R,1,E:E,E1417)*0.5,"Низшая четверть",IF(O1417&lt;SUMIFS(M:M,R:R,1,E:E,E1417)/SUMIFS(L:L,R:R,1,E:E,E1417),"Вторая четверть","Больше половины"))</f>
        <v/>
      </c>
      <c r="Y1417" t="n">
        <v>7</v>
      </c>
    </row>
    <row r="1418">
      <c r="A1418" s="1" t="inlineStr">
        <is>
          <t>19400420</t>
        </is>
      </c>
      <c r="B1418" s="2" t="inlineStr">
        <is>
          <t>910240415</t>
        </is>
      </c>
      <c r="C1418" s="3" t="inlineStr">
        <is>
          <t>Одежда для детей</t>
        </is>
      </c>
      <c r="D1418" s="2" t="inlineStr">
        <is>
          <t>Брюки детские для девочек</t>
        </is>
      </c>
      <c r="E1418" s="3" t="inlineStr">
        <is>
          <t>194 Шорты детские для девочек</t>
        </is>
      </c>
      <c r="F1418" s="2" t="inlineStr">
        <is>
          <t>лето</t>
        </is>
      </c>
      <c r="G1418" s="3" t="inlineStr">
        <is>
          <t>kari</t>
        </is>
      </c>
      <c r="H1418" s="2" t="inlineStr">
        <is>
          <t>Зиннуров Ильнур</t>
        </is>
      </c>
      <c r="J1418" s="3" t="inlineStr">
        <is>
          <t>2026SS</t>
        </is>
      </c>
      <c r="K1418" s="3" t="n">
        <v>0</v>
      </c>
      <c r="L1418" s="3" t="n">
        <v>2</v>
      </c>
      <c r="M1418" s="3" t="n">
        <v>0</v>
      </c>
      <c r="N1418" s="4">
        <f>IFERROR(L1418/K1418,0)</f>
        <v/>
      </c>
      <c r="O1418" s="4">
        <f>IFERROR(M1418/L1418,0)</f>
        <v/>
      </c>
      <c r="P1418" t="n">
        <v>0</v>
      </c>
      <c r="Q1418" s="5" t="n">
        <v>0</v>
      </c>
      <c r="R1418" s="7" t="n">
        <v>0</v>
      </c>
      <c r="S1418" t="inlineStr">
        <is>
          <t>Мало остатка</t>
        </is>
      </c>
      <c r="T1418">
        <f>IF(N1418&lt;$T$1*0.5,"Низшая четверть",IF(N1418&lt;$T$1,"Вторая четверть","Больше половины"))</f>
        <v/>
      </c>
      <c r="U1418">
        <f>IF(O1418&lt;$U$1*0.5,"Низшая четверть",IF(O1418&lt;$U$1,"Вторая четверть","Больше половины"))</f>
        <v/>
      </c>
      <c r="V1418">
        <f>IF(OR(N1418&lt;SUMIFS(L:L,R:R,1,E:E,E1418)/SUMIFS(K:K,R:R,1,E:E,E1418)*0.5,O1418&lt;SUMIFS(M:M,R:R,1,E:E,E1418)/SUMIFS(L:L,R:R,1,E:E,E1418)*0.5),"код для проверки","нормальный код")</f>
        <v/>
      </c>
      <c r="W1418">
        <f>IF(N1418&lt;SUMIFS(L:L,R:R,1,E:E,E1418)/SUMIFS(K:K,R:R,1,E:E,E1418)*0.5,"Низшая четверть",IF(N1418&lt;SUMIFS(L:L,R:R,1,E:E,E1418)/SUMIFS(K:K,R:R,1,E:E,E1418),"Вторая четверть","Больше половины"))</f>
        <v/>
      </c>
      <c r="X1418">
        <f>IF(O1418&lt;SUMIFS(M:M,R:R,1,E:E,E1418)/SUMIFS(L:L,R:R,1,E:E,E1418)*0.5,"Низшая четверть",IF(O1418&lt;SUMIFS(M:M,R:R,1,E:E,E1418)/SUMIFS(L:L,R:R,1,E:E,E1418),"Вторая четверть","Больше половины"))</f>
        <v/>
      </c>
      <c r="Y1418" t="n">
        <v>8</v>
      </c>
    </row>
    <row r="1419">
      <c r="A1419" s="1" t="inlineStr">
        <is>
          <t>19400570</t>
        </is>
      </c>
      <c r="B1419" s="2" t="inlineStr">
        <is>
          <t>910240368</t>
        </is>
      </c>
      <c r="C1419" s="3" t="inlineStr">
        <is>
          <t>Одежда для детей</t>
        </is>
      </c>
      <c r="D1419" s="2" t="inlineStr">
        <is>
          <t>Брюки детские для девочек</t>
        </is>
      </c>
      <c r="E1419" s="3" t="inlineStr">
        <is>
          <t>194 Шорты детские для девочек</t>
        </is>
      </c>
      <c r="F1419" s="2" t="inlineStr">
        <is>
          <t>лето</t>
        </is>
      </c>
      <c r="G1419" s="3" t="inlineStr">
        <is>
          <t>Kari KIDS</t>
        </is>
      </c>
      <c r="H1419" s="2" t="inlineStr">
        <is>
          <t>Зиннуров Ильнур</t>
        </is>
      </c>
      <c r="J1419" s="3" t="inlineStr">
        <is>
          <t>2026SS</t>
        </is>
      </c>
      <c r="K1419" s="3" t="n">
        <v>0</v>
      </c>
      <c r="L1419" s="3" t="n">
        <v>1</v>
      </c>
      <c r="M1419" s="3" t="n">
        <v>0</v>
      </c>
      <c r="N1419" s="4">
        <f>IFERROR(L1419/K1419,0)</f>
        <v/>
      </c>
      <c r="O1419" s="4">
        <f>IFERROR(M1419/L1419,0)</f>
        <v/>
      </c>
      <c r="P1419" t="n">
        <v>0</v>
      </c>
      <c r="Q1419" s="5" t="n">
        <v>0</v>
      </c>
      <c r="R1419" s="7" t="n">
        <v>0</v>
      </c>
      <c r="S1419" t="inlineStr">
        <is>
          <t>Мало остатка</t>
        </is>
      </c>
      <c r="T1419">
        <f>IF(N1419&lt;$T$1*0.5,"Низшая четверть",IF(N1419&lt;$T$1,"Вторая четверть","Больше половины"))</f>
        <v/>
      </c>
      <c r="U1419">
        <f>IF(O1419&lt;$U$1*0.5,"Низшая четверть",IF(O1419&lt;$U$1,"Вторая четверть","Больше половины"))</f>
        <v/>
      </c>
      <c r="V1419">
        <f>IF(OR(N1419&lt;SUMIFS(L:L,R:R,1,E:E,E1419)/SUMIFS(K:K,R:R,1,E:E,E1419)*0.5,O1419&lt;SUMIFS(M:M,R:R,1,E:E,E1419)/SUMIFS(L:L,R:R,1,E:E,E1419)*0.5),"код для проверки","нормальный код")</f>
        <v/>
      </c>
      <c r="W1419">
        <f>IF(N1419&lt;SUMIFS(L:L,R:R,1,E:E,E1419)/SUMIFS(K:K,R:R,1,E:E,E1419)*0.5,"Низшая четверть",IF(N1419&lt;SUMIFS(L:L,R:R,1,E:E,E1419)/SUMIFS(K:K,R:R,1,E:E,E1419),"Вторая четверть","Больше половины"))</f>
        <v/>
      </c>
      <c r="X1419">
        <f>IF(O1419&lt;SUMIFS(M:M,R:R,1,E:E,E1419)/SUMIFS(L:L,R:R,1,E:E,E1419)*0.5,"Низшая четверть",IF(O1419&lt;SUMIFS(M:M,R:R,1,E:E,E1419)/SUMIFS(L:L,R:R,1,E:E,E1419),"Вторая четверть","Больше половины"))</f>
        <v/>
      </c>
      <c r="Y1419" t="n">
        <v>14</v>
      </c>
    </row>
    <row r="1420">
      <c r="A1420" s="1" t="inlineStr">
        <is>
          <t>19400450</t>
        </is>
      </c>
      <c r="B1420" s="2" t="inlineStr">
        <is>
          <t>898036427</t>
        </is>
      </c>
      <c r="C1420" s="3" t="inlineStr">
        <is>
          <t>Одежда для детей</t>
        </is>
      </c>
      <c r="D1420" s="2" t="inlineStr">
        <is>
          <t>Брюки детские для девочек</t>
        </is>
      </c>
      <c r="E1420" s="3" t="inlineStr">
        <is>
          <t>194 Шорты детские для девочек</t>
        </is>
      </c>
      <c r="F1420" s="2" t="inlineStr">
        <is>
          <t>лето</t>
        </is>
      </c>
      <c r="G1420" s="3" t="inlineStr">
        <is>
          <t>Kari KIDS</t>
        </is>
      </c>
      <c r="H1420" s="2" t="inlineStr">
        <is>
          <t>Зиннуров Ильнур</t>
        </is>
      </c>
      <c r="J1420" s="3" t="inlineStr">
        <is>
          <t>2026SS</t>
        </is>
      </c>
      <c r="K1420" s="3" t="n">
        <v>0</v>
      </c>
      <c r="L1420" s="3" t="n">
        <v>2</v>
      </c>
      <c r="M1420" s="3" t="n">
        <v>0</v>
      </c>
      <c r="N1420" s="4">
        <f>IFERROR(L1420/K1420,0)</f>
        <v/>
      </c>
      <c r="O1420" s="4">
        <f>IFERROR(M1420/L1420,0)</f>
        <v/>
      </c>
      <c r="P1420" t="n">
        <v>0</v>
      </c>
      <c r="Q1420" s="5" t="n">
        <v>0</v>
      </c>
      <c r="R1420" s="7" t="n">
        <v>0</v>
      </c>
      <c r="S1420" t="inlineStr">
        <is>
          <t>Мало остатка</t>
        </is>
      </c>
      <c r="T1420">
        <f>IF(N1420&lt;$T$1*0.5,"Низшая четверть",IF(N1420&lt;$T$1,"Вторая четверть","Больше половины"))</f>
        <v/>
      </c>
      <c r="U1420">
        <f>IF(O1420&lt;$U$1*0.5,"Низшая четверть",IF(O1420&lt;$U$1,"Вторая четверть","Больше половины"))</f>
        <v/>
      </c>
      <c r="V1420">
        <f>IF(OR(N1420&lt;SUMIFS(L:L,R:R,1,E:E,E1420)/SUMIFS(K:K,R:R,1,E:E,E1420)*0.5,O1420&lt;SUMIFS(M:M,R:R,1,E:E,E1420)/SUMIFS(L:L,R:R,1,E:E,E1420)*0.5),"код для проверки","нормальный код")</f>
        <v/>
      </c>
      <c r="W1420">
        <f>IF(N1420&lt;SUMIFS(L:L,R:R,1,E:E,E1420)/SUMIFS(K:K,R:R,1,E:E,E1420)*0.5,"Низшая четверть",IF(N1420&lt;SUMIFS(L:L,R:R,1,E:E,E1420)/SUMIFS(K:K,R:R,1,E:E,E1420),"Вторая четверть","Больше половины"))</f>
        <v/>
      </c>
      <c r="X1420">
        <f>IF(O1420&lt;SUMIFS(M:M,R:R,1,E:E,E1420)/SUMIFS(L:L,R:R,1,E:E,E1420)*0.5,"Низшая четверть",IF(O1420&lt;SUMIFS(M:M,R:R,1,E:E,E1420)/SUMIFS(L:L,R:R,1,E:E,E1420),"Вторая четверть","Больше половины"))</f>
        <v/>
      </c>
      <c r="Y1420" t="n">
        <v>7</v>
      </c>
    </row>
    <row r="1421">
      <c r="A1421" s="1" t="inlineStr">
        <is>
          <t>19300420</t>
        </is>
      </c>
      <c r="B1421" s="2" t="inlineStr">
        <is>
          <t>837332239</t>
        </is>
      </c>
      <c r="C1421" s="3" t="inlineStr">
        <is>
          <t>Одежда для детей</t>
        </is>
      </c>
      <c r="D1421" s="2" t="inlineStr">
        <is>
          <t>Брюки детские для мальчиков</t>
        </is>
      </c>
      <c r="E1421" s="3" t="inlineStr">
        <is>
          <t>193 Шорты детские для мальчиков</t>
        </is>
      </c>
      <c r="F1421" s="2" t="inlineStr">
        <is>
          <t>лето</t>
        </is>
      </c>
      <c r="G1421" s="3" t="inlineStr">
        <is>
          <t>Kari KIDS</t>
        </is>
      </c>
      <c r="H1421" s="2" t="inlineStr">
        <is>
          <t>Зиннуров Ильнур</t>
        </is>
      </c>
      <c r="J1421" s="3" t="inlineStr">
        <is>
          <t>2026SS</t>
        </is>
      </c>
      <c r="K1421" s="3" t="n">
        <v>0</v>
      </c>
      <c r="L1421" s="3" t="n">
        <v>7</v>
      </c>
      <c r="M1421" s="3" t="n">
        <v>0</v>
      </c>
      <c r="N1421" s="4">
        <f>IFERROR(L1421/K1421,0)</f>
        <v/>
      </c>
      <c r="O1421" s="4">
        <f>IFERROR(M1421/L1421,0)</f>
        <v/>
      </c>
      <c r="P1421" t="n">
        <v>0</v>
      </c>
      <c r="Q1421" s="5" t="n">
        <v>0</v>
      </c>
      <c r="R1421" s="7" t="n">
        <v>0</v>
      </c>
      <c r="S1421" t="inlineStr">
        <is>
          <t>Мало остатка</t>
        </is>
      </c>
      <c r="T1421">
        <f>IF(N1421&lt;$T$1*0.5,"Низшая четверть",IF(N1421&lt;$T$1,"Вторая четверть","Больше половины"))</f>
        <v/>
      </c>
      <c r="U1421">
        <f>IF(O1421&lt;$U$1*0.5,"Низшая четверть",IF(O1421&lt;$U$1,"Вторая четверть","Больше половины"))</f>
        <v/>
      </c>
      <c r="V1421">
        <f>IF(OR(N1421&lt;SUMIFS(L:L,R:R,1,E:E,E1421)/SUMIFS(K:K,R:R,1,E:E,E1421)*0.5,O1421&lt;SUMIFS(M:M,R:R,1,E:E,E1421)/SUMIFS(L:L,R:R,1,E:E,E1421)*0.5),"код для проверки","нормальный код")</f>
        <v/>
      </c>
      <c r="W1421">
        <f>IF(N1421&lt;SUMIFS(L:L,R:R,1,E:E,E1421)/SUMIFS(K:K,R:R,1,E:E,E1421)*0.5,"Низшая четверть",IF(N1421&lt;SUMIFS(L:L,R:R,1,E:E,E1421)/SUMIFS(K:K,R:R,1,E:E,E1421),"Вторая четверть","Больше половины"))</f>
        <v/>
      </c>
      <c r="X1421">
        <f>IF(O1421&lt;SUMIFS(M:M,R:R,1,E:E,E1421)/SUMIFS(L:L,R:R,1,E:E,E1421)*0.5,"Низшая четверть",IF(O1421&lt;SUMIFS(M:M,R:R,1,E:E,E1421)/SUMIFS(L:L,R:R,1,E:E,E1421),"Вторая четверть","Больше половины"))</f>
        <v/>
      </c>
      <c r="Y1421" t="n">
        <v>16</v>
      </c>
    </row>
    <row r="1422">
      <c r="A1422" s="1" t="inlineStr">
        <is>
          <t>23400110</t>
        </is>
      </c>
      <c r="B1422" s="2" t="inlineStr">
        <is>
          <t>833379582</t>
        </is>
      </c>
      <c r="C1422" s="3" t="inlineStr">
        <is>
          <t>Одежда для детей</t>
        </is>
      </c>
      <c r="D1422" s="2" t="inlineStr">
        <is>
          <t>Чулочные и носочные детские изделия для девочек</t>
        </is>
      </c>
      <c r="E1422" s="3" t="inlineStr">
        <is>
          <t>234 Колготки детские для девочек</t>
        </is>
      </c>
      <c r="F1422" s="2" t="inlineStr">
        <is>
          <t>всесезонный</t>
        </is>
      </c>
      <c r="G1422" s="3" t="inlineStr">
        <is>
          <t>kari</t>
        </is>
      </c>
      <c r="H1422" s="2" t="inlineStr">
        <is>
          <t>Зиннуров Ильнур</t>
        </is>
      </c>
      <c r="J1422" s="3" t="inlineStr">
        <is>
          <t>2026SS</t>
        </is>
      </c>
      <c r="K1422" s="3" t="n">
        <v>0</v>
      </c>
      <c r="L1422" s="3" t="n">
        <v>83</v>
      </c>
      <c r="M1422" s="3" t="n">
        <v>0</v>
      </c>
      <c r="N1422" s="4">
        <f>IFERROR(L1422/K1422,0)</f>
        <v/>
      </c>
      <c r="O1422" s="4">
        <f>IFERROR(M1422/L1422,0)</f>
        <v/>
      </c>
      <c r="P1422" t="n">
        <v>0</v>
      </c>
      <c r="Q1422" s="5" t="n">
        <v>0</v>
      </c>
      <c r="R1422" s="7" t="n">
        <v>0</v>
      </c>
      <c r="S1422" t="inlineStr">
        <is>
          <t>Мало остатка</t>
        </is>
      </c>
      <c r="T1422">
        <f>IF(N1422&lt;$T$1*0.5,"Низшая четверть",IF(N1422&lt;$T$1,"Вторая четверть","Больше половины"))</f>
        <v/>
      </c>
      <c r="U1422">
        <f>IF(O1422&lt;$U$1*0.5,"Низшая четверть",IF(O1422&lt;$U$1,"Вторая четверть","Больше половины"))</f>
        <v/>
      </c>
      <c r="V1422">
        <f>IF(OR(N1422&lt;SUMIFS(L:L,R:R,1,E:E,E1422)/SUMIFS(K:K,R:R,1,E:E,E1422)*0.5,O1422&lt;SUMIFS(M:M,R:R,1,E:E,E1422)/SUMIFS(L:L,R:R,1,E:E,E1422)*0.5),"код для проверки","нормальный код")</f>
        <v/>
      </c>
      <c r="W1422">
        <f>IF(N1422&lt;SUMIFS(L:L,R:R,1,E:E,E1422)/SUMIFS(K:K,R:R,1,E:E,E1422)*0.5,"Низшая четверть",IF(N1422&lt;SUMIFS(L:L,R:R,1,E:E,E1422)/SUMIFS(K:K,R:R,1,E:E,E1422),"Вторая четверть","Больше половины"))</f>
        <v/>
      </c>
      <c r="X1422">
        <f>IF(O1422&lt;SUMIFS(M:M,R:R,1,E:E,E1422)/SUMIFS(L:L,R:R,1,E:E,E1422)*0.5,"Низшая четверть",IF(O1422&lt;SUMIFS(M:M,R:R,1,E:E,E1422)/SUMIFS(L:L,R:R,1,E:E,E1422),"Вторая четверть","Больше половины"))</f>
        <v/>
      </c>
      <c r="Y1422" t="n">
        <v>5</v>
      </c>
    </row>
    <row r="1423">
      <c r="A1423" s="1" t="inlineStr">
        <is>
          <t>23100140</t>
        </is>
      </c>
      <c r="B1423" s="2" t="inlineStr">
        <is>
          <t>879308731</t>
        </is>
      </c>
      <c r="C1423" s="3" t="inlineStr">
        <is>
          <t>Одежда для детей</t>
        </is>
      </c>
      <c r="D1423" s="2" t="inlineStr">
        <is>
          <t>Нижнее белье детское для девочек</t>
        </is>
      </c>
      <c r="E1423" s="3" t="inlineStr">
        <is>
          <t>231 Пижама детская для девочек</t>
        </is>
      </c>
      <c r="F1423" s="2" t="inlineStr">
        <is>
          <t>всесезонный</t>
        </is>
      </c>
      <c r="G1423" s="3" t="inlineStr">
        <is>
          <t>kari</t>
        </is>
      </c>
      <c r="H1423" s="2" t="inlineStr">
        <is>
          <t>Зиннуров Ильнур</t>
        </is>
      </c>
      <c r="J1423" s="3" t="inlineStr">
        <is>
          <t>2026SS</t>
        </is>
      </c>
      <c r="K1423" s="3" t="n">
        <v>0</v>
      </c>
      <c r="L1423" s="3" t="n">
        <v>10</v>
      </c>
      <c r="M1423" s="3" t="n">
        <v>0</v>
      </c>
      <c r="N1423" s="4">
        <f>IFERROR(L1423/K1423,0)</f>
        <v/>
      </c>
      <c r="O1423" s="4">
        <f>IFERROR(M1423/L1423,0)</f>
        <v/>
      </c>
      <c r="P1423" t="n">
        <v>0</v>
      </c>
      <c r="Q1423" s="5" t="n">
        <v>0</v>
      </c>
      <c r="R1423" s="7" t="n">
        <v>0</v>
      </c>
      <c r="S1423" t="inlineStr">
        <is>
          <t>Мало остатка</t>
        </is>
      </c>
      <c r="T1423">
        <f>IF(N1423&lt;$T$1*0.5,"Низшая четверть",IF(N1423&lt;$T$1,"Вторая четверть","Больше половины"))</f>
        <v/>
      </c>
      <c r="U1423">
        <f>IF(O1423&lt;$U$1*0.5,"Низшая четверть",IF(O1423&lt;$U$1,"Вторая четверть","Больше половины"))</f>
        <v/>
      </c>
      <c r="V1423">
        <f>IF(OR(N1423&lt;SUMIFS(L:L,R:R,1,E:E,E1423)/SUMIFS(K:K,R:R,1,E:E,E1423)*0.5,O1423&lt;SUMIFS(M:M,R:R,1,E:E,E1423)/SUMIFS(L:L,R:R,1,E:E,E1423)*0.5),"код для проверки","нормальный код")</f>
        <v/>
      </c>
      <c r="W1423">
        <f>IF(N1423&lt;SUMIFS(L:L,R:R,1,E:E,E1423)/SUMIFS(K:K,R:R,1,E:E,E1423)*0.5,"Низшая четверть",IF(N1423&lt;SUMIFS(L:L,R:R,1,E:E,E1423)/SUMIFS(K:K,R:R,1,E:E,E1423),"Вторая четверть","Больше половины"))</f>
        <v/>
      </c>
      <c r="X1423">
        <f>IF(O1423&lt;SUMIFS(M:M,R:R,1,E:E,E1423)/SUMIFS(L:L,R:R,1,E:E,E1423)*0.5,"Низшая четверть",IF(O1423&lt;SUMIFS(M:M,R:R,1,E:E,E1423)/SUMIFS(L:L,R:R,1,E:E,E1423),"Вторая четверть","Больше половины"))</f>
        <v/>
      </c>
      <c r="Y1423" t="n">
        <v>9</v>
      </c>
    </row>
    <row r="1424">
      <c r="A1424" s="1" t="inlineStr">
        <is>
          <t>23400120</t>
        </is>
      </c>
      <c r="B1424" s="2" t="inlineStr">
        <is>
          <t>833379597</t>
        </is>
      </c>
      <c r="C1424" s="3" t="inlineStr">
        <is>
          <t>Одежда для детей</t>
        </is>
      </c>
      <c r="D1424" s="2" t="inlineStr">
        <is>
          <t>Чулочные и носочные детские изделия для девочек</t>
        </is>
      </c>
      <c r="E1424" s="3" t="inlineStr">
        <is>
          <t>234 Колготки детские для девочек</t>
        </is>
      </c>
      <c r="F1424" s="2" t="inlineStr">
        <is>
          <t>всесезонный</t>
        </is>
      </c>
      <c r="G1424" s="3" t="inlineStr">
        <is>
          <t>kari</t>
        </is>
      </c>
      <c r="H1424" s="2" t="inlineStr">
        <is>
          <t>Зиннуров Ильнур</t>
        </is>
      </c>
      <c r="J1424" s="3" t="inlineStr">
        <is>
          <t>2026SS</t>
        </is>
      </c>
      <c r="K1424" s="3" t="n">
        <v>0</v>
      </c>
      <c r="L1424" s="3" t="n">
        <v>126</v>
      </c>
      <c r="M1424" s="3" t="n">
        <v>0</v>
      </c>
      <c r="N1424" s="4">
        <f>IFERROR(L1424/K1424,0)</f>
        <v/>
      </c>
      <c r="O1424" s="4">
        <f>IFERROR(M1424/L1424,0)</f>
        <v/>
      </c>
      <c r="P1424" t="n">
        <v>0</v>
      </c>
      <c r="Q1424" s="5" t="n">
        <v>0</v>
      </c>
      <c r="R1424" s="7" t="n">
        <v>0</v>
      </c>
      <c r="S1424" t="inlineStr">
        <is>
          <t>Мало остатка</t>
        </is>
      </c>
      <c r="T1424">
        <f>IF(N1424&lt;$T$1*0.5,"Низшая четверть",IF(N1424&lt;$T$1,"Вторая четверть","Больше половины"))</f>
        <v/>
      </c>
      <c r="U1424">
        <f>IF(O1424&lt;$U$1*0.5,"Низшая четверть",IF(O1424&lt;$U$1,"Вторая четверть","Больше половины"))</f>
        <v/>
      </c>
      <c r="V1424">
        <f>IF(OR(N1424&lt;SUMIFS(L:L,R:R,1,E:E,E1424)/SUMIFS(K:K,R:R,1,E:E,E1424)*0.5,O1424&lt;SUMIFS(M:M,R:R,1,E:E,E1424)/SUMIFS(L:L,R:R,1,E:E,E1424)*0.5),"код для проверки","нормальный код")</f>
        <v/>
      </c>
      <c r="W1424">
        <f>IF(N1424&lt;SUMIFS(L:L,R:R,1,E:E,E1424)/SUMIFS(K:K,R:R,1,E:E,E1424)*0.5,"Низшая четверть",IF(N1424&lt;SUMIFS(L:L,R:R,1,E:E,E1424)/SUMIFS(K:K,R:R,1,E:E,E1424),"Вторая четверть","Больше половины"))</f>
        <v/>
      </c>
      <c r="X1424">
        <f>IF(O1424&lt;SUMIFS(M:M,R:R,1,E:E,E1424)/SUMIFS(L:L,R:R,1,E:E,E1424)*0.5,"Низшая четверть",IF(O1424&lt;SUMIFS(M:M,R:R,1,E:E,E1424)/SUMIFS(L:L,R:R,1,E:E,E1424),"Вторая четверть","Больше половины"))</f>
        <v/>
      </c>
      <c r="Y1424" t="n">
        <v>5</v>
      </c>
    </row>
    <row r="1425">
      <c r="A1425" s="1" t="inlineStr">
        <is>
          <t>12406380</t>
        </is>
      </c>
      <c r="B1425" s="2" t="inlineStr">
        <is>
          <t>395972193</t>
        </is>
      </c>
      <c r="C1425" s="3" t="inlineStr">
        <is>
          <t>Одежда и аксессуары</t>
        </is>
      </c>
      <c r="D1425" s="2" t="inlineStr">
        <is>
          <t>Чулочные и носочные изделия для женщин</t>
        </is>
      </c>
      <c r="E1425" s="3" t="inlineStr">
        <is>
          <t>124 Подследники женские</t>
        </is>
      </c>
      <c r="F1425" s="2" t="inlineStr">
        <is>
          <t>всесезонный</t>
        </is>
      </c>
      <c r="G1425" s="3" t="inlineStr">
        <is>
          <t>kari</t>
        </is>
      </c>
      <c r="H1425" s="2" t="inlineStr">
        <is>
          <t>Зиннуров Ильнур</t>
        </is>
      </c>
      <c r="J1425" s="3" t="inlineStr">
        <is>
          <t>2026SS</t>
        </is>
      </c>
      <c r="K1425" s="3" t="n">
        <v>0</v>
      </c>
      <c r="L1425" s="3" t="n">
        <v>0</v>
      </c>
      <c r="M1425" s="3" t="n">
        <v>0</v>
      </c>
      <c r="N1425" s="4">
        <f>IFERROR(L1425/K1425,0)</f>
        <v/>
      </c>
      <c r="O1425" s="4">
        <f>IFERROR(M1425/L1425,0)</f>
        <v/>
      </c>
      <c r="P1425" t="n">
        <v>0</v>
      </c>
      <c r="Q1425" s="5" t="n">
        <v>0</v>
      </c>
      <c r="R1425" s="7" t="n">
        <v>0</v>
      </c>
      <c r="S1425" t="inlineStr">
        <is>
          <t>Мало остатка</t>
        </is>
      </c>
      <c r="T1425">
        <f>IF(N1425&lt;$T$1*0.5,"Низшая четверть",IF(N1425&lt;$T$1,"Вторая четверть","Больше половины"))</f>
        <v/>
      </c>
      <c r="U1425">
        <f>IF(O1425&lt;$U$1*0.5,"Низшая четверть",IF(O1425&lt;$U$1,"Вторая четверть","Больше половины"))</f>
        <v/>
      </c>
      <c r="V1425">
        <f>IF(OR(N1425&lt;SUMIFS(L:L,R:R,1,E:E,E1425)/SUMIFS(K:K,R:R,1,E:E,E1425)*0.5,O1425&lt;SUMIFS(M:M,R:R,1,E:E,E1425)/SUMIFS(L:L,R:R,1,E:E,E1425)*0.5),"код для проверки","нормальный код")</f>
        <v/>
      </c>
      <c r="W1425">
        <f>IF(N1425&lt;SUMIFS(L:L,R:R,1,E:E,E1425)/SUMIFS(K:K,R:R,1,E:E,E1425)*0.5,"Низшая четверть",IF(N1425&lt;SUMIFS(L:L,R:R,1,E:E,E1425)/SUMIFS(K:K,R:R,1,E:E,E1425),"Вторая четверть","Больше половины"))</f>
        <v/>
      </c>
      <c r="X1425">
        <f>IF(O1425&lt;SUMIFS(M:M,R:R,1,E:E,E1425)/SUMIFS(L:L,R:R,1,E:E,E1425)*0.5,"Низшая четверть",IF(O1425&lt;SUMIFS(M:M,R:R,1,E:E,E1425)/SUMIFS(L:L,R:R,1,E:E,E1425),"Вторая четверть","Больше половины"))</f>
        <v/>
      </c>
      <c r="Y1425" t="e">
        <v>#N/A</v>
      </c>
    </row>
    <row r="1426">
      <c r="A1426" s="1" t="inlineStr">
        <is>
          <t>12406400</t>
        </is>
      </c>
      <c r="B1426" s="2" t="inlineStr">
        <is>
          <t>395972195</t>
        </is>
      </c>
      <c r="C1426" s="3" t="inlineStr">
        <is>
          <t>Одежда и аксессуары</t>
        </is>
      </c>
      <c r="D1426" s="2" t="inlineStr">
        <is>
          <t>Чулочные и носочные изделия для женщин</t>
        </is>
      </c>
      <c r="E1426" s="3" t="inlineStr">
        <is>
          <t>124 Подследники женские</t>
        </is>
      </c>
      <c r="F1426" s="2" t="inlineStr">
        <is>
          <t>всесезонный</t>
        </is>
      </c>
      <c r="G1426" s="3" t="inlineStr">
        <is>
          <t>kari</t>
        </is>
      </c>
      <c r="H1426" s="2" t="inlineStr">
        <is>
          <t>Зиннуров Ильнур</t>
        </is>
      </c>
      <c r="J1426" s="3" t="inlineStr">
        <is>
          <t>2026SS</t>
        </is>
      </c>
      <c r="K1426" s="3" t="n">
        <v>0</v>
      </c>
      <c r="L1426" s="3" t="n">
        <v>0</v>
      </c>
      <c r="M1426" s="3" t="n">
        <v>0</v>
      </c>
      <c r="N1426" s="4">
        <f>IFERROR(L1426/K1426,0)</f>
        <v/>
      </c>
      <c r="O1426" s="4">
        <f>IFERROR(M1426/L1426,0)</f>
        <v/>
      </c>
      <c r="P1426" t="n">
        <v>0</v>
      </c>
      <c r="Q1426" s="5" t="n">
        <v>0</v>
      </c>
      <c r="R1426" s="7" t="n">
        <v>0</v>
      </c>
      <c r="S1426" t="inlineStr">
        <is>
          <t>Мало остатка</t>
        </is>
      </c>
      <c r="T1426">
        <f>IF(N1426&lt;$T$1*0.5,"Низшая четверть",IF(N1426&lt;$T$1,"Вторая четверть","Больше половины"))</f>
        <v/>
      </c>
      <c r="U1426">
        <f>IF(O1426&lt;$U$1*0.5,"Низшая четверть",IF(O1426&lt;$U$1,"Вторая четверть","Больше половины"))</f>
        <v/>
      </c>
      <c r="V1426">
        <f>IF(OR(N1426&lt;SUMIFS(L:L,R:R,1,E:E,E1426)/SUMIFS(K:K,R:R,1,E:E,E1426)*0.5,O1426&lt;SUMIFS(M:M,R:R,1,E:E,E1426)/SUMIFS(L:L,R:R,1,E:E,E1426)*0.5),"код для проверки","нормальный код")</f>
        <v/>
      </c>
      <c r="W1426">
        <f>IF(N1426&lt;SUMIFS(L:L,R:R,1,E:E,E1426)/SUMIFS(K:K,R:R,1,E:E,E1426)*0.5,"Низшая четверть",IF(N1426&lt;SUMIFS(L:L,R:R,1,E:E,E1426)/SUMIFS(K:K,R:R,1,E:E,E1426),"Вторая четверть","Больше половины"))</f>
        <v/>
      </c>
      <c r="X1426">
        <f>IF(O1426&lt;SUMIFS(M:M,R:R,1,E:E,E1426)/SUMIFS(L:L,R:R,1,E:E,E1426)*0.5,"Низшая четверть",IF(O1426&lt;SUMIFS(M:M,R:R,1,E:E,E1426)/SUMIFS(L:L,R:R,1,E:E,E1426),"Вторая четверть","Больше половины"))</f>
        <v/>
      </c>
      <c r="Y1426" t="e">
        <v>#N/A</v>
      </c>
    </row>
    <row r="1427">
      <c r="A1427" s="1" t="inlineStr">
        <is>
          <t>12408370</t>
        </is>
      </c>
      <c r="B1427" s="2" t="inlineStr">
        <is>
          <t>372164802</t>
        </is>
      </c>
      <c r="C1427" s="3" t="inlineStr">
        <is>
          <t>Одежда и аксессуары</t>
        </is>
      </c>
      <c r="D1427" s="2" t="inlineStr">
        <is>
          <t>Чулочные и носочные изделия для женщин</t>
        </is>
      </c>
      <c r="E1427" s="3" t="inlineStr">
        <is>
          <t>124 Подследники женские</t>
        </is>
      </c>
      <c r="F1427" s="2" t="inlineStr">
        <is>
          <t>всесезонный</t>
        </is>
      </c>
      <c r="G1427" s="3" t="inlineStr">
        <is>
          <t>kari</t>
        </is>
      </c>
      <c r="H1427" s="2" t="inlineStr">
        <is>
          <t>Зиннуров Ильнур</t>
        </is>
      </c>
      <c r="J1427" s="3" t="inlineStr">
        <is>
          <t>2026SS</t>
        </is>
      </c>
      <c r="K1427" s="3" t="n">
        <v>0</v>
      </c>
      <c r="L1427" s="3" t="n">
        <v>2</v>
      </c>
      <c r="M1427" s="3" t="n">
        <v>0</v>
      </c>
      <c r="N1427" s="4">
        <f>IFERROR(L1427/K1427,0)</f>
        <v/>
      </c>
      <c r="O1427" s="4">
        <f>IFERROR(M1427/L1427,0)</f>
        <v/>
      </c>
      <c r="P1427" t="n">
        <v>0</v>
      </c>
      <c r="Q1427" s="5" t="n">
        <v>0</v>
      </c>
      <c r="R1427" s="7" t="n">
        <v>0</v>
      </c>
      <c r="S1427" t="inlineStr">
        <is>
          <t>Мало остатка</t>
        </is>
      </c>
      <c r="T1427">
        <f>IF(N1427&lt;$T$1*0.5,"Низшая четверть",IF(N1427&lt;$T$1,"Вторая четверть","Больше половины"))</f>
        <v/>
      </c>
      <c r="U1427">
        <f>IF(O1427&lt;$U$1*0.5,"Низшая четверть",IF(O1427&lt;$U$1,"Вторая четверть","Больше половины"))</f>
        <v/>
      </c>
      <c r="V1427">
        <f>IF(OR(N1427&lt;SUMIFS(L:L,R:R,1,E:E,E1427)/SUMIFS(K:K,R:R,1,E:E,E1427)*0.5,O1427&lt;SUMIFS(M:M,R:R,1,E:E,E1427)/SUMIFS(L:L,R:R,1,E:E,E1427)*0.5),"код для проверки","нормальный код")</f>
        <v/>
      </c>
      <c r="W1427">
        <f>IF(N1427&lt;SUMIFS(L:L,R:R,1,E:E,E1427)/SUMIFS(K:K,R:R,1,E:E,E1427)*0.5,"Низшая четверть",IF(N1427&lt;SUMIFS(L:L,R:R,1,E:E,E1427)/SUMIFS(K:K,R:R,1,E:E,E1427),"Вторая четверть","Больше половины"))</f>
        <v/>
      </c>
      <c r="X1427">
        <f>IF(O1427&lt;SUMIFS(M:M,R:R,1,E:E,E1427)/SUMIFS(L:L,R:R,1,E:E,E1427)*0.5,"Низшая четверть",IF(O1427&lt;SUMIFS(M:M,R:R,1,E:E,E1427)/SUMIFS(L:L,R:R,1,E:E,E1427),"Вторая четверть","Больше половины"))</f>
        <v/>
      </c>
      <c r="Y1427" t="n">
        <v>5</v>
      </c>
    </row>
    <row r="1428">
      <c r="A1428" s="1" t="inlineStr">
        <is>
          <t>12402000</t>
        </is>
      </c>
      <c r="B1428" s="2" t="inlineStr">
        <is>
          <t>395972189</t>
        </is>
      </c>
      <c r="C1428" s="3" t="inlineStr">
        <is>
          <t>Одежда и аксессуары</t>
        </is>
      </c>
      <c r="D1428" s="2" t="inlineStr">
        <is>
          <t>Чулочные и носочные изделия для женщин</t>
        </is>
      </c>
      <c r="E1428" s="3" t="inlineStr">
        <is>
          <t>124 Подследники женские</t>
        </is>
      </c>
      <c r="F1428" s="2" t="inlineStr">
        <is>
          <t>всесезонный</t>
        </is>
      </c>
      <c r="G1428" s="3" t="inlineStr">
        <is>
          <t>kari</t>
        </is>
      </c>
      <c r="H1428" s="2" t="inlineStr">
        <is>
          <t>Зиннуров Ильнур</t>
        </is>
      </c>
      <c r="J1428" s="3" t="inlineStr">
        <is>
          <t>2026SS</t>
        </is>
      </c>
      <c r="K1428" s="3" t="n">
        <v>0</v>
      </c>
      <c r="L1428" s="3" t="n">
        <v>0</v>
      </c>
      <c r="M1428" s="3" t="n">
        <v>0</v>
      </c>
      <c r="N1428" s="4">
        <f>IFERROR(L1428/K1428,0)</f>
        <v/>
      </c>
      <c r="O1428" s="4">
        <f>IFERROR(M1428/L1428,0)</f>
        <v/>
      </c>
      <c r="P1428" t="n">
        <v>0</v>
      </c>
      <c r="Q1428" s="5" t="n">
        <v>0</v>
      </c>
      <c r="R1428" s="7" t="n">
        <v>0</v>
      </c>
      <c r="S1428" t="inlineStr">
        <is>
          <t>Мало остатка</t>
        </is>
      </c>
      <c r="T1428">
        <f>IF(N1428&lt;$T$1*0.5,"Низшая четверть",IF(N1428&lt;$T$1,"Вторая четверть","Больше половины"))</f>
        <v/>
      </c>
      <c r="U1428">
        <f>IF(O1428&lt;$U$1*0.5,"Низшая четверть",IF(O1428&lt;$U$1,"Вторая четверть","Больше половины"))</f>
        <v/>
      </c>
      <c r="V1428">
        <f>IF(OR(N1428&lt;SUMIFS(L:L,R:R,1,E:E,E1428)/SUMIFS(K:K,R:R,1,E:E,E1428)*0.5,O1428&lt;SUMIFS(M:M,R:R,1,E:E,E1428)/SUMIFS(L:L,R:R,1,E:E,E1428)*0.5),"код для проверки","нормальный код")</f>
        <v/>
      </c>
      <c r="W1428">
        <f>IF(N1428&lt;SUMIFS(L:L,R:R,1,E:E,E1428)/SUMIFS(K:K,R:R,1,E:E,E1428)*0.5,"Низшая четверть",IF(N1428&lt;SUMIFS(L:L,R:R,1,E:E,E1428)/SUMIFS(K:K,R:R,1,E:E,E1428),"Вторая четверть","Больше половины"))</f>
        <v/>
      </c>
      <c r="X1428">
        <f>IF(O1428&lt;SUMIFS(M:M,R:R,1,E:E,E1428)/SUMIFS(L:L,R:R,1,E:E,E1428)*0.5,"Низшая четверть",IF(O1428&lt;SUMIFS(M:M,R:R,1,E:E,E1428)/SUMIFS(L:L,R:R,1,E:E,E1428),"Вторая четверть","Больше половины"))</f>
        <v/>
      </c>
      <c r="Y1428" t="e">
        <v>#N/A</v>
      </c>
    </row>
    <row r="1429">
      <c r="A1429" s="1" t="inlineStr">
        <is>
          <t>04300000</t>
        </is>
      </c>
      <c r="B1429" s="2" t="inlineStr">
        <is>
          <t>820441036</t>
        </is>
      </c>
      <c r="C1429" s="3" t="inlineStr">
        <is>
          <t>Одежда для детей</t>
        </is>
      </c>
      <c r="D1429" s="2" t="inlineStr">
        <is>
          <t>Головные детские уборы для девочек</t>
        </is>
      </c>
      <c r="E1429" s="3" t="inlineStr">
        <is>
          <t>043 Шапка детская демисезонная для девочек</t>
        </is>
      </c>
      <c r="F1429" s="2" t="inlineStr">
        <is>
          <t>демисезонный</t>
        </is>
      </c>
      <c r="G1429" s="3" t="inlineStr">
        <is>
          <t>kari</t>
        </is>
      </c>
      <c r="H1429" s="2" t="inlineStr">
        <is>
          <t>Никонорова Алина</t>
        </is>
      </c>
      <c r="J1429" s="3" t="inlineStr">
        <is>
          <t>2026SS</t>
        </is>
      </c>
      <c r="K1429" s="3" t="n">
        <v>0</v>
      </c>
      <c r="L1429" s="3" t="n">
        <v>1</v>
      </c>
      <c r="M1429" s="3" t="n">
        <v>0</v>
      </c>
      <c r="N1429" s="4">
        <f>IFERROR(L1429/K1429,0)</f>
        <v/>
      </c>
      <c r="O1429" s="4">
        <f>IFERROR(M1429/L1429,0)</f>
        <v/>
      </c>
      <c r="P1429" t="n">
        <v>0</v>
      </c>
      <c r="Q1429" s="5" t="n">
        <v>0</v>
      </c>
      <c r="R1429" s="7" t="n">
        <v>0</v>
      </c>
      <c r="S1429" t="inlineStr">
        <is>
          <t>Мало остатка</t>
        </is>
      </c>
      <c r="T1429">
        <f>IF(N1429&lt;$T$1*0.5,"Низшая четверть",IF(N1429&lt;$T$1,"Вторая четверть","Больше половины"))</f>
        <v/>
      </c>
      <c r="U1429">
        <f>IF(O1429&lt;$U$1*0.5,"Низшая четверть",IF(O1429&lt;$U$1,"Вторая четверть","Больше половины"))</f>
        <v/>
      </c>
      <c r="V1429">
        <f>IF(OR(N1429&lt;SUMIFS(L:L,R:R,1,E:E,E1429)/SUMIFS(K:K,R:R,1,E:E,E1429)*0.5,O1429&lt;SUMIFS(M:M,R:R,1,E:E,E1429)/SUMIFS(L:L,R:R,1,E:E,E1429)*0.5),"код для проверки","нормальный код")</f>
        <v/>
      </c>
      <c r="W1429">
        <f>IF(N1429&lt;SUMIFS(L:L,R:R,1,E:E,E1429)/SUMIFS(K:K,R:R,1,E:E,E1429)*0.5,"Низшая четверть",IF(N1429&lt;SUMIFS(L:L,R:R,1,E:E,E1429)/SUMIFS(K:K,R:R,1,E:E,E1429),"Вторая четверть","Больше половины"))</f>
        <v/>
      </c>
      <c r="X1429">
        <f>IF(O1429&lt;SUMIFS(M:M,R:R,1,E:E,E1429)/SUMIFS(L:L,R:R,1,E:E,E1429)*0.5,"Низшая четверть",IF(O1429&lt;SUMIFS(M:M,R:R,1,E:E,E1429)/SUMIFS(L:L,R:R,1,E:E,E1429),"Вторая четверть","Больше половины"))</f>
        <v/>
      </c>
      <c r="Y1429" t="n">
        <v>6</v>
      </c>
    </row>
    <row r="1430">
      <c r="A1430" s="1" t="inlineStr">
        <is>
          <t>17308680</t>
        </is>
      </c>
      <c r="B1430" s="2" t="inlineStr">
        <is>
          <t>372164262</t>
        </is>
      </c>
      <c r="C1430" s="3" t="inlineStr">
        <is>
          <t>Одежда для детей</t>
        </is>
      </c>
      <c r="D1430" s="2" t="inlineStr">
        <is>
          <t>Чулочные и носочные детские изделия для девочек</t>
        </is>
      </c>
      <c r="E1430" s="3" t="inlineStr">
        <is>
          <t>173 Носки детские для девочек</t>
        </is>
      </c>
      <c r="F1430" s="2" t="inlineStr">
        <is>
          <t>всесезонный</t>
        </is>
      </c>
      <c r="G1430" s="3" t="inlineStr">
        <is>
          <t>kari</t>
        </is>
      </c>
      <c r="H1430" s="2" t="inlineStr">
        <is>
          <t>Зиннуров Ильнур</t>
        </is>
      </c>
      <c r="J1430" s="3" t="inlineStr">
        <is>
          <t>2026SS</t>
        </is>
      </c>
      <c r="K1430" s="3" t="n">
        <v>0</v>
      </c>
      <c r="L1430" s="3" t="n">
        <v>0</v>
      </c>
      <c r="M1430" s="3" t="n">
        <v>0</v>
      </c>
      <c r="N1430" s="4">
        <f>IFERROR(L1430/K1430,0)</f>
        <v/>
      </c>
      <c r="O1430" s="4">
        <f>IFERROR(M1430/L1430,0)</f>
        <v/>
      </c>
      <c r="P1430" t="n">
        <v>0</v>
      </c>
      <c r="Q1430" s="5" t="n">
        <v>0</v>
      </c>
      <c r="R1430" s="7" t="n">
        <v>0</v>
      </c>
      <c r="S1430" t="inlineStr">
        <is>
          <t>Мало остатка</t>
        </is>
      </c>
      <c r="T1430">
        <f>IF(N1430&lt;$T$1*0.5,"Низшая четверть",IF(N1430&lt;$T$1,"Вторая четверть","Больше половины"))</f>
        <v/>
      </c>
      <c r="U1430">
        <f>IF(O1430&lt;$U$1*0.5,"Низшая четверть",IF(O1430&lt;$U$1,"Вторая четверть","Больше половины"))</f>
        <v/>
      </c>
      <c r="V1430">
        <f>IF(OR(N1430&lt;SUMIFS(L:L,R:R,1,E:E,E1430)/SUMIFS(K:K,R:R,1,E:E,E1430)*0.5,O1430&lt;SUMIFS(M:M,R:R,1,E:E,E1430)/SUMIFS(L:L,R:R,1,E:E,E1430)*0.5),"код для проверки","нормальный код")</f>
        <v/>
      </c>
      <c r="W1430">
        <f>IF(N1430&lt;SUMIFS(L:L,R:R,1,E:E,E1430)/SUMIFS(K:K,R:R,1,E:E,E1430)*0.5,"Низшая четверть",IF(N1430&lt;SUMIFS(L:L,R:R,1,E:E,E1430)/SUMIFS(K:K,R:R,1,E:E,E1430),"Вторая четверть","Больше половины"))</f>
        <v/>
      </c>
      <c r="X1430">
        <f>IF(O1430&lt;SUMIFS(M:M,R:R,1,E:E,E1430)/SUMIFS(L:L,R:R,1,E:E,E1430)*0.5,"Низшая четверть",IF(O1430&lt;SUMIFS(M:M,R:R,1,E:E,E1430)/SUMIFS(L:L,R:R,1,E:E,E1430),"Вторая четверть","Больше половины"))</f>
        <v/>
      </c>
      <c r="Y1430" t="n">
        <v>5</v>
      </c>
    </row>
  </sheetData>
  <autoFilter ref="A2:X1430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Aleksandr Zhidkikh</dc:creator>
  <dcterms:created xmlns:dcterms="http://purl.org/dc/terms/" xmlns:xsi="http://www.w3.org/2001/XMLSchema-instance" xsi:type="dcterms:W3CDTF">2026-03-25T09:21:44Z</dcterms:created>
  <dcterms:modified xmlns:dcterms="http://purl.org/dc/terms/" xmlns:xsi="http://www.w3.org/2001/XMLSchema-instance" xsi:type="dcterms:W3CDTF">2026-04-25T12:31:19Z</dcterms:modified>
  <cp:lastModifiedBy>Igor Taldykin</cp:lastModifiedBy>
</cp:coreProperties>
</file>