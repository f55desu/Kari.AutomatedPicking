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zhidkikh\Desktop\Реклама\13.04\"/>
    </mc:Choice>
  </mc:AlternateContent>
  <xr:revisionPtr revIDLastSave="0" documentId="13_ncr:1_{A823FB57-7D7F-423C-96DA-487B11B6671F}" xr6:coauthVersionLast="47" xr6:coauthVersionMax="47" xr10:uidLastSave="{00000000-0000-0000-0000-000000000000}"/>
  <bookViews>
    <workbookView xWindow="-110" yWindow="-110" windowWidth="25820" windowHeight="15500" xr2:uid="{56A803AD-1212-4BB1-89D1-53A535156CE5}"/>
  </bookViews>
  <sheets>
    <sheet name="Лист1" sheetId="1" r:id="rId1"/>
  </sheets>
  <definedNames>
    <definedName name="_xlnm._FilterDatabase" localSheetId="0" hidden="1">Лист1!$A$2:$X$1430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430" i="1" l="1"/>
  <c r="W1430" i="1" s="1"/>
  <c r="M1430" i="1"/>
  <c r="N1429" i="1"/>
  <c r="W1429" i="1" s="1"/>
  <c r="M1429" i="1"/>
  <c r="V1429" i="1" s="1"/>
  <c r="N1428" i="1"/>
  <c r="M1428" i="1"/>
  <c r="N1427" i="1"/>
  <c r="M1427" i="1"/>
  <c r="N1426" i="1"/>
  <c r="M1426" i="1"/>
  <c r="N1425" i="1"/>
  <c r="W1425" i="1" s="1"/>
  <c r="M1425" i="1"/>
  <c r="V1425" i="1" s="1"/>
  <c r="N1424" i="1"/>
  <c r="M1424" i="1"/>
  <c r="V1424" i="1" s="1"/>
  <c r="N1423" i="1"/>
  <c r="W1423" i="1" s="1"/>
  <c r="M1423" i="1"/>
  <c r="V1423" i="1" s="1"/>
  <c r="N1422" i="1"/>
  <c r="W1422" i="1" s="1"/>
  <c r="M1422" i="1"/>
  <c r="N1421" i="1"/>
  <c r="M1421" i="1"/>
  <c r="N1420" i="1"/>
  <c r="M1420" i="1"/>
  <c r="N1419" i="1"/>
  <c r="M1419" i="1"/>
  <c r="N1418" i="1"/>
  <c r="M1418" i="1"/>
  <c r="N1417" i="1"/>
  <c r="M1417" i="1"/>
  <c r="V1417" i="1" s="1"/>
  <c r="N1416" i="1"/>
  <c r="M1416" i="1"/>
  <c r="V1416" i="1" s="1"/>
  <c r="N1415" i="1"/>
  <c r="W1415" i="1" s="1"/>
  <c r="M1415" i="1"/>
  <c r="V1415" i="1" s="1"/>
  <c r="N1414" i="1"/>
  <c r="W1414" i="1" s="1"/>
  <c r="M1414" i="1"/>
  <c r="N1413" i="1"/>
  <c r="W1413" i="1" s="1"/>
  <c r="M1413" i="1"/>
  <c r="V1413" i="1" s="1"/>
  <c r="N1412" i="1"/>
  <c r="M1412" i="1"/>
  <c r="N1411" i="1"/>
  <c r="W1411" i="1" s="1"/>
  <c r="M1411" i="1"/>
  <c r="N1410" i="1"/>
  <c r="M1410" i="1"/>
  <c r="N1409" i="1"/>
  <c r="W1409" i="1" s="1"/>
  <c r="M1409" i="1"/>
  <c r="V1409" i="1" s="1"/>
  <c r="N1408" i="1"/>
  <c r="M1408" i="1"/>
  <c r="V1408" i="1" s="1"/>
  <c r="N1407" i="1"/>
  <c r="W1407" i="1" s="1"/>
  <c r="M1407" i="1"/>
  <c r="V1407" i="1" s="1"/>
  <c r="N1406" i="1"/>
  <c r="W1406" i="1" s="1"/>
  <c r="M1406" i="1"/>
  <c r="N1405" i="1"/>
  <c r="M1405" i="1"/>
  <c r="N1404" i="1"/>
  <c r="M1404" i="1"/>
  <c r="N1403" i="1"/>
  <c r="W1403" i="1" s="1"/>
  <c r="M1403" i="1"/>
  <c r="V1403" i="1" s="1"/>
  <c r="N1402" i="1"/>
  <c r="M1402" i="1"/>
  <c r="N1401" i="1"/>
  <c r="M1401" i="1"/>
  <c r="V1401" i="1" s="1"/>
  <c r="N1400" i="1"/>
  <c r="M1400" i="1"/>
  <c r="V1400" i="1" s="1"/>
  <c r="N1399" i="1"/>
  <c r="W1399" i="1" s="1"/>
  <c r="M1399" i="1"/>
  <c r="N1398" i="1"/>
  <c r="W1398" i="1" s="1"/>
  <c r="M1398" i="1"/>
  <c r="N1397" i="1"/>
  <c r="W1397" i="1" s="1"/>
  <c r="M1397" i="1"/>
  <c r="V1397" i="1" s="1"/>
  <c r="N1396" i="1"/>
  <c r="W1396" i="1" s="1"/>
  <c r="M1396" i="1"/>
  <c r="N1395" i="1"/>
  <c r="M1395" i="1"/>
  <c r="N1394" i="1"/>
  <c r="M1394" i="1"/>
  <c r="N1393" i="1"/>
  <c r="W1393" i="1" s="1"/>
  <c r="M1393" i="1"/>
  <c r="V1393" i="1" s="1"/>
  <c r="N1392" i="1"/>
  <c r="M1392" i="1"/>
  <c r="V1392" i="1" s="1"/>
  <c r="N1391" i="1"/>
  <c r="W1391" i="1" s="1"/>
  <c r="M1391" i="1"/>
  <c r="V1391" i="1" s="1"/>
  <c r="N1390" i="1"/>
  <c r="W1390" i="1" s="1"/>
  <c r="M1390" i="1"/>
  <c r="N1389" i="1"/>
  <c r="M1389" i="1"/>
  <c r="N1388" i="1"/>
  <c r="M1388" i="1"/>
  <c r="N1387" i="1"/>
  <c r="W1387" i="1" s="1"/>
  <c r="M1387" i="1"/>
  <c r="N1386" i="1"/>
  <c r="M1386" i="1"/>
  <c r="N1385" i="1"/>
  <c r="M1385" i="1"/>
  <c r="V1385" i="1" s="1"/>
  <c r="N1384" i="1"/>
  <c r="W1384" i="1" s="1"/>
  <c r="M1384" i="1"/>
  <c r="V1384" i="1" s="1"/>
  <c r="N1383" i="1"/>
  <c r="M1383" i="1"/>
  <c r="N1382" i="1"/>
  <c r="W1382" i="1" s="1"/>
  <c r="M1382" i="1"/>
  <c r="N1381" i="1"/>
  <c r="W1381" i="1" s="1"/>
  <c r="M1381" i="1"/>
  <c r="V1381" i="1" s="1"/>
  <c r="N1380" i="1"/>
  <c r="W1380" i="1" s="1"/>
  <c r="M1380" i="1"/>
  <c r="N1379" i="1"/>
  <c r="M1379" i="1"/>
  <c r="N1378" i="1"/>
  <c r="M1378" i="1"/>
  <c r="N1377" i="1"/>
  <c r="W1377" i="1" s="1"/>
  <c r="M1377" i="1"/>
  <c r="V1377" i="1" s="1"/>
  <c r="N1376" i="1"/>
  <c r="M1376" i="1"/>
  <c r="V1376" i="1" s="1"/>
  <c r="N1375" i="1"/>
  <c r="M1375" i="1"/>
  <c r="V1375" i="1" s="1"/>
  <c r="N1374" i="1"/>
  <c r="W1374" i="1" s="1"/>
  <c r="M1374" i="1"/>
  <c r="N1373" i="1"/>
  <c r="W1373" i="1" s="1"/>
  <c r="M1373" i="1"/>
  <c r="N1372" i="1"/>
  <c r="W1372" i="1" s="1"/>
  <c r="M1372" i="1"/>
  <c r="N1371" i="1"/>
  <c r="M1371" i="1"/>
  <c r="N1370" i="1"/>
  <c r="M1370" i="1"/>
  <c r="N1369" i="1"/>
  <c r="M1369" i="1"/>
  <c r="V1369" i="1" s="1"/>
  <c r="N1368" i="1"/>
  <c r="W1368" i="1" s="1"/>
  <c r="M1368" i="1"/>
  <c r="V1368" i="1" s="1"/>
  <c r="N1367" i="1"/>
  <c r="M1367" i="1"/>
  <c r="V1367" i="1" s="1"/>
  <c r="N1366" i="1"/>
  <c r="W1366" i="1" s="1"/>
  <c r="M1366" i="1"/>
  <c r="N1365" i="1"/>
  <c r="W1365" i="1" s="1"/>
  <c r="M1365" i="1"/>
  <c r="V1365" i="1" s="1"/>
  <c r="N1364" i="1"/>
  <c r="M1364" i="1"/>
  <c r="N1363" i="1"/>
  <c r="M1363" i="1"/>
  <c r="N1362" i="1"/>
  <c r="M1362" i="1"/>
  <c r="N1361" i="1"/>
  <c r="W1361" i="1" s="1"/>
  <c r="M1361" i="1"/>
  <c r="V1361" i="1" s="1"/>
  <c r="N1360" i="1"/>
  <c r="W1360" i="1" s="1"/>
  <c r="M1360" i="1"/>
  <c r="V1360" i="1" s="1"/>
  <c r="N1359" i="1"/>
  <c r="M1359" i="1"/>
  <c r="V1359" i="1" s="1"/>
  <c r="N1358" i="1"/>
  <c r="W1358" i="1" s="1"/>
  <c r="M1358" i="1"/>
  <c r="N1357" i="1"/>
  <c r="W1357" i="1" s="1"/>
  <c r="M1357" i="1"/>
  <c r="N1356" i="1"/>
  <c r="W1356" i="1" s="1"/>
  <c r="M1356" i="1"/>
  <c r="V1356" i="1" s="1"/>
  <c r="N1355" i="1"/>
  <c r="M1355" i="1"/>
  <c r="N1354" i="1"/>
  <c r="M1354" i="1"/>
  <c r="N1353" i="1"/>
  <c r="M1353" i="1"/>
  <c r="V1353" i="1" s="1"/>
  <c r="N1352" i="1"/>
  <c r="M1352" i="1"/>
  <c r="N1351" i="1"/>
  <c r="W1351" i="1" s="1"/>
  <c r="M1351" i="1"/>
  <c r="V1351" i="1" s="1"/>
  <c r="N1350" i="1"/>
  <c r="W1350" i="1" s="1"/>
  <c r="M1350" i="1"/>
  <c r="N1349" i="1"/>
  <c r="W1349" i="1" s="1"/>
  <c r="M1349" i="1"/>
  <c r="V1349" i="1" s="1"/>
  <c r="N1348" i="1"/>
  <c r="W1348" i="1" s="1"/>
  <c r="M1348" i="1"/>
  <c r="V1348" i="1" s="1"/>
  <c r="N1347" i="1"/>
  <c r="M1347" i="1"/>
  <c r="N1346" i="1"/>
  <c r="M1346" i="1"/>
  <c r="N1345" i="1"/>
  <c r="W1345" i="1" s="1"/>
  <c r="M1345" i="1"/>
  <c r="V1345" i="1" s="1"/>
  <c r="N1344" i="1"/>
  <c r="M1344" i="1"/>
  <c r="N1343" i="1"/>
  <c r="W1343" i="1" s="1"/>
  <c r="M1343" i="1"/>
  <c r="V1343" i="1" s="1"/>
  <c r="N1342" i="1"/>
  <c r="W1342" i="1" s="1"/>
  <c r="M1342" i="1"/>
  <c r="N1341" i="1"/>
  <c r="W1341" i="1" s="1"/>
  <c r="M1341" i="1"/>
  <c r="N1340" i="1"/>
  <c r="W1340" i="1" s="1"/>
  <c r="M1340" i="1"/>
  <c r="V1340" i="1" s="1"/>
  <c r="N1339" i="1"/>
  <c r="M1339" i="1"/>
  <c r="N1338" i="1"/>
  <c r="M1338" i="1"/>
  <c r="N1337" i="1"/>
  <c r="M1337" i="1"/>
  <c r="V1337" i="1" s="1"/>
  <c r="N1336" i="1"/>
  <c r="W1336" i="1" s="1"/>
  <c r="M1336" i="1"/>
  <c r="V1336" i="1" s="1"/>
  <c r="N1335" i="1"/>
  <c r="W1335" i="1" s="1"/>
  <c r="M1335" i="1"/>
  <c r="V1335" i="1" s="1"/>
  <c r="N1334" i="1"/>
  <c r="W1334" i="1" s="1"/>
  <c r="M1334" i="1"/>
  <c r="N1333" i="1"/>
  <c r="W1333" i="1" s="1"/>
  <c r="M1333" i="1"/>
  <c r="V1333" i="1" s="1"/>
  <c r="N1332" i="1"/>
  <c r="M1332" i="1"/>
  <c r="N1331" i="1"/>
  <c r="M1331" i="1"/>
  <c r="N1330" i="1"/>
  <c r="M1330" i="1"/>
  <c r="N1329" i="1"/>
  <c r="W1329" i="1" s="1"/>
  <c r="M1329" i="1"/>
  <c r="V1329" i="1" s="1"/>
  <c r="N1328" i="1"/>
  <c r="M1328" i="1"/>
  <c r="N1327" i="1"/>
  <c r="W1327" i="1" s="1"/>
  <c r="M1327" i="1"/>
  <c r="V1327" i="1" s="1"/>
  <c r="N1326" i="1"/>
  <c r="W1326" i="1" s="1"/>
  <c r="M1326" i="1"/>
  <c r="N1325" i="1"/>
  <c r="W1325" i="1" s="1"/>
  <c r="M1325" i="1"/>
  <c r="N1324" i="1"/>
  <c r="W1324" i="1" s="1"/>
  <c r="M1324" i="1"/>
  <c r="N1323" i="1"/>
  <c r="M1323" i="1"/>
  <c r="N1322" i="1"/>
  <c r="M1322" i="1"/>
  <c r="N1321" i="1"/>
  <c r="M1321" i="1"/>
  <c r="V1321" i="1" s="1"/>
  <c r="N1320" i="1"/>
  <c r="W1320" i="1" s="1"/>
  <c r="M1320" i="1"/>
  <c r="N1319" i="1"/>
  <c r="W1319" i="1" s="1"/>
  <c r="M1319" i="1"/>
  <c r="V1319" i="1" s="1"/>
  <c r="N1318" i="1"/>
  <c r="W1318" i="1" s="1"/>
  <c r="M1318" i="1"/>
  <c r="N1317" i="1"/>
  <c r="W1317" i="1" s="1"/>
  <c r="M1317" i="1"/>
  <c r="N1316" i="1"/>
  <c r="M1316" i="1"/>
  <c r="N1315" i="1"/>
  <c r="M1315" i="1"/>
  <c r="N1314" i="1"/>
  <c r="M1314" i="1"/>
  <c r="N1313" i="1"/>
  <c r="W1313" i="1" s="1"/>
  <c r="M1313" i="1"/>
  <c r="V1313" i="1" s="1"/>
  <c r="N1312" i="1"/>
  <c r="M1312" i="1"/>
  <c r="N1311" i="1"/>
  <c r="W1311" i="1" s="1"/>
  <c r="M1311" i="1"/>
  <c r="V1311" i="1" s="1"/>
  <c r="N1310" i="1"/>
  <c r="W1310" i="1" s="1"/>
  <c r="M1310" i="1"/>
  <c r="N1309" i="1"/>
  <c r="W1309" i="1" s="1"/>
  <c r="M1309" i="1"/>
  <c r="N1308" i="1"/>
  <c r="M1308" i="1"/>
  <c r="N1307" i="1"/>
  <c r="M1307" i="1"/>
  <c r="N1306" i="1"/>
  <c r="W1306" i="1" s="1"/>
  <c r="M1306" i="1"/>
  <c r="N1305" i="1"/>
  <c r="M1305" i="1"/>
  <c r="V1305" i="1" s="1"/>
  <c r="N1304" i="1"/>
  <c r="M1304" i="1"/>
  <c r="N1303" i="1"/>
  <c r="W1303" i="1" s="1"/>
  <c r="M1303" i="1"/>
  <c r="V1303" i="1" s="1"/>
  <c r="N1302" i="1"/>
  <c r="W1302" i="1" s="1"/>
  <c r="M1302" i="1"/>
  <c r="N1301" i="1"/>
  <c r="W1301" i="1" s="1"/>
  <c r="M1301" i="1"/>
  <c r="N1300" i="1"/>
  <c r="M1300" i="1"/>
  <c r="N1299" i="1"/>
  <c r="M1299" i="1"/>
  <c r="N1298" i="1"/>
  <c r="M1298" i="1"/>
  <c r="N1297" i="1"/>
  <c r="W1297" i="1" s="1"/>
  <c r="M1297" i="1"/>
  <c r="V1297" i="1" s="1"/>
  <c r="N1296" i="1"/>
  <c r="M1296" i="1"/>
  <c r="N1295" i="1"/>
  <c r="W1295" i="1" s="1"/>
  <c r="M1295" i="1"/>
  <c r="V1295" i="1" s="1"/>
  <c r="N1294" i="1"/>
  <c r="W1294" i="1" s="1"/>
  <c r="M1294" i="1"/>
  <c r="N1293" i="1"/>
  <c r="W1293" i="1" s="1"/>
  <c r="M1293" i="1"/>
  <c r="N1292" i="1"/>
  <c r="M1292" i="1"/>
  <c r="N1291" i="1"/>
  <c r="M1291" i="1"/>
  <c r="N1290" i="1"/>
  <c r="M1290" i="1"/>
  <c r="N1289" i="1"/>
  <c r="M1289" i="1"/>
  <c r="U1289" i="1" s="1"/>
  <c r="N1288" i="1"/>
  <c r="M1288" i="1"/>
  <c r="N1287" i="1"/>
  <c r="W1287" i="1" s="1"/>
  <c r="M1287" i="1"/>
  <c r="N1286" i="1"/>
  <c r="W1286" i="1" s="1"/>
  <c r="M1286" i="1"/>
  <c r="N1285" i="1"/>
  <c r="W1285" i="1" s="1"/>
  <c r="M1285" i="1"/>
  <c r="V1285" i="1" s="1"/>
  <c r="N1284" i="1"/>
  <c r="M1284" i="1"/>
  <c r="N1283" i="1"/>
  <c r="M1283" i="1"/>
  <c r="N1282" i="1"/>
  <c r="W1282" i="1" s="1"/>
  <c r="M1282" i="1"/>
  <c r="N1281" i="1"/>
  <c r="W1281" i="1" s="1"/>
  <c r="M1281" i="1"/>
  <c r="V1281" i="1" s="1"/>
  <c r="N1280" i="1"/>
  <c r="M1280" i="1"/>
  <c r="N1279" i="1"/>
  <c r="W1279" i="1" s="1"/>
  <c r="M1279" i="1"/>
  <c r="N1278" i="1"/>
  <c r="W1278" i="1" s="1"/>
  <c r="M1278" i="1"/>
  <c r="V1278" i="1" s="1"/>
  <c r="N1277" i="1"/>
  <c r="W1277" i="1" s="1"/>
  <c r="M1277" i="1"/>
  <c r="N1276" i="1"/>
  <c r="M1276" i="1"/>
  <c r="N1275" i="1"/>
  <c r="M1275" i="1"/>
  <c r="N1274" i="1"/>
  <c r="W1274" i="1" s="1"/>
  <c r="M1274" i="1"/>
  <c r="N1273" i="1"/>
  <c r="M1273" i="1"/>
  <c r="U1273" i="1" s="1"/>
  <c r="N1272" i="1"/>
  <c r="M1272" i="1"/>
  <c r="N1271" i="1"/>
  <c r="W1271" i="1" s="1"/>
  <c r="M1271" i="1"/>
  <c r="N1270" i="1"/>
  <c r="W1270" i="1" s="1"/>
  <c r="M1270" i="1"/>
  <c r="N1269" i="1"/>
  <c r="W1269" i="1" s="1"/>
  <c r="M1269" i="1"/>
  <c r="V1269" i="1" s="1"/>
  <c r="N1268" i="1"/>
  <c r="M1268" i="1"/>
  <c r="N1267" i="1"/>
  <c r="M1267" i="1"/>
  <c r="N1266" i="1"/>
  <c r="M1266" i="1"/>
  <c r="V1266" i="1" s="1"/>
  <c r="N1265" i="1"/>
  <c r="W1265" i="1" s="1"/>
  <c r="M1265" i="1"/>
  <c r="N1264" i="1"/>
  <c r="M1264" i="1"/>
  <c r="N1263" i="1"/>
  <c r="W1263" i="1" s="1"/>
  <c r="M1263" i="1"/>
  <c r="N1262" i="1"/>
  <c r="W1262" i="1" s="1"/>
  <c r="M1262" i="1"/>
  <c r="N1261" i="1"/>
  <c r="W1261" i="1" s="1"/>
  <c r="M1261" i="1"/>
  <c r="N1260" i="1"/>
  <c r="M1260" i="1"/>
  <c r="N1259" i="1"/>
  <c r="M1259" i="1"/>
  <c r="N1258" i="1"/>
  <c r="W1258" i="1" s="1"/>
  <c r="M1258" i="1"/>
  <c r="N1257" i="1"/>
  <c r="M1257" i="1"/>
  <c r="V1257" i="1" s="1"/>
  <c r="N1256" i="1"/>
  <c r="M1256" i="1"/>
  <c r="N1255" i="1"/>
  <c r="W1255" i="1" s="1"/>
  <c r="M1255" i="1"/>
  <c r="N1254" i="1"/>
  <c r="W1254" i="1" s="1"/>
  <c r="M1254" i="1"/>
  <c r="N1253" i="1"/>
  <c r="W1253" i="1" s="1"/>
  <c r="M1253" i="1"/>
  <c r="V1253" i="1" s="1"/>
  <c r="N1252" i="1"/>
  <c r="M1252" i="1"/>
  <c r="N1251" i="1"/>
  <c r="M1251" i="1"/>
  <c r="N1250" i="1"/>
  <c r="W1250" i="1" s="1"/>
  <c r="M1250" i="1"/>
  <c r="V1250" i="1" s="1"/>
  <c r="N1249" i="1"/>
  <c r="M1249" i="1"/>
  <c r="U1249" i="1" s="1"/>
  <c r="N1248" i="1"/>
  <c r="M1248" i="1"/>
  <c r="N1247" i="1"/>
  <c r="W1247" i="1" s="1"/>
  <c r="M1247" i="1"/>
  <c r="N1246" i="1"/>
  <c r="W1246" i="1" s="1"/>
  <c r="M1246" i="1"/>
  <c r="N1245" i="1"/>
  <c r="W1245" i="1" s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W1239" i="1" s="1"/>
  <c r="M1239" i="1"/>
  <c r="N1238" i="1"/>
  <c r="W1238" i="1" s="1"/>
  <c r="M1238" i="1"/>
  <c r="N1237" i="1"/>
  <c r="M1237" i="1"/>
  <c r="V1237" i="1" s="1"/>
  <c r="N1236" i="1"/>
  <c r="M1236" i="1"/>
  <c r="N1235" i="1"/>
  <c r="M1235" i="1"/>
  <c r="N1234" i="1"/>
  <c r="W1234" i="1" s="1"/>
  <c r="M1234" i="1"/>
  <c r="N1233" i="1"/>
  <c r="M1233" i="1"/>
  <c r="U1233" i="1" s="1"/>
  <c r="N1232" i="1"/>
  <c r="M1232" i="1"/>
  <c r="N1231" i="1"/>
  <c r="W1231" i="1" s="1"/>
  <c r="M1231" i="1"/>
  <c r="N1230" i="1"/>
  <c r="M1230" i="1"/>
  <c r="N1229" i="1"/>
  <c r="W1229" i="1" s="1"/>
  <c r="M1229" i="1"/>
  <c r="N1228" i="1"/>
  <c r="M1228" i="1"/>
  <c r="N1227" i="1"/>
  <c r="W1227" i="1" s="1"/>
  <c r="M1227" i="1"/>
  <c r="N1226" i="1"/>
  <c r="W1226" i="1" s="1"/>
  <c r="M1226" i="1"/>
  <c r="V1226" i="1" s="1"/>
  <c r="N1225" i="1"/>
  <c r="M1225" i="1"/>
  <c r="U1225" i="1" s="1"/>
  <c r="N1224" i="1"/>
  <c r="M1224" i="1"/>
  <c r="N1223" i="1"/>
  <c r="W1223" i="1" s="1"/>
  <c r="M1223" i="1"/>
  <c r="V1223" i="1" s="1"/>
  <c r="N1222" i="1"/>
  <c r="M1222" i="1"/>
  <c r="N1221" i="1"/>
  <c r="M1221" i="1"/>
  <c r="V1221" i="1" s="1"/>
  <c r="N1220" i="1"/>
  <c r="M1220" i="1"/>
  <c r="N1219" i="1"/>
  <c r="W1219" i="1" s="1"/>
  <c r="M1219" i="1"/>
  <c r="N1218" i="1"/>
  <c r="M1218" i="1"/>
  <c r="N1217" i="1"/>
  <c r="W1217" i="1" s="1"/>
  <c r="M1217" i="1"/>
  <c r="V1217" i="1" s="1"/>
  <c r="N1216" i="1"/>
  <c r="M1216" i="1"/>
  <c r="N1215" i="1"/>
  <c r="W1215" i="1" s="1"/>
  <c r="M1215" i="1"/>
  <c r="N1214" i="1"/>
  <c r="T1214" i="1" s="1"/>
  <c r="M1214" i="1"/>
  <c r="V1214" i="1" s="1"/>
  <c r="N1213" i="1"/>
  <c r="M1213" i="1"/>
  <c r="N1212" i="1"/>
  <c r="M1212" i="1"/>
  <c r="N1211" i="1"/>
  <c r="W1211" i="1" s="1"/>
  <c r="M1211" i="1"/>
  <c r="V1211" i="1" s="1"/>
  <c r="N1210" i="1"/>
  <c r="M1210" i="1"/>
  <c r="N1209" i="1"/>
  <c r="M1209" i="1"/>
  <c r="V1209" i="1" s="1"/>
  <c r="N1208" i="1"/>
  <c r="M1208" i="1"/>
  <c r="N1207" i="1"/>
  <c r="W1207" i="1" s="1"/>
  <c r="M1207" i="1"/>
  <c r="N1206" i="1"/>
  <c r="M1206" i="1"/>
  <c r="N1205" i="1"/>
  <c r="M1205" i="1"/>
  <c r="N1204" i="1"/>
  <c r="W1204" i="1" s="1"/>
  <c r="M1204" i="1"/>
  <c r="V1204" i="1" s="1"/>
  <c r="N1203" i="1"/>
  <c r="W1203" i="1" s="1"/>
  <c r="M1203" i="1"/>
  <c r="N1202" i="1"/>
  <c r="M1202" i="1"/>
  <c r="N1201" i="1"/>
  <c r="W1201" i="1" s="1"/>
  <c r="M1201" i="1"/>
  <c r="V1201" i="1" s="1"/>
  <c r="N1200" i="1"/>
  <c r="M1200" i="1"/>
  <c r="U1200" i="1" s="1"/>
  <c r="N1199" i="1"/>
  <c r="W1199" i="1" s="1"/>
  <c r="M1199" i="1"/>
  <c r="V1199" i="1" s="1"/>
  <c r="N1198" i="1"/>
  <c r="W1198" i="1" s="1"/>
  <c r="M1198" i="1"/>
  <c r="N1197" i="1"/>
  <c r="M1197" i="1"/>
  <c r="N1196" i="1"/>
  <c r="W1196" i="1" s="1"/>
  <c r="M1196" i="1"/>
  <c r="N1195" i="1"/>
  <c r="W1195" i="1" s="1"/>
  <c r="M1195" i="1"/>
  <c r="V1195" i="1" s="1"/>
  <c r="N1194" i="1"/>
  <c r="M1194" i="1"/>
  <c r="N1193" i="1"/>
  <c r="M1193" i="1"/>
  <c r="V1193" i="1" s="1"/>
  <c r="N1192" i="1"/>
  <c r="W1192" i="1" s="1"/>
  <c r="M1192" i="1"/>
  <c r="V1192" i="1" s="1"/>
  <c r="N1191" i="1"/>
  <c r="W1191" i="1" s="1"/>
  <c r="M1191" i="1"/>
  <c r="N1190" i="1"/>
  <c r="W1190" i="1" s="1"/>
  <c r="M1190" i="1"/>
  <c r="N1189" i="1"/>
  <c r="W1189" i="1" s="1"/>
  <c r="M1189" i="1"/>
  <c r="N1188" i="1"/>
  <c r="W1188" i="1" s="1"/>
  <c r="M1188" i="1"/>
  <c r="V1188" i="1" s="1"/>
  <c r="N1187" i="1"/>
  <c r="W1187" i="1" s="1"/>
  <c r="M1187" i="1"/>
  <c r="N1186" i="1"/>
  <c r="W1186" i="1" s="1"/>
  <c r="M1186" i="1"/>
  <c r="N1185" i="1"/>
  <c r="W1185" i="1" s="1"/>
  <c r="M1185" i="1"/>
  <c r="V1185" i="1" s="1"/>
  <c r="N1184" i="1"/>
  <c r="W1184" i="1" s="1"/>
  <c r="M1184" i="1"/>
  <c r="U1184" i="1" s="1"/>
  <c r="N1183" i="1"/>
  <c r="W1183" i="1" s="1"/>
  <c r="M1183" i="1"/>
  <c r="N1182" i="1"/>
  <c r="M1182" i="1"/>
  <c r="N1181" i="1"/>
  <c r="M1181" i="1"/>
  <c r="N1180" i="1"/>
  <c r="W1180" i="1" s="1"/>
  <c r="M1180" i="1"/>
  <c r="N1179" i="1"/>
  <c r="M1179" i="1"/>
  <c r="N1178" i="1"/>
  <c r="M1178" i="1"/>
  <c r="V1178" i="1" s="1"/>
  <c r="N1177" i="1"/>
  <c r="M1177" i="1"/>
  <c r="V1177" i="1" s="1"/>
  <c r="N1176" i="1"/>
  <c r="W1176" i="1" s="1"/>
  <c r="M1176" i="1"/>
  <c r="V1176" i="1" s="1"/>
  <c r="N1175" i="1"/>
  <c r="W1175" i="1" s="1"/>
  <c r="M1175" i="1"/>
  <c r="N1174" i="1"/>
  <c r="M1174" i="1"/>
  <c r="N1173" i="1"/>
  <c r="W1173" i="1" s="1"/>
  <c r="M1173" i="1"/>
  <c r="N1172" i="1"/>
  <c r="W1172" i="1" s="1"/>
  <c r="M1172" i="1"/>
  <c r="V1172" i="1" s="1"/>
  <c r="N1171" i="1"/>
  <c r="W1171" i="1" s="1"/>
  <c r="M1171" i="1"/>
  <c r="N1170" i="1"/>
  <c r="M1170" i="1"/>
  <c r="N1169" i="1"/>
  <c r="W1169" i="1" s="1"/>
  <c r="M1169" i="1"/>
  <c r="V1169" i="1" s="1"/>
  <c r="N1168" i="1"/>
  <c r="W1168" i="1" s="1"/>
  <c r="M1168" i="1"/>
  <c r="U1168" i="1" s="1"/>
  <c r="N1167" i="1"/>
  <c r="W1167" i="1" s="1"/>
  <c r="M1167" i="1"/>
  <c r="N1166" i="1"/>
  <c r="M1166" i="1"/>
  <c r="N1165" i="1"/>
  <c r="M1165" i="1"/>
  <c r="V1165" i="1" s="1"/>
  <c r="N1164" i="1"/>
  <c r="W1164" i="1" s="1"/>
  <c r="M1164" i="1"/>
  <c r="N1163" i="1"/>
  <c r="M1163" i="1"/>
  <c r="V1163" i="1" s="1"/>
  <c r="N1162" i="1"/>
  <c r="W1162" i="1" s="1"/>
  <c r="M1162" i="1"/>
  <c r="L1" i="1"/>
  <c r="K1" i="1"/>
  <c r="J1" i="1"/>
  <c r="T1" i="1"/>
  <c r="S1" i="1"/>
  <c r="S1376" i="1" s="1"/>
  <c r="U1163" i="1" l="1"/>
  <c r="T1205" i="1"/>
  <c r="T1237" i="1"/>
  <c r="U1170" i="1"/>
  <c r="S1229" i="1"/>
  <c r="S1245" i="1"/>
  <c r="S1261" i="1"/>
  <c r="S1277" i="1"/>
  <c r="S1293" i="1"/>
  <c r="U1301" i="1"/>
  <c r="S1309" i="1"/>
  <c r="S1317" i="1"/>
  <c r="S1325" i="1"/>
  <c r="S1341" i="1"/>
  <c r="S1357" i="1"/>
  <c r="S1373" i="1"/>
  <c r="S1389" i="1"/>
  <c r="S1405" i="1"/>
  <c r="S1421" i="1"/>
  <c r="S1329" i="1"/>
  <c r="V1225" i="1"/>
  <c r="T1250" i="1"/>
  <c r="T1176" i="1"/>
  <c r="V1273" i="1"/>
  <c r="S1400" i="1"/>
  <c r="U1176" i="1"/>
  <c r="V1277" i="1"/>
  <c r="S1177" i="1"/>
  <c r="U1278" i="1"/>
  <c r="U1194" i="1"/>
  <c r="U1202" i="1"/>
  <c r="U1250" i="1"/>
  <c r="U1297" i="1"/>
  <c r="T1210" i="1"/>
  <c r="S1187" i="1"/>
  <c r="S1195" i="1"/>
  <c r="S1235" i="1"/>
  <c r="S1243" i="1"/>
  <c r="V1200" i="1"/>
  <c r="T1179" i="1"/>
  <c r="S1201" i="1"/>
  <c r="U1325" i="1"/>
  <c r="U1164" i="1"/>
  <c r="U1180" i="1"/>
  <c r="S1196" i="1"/>
  <c r="S1364" i="1"/>
  <c r="S1372" i="1"/>
  <c r="U1380" i="1"/>
  <c r="S1388" i="1"/>
  <c r="S1396" i="1"/>
  <c r="V1325" i="1"/>
  <c r="S1218" i="1"/>
  <c r="U1169" i="1"/>
  <c r="V1317" i="1"/>
  <c r="S1392" i="1"/>
  <c r="V1405" i="1"/>
  <c r="S1241" i="1"/>
  <c r="S1249" i="1"/>
  <c r="S1265" i="1"/>
  <c r="S1163" i="1"/>
  <c r="U1179" i="1"/>
  <c r="U1419" i="1"/>
  <c r="V1245" i="1"/>
  <c r="S1321" i="1"/>
  <c r="V1357" i="1"/>
  <c r="U1389" i="1"/>
  <c r="U1405" i="1"/>
  <c r="S1202" i="1"/>
  <c r="V1301" i="1"/>
  <c r="V1373" i="1"/>
  <c r="S1230" i="1"/>
  <c r="W1179" i="1"/>
  <c r="V1202" i="1"/>
  <c r="V1229" i="1"/>
  <c r="S1333" i="1"/>
  <c r="U1407" i="1"/>
  <c r="U1364" i="1"/>
  <c r="U1269" i="1"/>
  <c r="U1293" i="1"/>
  <c r="S1203" i="1"/>
  <c r="S1305" i="1"/>
  <c r="U1207" i="1"/>
  <c r="U1383" i="1"/>
  <c r="S1399" i="1"/>
  <c r="S1415" i="1"/>
  <c r="V1184" i="1"/>
  <c r="S1257" i="1"/>
  <c r="U1305" i="1"/>
  <c r="S1269" i="1"/>
  <c r="W1205" i="1"/>
  <c r="V1233" i="1"/>
  <c r="U1261" i="1"/>
  <c r="U1285" i="1"/>
  <c r="U1309" i="1"/>
  <c r="S1175" i="1"/>
  <c r="T1423" i="1"/>
  <c r="S1352" i="1"/>
  <c r="S1360" i="1"/>
  <c r="W1163" i="1"/>
  <c r="S1185" i="1"/>
  <c r="V1261" i="1"/>
  <c r="V1309" i="1"/>
  <c r="S1384" i="1"/>
  <c r="W1210" i="1"/>
  <c r="U1237" i="1"/>
  <c r="V1341" i="1"/>
  <c r="V1421" i="1"/>
  <c r="U1221" i="1"/>
  <c r="U1253" i="1"/>
  <c r="U1277" i="1"/>
  <c r="S1168" i="1"/>
  <c r="S1211" i="1"/>
  <c r="U1313" i="1"/>
  <c r="V1389" i="1"/>
  <c r="S1281" i="1"/>
  <c r="S1289" i="1"/>
  <c r="S1297" i="1"/>
  <c r="S1192" i="1"/>
  <c r="U1211" i="1"/>
  <c r="U1266" i="1"/>
  <c r="V1289" i="1"/>
  <c r="S1345" i="1"/>
  <c r="U1423" i="1"/>
  <c r="S1242" i="1"/>
  <c r="S1298" i="1"/>
  <c r="S1169" i="1"/>
  <c r="U1192" i="1"/>
  <c r="U1241" i="1"/>
  <c r="V1293" i="1"/>
  <c r="S1223" i="1"/>
  <c r="T1262" i="1"/>
  <c r="T1313" i="1"/>
  <c r="T1380" i="1"/>
  <c r="U1166" i="1"/>
  <c r="S1166" i="1"/>
  <c r="V1174" i="1"/>
  <c r="S1174" i="1"/>
  <c r="S1182" i="1"/>
  <c r="V1182" i="1"/>
  <c r="V1190" i="1"/>
  <c r="S1190" i="1"/>
  <c r="U1190" i="1"/>
  <c r="S1198" i="1"/>
  <c r="V1198" i="1"/>
  <c r="U1198" i="1"/>
  <c r="V1206" i="1"/>
  <c r="S1206" i="1"/>
  <c r="U1206" i="1"/>
  <c r="U1214" i="1"/>
  <c r="V1222" i="1"/>
  <c r="S1222" i="1"/>
  <c r="V1238" i="1"/>
  <c r="S1238" i="1"/>
  <c r="V1246" i="1"/>
  <c r="S1246" i="1"/>
  <c r="V1254" i="1"/>
  <c r="S1254" i="1"/>
  <c r="U1254" i="1"/>
  <c r="U1262" i="1"/>
  <c r="V1270" i="1"/>
  <c r="S1270" i="1"/>
  <c r="V1286" i="1"/>
  <c r="S1286" i="1"/>
  <c r="U1286" i="1"/>
  <c r="V1294" i="1"/>
  <c r="U1294" i="1"/>
  <c r="S1294" i="1"/>
  <c r="V1302" i="1"/>
  <c r="S1302" i="1"/>
  <c r="U1302" i="1"/>
  <c r="V1310" i="1"/>
  <c r="U1310" i="1"/>
  <c r="V1318" i="1"/>
  <c r="S1318" i="1"/>
  <c r="U1318" i="1"/>
  <c r="V1326" i="1"/>
  <c r="U1326" i="1"/>
  <c r="S1326" i="1"/>
  <c r="V1334" i="1"/>
  <c r="S1334" i="1"/>
  <c r="U1334" i="1"/>
  <c r="V1342" i="1"/>
  <c r="U1342" i="1"/>
  <c r="S1342" i="1"/>
  <c r="V1350" i="1"/>
  <c r="S1350" i="1"/>
  <c r="U1350" i="1"/>
  <c r="V1358" i="1"/>
  <c r="U1358" i="1"/>
  <c r="S1358" i="1"/>
  <c r="V1366" i="1"/>
  <c r="S1366" i="1"/>
  <c r="U1366" i="1"/>
  <c r="V1374" i="1"/>
  <c r="U1374" i="1"/>
  <c r="S1374" i="1"/>
  <c r="V1382" i="1"/>
  <c r="S1382" i="1"/>
  <c r="U1382" i="1"/>
  <c r="V1390" i="1"/>
  <c r="U1390" i="1"/>
  <c r="S1390" i="1"/>
  <c r="V1398" i="1"/>
  <c r="S1398" i="1"/>
  <c r="U1398" i="1"/>
  <c r="V1406" i="1"/>
  <c r="U1406" i="1"/>
  <c r="S1406" i="1"/>
  <c r="V1414" i="1"/>
  <c r="S1414" i="1"/>
  <c r="U1414" i="1"/>
  <c r="V1422" i="1"/>
  <c r="U1422" i="1"/>
  <c r="S1422" i="1"/>
  <c r="V1430" i="1"/>
  <c r="S1430" i="1"/>
  <c r="U1430" i="1"/>
  <c r="V1168" i="1"/>
  <c r="S1176" i="1"/>
  <c r="S1184" i="1"/>
  <c r="T1192" i="1"/>
  <c r="U1223" i="1"/>
  <c r="S1250" i="1"/>
  <c r="V1262" i="1"/>
  <c r="W1206" i="1"/>
  <c r="T1206" i="1"/>
  <c r="W1230" i="1"/>
  <c r="T1230" i="1"/>
  <c r="T1359" i="1"/>
  <c r="T1367" i="1"/>
  <c r="T1375" i="1"/>
  <c r="T1383" i="1"/>
  <c r="T1391" i="1"/>
  <c r="T1399" i="1"/>
  <c r="T1407" i="1"/>
  <c r="T1415" i="1"/>
  <c r="S1214" i="1"/>
  <c r="U1238" i="1"/>
  <c r="S1266" i="1"/>
  <c r="T1317" i="1"/>
  <c r="T1384" i="1"/>
  <c r="V1215" i="1"/>
  <c r="U1215" i="1"/>
  <c r="S1215" i="1"/>
  <c r="V1231" i="1"/>
  <c r="U1231" i="1"/>
  <c r="V1255" i="1"/>
  <c r="U1255" i="1"/>
  <c r="V1287" i="1"/>
  <c r="U1287" i="1"/>
  <c r="S1287" i="1"/>
  <c r="V1240" i="1"/>
  <c r="U1240" i="1"/>
  <c r="S1240" i="1"/>
  <c r="U1296" i="1"/>
  <c r="V1296" i="1"/>
  <c r="S1296" i="1"/>
  <c r="T1282" i="1"/>
  <c r="T1301" i="1"/>
  <c r="T1392" i="1"/>
  <c r="W1392" i="1"/>
  <c r="W1400" i="1"/>
  <c r="T1400" i="1"/>
  <c r="T1408" i="1"/>
  <c r="W1408" i="1"/>
  <c r="W1416" i="1"/>
  <c r="T1416" i="1"/>
  <c r="T1424" i="1"/>
  <c r="W1424" i="1"/>
  <c r="T1171" i="1"/>
  <c r="S1204" i="1"/>
  <c r="W1214" i="1"/>
  <c r="T1227" i="1"/>
  <c r="T1254" i="1"/>
  <c r="V1364" i="1"/>
  <c r="S1164" i="1"/>
  <c r="T1187" i="1"/>
  <c r="T1204" i="1"/>
  <c r="T1215" i="1"/>
  <c r="S1255" i="1"/>
  <c r="T1238" i="1"/>
  <c r="W1224" i="1"/>
  <c r="T1224" i="1"/>
  <c r="W1256" i="1"/>
  <c r="T1256" i="1"/>
  <c r="W1272" i="1"/>
  <c r="T1272" i="1"/>
  <c r="T1280" i="1"/>
  <c r="W1280" i="1"/>
  <c r="T1304" i="1"/>
  <c r="W1304" i="1"/>
  <c r="T1312" i="1"/>
  <c r="W1312" i="1"/>
  <c r="T1336" i="1"/>
  <c r="T1344" i="1"/>
  <c r="T1164" i="1"/>
  <c r="S1172" i="1"/>
  <c r="S1188" i="1"/>
  <c r="U1204" i="1"/>
  <c r="U1242" i="1"/>
  <c r="U1270" i="1"/>
  <c r="T1286" i="1"/>
  <c r="W1344" i="1"/>
  <c r="T1368" i="1"/>
  <c r="T1186" i="1"/>
  <c r="T1195" i="1"/>
  <c r="S1258" i="1"/>
  <c r="V1258" i="1"/>
  <c r="U1230" i="1"/>
  <c r="V1242" i="1"/>
  <c r="U1368" i="1"/>
  <c r="V1239" i="1"/>
  <c r="U1239" i="1"/>
  <c r="S1239" i="1"/>
  <c r="V1247" i="1"/>
  <c r="U1247" i="1"/>
  <c r="S1247" i="1"/>
  <c r="V1263" i="1"/>
  <c r="U1263" i="1"/>
  <c r="S1263" i="1"/>
  <c r="V1271" i="1"/>
  <c r="U1271" i="1"/>
  <c r="S1271" i="1"/>
  <c r="V1279" i="1"/>
  <c r="U1279" i="1"/>
  <c r="S1279" i="1"/>
  <c r="T1376" i="1"/>
  <c r="W1376" i="1"/>
  <c r="T1217" i="1"/>
  <c r="T1233" i="1"/>
  <c r="T1249" i="1"/>
  <c r="T1265" i="1"/>
  <c r="T1281" i="1"/>
  <c r="T1297" i="1"/>
  <c r="T1188" i="1"/>
  <c r="T1196" i="1"/>
  <c r="T1162" i="1"/>
  <c r="W1170" i="1"/>
  <c r="T1170" i="1"/>
  <c r="T1178" i="1"/>
  <c r="W1178" i="1"/>
  <c r="W1242" i="1"/>
  <c r="T1242" i="1"/>
  <c r="W1266" i="1"/>
  <c r="T1266" i="1"/>
  <c r="W1290" i="1"/>
  <c r="T1290" i="1"/>
  <c r="W1298" i="1"/>
  <c r="T1298" i="1"/>
  <c r="V1208" i="1"/>
  <c r="U1208" i="1"/>
  <c r="U1216" i="1"/>
  <c r="V1216" i="1"/>
  <c r="S1216" i="1"/>
  <c r="V1224" i="1"/>
  <c r="U1224" i="1"/>
  <c r="S1224" i="1"/>
  <c r="U1232" i="1"/>
  <c r="V1232" i="1"/>
  <c r="S1232" i="1"/>
  <c r="U1248" i="1"/>
  <c r="V1248" i="1"/>
  <c r="S1248" i="1"/>
  <c r="V1256" i="1"/>
  <c r="U1256" i="1"/>
  <c r="S1256" i="1"/>
  <c r="U1264" i="1"/>
  <c r="V1264" i="1"/>
  <c r="S1264" i="1"/>
  <c r="V1272" i="1"/>
  <c r="U1272" i="1"/>
  <c r="S1272" i="1"/>
  <c r="U1280" i="1"/>
  <c r="V1280" i="1"/>
  <c r="S1280" i="1"/>
  <c r="V1288" i="1"/>
  <c r="U1288" i="1"/>
  <c r="S1288" i="1"/>
  <c r="U1304" i="1"/>
  <c r="S1304" i="1"/>
  <c r="V1304" i="1"/>
  <c r="U1312" i="1"/>
  <c r="V1312" i="1"/>
  <c r="S1312" i="1"/>
  <c r="S1320" i="1"/>
  <c r="V1320" i="1"/>
  <c r="U1320" i="1"/>
  <c r="U1328" i="1"/>
  <c r="S1328" i="1"/>
  <c r="V1328" i="1"/>
  <c r="S1336" i="1"/>
  <c r="U1336" i="1"/>
  <c r="U1344" i="1"/>
  <c r="V1344" i="1"/>
  <c r="S1344" i="1"/>
  <c r="S1162" i="1"/>
  <c r="V1162" i="1"/>
  <c r="U1162" i="1"/>
  <c r="S1170" i="1"/>
  <c r="V1170" i="1"/>
  <c r="S1178" i="1"/>
  <c r="U1178" i="1"/>
  <c r="S1186" i="1"/>
  <c r="V1186" i="1"/>
  <c r="U1186" i="1"/>
  <c r="S1194" i="1"/>
  <c r="V1194" i="1"/>
  <c r="S1210" i="1"/>
  <c r="V1210" i="1"/>
  <c r="U1210" i="1"/>
  <c r="S1274" i="1"/>
  <c r="U1274" i="1"/>
  <c r="V1282" i="1"/>
  <c r="U1282" i="1"/>
  <c r="S1282" i="1"/>
  <c r="S1290" i="1"/>
  <c r="V1290" i="1"/>
  <c r="V1298" i="1"/>
  <c r="U1298" i="1"/>
  <c r="S1306" i="1"/>
  <c r="V1306" i="1"/>
  <c r="U1306" i="1"/>
  <c r="V1314" i="1"/>
  <c r="U1314" i="1"/>
  <c r="S1314" i="1"/>
  <c r="S1322" i="1"/>
  <c r="V1322" i="1"/>
  <c r="U1322" i="1"/>
  <c r="V1330" i="1"/>
  <c r="U1330" i="1"/>
  <c r="S1330" i="1"/>
  <c r="S1338" i="1"/>
  <c r="V1338" i="1"/>
  <c r="U1338" i="1"/>
  <c r="V1346" i="1"/>
  <c r="U1346" i="1"/>
  <c r="S1346" i="1"/>
  <c r="S1354" i="1"/>
  <c r="V1354" i="1"/>
  <c r="U1354" i="1"/>
  <c r="V1362" i="1"/>
  <c r="U1362" i="1"/>
  <c r="S1362" i="1"/>
  <c r="S1370" i="1"/>
  <c r="V1370" i="1"/>
  <c r="U1370" i="1"/>
  <c r="V1378" i="1"/>
  <c r="U1378" i="1"/>
  <c r="S1378" i="1"/>
  <c r="S1386" i="1"/>
  <c r="V1386" i="1"/>
  <c r="U1386" i="1"/>
  <c r="V1394" i="1"/>
  <c r="U1394" i="1"/>
  <c r="S1394" i="1"/>
  <c r="S1402" i="1"/>
  <c r="V1402" i="1"/>
  <c r="U1402" i="1"/>
  <c r="V1410" i="1"/>
  <c r="U1410" i="1"/>
  <c r="S1410" i="1"/>
  <c r="S1418" i="1"/>
  <c r="V1418" i="1"/>
  <c r="U1418" i="1"/>
  <c r="U1426" i="1"/>
  <c r="S1426" i="1"/>
  <c r="V1426" i="1"/>
  <c r="V1164" i="1"/>
  <c r="T1172" i="1"/>
  <c r="W1314" i="1"/>
  <c r="T1314" i="1"/>
  <c r="W1322" i="1"/>
  <c r="T1322" i="1"/>
  <c r="W1330" i="1"/>
  <c r="T1330" i="1"/>
  <c r="W1338" i="1"/>
  <c r="T1338" i="1"/>
  <c r="W1346" i="1"/>
  <c r="T1346" i="1"/>
  <c r="W1354" i="1"/>
  <c r="T1354" i="1"/>
  <c r="W1362" i="1"/>
  <c r="T1362" i="1"/>
  <c r="W1370" i="1"/>
  <c r="T1370" i="1"/>
  <c r="W1378" i="1"/>
  <c r="T1378" i="1"/>
  <c r="W1386" i="1"/>
  <c r="T1386" i="1"/>
  <c r="W1394" i="1"/>
  <c r="T1394" i="1"/>
  <c r="W1402" i="1"/>
  <c r="T1402" i="1"/>
  <c r="W1410" i="1"/>
  <c r="T1410" i="1"/>
  <c r="W1418" i="1"/>
  <c r="T1418" i="1"/>
  <c r="W1426" i="1"/>
  <c r="T1426" i="1"/>
  <c r="U1172" i="1"/>
  <c r="S1180" i="1"/>
  <c r="U1188" i="1"/>
  <c r="T1198" i="1"/>
  <c r="S1207" i="1"/>
  <c r="U1218" i="1"/>
  <c r="V1230" i="1"/>
  <c r="T1258" i="1"/>
  <c r="V1171" i="1"/>
  <c r="U1171" i="1"/>
  <c r="S1171" i="1"/>
  <c r="V1179" i="1"/>
  <c r="S1179" i="1"/>
  <c r="V1187" i="1"/>
  <c r="U1187" i="1"/>
  <c r="U1195" i="1"/>
  <c r="V1203" i="1"/>
  <c r="U1203" i="1"/>
  <c r="V1219" i="1"/>
  <c r="U1219" i="1"/>
  <c r="S1219" i="1"/>
  <c r="V1227" i="1"/>
  <c r="U1227" i="1"/>
  <c r="S1227" i="1"/>
  <c r="V1235" i="1"/>
  <c r="U1235" i="1"/>
  <c r="V1243" i="1"/>
  <c r="U1243" i="1"/>
  <c r="V1251" i="1"/>
  <c r="U1251" i="1"/>
  <c r="S1251" i="1"/>
  <c r="V1259" i="1"/>
  <c r="U1259" i="1"/>
  <c r="S1259" i="1"/>
  <c r="V1267" i="1"/>
  <c r="U1267" i="1"/>
  <c r="S1267" i="1"/>
  <c r="V1275" i="1"/>
  <c r="U1275" i="1"/>
  <c r="S1275" i="1"/>
  <c r="V1283" i="1"/>
  <c r="U1283" i="1"/>
  <c r="S1283" i="1"/>
  <c r="V1291" i="1"/>
  <c r="U1291" i="1"/>
  <c r="S1291" i="1"/>
  <c r="V1299" i="1"/>
  <c r="U1299" i="1"/>
  <c r="S1299" i="1"/>
  <c r="V1307" i="1"/>
  <c r="U1307" i="1"/>
  <c r="S1307" i="1"/>
  <c r="V1315" i="1"/>
  <c r="U1315" i="1"/>
  <c r="S1315" i="1"/>
  <c r="V1323" i="1"/>
  <c r="U1323" i="1"/>
  <c r="S1323" i="1"/>
  <c r="V1331" i="1"/>
  <c r="U1331" i="1"/>
  <c r="S1331" i="1"/>
  <c r="V1339" i="1"/>
  <c r="U1339" i="1"/>
  <c r="S1339" i="1"/>
  <c r="V1347" i="1"/>
  <c r="U1347" i="1"/>
  <c r="S1347" i="1"/>
  <c r="V1355" i="1"/>
  <c r="U1355" i="1"/>
  <c r="S1355" i="1"/>
  <c r="V1363" i="1"/>
  <c r="U1363" i="1"/>
  <c r="S1363" i="1"/>
  <c r="U1371" i="1"/>
  <c r="S1371" i="1"/>
  <c r="V1371" i="1"/>
  <c r="V1379" i="1"/>
  <c r="U1379" i="1"/>
  <c r="S1379" i="1"/>
  <c r="S1387" i="1"/>
  <c r="V1387" i="1"/>
  <c r="U1387" i="1"/>
  <c r="V1395" i="1"/>
  <c r="U1395" i="1"/>
  <c r="S1395" i="1"/>
  <c r="S1403" i="1"/>
  <c r="U1403" i="1"/>
  <c r="V1411" i="1"/>
  <c r="U1411" i="1"/>
  <c r="S1411" i="1"/>
  <c r="V1419" i="1"/>
  <c r="S1419" i="1"/>
  <c r="V1427" i="1"/>
  <c r="U1427" i="1"/>
  <c r="S1427" i="1"/>
  <c r="T1180" i="1"/>
  <c r="T1207" i="1"/>
  <c r="V1218" i="1"/>
  <c r="S1231" i="1"/>
  <c r="U1258" i="1"/>
  <c r="T1274" i="1"/>
  <c r="T1306" i="1"/>
  <c r="T1372" i="1"/>
  <c r="V1167" i="1"/>
  <c r="S1167" i="1"/>
  <c r="V1183" i="1"/>
  <c r="U1183" i="1"/>
  <c r="V1191" i="1"/>
  <c r="S1191" i="1"/>
  <c r="T1239" i="1"/>
  <c r="S1226" i="1"/>
  <c r="U1226" i="1"/>
  <c r="V1234" i="1"/>
  <c r="S1234" i="1"/>
  <c r="T1194" i="1"/>
  <c r="W1194" i="1"/>
  <c r="W1202" i="1"/>
  <c r="T1202" i="1"/>
  <c r="W1218" i="1"/>
  <c r="T1218" i="1"/>
  <c r="T1226" i="1"/>
  <c r="T1163" i="1"/>
  <c r="T1203" i="1"/>
  <c r="T1211" i="1"/>
  <c r="W1235" i="1"/>
  <c r="T1235" i="1"/>
  <c r="W1243" i="1"/>
  <c r="T1243" i="1"/>
  <c r="W1251" i="1"/>
  <c r="T1251" i="1"/>
  <c r="W1259" i="1"/>
  <c r="T1259" i="1"/>
  <c r="W1267" i="1"/>
  <c r="T1267" i="1"/>
  <c r="W1275" i="1"/>
  <c r="T1275" i="1"/>
  <c r="W1283" i="1"/>
  <c r="T1283" i="1"/>
  <c r="W1291" i="1"/>
  <c r="T1291" i="1"/>
  <c r="W1299" i="1"/>
  <c r="T1299" i="1"/>
  <c r="W1307" i="1"/>
  <c r="T1307" i="1"/>
  <c r="W1315" i="1"/>
  <c r="T1315" i="1"/>
  <c r="W1323" i="1"/>
  <c r="T1323" i="1"/>
  <c r="W1331" i="1"/>
  <c r="T1331" i="1"/>
  <c r="W1339" i="1"/>
  <c r="T1339" i="1"/>
  <c r="W1347" i="1"/>
  <c r="T1347" i="1"/>
  <c r="T1355" i="1"/>
  <c r="W1355" i="1"/>
  <c r="W1363" i="1"/>
  <c r="T1363" i="1"/>
  <c r="T1371" i="1"/>
  <c r="W1371" i="1"/>
  <c r="T1379" i="1"/>
  <c r="W1379" i="1"/>
  <c r="T1387" i="1"/>
  <c r="W1395" i="1"/>
  <c r="T1395" i="1"/>
  <c r="T1403" i="1"/>
  <c r="T1411" i="1"/>
  <c r="W1419" i="1"/>
  <c r="T1419" i="1"/>
  <c r="W1427" i="1"/>
  <c r="T1427" i="1"/>
  <c r="V1166" i="1"/>
  <c r="V1180" i="1"/>
  <c r="T1190" i="1"/>
  <c r="S1199" i="1"/>
  <c r="V1207" i="1"/>
  <c r="T1219" i="1"/>
  <c r="T1246" i="1"/>
  <c r="V1274" i="1"/>
  <c r="U1290" i="1"/>
  <c r="T1396" i="1"/>
  <c r="T1168" i="1"/>
  <c r="W1208" i="1"/>
  <c r="T1208" i="1"/>
  <c r="T1248" i="1"/>
  <c r="W1248" i="1"/>
  <c r="T1296" i="1"/>
  <c r="W1296" i="1"/>
  <c r="T1360" i="1"/>
  <c r="U1196" i="1"/>
  <c r="V1196" i="1"/>
  <c r="U1212" i="1"/>
  <c r="V1212" i="1"/>
  <c r="S1212" i="1"/>
  <c r="V1220" i="1"/>
  <c r="U1220" i="1"/>
  <c r="U1228" i="1"/>
  <c r="V1228" i="1"/>
  <c r="S1228" i="1"/>
  <c r="V1236" i="1"/>
  <c r="U1236" i="1"/>
  <c r="S1236" i="1"/>
  <c r="U1244" i="1"/>
  <c r="V1244" i="1"/>
  <c r="S1244" i="1"/>
  <c r="V1252" i="1"/>
  <c r="U1252" i="1"/>
  <c r="S1252" i="1"/>
  <c r="U1260" i="1"/>
  <c r="V1260" i="1"/>
  <c r="S1260" i="1"/>
  <c r="V1268" i="1"/>
  <c r="U1268" i="1"/>
  <c r="S1268" i="1"/>
  <c r="U1276" i="1"/>
  <c r="V1276" i="1"/>
  <c r="S1276" i="1"/>
  <c r="V1284" i="1"/>
  <c r="U1284" i="1"/>
  <c r="S1284" i="1"/>
  <c r="U1292" i="1"/>
  <c r="V1292" i="1"/>
  <c r="S1292" i="1"/>
  <c r="V1300" i="1"/>
  <c r="U1300" i="1"/>
  <c r="S1300" i="1"/>
  <c r="U1308" i="1"/>
  <c r="S1308" i="1"/>
  <c r="V1308" i="1"/>
  <c r="U1316" i="1"/>
  <c r="S1316" i="1"/>
  <c r="V1316" i="1"/>
  <c r="U1324" i="1"/>
  <c r="S1324" i="1"/>
  <c r="V1324" i="1"/>
  <c r="S1332" i="1"/>
  <c r="V1332" i="1"/>
  <c r="U1332" i="1"/>
  <c r="U1340" i="1"/>
  <c r="S1340" i="1"/>
  <c r="S1348" i="1"/>
  <c r="U1348" i="1"/>
  <c r="U1356" i="1"/>
  <c r="S1356" i="1"/>
  <c r="U1372" i="1"/>
  <c r="V1372" i="1"/>
  <c r="V1380" i="1"/>
  <c r="S1380" i="1"/>
  <c r="U1388" i="1"/>
  <c r="V1388" i="1"/>
  <c r="V1396" i="1"/>
  <c r="U1396" i="1"/>
  <c r="U1404" i="1"/>
  <c r="V1404" i="1"/>
  <c r="S1404" i="1"/>
  <c r="V1412" i="1"/>
  <c r="U1412" i="1"/>
  <c r="S1412" i="1"/>
  <c r="U1420" i="1"/>
  <c r="V1420" i="1"/>
  <c r="S1420" i="1"/>
  <c r="V1428" i="1"/>
  <c r="U1428" i="1"/>
  <c r="S1428" i="1"/>
  <c r="T1167" i="1"/>
  <c r="U1174" i="1"/>
  <c r="U1182" i="1"/>
  <c r="T1191" i="1"/>
  <c r="U1199" i="1"/>
  <c r="S1220" i="1"/>
  <c r="U1246" i="1"/>
  <c r="T1329" i="1"/>
  <c r="U1352" i="1"/>
  <c r="T1166" i="1"/>
  <c r="W1166" i="1"/>
  <c r="W1174" i="1"/>
  <c r="T1174" i="1"/>
  <c r="T1182" i="1"/>
  <c r="W1182" i="1"/>
  <c r="W1222" i="1"/>
  <c r="T1222" i="1"/>
  <c r="T1430" i="1"/>
  <c r="T1422" i="1"/>
  <c r="T1414" i="1"/>
  <c r="T1406" i="1"/>
  <c r="T1398" i="1"/>
  <c r="T1390" i="1"/>
  <c r="T1382" i="1"/>
  <c r="T1335" i="1"/>
  <c r="T1311" i="1"/>
  <c r="T1374" i="1"/>
  <c r="T1366" i="1"/>
  <c r="T1319" i="1"/>
  <c r="T1295" i="1"/>
  <c r="T1358" i="1"/>
  <c r="T1350" i="1"/>
  <c r="T1303" i="1"/>
  <c r="T1279" i="1"/>
  <c r="T1169" i="1"/>
  <c r="T1342" i="1"/>
  <c r="T1334" i="1"/>
  <c r="T1287" i="1"/>
  <c r="T1263" i="1"/>
  <c r="T1326" i="1"/>
  <c r="T1318" i="1"/>
  <c r="T1271" i="1"/>
  <c r="T1247" i="1"/>
  <c r="T1310" i="1"/>
  <c r="T1302" i="1"/>
  <c r="T1255" i="1"/>
  <c r="T1231" i="1"/>
  <c r="T1278" i="1"/>
  <c r="T1270" i="1"/>
  <c r="T1223" i="1"/>
  <c r="T1199" i="1"/>
  <c r="T1175" i="1"/>
  <c r="T1200" i="1"/>
  <c r="W1200" i="1"/>
  <c r="T1232" i="1"/>
  <c r="W1232" i="1"/>
  <c r="T1264" i="1"/>
  <c r="W1264" i="1"/>
  <c r="T1288" i="1"/>
  <c r="W1288" i="1"/>
  <c r="T1328" i="1"/>
  <c r="W1328" i="1"/>
  <c r="W1352" i="1"/>
  <c r="T1352" i="1"/>
  <c r="W1212" i="1"/>
  <c r="T1212" i="1"/>
  <c r="W1220" i="1"/>
  <c r="T1220" i="1"/>
  <c r="W1228" i="1"/>
  <c r="T1228" i="1"/>
  <c r="W1236" i="1"/>
  <c r="T1236" i="1"/>
  <c r="W1244" i="1"/>
  <c r="T1244" i="1"/>
  <c r="W1252" i="1"/>
  <c r="T1252" i="1"/>
  <c r="W1260" i="1"/>
  <c r="T1260" i="1"/>
  <c r="W1268" i="1"/>
  <c r="T1268" i="1"/>
  <c r="W1276" i="1"/>
  <c r="T1276" i="1"/>
  <c r="W1284" i="1"/>
  <c r="T1284" i="1"/>
  <c r="T1292" i="1"/>
  <c r="W1292" i="1"/>
  <c r="T1300" i="1"/>
  <c r="W1300" i="1"/>
  <c r="T1308" i="1"/>
  <c r="W1308" i="1"/>
  <c r="T1316" i="1"/>
  <c r="W1316" i="1"/>
  <c r="T1324" i="1"/>
  <c r="T1332" i="1"/>
  <c r="T1340" i="1"/>
  <c r="T1348" i="1"/>
  <c r="W1364" i="1"/>
  <c r="T1364" i="1"/>
  <c r="W1388" i="1"/>
  <c r="T1388" i="1"/>
  <c r="W1404" i="1"/>
  <c r="T1404" i="1"/>
  <c r="W1412" i="1"/>
  <c r="T1412" i="1"/>
  <c r="W1420" i="1"/>
  <c r="T1420" i="1"/>
  <c r="W1428" i="1"/>
  <c r="T1428" i="1"/>
  <c r="U1167" i="1"/>
  <c r="U1175" i="1"/>
  <c r="S1183" i="1"/>
  <c r="U1191" i="1"/>
  <c r="S1208" i="1"/>
  <c r="T1234" i="1"/>
  <c r="S1310" i="1"/>
  <c r="V1352" i="1"/>
  <c r="T1184" i="1"/>
  <c r="T1216" i="1"/>
  <c r="W1216" i="1"/>
  <c r="W1240" i="1"/>
  <c r="T1240" i="1"/>
  <c r="T1320" i="1"/>
  <c r="S1165" i="1"/>
  <c r="U1165" i="1"/>
  <c r="V1173" i="1"/>
  <c r="U1173" i="1"/>
  <c r="S1173" i="1"/>
  <c r="S1181" i="1"/>
  <c r="V1181" i="1"/>
  <c r="U1181" i="1"/>
  <c r="V1189" i="1"/>
  <c r="U1189" i="1"/>
  <c r="S1189" i="1"/>
  <c r="S1197" i="1"/>
  <c r="V1197" i="1"/>
  <c r="U1197" i="1"/>
  <c r="V1205" i="1"/>
  <c r="U1205" i="1"/>
  <c r="S1205" i="1"/>
  <c r="S1213" i="1"/>
  <c r="V1213" i="1"/>
  <c r="U1213" i="1"/>
  <c r="V1175" i="1"/>
  <c r="T1183" i="1"/>
  <c r="S1200" i="1"/>
  <c r="U1222" i="1"/>
  <c r="U1234" i="1"/>
  <c r="S1262" i="1"/>
  <c r="S1278" i="1"/>
  <c r="T1294" i="1"/>
  <c r="W1332" i="1"/>
  <c r="T1356" i="1"/>
  <c r="T1253" i="1"/>
  <c r="W1221" i="1"/>
  <c r="W1233" i="1"/>
  <c r="V1241" i="1"/>
  <c r="V1249" i="1"/>
  <c r="U1257" i="1"/>
  <c r="U1265" i="1"/>
  <c r="T1269" i="1"/>
  <c r="S1273" i="1"/>
  <c r="S1285" i="1"/>
  <c r="W1359" i="1"/>
  <c r="W1367" i="1"/>
  <c r="U1375" i="1"/>
  <c r="V1383" i="1"/>
  <c r="U1399" i="1"/>
  <c r="S1407" i="1"/>
  <c r="W1177" i="1"/>
  <c r="T1177" i="1"/>
  <c r="W1193" i="1"/>
  <c r="T1193" i="1"/>
  <c r="W1209" i="1"/>
  <c r="T1209" i="1"/>
  <c r="W1225" i="1"/>
  <c r="T1225" i="1"/>
  <c r="W1241" i="1"/>
  <c r="T1241" i="1"/>
  <c r="W1257" i="1"/>
  <c r="T1257" i="1"/>
  <c r="W1273" i="1"/>
  <c r="T1273" i="1"/>
  <c r="W1289" i="1"/>
  <c r="T1289" i="1"/>
  <c r="W1305" i="1"/>
  <c r="T1305" i="1"/>
  <c r="W1321" i="1"/>
  <c r="T1321" i="1"/>
  <c r="W1337" i="1"/>
  <c r="T1337" i="1"/>
  <c r="W1353" i="1"/>
  <c r="T1353" i="1"/>
  <c r="W1369" i="1"/>
  <c r="T1369" i="1"/>
  <c r="W1385" i="1"/>
  <c r="T1385" i="1"/>
  <c r="W1401" i="1"/>
  <c r="T1401" i="1"/>
  <c r="W1417" i="1"/>
  <c r="T1417" i="1"/>
  <c r="W1237" i="1"/>
  <c r="W1249" i="1"/>
  <c r="V1265" i="1"/>
  <c r="U1281" i="1"/>
  <c r="T1285" i="1"/>
  <c r="S1301" i="1"/>
  <c r="S1313" i="1"/>
  <c r="S1368" i="1"/>
  <c r="W1375" i="1"/>
  <c r="W1383" i="1"/>
  <c r="U1391" i="1"/>
  <c r="V1399" i="1"/>
  <c r="U1415" i="1"/>
  <c r="S1423" i="1"/>
  <c r="U1317" i="1"/>
  <c r="U1321" i="1"/>
  <c r="U1329" i="1"/>
  <c r="T1333" i="1"/>
  <c r="S1337" i="1"/>
  <c r="U1341" i="1"/>
  <c r="T1345" i="1"/>
  <c r="S1349" i="1"/>
  <c r="S1361" i="1"/>
  <c r="U1384" i="1"/>
  <c r="S1408" i="1"/>
  <c r="S1416" i="1"/>
  <c r="U1333" i="1"/>
  <c r="U1337" i="1"/>
  <c r="U1345" i="1"/>
  <c r="T1349" i="1"/>
  <c r="S1353" i="1"/>
  <c r="U1357" i="1"/>
  <c r="T1361" i="1"/>
  <c r="S1365" i="1"/>
  <c r="S1377" i="1"/>
  <c r="U1400" i="1"/>
  <c r="S1424" i="1"/>
  <c r="U1349" i="1"/>
  <c r="U1353" i="1"/>
  <c r="U1361" i="1"/>
  <c r="T1365" i="1"/>
  <c r="S1369" i="1"/>
  <c r="U1373" i="1"/>
  <c r="T1377" i="1"/>
  <c r="S1381" i="1"/>
  <c r="S1393" i="1"/>
  <c r="U1416" i="1"/>
  <c r="U1365" i="1"/>
  <c r="U1369" i="1"/>
  <c r="U1377" i="1"/>
  <c r="T1381" i="1"/>
  <c r="S1385" i="1"/>
  <c r="T1393" i="1"/>
  <c r="S1397" i="1"/>
  <c r="S1409" i="1"/>
  <c r="S1303" i="1"/>
  <c r="U1381" i="1"/>
  <c r="U1385" i="1"/>
  <c r="U1393" i="1"/>
  <c r="T1397" i="1"/>
  <c r="S1401" i="1"/>
  <c r="T1409" i="1"/>
  <c r="S1413" i="1"/>
  <c r="S1425" i="1"/>
  <c r="T1165" i="1"/>
  <c r="T1181" i="1"/>
  <c r="T1197" i="1"/>
  <c r="T1213" i="1"/>
  <c r="T1229" i="1"/>
  <c r="T1245" i="1"/>
  <c r="T1261" i="1"/>
  <c r="T1277" i="1"/>
  <c r="T1293" i="1"/>
  <c r="T1309" i="1"/>
  <c r="T1325" i="1"/>
  <c r="T1341" i="1"/>
  <c r="T1357" i="1"/>
  <c r="T1373" i="1"/>
  <c r="T1389" i="1"/>
  <c r="T1405" i="1"/>
  <c r="T1421" i="1"/>
  <c r="S1295" i="1"/>
  <c r="S1319" i="1"/>
  <c r="W1389" i="1"/>
  <c r="U1397" i="1"/>
  <c r="U1401" i="1"/>
  <c r="U1409" i="1"/>
  <c r="T1413" i="1"/>
  <c r="S1417" i="1"/>
  <c r="U1421" i="1"/>
  <c r="T1425" i="1"/>
  <c r="S1429" i="1"/>
  <c r="T1173" i="1"/>
  <c r="T1185" i="1"/>
  <c r="U1303" i="1"/>
  <c r="S1311" i="1"/>
  <c r="S1335" i="1"/>
  <c r="W1405" i="1"/>
  <c r="U1413" i="1"/>
  <c r="U1417" i="1"/>
  <c r="U1425" i="1"/>
  <c r="T1429" i="1"/>
  <c r="W1165" i="1"/>
  <c r="U1177" i="1"/>
  <c r="U1185" i="1"/>
  <c r="T1189" i="1"/>
  <c r="S1193" i="1"/>
  <c r="T1201" i="1"/>
  <c r="S1217" i="1"/>
  <c r="U1295" i="1"/>
  <c r="U1319" i="1"/>
  <c r="S1327" i="1"/>
  <c r="S1351" i="1"/>
  <c r="W1421" i="1"/>
  <c r="U1429" i="1"/>
  <c r="W1181" i="1"/>
  <c r="U1193" i="1"/>
  <c r="U1201" i="1"/>
  <c r="S1209" i="1"/>
  <c r="S1221" i="1"/>
  <c r="S1233" i="1"/>
  <c r="U1311" i="1"/>
  <c r="T1327" i="1"/>
  <c r="U1335" i="1"/>
  <c r="S1343" i="1"/>
  <c r="T1351" i="1"/>
  <c r="S1367" i="1"/>
  <c r="W1197" i="1"/>
  <c r="U1209" i="1"/>
  <c r="U1217" i="1"/>
  <c r="T1221" i="1"/>
  <c r="S1225" i="1"/>
  <c r="U1229" i="1"/>
  <c r="S1237" i="1"/>
  <c r="U1327" i="1"/>
  <c r="T1343" i="1"/>
  <c r="U1351" i="1"/>
  <c r="S1359" i="1"/>
  <c r="S1383" i="1"/>
  <c r="U1360" i="1"/>
  <c r="U1376" i="1"/>
  <c r="U1392" i="1"/>
  <c r="U1408" i="1"/>
  <c r="U1424" i="1"/>
  <c r="W1213" i="1"/>
  <c r="U1245" i="1"/>
  <c r="S1253" i="1"/>
  <c r="U1343" i="1"/>
  <c r="U1367" i="1"/>
  <c r="S1375" i="1"/>
  <c r="U1359" i="1"/>
  <c r="S1391" i="1"/>
  <c r="N1161" i="1"/>
  <c r="W1161" i="1" s="1"/>
  <c r="M1161" i="1"/>
  <c r="N1160" i="1"/>
  <c r="W1160" i="1" s="1"/>
  <c r="M1160" i="1"/>
  <c r="N1159" i="1"/>
  <c r="W1159" i="1" s="1"/>
  <c r="M1159" i="1"/>
  <c r="N1158" i="1"/>
  <c r="W1158" i="1" s="1"/>
  <c r="M1158" i="1"/>
  <c r="N1157" i="1"/>
  <c r="W1157" i="1" s="1"/>
  <c r="M1157" i="1"/>
  <c r="N1156" i="1"/>
  <c r="W1156" i="1" s="1"/>
  <c r="M1156" i="1"/>
  <c r="N1155" i="1"/>
  <c r="W1155" i="1" s="1"/>
  <c r="M1155" i="1"/>
  <c r="N1154" i="1"/>
  <c r="W1154" i="1" s="1"/>
  <c r="M1154" i="1"/>
  <c r="N1153" i="1"/>
  <c r="W1153" i="1" s="1"/>
  <c r="M1153" i="1"/>
  <c r="N1152" i="1"/>
  <c r="W1152" i="1" s="1"/>
  <c r="M1152" i="1"/>
  <c r="N1151" i="1"/>
  <c r="W1151" i="1" s="1"/>
  <c r="M1151" i="1"/>
  <c r="N1150" i="1"/>
  <c r="W1150" i="1" s="1"/>
  <c r="M1150" i="1"/>
  <c r="N1149" i="1"/>
  <c r="W1149" i="1" s="1"/>
  <c r="M1149" i="1"/>
  <c r="N1148" i="1"/>
  <c r="W1148" i="1" s="1"/>
  <c r="M1148" i="1"/>
  <c r="N1147" i="1"/>
  <c r="W1147" i="1" s="1"/>
  <c r="M1147" i="1"/>
  <c r="N1146" i="1"/>
  <c r="W1146" i="1" s="1"/>
  <c r="M1146" i="1"/>
  <c r="N1145" i="1"/>
  <c r="W1145" i="1" s="1"/>
  <c r="M1145" i="1"/>
  <c r="N1144" i="1"/>
  <c r="W1144" i="1" s="1"/>
  <c r="M1144" i="1"/>
  <c r="N1143" i="1"/>
  <c r="W1143" i="1" s="1"/>
  <c r="M1143" i="1"/>
  <c r="N1142" i="1"/>
  <c r="W1142" i="1" s="1"/>
  <c r="M1142" i="1"/>
  <c r="N1141" i="1"/>
  <c r="W1141" i="1" s="1"/>
  <c r="M1141" i="1"/>
  <c r="N1140" i="1"/>
  <c r="W1140" i="1" s="1"/>
  <c r="M1140" i="1"/>
  <c r="N1139" i="1"/>
  <c r="W1139" i="1" s="1"/>
  <c r="M1139" i="1"/>
  <c r="N1138" i="1"/>
  <c r="W1138" i="1" s="1"/>
  <c r="M1138" i="1"/>
  <c r="N1137" i="1"/>
  <c r="W1137" i="1" s="1"/>
  <c r="M1137" i="1"/>
  <c r="N1136" i="1"/>
  <c r="W1136" i="1" s="1"/>
  <c r="M1136" i="1"/>
  <c r="N1135" i="1"/>
  <c r="W1135" i="1" s="1"/>
  <c r="M1135" i="1"/>
  <c r="N1134" i="1"/>
  <c r="W1134" i="1" s="1"/>
  <c r="M1134" i="1"/>
  <c r="N1133" i="1"/>
  <c r="W1133" i="1" s="1"/>
  <c r="M1133" i="1"/>
  <c r="N1132" i="1"/>
  <c r="W1132" i="1" s="1"/>
  <c r="M1132" i="1"/>
  <c r="N1131" i="1"/>
  <c r="W1131" i="1" s="1"/>
  <c r="M1131" i="1"/>
  <c r="N1130" i="1"/>
  <c r="W1130" i="1" s="1"/>
  <c r="M1130" i="1"/>
  <c r="N1129" i="1"/>
  <c r="W1129" i="1" s="1"/>
  <c r="M1129" i="1"/>
  <c r="N1128" i="1"/>
  <c r="W1128" i="1" s="1"/>
  <c r="M1128" i="1"/>
  <c r="N1127" i="1"/>
  <c r="W1127" i="1" s="1"/>
  <c r="M1127" i="1"/>
  <c r="N1126" i="1"/>
  <c r="W1126" i="1" s="1"/>
  <c r="M1126" i="1"/>
  <c r="N1125" i="1"/>
  <c r="W1125" i="1" s="1"/>
  <c r="M1125" i="1"/>
  <c r="N1124" i="1"/>
  <c r="W1124" i="1" s="1"/>
  <c r="M1124" i="1"/>
  <c r="N1123" i="1"/>
  <c r="W1123" i="1" s="1"/>
  <c r="M1123" i="1"/>
  <c r="N1122" i="1"/>
  <c r="W1122" i="1" s="1"/>
  <c r="M1122" i="1"/>
  <c r="N1121" i="1"/>
  <c r="W1121" i="1" s="1"/>
  <c r="M1121" i="1"/>
  <c r="N1120" i="1"/>
  <c r="W1120" i="1" s="1"/>
  <c r="M1120" i="1"/>
  <c r="N1119" i="1"/>
  <c r="W1119" i="1" s="1"/>
  <c r="M1119" i="1"/>
  <c r="N1118" i="1"/>
  <c r="W1118" i="1" s="1"/>
  <c r="M1118" i="1"/>
  <c r="N1117" i="1"/>
  <c r="W1117" i="1" s="1"/>
  <c r="M1117" i="1"/>
  <c r="N1116" i="1"/>
  <c r="W1116" i="1" s="1"/>
  <c r="M1116" i="1"/>
  <c r="N1115" i="1"/>
  <c r="W1115" i="1" s="1"/>
  <c r="M1115" i="1"/>
  <c r="N1114" i="1"/>
  <c r="W1114" i="1" s="1"/>
  <c r="M1114" i="1"/>
  <c r="N1113" i="1"/>
  <c r="W1113" i="1" s="1"/>
  <c r="M1113" i="1"/>
  <c r="N1112" i="1"/>
  <c r="W1112" i="1" s="1"/>
  <c r="M1112" i="1"/>
  <c r="N1111" i="1"/>
  <c r="W1111" i="1" s="1"/>
  <c r="M1111" i="1"/>
  <c r="N1110" i="1"/>
  <c r="W1110" i="1" s="1"/>
  <c r="M1110" i="1"/>
  <c r="N1109" i="1"/>
  <c r="W1109" i="1" s="1"/>
  <c r="M1109" i="1"/>
  <c r="N1108" i="1"/>
  <c r="W1108" i="1" s="1"/>
  <c r="M1108" i="1"/>
  <c r="N1107" i="1"/>
  <c r="W1107" i="1" s="1"/>
  <c r="M1107" i="1"/>
  <c r="N1106" i="1"/>
  <c r="W1106" i="1" s="1"/>
  <c r="M1106" i="1"/>
  <c r="N1105" i="1"/>
  <c r="W1105" i="1" s="1"/>
  <c r="M1105" i="1"/>
  <c r="N1104" i="1"/>
  <c r="W1104" i="1" s="1"/>
  <c r="M1104" i="1"/>
  <c r="N1103" i="1"/>
  <c r="W1103" i="1" s="1"/>
  <c r="M1103" i="1"/>
  <c r="N1102" i="1"/>
  <c r="W1102" i="1" s="1"/>
  <c r="M1102" i="1"/>
  <c r="N1101" i="1"/>
  <c r="W1101" i="1" s="1"/>
  <c r="M1101" i="1"/>
  <c r="N1100" i="1"/>
  <c r="W1100" i="1" s="1"/>
  <c r="M1100" i="1"/>
  <c r="N1099" i="1"/>
  <c r="W1099" i="1" s="1"/>
  <c r="M1099" i="1"/>
  <c r="N1098" i="1"/>
  <c r="W1098" i="1" s="1"/>
  <c r="M1098" i="1"/>
  <c r="N1097" i="1"/>
  <c r="W1097" i="1" s="1"/>
  <c r="M1097" i="1"/>
  <c r="N1096" i="1"/>
  <c r="W1096" i="1" s="1"/>
  <c r="M1096" i="1"/>
  <c r="N1095" i="1"/>
  <c r="W1095" i="1" s="1"/>
  <c r="M1095" i="1"/>
  <c r="N1094" i="1"/>
  <c r="W1094" i="1" s="1"/>
  <c r="M1094" i="1"/>
  <c r="N1093" i="1"/>
  <c r="W1093" i="1" s="1"/>
  <c r="M1093" i="1"/>
  <c r="N1092" i="1"/>
  <c r="W1092" i="1" s="1"/>
  <c r="M1092" i="1"/>
  <c r="N1091" i="1"/>
  <c r="W1091" i="1" s="1"/>
  <c r="M1091" i="1"/>
  <c r="N1090" i="1"/>
  <c r="W1090" i="1" s="1"/>
  <c r="M1090" i="1"/>
  <c r="N1089" i="1"/>
  <c r="W1089" i="1" s="1"/>
  <c r="M1089" i="1"/>
  <c r="N1088" i="1"/>
  <c r="W1088" i="1" s="1"/>
  <c r="M1088" i="1"/>
  <c r="N1087" i="1"/>
  <c r="W1087" i="1" s="1"/>
  <c r="M1087" i="1"/>
  <c r="N1086" i="1"/>
  <c r="W1086" i="1" s="1"/>
  <c r="M1086" i="1"/>
  <c r="N1085" i="1"/>
  <c r="W1085" i="1" s="1"/>
  <c r="M1085" i="1"/>
  <c r="N1084" i="1"/>
  <c r="W1084" i="1" s="1"/>
  <c r="M1084" i="1"/>
  <c r="N1083" i="1"/>
  <c r="W1083" i="1" s="1"/>
  <c r="M1083" i="1"/>
  <c r="N1082" i="1"/>
  <c r="W1082" i="1" s="1"/>
  <c r="M1082" i="1"/>
  <c r="N1081" i="1"/>
  <c r="W1081" i="1" s="1"/>
  <c r="M1081" i="1"/>
  <c r="N1080" i="1"/>
  <c r="W1080" i="1" s="1"/>
  <c r="M1080" i="1"/>
  <c r="N1079" i="1"/>
  <c r="W1079" i="1" s="1"/>
  <c r="M1079" i="1"/>
  <c r="N1078" i="1"/>
  <c r="W1078" i="1" s="1"/>
  <c r="M1078" i="1"/>
  <c r="N1077" i="1"/>
  <c r="W1077" i="1" s="1"/>
  <c r="M1077" i="1"/>
  <c r="N1076" i="1"/>
  <c r="W1076" i="1" s="1"/>
  <c r="M1076" i="1"/>
  <c r="N1075" i="1"/>
  <c r="W1075" i="1" s="1"/>
  <c r="M1075" i="1"/>
  <c r="N1074" i="1"/>
  <c r="W1074" i="1" s="1"/>
  <c r="M1074" i="1"/>
  <c r="N1073" i="1"/>
  <c r="W1073" i="1" s="1"/>
  <c r="M1073" i="1"/>
  <c r="N1072" i="1"/>
  <c r="W1072" i="1" s="1"/>
  <c r="M1072" i="1"/>
  <c r="N1071" i="1"/>
  <c r="W1071" i="1" s="1"/>
  <c r="M1071" i="1"/>
  <c r="N1070" i="1"/>
  <c r="W1070" i="1" s="1"/>
  <c r="M1070" i="1"/>
  <c r="N1069" i="1"/>
  <c r="W1069" i="1" s="1"/>
  <c r="M1069" i="1"/>
  <c r="N1068" i="1"/>
  <c r="W1068" i="1" s="1"/>
  <c r="M1068" i="1"/>
  <c r="N1067" i="1"/>
  <c r="W1067" i="1" s="1"/>
  <c r="M1067" i="1"/>
  <c r="N1066" i="1"/>
  <c r="W1066" i="1" s="1"/>
  <c r="M1066" i="1"/>
  <c r="N1065" i="1"/>
  <c r="W1065" i="1" s="1"/>
  <c r="M1065" i="1"/>
  <c r="N1064" i="1"/>
  <c r="W1064" i="1" s="1"/>
  <c r="M1064" i="1"/>
  <c r="N1063" i="1"/>
  <c r="W1063" i="1" s="1"/>
  <c r="M1063" i="1"/>
  <c r="N1062" i="1"/>
  <c r="W1062" i="1" s="1"/>
  <c r="M1062" i="1"/>
  <c r="N1061" i="1"/>
  <c r="W1061" i="1" s="1"/>
  <c r="M1061" i="1"/>
  <c r="N1060" i="1"/>
  <c r="W1060" i="1" s="1"/>
  <c r="M1060" i="1"/>
  <c r="N1059" i="1"/>
  <c r="W1059" i="1" s="1"/>
  <c r="M1059" i="1"/>
  <c r="N1058" i="1"/>
  <c r="W1058" i="1" s="1"/>
  <c r="M1058" i="1"/>
  <c r="N1057" i="1"/>
  <c r="W1057" i="1" s="1"/>
  <c r="M1057" i="1"/>
  <c r="N1056" i="1"/>
  <c r="W1056" i="1" s="1"/>
  <c r="M1056" i="1"/>
  <c r="N1055" i="1"/>
  <c r="W1055" i="1" s="1"/>
  <c r="M1055" i="1"/>
  <c r="N1054" i="1"/>
  <c r="W1054" i="1" s="1"/>
  <c r="M1054" i="1"/>
  <c r="N1053" i="1"/>
  <c r="W1053" i="1" s="1"/>
  <c r="M1053" i="1"/>
  <c r="N1052" i="1"/>
  <c r="W1052" i="1" s="1"/>
  <c r="M1052" i="1"/>
  <c r="N1051" i="1"/>
  <c r="W1051" i="1" s="1"/>
  <c r="M1051" i="1"/>
  <c r="N1050" i="1"/>
  <c r="W1050" i="1" s="1"/>
  <c r="M1050" i="1"/>
  <c r="N1049" i="1"/>
  <c r="W1049" i="1" s="1"/>
  <c r="M1049" i="1"/>
  <c r="N1048" i="1"/>
  <c r="W1048" i="1" s="1"/>
  <c r="M1048" i="1"/>
  <c r="N1047" i="1"/>
  <c r="W1047" i="1" s="1"/>
  <c r="M1047" i="1"/>
  <c r="N1046" i="1"/>
  <c r="W1046" i="1" s="1"/>
  <c r="M1046" i="1"/>
  <c r="N1045" i="1"/>
  <c r="W1045" i="1" s="1"/>
  <c r="M1045" i="1"/>
  <c r="N1044" i="1"/>
  <c r="W1044" i="1" s="1"/>
  <c r="M1044" i="1"/>
  <c r="N1043" i="1"/>
  <c r="W1043" i="1" s="1"/>
  <c r="M1043" i="1"/>
  <c r="N1042" i="1"/>
  <c r="W1042" i="1" s="1"/>
  <c r="M1042" i="1"/>
  <c r="N1041" i="1"/>
  <c r="W1041" i="1" s="1"/>
  <c r="M1041" i="1"/>
  <c r="N1040" i="1"/>
  <c r="W1040" i="1" s="1"/>
  <c r="M1040" i="1"/>
  <c r="N1039" i="1"/>
  <c r="W1039" i="1" s="1"/>
  <c r="M1039" i="1"/>
  <c r="N1038" i="1"/>
  <c r="W1038" i="1" s="1"/>
  <c r="M1038" i="1"/>
  <c r="N1037" i="1"/>
  <c r="W1037" i="1" s="1"/>
  <c r="M1037" i="1"/>
  <c r="N1036" i="1"/>
  <c r="W1036" i="1" s="1"/>
  <c r="M1036" i="1"/>
  <c r="N1035" i="1"/>
  <c r="W1035" i="1" s="1"/>
  <c r="M1035" i="1"/>
  <c r="N1034" i="1"/>
  <c r="W1034" i="1" s="1"/>
  <c r="M1034" i="1"/>
  <c r="N1033" i="1"/>
  <c r="W1033" i="1" s="1"/>
  <c r="M1033" i="1"/>
  <c r="N1032" i="1"/>
  <c r="W1032" i="1" s="1"/>
  <c r="M1032" i="1"/>
  <c r="N1031" i="1"/>
  <c r="W1031" i="1" s="1"/>
  <c r="M1031" i="1"/>
  <c r="N1030" i="1"/>
  <c r="W1030" i="1" s="1"/>
  <c r="M1030" i="1"/>
  <c r="N1029" i="1"/>
  <c r="W1029" i="1" s="1"/>
  <c r="M1029" i="1"/>
  <c r="N1028" i="1"/>
  <c r="W1028" i="1" s="1"/>
  <c r="M1028" i="1"/>
  <c r="N1027" i="1"/>
  <c r="W1027" i="1" s="1"/>
  <c r="M1027" i="1"/>
  <c r="N1026" i="1"/>
  <c r="W1026" i="1" s="1"/>
  <c r="M1026" i="1"/>
  <c r="N1025" i="1"/>
  <c r="W1025" i="1" s="1"/>
  <c r="M1025" i="1"/>
  <c r="N1024" i="1"/>
  <c r="W1024" i="1" s="1"/>
  <c r="M1024" i="1"/>
  <c r="N1023" i="1"/>
  <c r="W1023" i="1" s="1"/>
  <c r="M1023" i="1"/>
  <c r="N1022" i="1"/>
  <c r="W1022" i="1" s="1"/>
  <c r="M1022" i="1"/>
  <c r="N1021" i="1"/>
  <c r="W1021" i="1" s="1"/>
  <c r="M1021" i="1"/>
  <c r="N1020" i="1"/>
  <c r="W1020" i="1" s="1"/>
  <c r="M1020" i="1"/>
  <c r="N1019" i="1"/>
  <c r="W1019" i="1" s="1"/>
  <c r="M1019" i="1"/>
  <c r="N1018" i="1"/>
  <c r="W1018" i="1" s="1"/>
  <c r="M1018" i="1"/>
  <c r="N1017" i="1"/>
  <c r="W1017" i="1" s="1"/>
  <c r="M1017" i="1"/>
  <c r="N1016" i="1"/>
  <c r="W1016" i="1" s="1"/>
  <c r="M1016" i="1"/>
  <c r="N1015" i="1"/>
  <c r="W1015" i="1" s="1"/>
  <c r="M1015" i="1"/>
  <c r="N1014" i="1"/>
  <c r="W1014" i="1" s="1"/>
  <c r="M1014" i="1"/>
  <c r="N1013" i="1"/>
  <c r="W1013" i="1" s="1"/>
  <c r="M1013" i="1"/>
  <c r="N1012" i="1"/>
  <c r="W1012" i="1" s="1"/>
  <c r="M1012" i="1"/>
  <c r="N1011" i="1"/>
  <c r="W1011" i="1" s="1"/>
  <c r="M1011" i="1"/>
  <c r="N1010" i="1"/>
  <c r="W1010" i="1" s="1"/>
  <c r="M1010" i="1"/>
  <c r="N1009" i="1"/>
  <c r="W1009" i="1" s="1"/>
  <c r="M1009" i="1"/>
  <c r="N1008" i="1"/>
  <c r="W1008" i="1" s="1"/>
  <c r="M1008" i="1"/>
  <c r="N1007" i="1"/>
  <c r="W1007" i="1" s="1"/>
  <c r="M1007" i="1"/>
  <c r="N1006" i="1"/>
  <c r="W1006" i="1" s="1"/>
  <c r="M1006" i="1"/>
  <c r="N1005" i="1"/>
  <c r="W1005" i="1" s="1"/>
  <c r="M1005" i="1"/>
  <c r="N1004" i="1"/>
  <c r="W1004" i="1" s="1"/>
  <c r="M1004" i="1"/>
  <c r="N1003" i="1"/>
  <c r="W1003" i="1" s="1"/>
  <c r="M1003" i="1"/>
  <c r="N1002" i="1"/>
  <c r="W1002" i="1" s="1"/>
  <c r="M1002" i="1"/>
  <c r="N1001" i="1"/>
  <c r="W1001" i="1" s="1"/>
  <c r="M1001" i="1"/>
  <c r="N1000" i="1"/>
  <c r="W1000" i="1" s="1"/>
  <c r="M1000" i="1"/>
  <c r="N999" i="1"/>
  <c r="W999" i="1" s="1"/>
  <c r="M999" i="1"/>
  <c r="N998" i="1"/>
  <c r="W998" i="1" s="1"/>
  <c r="M998" i="1"/>
  <c r="N997" i="1"/>
  <c r="W997" i="1" s="1"/>
  <c r="M997" i="1"/>
  <c r="N996" i="1"/>
  <c r="W996" i="1" s="1"/>
  <c r="M996" i="1"/>
  <c r="N995" i="1"/>
  <c r="W995" i="1" s="1"/>
  <c r="M995" i="1"/>
  <c r="N994" i="1"/>
  <c r="W994" i="1" s="1"/>
  <c r="M994" i="1"/>
  <c r="N993" i="1"/>
  <c r="W993" i="1" s="1"/>
  <c r="M993" i="1"/>
  <c r="N992" i="1"/>
  <c r="W992" i="1" s="1"/>
  <c r="M992" i="1"/>
  <c r="N991" i="1"/>
  <c r="W991" i="1" s="1"/>
  <c r="M991" i="1"/>
  <c r="N990" i="1"/>
  <c r="W990" i="1" s="1"/>
  <c r="M990" i="1"/>
  <c r="N989" i="1"/>
  <c r="W989" i="1" s="1"/>
  <c r="M989" i="1"/>
  <c r="N988" i="1"/>
  <c r="W988" i="1" s="1"/>
  <c r="M988" i="1"/>
  <c r="N987" i="1"/>
  <c r="W987" i="1" s="1"/>
  <c r="M987" i="1"/>
  <c r="N986" i="1"/>
  <c r="W986" i="1" s="1"/>
  <c r="M986" i="1"/>
  <c r="N985" i="1"/>
  <c r="W985" i="1" s="1"/>
  <c r="M985" i="1"/>
  <c r="N984" i="1"/>
  <c r="W984" i="1" s="1"/>
  <c r="M984" i="1"/>
  <c r="N983" i="1"/>
  <c r="W983" i="1" s="1"/>
  <c r="M983" i="1"/>
  <c r="N982" i="1"/>
  <c r="W982" i="1" s="1"/>
  <c r="M982" i="1"/>
  <c r="N981" i="1"/>
  <c r="W981" i="1" s="1"/>
  <c r="M981" i="1"/>
  <c r="N980" i="1"/>
  <c r="W980" i="1" s="1"/>
  <c r="M980" i="1"/>
  <c r="N979" i="1"/>
  <c r="W979" i="1" s="1"/>
  <c r="M979" i="1"/>
  <c r="N978" i="1"/>
  <c r="W978" i="1" s="1"/>
  <c r="M978" i="1"/>
  <c r="N977" i="1"/>
  <c r="W977" i="1" s="1"/>
  <c r="M977" i="1"/>
  <c r="N976" i="1"/>
  <c r="W976" i="1" s="1"/>
  <c r="M976" i="1"/>
  <c r="N975" i="1"/>
  <c r="W975" i="1" s="1"/>
  <c r="M975" i="1"/>
  <c r="N974" i="1"/>
  <c r="W974" i="1" s="1"/>
  <c r="M974" i="1"/>
  <c r="N973" i="1"/>
  <c r="W973" i="1" s="1"/>
  <c r="M973" i="1"/>
  <c r="N972" i="1"/>
  <c r="W972" i="1" s="1"/>
  <c r="M972" i="1"/>
  <c r="N971" i="1"/>
  <c r="W971" i="1" s="1"/>
  <c r="M971" i="1"/>
  <c r="N970" i="1"/>
  <c r="W970" i="1" s="1"/>
  <c r="M970" i="1"/>
  <c r="N969" i="1"/>
  <c r="W969" i="1" s="1"/>
  <c r="M969" i="1"/>
  <c r="N968" i="1"/>
  <c r="W968" i="1" s="1"/>
  <c r="M968" i="1"/>
  <c r="N967" i="1"/>
  <c r="W967" i="1" s="1"/>
  <c r="M967" i="1"/>
  <c r="N966" i="1"/>
  <c r="W966" i="1" s="1"/>
  <c r="M966" i="1"/>
  <c r="N965" i="1"/>
  <c r="W965" i="1" s="1"/>
  <c r="M965" i="1"/>
  <c r="N964" i="1"/>
  <c r="W964" i="1" s="1"/>
  <c r="M964" i="1"/>
  <c r="N963" i="1"/>
  <c r="W963" i="1" s="1"/>
  <c r="M963" i="1"/>
  <c r="N962" i="1"/>
  <c r="W962" i="1" s="1"/>
  <c r="M962" i="1"/>
  <c r="N961" i="1"/>
  <c r="W961" i="1" s="1"/>
  <c r="M961" i="1"/>
  <c r="N960" i="1"/>
  <c r="W960" i="1" s="1"/>
  <c r="M960" i="1"/>
  <c r="N959" i="1"/>
  <c r="W959" i="1" s="1"/>
  <c r="M959" i="1"/>
  <c r="N958" i="1"/>
  <c r="W958" i="1" s="1"/>
  <c r="M958" i="1"/>
  <c r="N957" i="1"/>
  <c r="W957" i="1" s="1"/>
  <c r="M957" i="1"/>
  <c r="N956" i="1"/>
  <c r="W956" i="1" s="1"/>
  <c r="M956" i="1"/>
  <c r="N955" i="1"/>
  <c r="W955" i="1" s="1"/>
  <c r="M955" i="1"/>
  <c r="N954" i="1"/>
  <c r="W954" i="1" s="1"/>
  <c r="M954" i="1"/>
  <c r="N953" i="1"/>
  <c r="W953" i="1" s="1"/>
  <c r="M953" i="1"/>
  <c r="N952" i="1"/>
  <c r="W952" i="1" s="1"/>
  <c r="M952" i="1"/>
  <c r="N951" i="1"/>
  <c r="W951" i="1" s="1"/>
  <c r="M951" i="1"/>
  <c r="N950" i="1"/>
  <c r="W950" i="1" s="1"/>
  <c r="M950" i="1"/>
  <c r="N949" i="1"/>
  <c r="W949" i="1" s="1"/>
  <c r="M949" i="1"/>
  <c r="N948" i="1"/>
  <c r="W948" i="1" s="1"/>
  <c r="M948" i="1"/>
  <c r="N947" i="1"/>
  <c r="W947" i="1" s="1"/>
  <c r="M947" i="1"/>
  <c r="N946" i="1"/>
  <c r="W946" i="1" s="1"/>
  <c r="M946" i="1"/>
  <c r="N945" i="1"/>
  <c r="W945" i="1" s="1"/>
  <c r="M945" i="1"/>
  <c r="N944" i="1"/>
  <c r="W944" i="1" s="1"/>
  <c r="M944" i="1"/>
  <c r="N943" i="1"/>
  <c r="W943" i="1" s="1"/>
  <c r="M943" i="1"/>
  <c r="N942" i="1"/>
  <c r="W942" i="1" s="1"/>
  <c r="M942" i="1"/>
  <c r="N941" i="1"/>
  <c r="W941" i="1" s="1"/>
  <c r="M941" i="1"/>
  <c r="N940" i="1"/>
  <c r="W940" i="1" s="1"/>
  <c r="M940" i="1"/>
  <c r="N939" i="1"/>
  <c r="W939" i="1" s="1"/>
  <c r="M939" i="1"/>
  <c r="N938" i="1"/>
  <c r="W938" i="1" s="1"/>
  <c r="M938" i="1"/>
  <c r="N937" i="1"/>
  <c r="W937" i="1" s="1"/>
  <c r="M937" i="1"/>
  <c r="N936" i="1"/>
  <c r="W936" i="1" s="1"/>
  <c r="M936" i="1"/>
  <c r="N935" i="1"/>
  <c r="W935" i="1" s="1"/>
  <c r="M935" i="1"/>
  <c r="N934" i="1"/>
  <c r="W934" i="1" s="1"/>
  <c r="M934" i="1"/>
  <c r="N933" i="1"/>
  <c r="W933" i="1" s="1"/>
  <c r="M933" i="1"/>
  <c r="N932" i="1"/>
  <c r="W932" i="1" s="1"/>
  <c r="M932" i="1"/>
  <c r="N931" i="1"/>
  <c r="W931" i="1" s="1"/>
  <c r="M931" i="1"/>
  <c r="N930" i="1"/>
  <c r="W930" i="1" s="1"/>
  <c r="M930" i="1"/>
  <c r="N929" i="1"/>
  <c r="W929" i="1" s="1"/>
  <c r="M929" i="1"/>
  <c r="N928" i="1"/>
  <c r="W928" i="1" s="1"/>
  <c r="M928" i="1"/>
  <c r="N927" i="1"/>
  <c r="W927" i="1" s="1"/>
  <c r="M927" i="1"/>
  <c r="N926" i="1"/>
  <c r="W926" i="1" s="1"/>
  <c r="M926" i="1"/>
  <c r="N925" i="1"/>
  <c r="W925" i="1" s="1"/>
  <c r="M925" i="1"/>
  <c r="N924" i="1"/>
  <c r="W924" i="1" s="1"/>
  <c r="M924" i="1"/>
  <c r="N923" i="1"/>
  <c r="W923" i="1" s="1"/>
  <c r="M923" i="1"/>
  <c r="N922" i="1"/>
  <c r="W922" i="1" s="1"/>
  <c r="M922" i="1"/>
  <c r="N921" i="1"/>
  <c r="W921" i="1" s="1"/>
  <c r="M921" i="1"/>
  <c r="N920" i="1"/>
  <c r="W920" i="1" s="1"/>
  <c r="M920" i="1"/>
  <c r="N919" i="1"/>
  <c r="W919" i="1" s="1"/>
  <c r="M919" i="1"/>
  <c r="N918" i="1"/>
  <c r="W918" i="1" s="1"/>
  <c r="M918" i="1"/>
  <c r="N917" i="1"/>
  <c r="W917" i="1" s="1"/>
  <c r="M917" i="1"/>
  <c r="N916" i="1"/>
  <c r="W916" i="1" s="1"/>
  <c r="M916" i="1"/>
  <c r="N915" i="1"/>
  <c r="W915" i="1" s="1"/>
  <c r="M915" i="1"/>
  <c r="N914" i="1"/>
  <c r="W914" i="1" s="1"/>
  <c r="M914" i="1"/>
  <c r="N913" i="1"/>
  <c r="W913" i="1" s="1"/>
  <c r="M913" i="1"/>
  <c r="N912" i="1"/>
  <c r="W912" i="1" s="1"/>
  <c r="M912" i="1"/>
  <c r="N911" i="1"/>
  <c r="W911" i="1" s="1"/>
  <c r="M911" i="1"/>
  <c r="N910" i="1"/>
  <c r="W910" i="1" s="1"/>
  <c r="M910" i="1"/>
  <c r="N909" i="1"/>
  <c r="W909" i="1" s="1"/>
  <c r="M909" i="1"/>
  <c r="N908" i="1"/>
  <c r="W908" i="1" s="1"/>
  <c r="M908" i="1"/>
  <c r="N907" i="1"/>
  <c r="W907" i="1" s="1"/>
  <c r="M907" i="1"/>
  <c r="N906" i="1"/>
  <c r="W906" i="1" s="1"/>
  <c r="M906" i="1"/>
  <c r="N905" i="1"/>
  <c r="W905" i="1" s="1"/>
  <c r="M905" i="1"/>
  <c r="N904" i="1"/>
  <c r="W904" i="1" s="1"/>
  <c r="M904" i="1"/>
  <c r="N903" i="1"/>
  <c r="W903" i="1" s="1"/>
  <c r="M903" i="1"/>
  <c r="N902" i="1"/>
  <c r="W902" i="1" s="1"/>
  <c r="M902" i="1"/>
  <c r="N901" i="1"/>
  <c r="W901" i="1" s="1"/>
  <c r="M901" i="1"/>
  <c r="N900" i="1"/>
  <c r="W900" i="1" s="1"/>
  <c r="M900" i="1"/>
  <c r="N899" i="1"/>
  <c r="W899" i="1" s="1"/>
  <c r="M899" i="1"/>
  <c r="N898" i="1"/>
  <c r="W898" i="1" s="1"/>
  <c r="M898" i="1"/>
  <c r="N897" i="1"/>
  <c r="W897" i="1" s="1"/>
  <c r="M897" i="1"/>
  <c r="N896" i="1"/>
  <c r="W896" i="1" s="1"/>
  <c r="M896" i="1"/>
  <c r="N895" i="1"/>
  <c r="W895" i="1" s="1"/>
  <c r="M895" i="1"/>
  <c r="N894" i="1"/>
  <c r="W894" i="1" s="1"/>
  <c r="M894" i="1"/>
  <c r="N893" i="1"/>
  <c r="W893" i="1" s="1"/>
  <c r="M893" i="1"/>
  <c r="N892" i="1"/>
  <c r="W892" i="1" s="1"/>
  <c r="M892" i="1"/>
  <c r="N891" i="1"/>
  <c r="W891" i="1" s="1"/>
  <c r="M891" i="1"/>
  <c r="N890" i="1"/>
  <c r="W890" i="1" s="1"/>
  <c r="M890" i="1"/>
  <c r="N889" i="1"/>
  <c r="W889" i="1" s="1"/>
  <c r="M889" i="1"/>
  <c r="N888" i="1"/>
  <c r="W888" i="1" s="1"/>
  <c r="M888" i="1"/>
  <c r="N887" i="1"/>
  <c r="W887" i="1" s="1"/>
  <c r="M887" i="1"/>
  <c r="N886" i="1"/>
  <c r="W886" i="1" s="1"/>
  <c r="M886" i="1"/>
  <c r="N885" i="1"/>
  <c r="W885" i="1" s="1"/>
  <c r="M885" i="1"/>
  <c r="N884" i="1"/>
  <c r="W884" i="1" s="1"/>
  <c r="M884" i="1"/>
  <c r="N883" i="1"/>
  <c r="W883" i="1" s="1"/>
  <c r="M883" i="1"/>
  <c r="N882" i="1"/>
  <c r="W882" i="1" s="1"/>
  <c r="M882" i="1"/>
  <c r="N881" i="1"/>
  <c r="W881" i="1" s="1"/>
  <c r="M881" i="1"/>
  <c r="N880" i="1"/>
  <c r="W880" i="1" s="1"/>
  <c r="M880" i="1"/>
  <c r="N879" i="1"/>
  <c r="W879" i="1" s="1"/>
  <c r="M879" i="1"/>
  <c r="N878" i="1"/>
  <c r="W878" i="1" s="1"/>
  <c r="M878" i="1"/>
  <c r="N877" i="1"/>
  <c r="W877" i="1" s="1"/>
  <c r="M877" i="1"/>
  <c r="N876" i="1"/>
  <c r="W876" i="1" s="1"/>
  <c r="M876" i="1"/>
  <c r="N875" i="1"/>
  <c r="W875" i="1" s="1"/>
  <c r="M875" i="1"/>
  <c r="N874" i="1"/>
  <c r="W874" i="1" s="1"/>
  <c r="M874" i="1"/>
  <c r="N873" i="1"/>
  <c r="W873" i="1" s="1"/>
  <c r="M873" i="1"/>
  <c r="N872" i="1"/>
  <c r="W872" i="1" s="1"/>
  <c r="M872" i="1"/>
  <c r="N871" i="1"/>
  <c r="W871" i="1" s="1"/>
  <c r="M871" i="1"/>
  <c r="N870" i="1"/>
  <c r="W870" i="1" s="1"/>
  <c r="M870" i="1"/>
  <c r="N869" i="1"/>
  <c r="W869" i="1" s="1"/>
  <c r="M869" i="1"/>
  <c r="N868" i="1"/>
  <c r="W868" i="1" s="1"/>
  <c r="M868" i="1"/>
  <c r="N867" i="1"/>
  <c r="W867" i="1" s="1"/>
  <c r="M867" i="1"/>
  <c r="N866" i="1"/>
  <c r="W866" i="1" s="1"/>
  <c r="M866" i="1"/>
  <c r="N865" i="1"/>
  <c r="W865" i="1" s="1"/>
  <c r="M865" i="1"/>
  <c r="N864" i="1"/>
  <c r="W864" i="1" s="1"/>
  <c r="M864" i="1"/>
  <c r="N863" i="1"/>
  <c r="W863" i="1" s="1"/>
  <c r="M863" i="1"/>
  <c r="N862" i="1"/>
  <c r="W862" i="1" s="1"/>
  <c r="M862" i="1"/>
  <c r="N861" i="1"/>
  <c r="W861" i="1" s="1"/>
  <c r="M861" i="1"/>
  <c r="N860" i="1"/>
  <c r="W860" i="1" s="1"/>
  <c r="M860" i="1"/>
  <c r="N859" i="1"/>
  <c r="W859" i="1" s="1"/>
  <c r="M859" i="1"/>
  <c r="N858" i="1"/>
  <c r="W858" i="1" s="1"/>
  <c r="M858" i="1"/>
  <c r="N857" i="1"/>
  <c r="W857" i="1" s="1"/>
  <c r="M857" i="1"/>
  <c r="N856" i="1"/>
  <c r="W856" i="1" s="1"/>
  <c r="M856" i="1"/>
  <c r="N855" i="1"/>
  <c r="W855" i="1" s="1"/>
  <c r="M855" i="1"/>
  <c r="N854" i="1"/>
  <c r="W854" i="1" s="1"/>
  <c r="M854" i="1"/>
  <c r="N853" i="1"/>
  <c r="W853" i="1" s="1"/>
  <c r="M853" i="1"/>
  <c r="N852" i="1"/>
  <c r="W852" i="1" s="1"/>
  <c r="M852" i="1"/>
  <c r="N851" i="1"/>
  <c r="W851" i="1" s="1"/>
  <c r="M851" i="1"/>
  <c r="N850" i="1"/>
  <c r="W850" i="1" s="1"/>
  <c r="M850" i="1"/>
  <c r="N849" i="1"/>
  <c r="W849" i="1" s="1"/>
  <c r="M849" i="1"/>
  <c r="N848" i="1"/>
  <c r="W848" i="1" s="1"/>
  <c r="M848" i="1"/>
  <c r="N847" i="1"/>
  <c r="W847" i="1" s="1"/>
  <c r="M847" i="1"/>
  <c r="N846" i="1"/>
  <c r="W846" i="1" s="1"/>
  <c r="M846" i="1"/>
  <c r="N845" i="1"/>
  <c r="W845" i="1" s="1"/>
  <c r="M845" i="1"/>
  <c r="N844" i="1"/>
  <c r="W844" i="1" s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W802" i="1" s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W794" i="1" s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W782" i="1" s="1"/>
  <c r="M782" i="1"/>
  <c r="N781" i="1"/>
  <c r="M781" i="1"/>
  <c r="N780" i="1"/>
  <c r="M780" i="1"/>
  <c r="N779" i="1"/>
  <c r="W779" i="1" s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W755" i="1" s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W728" i="1" s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W715" i="1" s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W693" i="1" s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W686" i="1" s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W665" i="1" s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W650" i="1" s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W629" i="1" s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W579" i="1" s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W482" i="1" s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W448" i="1" s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W441" i="1" s="1"/>
  <c r="M441" i="1"/>
  <c r="N440" i="1"/>
  <c r="M440" i="1"/>
  <c r="N439" i="1"/>
  <c r="M439" i="1"/>
  <c r="N438" i="1"/>
  <c r="M438" i="1"/>
  <c r="N437" i="1"/>
  <c r="M437" i="1"/>
  <c r="N436" i="1"/>
  <c r="M436" i="1"/>
  <c r="N435" i="1"/>
  <c r="W435" i="1" s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W427" i="1" s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W411" i="1" s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W308" i="1" s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W292" i="1" s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W211" i="1" s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W105" i="1" s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W3" i="1" s="1"/>
  <c r="M3" i="1"/>
  <c r="V3" i="1" s="1"/>
  <c r="R971" i="1" l="1"/>
  <c r="R979" i="1"/>
  <c r="R987" i="1"/>
  <c r="R995" i="1"/>
  <c r="R11" i="1"/>
  <c r="R19" i="1"/>
  <c r="R27" i="1"/>
  <c r="R35" i="1"/>
  <c r="R51" i="1"/>
  <c r="R59" i="1"/>
  <c r="R67" i="1"/>
  <c r="R75" i="1"/>
  <c r="R83" i="1"/>
  <c r="R91" i="1"/>
  <c r="R99" i="1"/>
  <c r="R107" i="1"/>
  <c r="R115" i="1"/>
  <c r="R123" i="1"/>
  <c r="R131" i="1"/>
  <c r="R139" i="1"/>
  <c r="R147" i="1"/>
  <c r="R155" i="1"/>
  <c r="R163" i="1"/>
  <c r="R171" i="1"/>
  <c r="R179" i="1"/>
  <c r="R187" i="1"/>
  <c r="R195" i="1"/>
  <c r="R203" i="1"/>
  <c r="R211" i="1"/>
  <c r="R219" i="1"/>
  <c r="R227" i="1"/>
  <c r="R235" i="1"/>
  <c r="R243" i="1"/>
  <c r="R251" i="1"/>
  <c r="R259" i="1"/>
  <c r="R267" i="1"/>
  <c r="R275" i="1"/>
  <c r="R283" i="1"/>
  <c r="R291" i="1"/>
  <c r="R299" i="1"/>
  <c r="R307" i="1"/>
  <c r="R315" i="1"/>
  <c r="R323" i="1"/>
  <c r="R331" i="1"/>
  <c r="R339" i="1"/>
  <c r="R347" i="1"/>
  <c r="R355" i="1"/>
  <c r="R363" i="1"/>
  <c r="R371" i="1"/>
  <c r="R379" i="1"/>
  <c r="R387" i="1"/>
  <c r="R395" i="1"/>
  <c r="R403" i="1"/>
  <c r="R411" i="1"/>
  <c r="R419" i="1"/>
  <c r="R435" i="1"/>
  <c r="R443" i="1"/>
  <c r="R451" i="1"/>
  <c r="R459" i="1"/>
  <c r="R467" i="1"/>
  <c r="R475" i="1"/>
  <c r="R483" i="1"/>
  <c r="R491" i="1"/>
  <c r="R499" i="1"/>
  <c r="R507" i="1"/>
  <c r="R515" i="1"/>
  <c r="R523" i="1"/>
  <c r="R531" i="1"/>
  <c r="R539" i="1"/>
  <c r="R547" i="1"/>
  <c r="R555" i="1"/>
  <c r="R563" i="1"/>
  <c r="R571" i="1"/>
  <c r="R579" i="1"/>
  <c r="R587" i="1"/>
  <c r="R595" i="1"/>
  <c r="R603" i="1"/>
  <c r="R611" i="1"/>
  <c r="R619" i="1"/>
  <c r="R627" i="1"/>
  <c r="R635" i="1"/>
  <c r="R643" i="1"/>
  <c r="R651" i="1"/>
  <c r="R659" i="1"/>
  <c r="R667" i="1"/>
  <c r="R675" i="1"/>
  <c r="R683" i="1"/>
  <c r="R699" i="1"/>
  <c r="R707" i="1"/>
  <c r="R715" i="1"/>
  <c r="R723" i="1"/>
  <c r="R731" i="1"/>
  <c r="R739" i="1"/>
  <c r="R747" i="1"/>
  <c r="R755" i="1"/>
  <c r="R763" i="1"/>
  <c r="R771" i="1"/>
  <c r="R779" i="1"/>
  <c r="R787" i="1"/>
  <c r="R795" i="1"/>
  <c r="R803" i="1"/>
  <c r="R811" i="1"/>
  <c r="R819" i="1"/>
  <c r="R827" i="1"/>
  <c r="R835" i="1"/>
  <c r="R843" i="1"/>
  <c r="R851" i="1"/>
  <c r="R859" i="1"/>
  <c r="R867" i="1"/>
  <c r="R875" i="1"/>
  <c r="R883" i="1"/>
  <c r="R891" i="1"/>
  <c r="R899" i="1"/>
  <c r="R907" i="1"/>
  <c r="R915" i="1"/>
  <c r="R923" i="1"/>
  <c r="R931" i="1"/>
  <c r="R939" i="1"/>
  <c r="R947" i="1"/>
  <c r="R955" i="1"/>
  <c r="R963" i="1"/>
  <c r="R4" i="1"/>
  <c r="R12" i="1"/>
  <c r="R20" i="1"/>
  <c r="R28" i="1"/>
  <c r="R36" i="1"/>
  <c r="R44" i="1"/>
  <c r="R52" i="1"/>
  <c r="R60" i="1"/>
  <c r="R68" i="1"/>
  <c r="R76" i="1"/>
  <c r="R84" i="1"/>
  <c r="R92" i="1"/>
  <c r="R100" i="1"/>
  <c r="R108" i="1"/>
  <c r="R116" i="1"/>
  <c r="R124" i="1"/>
  <c r="R132" i="1"/>
  <c r="R140" i="1"/>
  <c r="R148" i="1"/>
  <c r="R156" i="1"/>
  <c r="R164" i="1"/>
  <c r="R172" i="1"/>
  <c r="R180" i="1"/>
  <c r="R188" i="1"/>
  <c r="R196" i="1"/>
  <c r="R204" i="1"/>
  <c r="R212" i="1"/>
  <c r="R220" i="1"/>
  <c r="R228" i="1"/>
  <c r="R10" i="1"/>
  <c r="R18" i="1"/>
  <c r="R26" i="1"/>
  <c r="R34" i="1"/>
  <c r="R42" i="1"/>
  <c r="R50" i="1"/>
  <c r="R58" i="1"/>
  <c r="R66" i="1"/>
  <c r="R74" i="1"/>
  <c r="R82" i="1"/>
  <c r="R90" i="1"/>
  <c r="R98" i="1"/>
  <c r="R106" i="1"/>
  <c r="R114" i="1"/>
  <c r="R122" i="1"/>
  <c r="R130" i="1"/>
  <c r="R138" i="1"/>
  <c r="R146" i="1"/>
  <c r="R154" i="1"/>
  <c r="R162" i="1"/>
  <c r="R170" i="1"/>
  <c r="R178" i="1"/>
  <c r="R186" i="1"/>
  <c r="R194" i="1"/>
  <c r="R202" i="1"/>
  <c r="R210" i="1"/>
  <c r="R218" i="1"/>
  <c r="R226" i="1"/>
  <c r="R234" i="1"/>
  <c r="R242" i="1"/>
  <c r="R250" i="1"/>
  <c r="R258" i="1"/>
  <c r="R266" i="1"/>
  <c r="R274" i="1"/>
  <c r="R5" i="1"/>
  <c r="R13" i="1"/>
  <c r="R21" i="1"/>
  <c r="R29" i="1"/>
  <c r="R37" i="1"/>
  <c r="R45" i="1"/>
  <c r="R53" i="1"/>
  <c r="R61" i="1"/>
  <c r="R69" i="1"/>
  <c r="R77" i="1"/>
  <c r="R85" i="1"/>
  <c r="R93" i="1"/>
  <c r="R101" i="1"/>
  <c r="R109" i="1"/>
  <c r="R117" i="1"/>
  <c r="R125" i="1"/>
  <c r="R133" i="1"/>
  <c r="R141" i="1"/>
  <c r="R149" i="1"/>
  <c r="R157" i="1"/>
  <c r="R165" i="1"/>
  <c r="R173" i="1"/>
  <c r="R181" i="1"/>
  <c r="R189" i="1"/>
  <c r="R197" i="1"/>
  <c r="R205" i="1"/>
  <c r="R213" i="1"/>
  <c r="R221" i="1"/>
  <c r="R229" i="1"/>
  <c r="R6" i="1"/>
  <c r="R14" i="1"/>
  <c r="R22" i="1"/>
  <c r="R30" i="1"/>
  <c r="R38" i="1"/>
  <c r="R46" i="1"/>
  <c r="R54" i="1"/>
  <c r="R62" i="1"/>
  <c r="R70" i="1"/>
  <c r="R78" i="1"/>
  <c r="R86" i="1"/>
  <c r="R94" i="1"/>
  <c r="R102" i="1"/>
  <c r="R110" i="1"/>
  <c r="R118" i="1"/>
  <c r="R126" i="1"/>
  <c r="R134" i="1"/>
  <c r="R142" i="1"/>
  <c r="R150" i="1"/>
  <c r="R158" i="1"/>
  <c r="R166" i="1"/>
  <c r="R174" i="1"/>
  <c r="R182" i="1"/>
  <c r="R190" i="1"/>
  <c r="R198" i="1"/>
  <c r="R206" i="1"/>
  <c r="R214" i="1"/>
  <c r="R222" i="1"/>
  <c r="R230" i="1"/>
  <c r="R236" i="1"/>
  <c r="R244" i="1"/>
  <c r="R252" i="1"/>
  <c r="R260" i="1"/>
  <c r="R268" i="1"/>
  <c r="R276" i="1"/>
  <c r="R284" i="1"/>
  <c r="R292" i="1"/>
  <c r="R300" i="1"/>
  <c r="R308" i="1"/>
  <c r="R316" i="1"/>
  <c r="R324" i="1"/>
  <c r="R332" i="1"/>
  <c r="R340" i="1"/>
  <c r="R348" i="1"/>
  <c r="R356" i="1"/>
  <c r="R364" i="1"/>
  <c r="R372" i="1"/>
  <c r="R380" i="1"/>
  <c r="R388" i="1"/>
  <c r="R396" i="1"/>
  <c r="R404" i="1"/>
  <c r="R412" i="1"/>
  <c r="R420" i="1"/>
  <c r="R428" i="1"/>
  <c r="R436" i="1"/>
  <c r="R444" i="1"/>
  <c r="R452" i="1"/>
  <c r="R460" i="1"/>
  <c r="R468" i="1"/>
  <c r="R476" i="1"/>
  <c r="R484" i="1"/>
  <c r="R500" i="1"/>
  <c r="R508" i="1"/>
  <c r="R516" i="1"/>
  <c r="R524" i="1"/>
  <c r="R532" i="1"/>
  <c r="R540" i="1"/>
  <c r="R548" i="1"/>
  <c r="R556" i="1"/>
  <c r="R564" i="1"/>
  <c r="R572" i="1"/>
  <c r="R580" i="1"/>
  <c r="R588" i="1"/>
  <c r="R596" i="1"/>
  <c r="R604" i="1"/>
  <c r="R612" i="1"/>
  <c r="R620" i="1"/>
  <c r="R628" i="1"/>
  <c r="R636" i="1"/>
  <c r="R644" i="1"/>
  <c r="R652" i="1"/>
  <c r="R660" i="1"/>
  <c r="R668" i="1"/>
  <c r="R676" i="1"/>
  <c r="R684" i="1"/>
  <c r="R692" i="1"/>
  <c r="R700" i="1"/>
  <c r="R708" i="1"/>
  <c r="R716" i="1"/>
  <c r="R724" i="1"/>
  <c r="R732" i="1"/>
  <c r="R740" i="1"/>
  <c r="R748" i="1"/>
  <c r="R756" i="1"/>
  <c r="R764" i="1"/>
  <c r="R772" i="1"/>
  <c r="R780" i="1"/>
  <c r="R788" i="1"/>
  <c r="R796" i="1"/>
  <c r="R804" i="1"/>
  <c r="R812" i="1"/>
  <c r="R820" i="1"/>
  <c r="R836" i="1"/>
  <c r="R844" i="1"/>
  <c r="R852" i="1"/>
  <c r="R860" i="1"/>
  <c r="R868" i="1"/>
  <c r="R876" i="1"/>
  <c r="R884" i="1"/>
  <c r="R900" i="1"/>
  <c r="R908" i="1"/>
  <c r="R916" i="1"/>
  <c r="R924" i="1"/>
  <c r="R237" i="1"/>
  <c r="R245" i="1"/>
  <c r="R253" i="1"/>
  <c r="R261" i="1"/>
  <c r="R269" i="1"/>
  <c r="R277" i="1"/>
  <c r="R285" i="1"/>
  <c r="R293" i="1"/>
  <c r="R301" i="1"/>
  <c r="R309" i="1"/>
  <c r="R317" i="1"/>
  <c r="R325" i="1"/>
  <c r="R333" i="1"/>
  <c r="R341" i="1"/>
  <c r="R349" i="1"/>
  <c r="R357" i="1"/>
  <c r="R365" i="1"/>
  <c r="R373" i="1"/>
  <c r="R381" i="1"/>
  <c r="R389" i="1"/>
  <c r="R397" i="1"/>
  <c r="R405" i="1"/>
  <c r="R413" i="1"/>
  <c r="R421" i="1"/>
  <c r="R429" i="1"/>
  <c r="R437" i="1"/>
  <c r="R445" i="1"/>
  <c r="R453" i="1"/>
  <c r="R461" i="1"/>
  <c r="R469" i="1"/>
  <c r="R477" i="1"/>
  <c r="R485" i="1"/>
  <c r="R493" i="1"/>
  <c r="R501" i="1"/>
  <c r="R509" i="1"/>
  <c r="R517" i="1"/>
  <c r="R525" i="1"/>
  <c r="R533" i="1"/>
  <c r="R541" i="1"/>
  <c r="R549" i="1"/>
  <c r="R557" i="1"/>
  <c r="R565" i="1"/>
  <c r="R573" i="1"/>
  <c r="R581" i="1"/>
  <c r="R589" i="1"/>
  <c r="R597" i="1"/>
  <c r="R605" i="1"/>
  <c r="R613" i="1"/>
  <c r="R621" i="1"/>
  <c r="R629" i="1"/>
  <c r="R637" i="1"/>
  <c r="R645" i="1"/>
  <c r="R653" i="1"/>
  <c r="R661" i="1"/>
  <c r="R669" i="1"/>
  <c r="R677" i="1"/>
  <c r="R685" i="1"/>
  <c r="R701" i="1"/>
  <c r="R709" i="1"/>
  <c r="R717" i="1"/>
  <c r="R725" i="1"/>
  <c r="R733" i="1"/>
  <c r="R741" i="1"/>
  <c r="R749" i="1"/>
  <c r="R757" i="1"/>
  <c r="R765" i="1"/>
  <c r="R773" i="1"/>
  <c r="R781" i="1"/>
  <c r="R789" i="1"/>
  <c r="R797" i="1"/>
  <c r="R813" i="1"/>
  <c r="R821" i="1"/>
  <c r="R829" i="1"/>
  <c r="R837" i="1"/>
  <c r="R845" i="1"/>
  <c r="R853" i="1"/>
  <c r="R861" i="1"/>
  <c r="R869" i="1"/>
  <c r="R877" i="1"/>
  <c r="R885" i="1"/>
  <c r="R893" i="1"/>
  <c r="R901" i="1"/>
  <c r="R909" i="1"/>
  <c r="R917" i="1"/>
  <c r="R925" i="1"/>
  <c r="R238" i="1"/>
  <c r="R246" i="1"/>
  <c r="R254" i="1"/>
  <c r="R262" i="1"/>
  <c r="R270" i="1"/>
  <c r="R278" i="1"/>
  <c r="R286" i="1"/>
  <c r="R294" i="1"/>
  <c r="R302" i="1"/>
  <c r="R310" i="1"/>
  <c r="R318" i="1"/>
  <c r="R326" i="1"/>
  <c r="R334" i="1"/>
  <c r="R342" i="1"/>
  <c r="R350" i="1"/>
  <c r="R358" i="1"/>
  <c r="R366" i="1"/>
  <c r="R374" i="1"/>
  <c r="R382" i="1"/>
  <c r="R390" i="1"/>
  <c r="R398" i="1"/>
  <c r="R406" i="1"/>
  <c r="R414" i="1"/>
  <c r="R422" i="1"/>
  <c r="R430" i="1"/>
  <c r="R438" i="1"/>
  <c r="R446" i="1"/>
  <c r="R454" i="1"/>
  <c r="R462" i="1"/>
  <c r="R470" i="1"/>
  <c r="R478" i="1"/>
  <c r="R486" i="1"/>
  <c r="R494" i="1"/>
  <c r="R502" i="1"/>
  <c r="R510" i="1"/>
  <c r="R518" i="1"/>
  <c r="R526" i="1"/>
  <c r="R534" i="1"/>
  <c r="R542" i="1"/>
  <c r="R550" i="1"/>
  <c r="R558" i="1"/>
  <c r="R566" i="1"/>
  <c r="R574" i="1"/>
  <c r="R582" i="1"/>
  <c r="R590" i="1"/>
  <c r="R598" i="1"/>
  <c r="R606" i="1"/>
  <c r="R614" i="1"/>
  <c r="R622" i="1"/>
  <c r="R630" i="1"/>
  <c r="R638" i="1"/>
  <c r="R646" i="1"/>
  <c r="R654" i="1"/>
  <c r="R662" i="1"/>
  <c r="R670" i="1"/>
  <c r="R678" i="1"/>
  <c r="R686" i="1"/>
  <c r="R694" i="1"/>
  <c r="R702" i="1"/>
  <c r="R710" i="1"/>
  <c r="R718" i="1"/>
  <c r="R726" i="1"/>
  <c r="R734" i="1"/>
  <c r="R742" i="1"/>
  <c r="R758" i="1"/>
  <c r="R766" i="1"/>
  <c r="R774" i="1"/>
  <c r="R782" i="1"/>
  <c r="R790" i="1"/>
  <c r="R798" i="1"/>
  <c r="R806" i="1"/>
  <c r="R814" i="1"/>
  <c r="R822" i="1"/>
  <c r="R830" i="1"/>
  <c r="R838" i="1"/>
  <c r="R854" i="1"/>
  <c r="R862" i="1"/>
  <c r="R870" i="1"/>
  <c r="R878" i="1"/>
  <c r="R894" i="1"/>
  <c r="R902" i="1"/>
  <c r="R910" i="1"/>
  <c r="R918" i="1"/>
  <c r="R926" i="1"/>
  <c r="R282" i="1"/>
  <c r="R290" i="1"/>
  <c r="R298" i="1"/>
  <c r="R306" i="1"/>
  <c r="R314" i="1"/>
  <c r="R322" i="1"/>
  <c r="R330" i="1"/>
  <c r="R338" i="1"/>
  <c r="R346" i="1"/>
  <c r="R354" i="1"/>
  <c r="R362" i="1"/>
  <c r="R370" i="1"/>
  <c r="R378" i="1"/>
  <c r="R386" i="1"/>
  <c r="R394" i="1"/>
  <c r="R402" i="1"/>
  <c r="R410" i="1"/>
  <c r="R418" i="1"/>
  <c r="R426" i="1"/>
  <c r="R434" i="1"/>
  <c r="R442" i="1"/>
  <c r="R450" i="1"/>
  <c r="R458" i="1"/>
  <c r="R466" i="1"/>
  <c r="R474" i="1"/>
  <c r="R482" i="1"/>
  <c r="R490" i="1"/>
  <c r="R498" i="1"/>
  <c r="R506" i="1"/>
  <c r="R514" i="1"/>
  <c r="R522" i="1"/>
  <c r="R530" i="1"/>
  <c r="R538" i="1"/>
  <c r="R546" i="1"/>
  <c r="R554" i="1"/>
  <c r="R570" i="1"/>
  <c r="R578" i="1"/>
  <c r="R586" i="1"/>
  <c r="R594" i="1"/>
  <c r="R602" i="1"/>
  <c r="R610" i="1"/>
  <c r="R618" i="1"/>
  <c r="R626" i="1"/>
  <c r="R634" i="1"/>
  <c r="R642" i="1"/>
  <c r="R650" i="1"/>
  <c r="R666" i="1"/>
  <c r="R674" i="1"/>
  <c r="R682" i="1"/>
  <c r="R690" i="1"/>
  <c r="R698" i="1"/>
  <c r="R706" i="1"/>
  <c r="R714" i="1"/>
  <c r="R722" i="1"/>
  <c r="R738" i="1"/>
  <c r="R746" i="1"/>
  <c r="R754" i="1"/>
  <c r="R770" i="1"/>
  <c r="R778" i="1"/>
  <c r="R786" i="1"/>
  <c r="R794" i="1"/>
  <c r="R802" i="1"/>
  <c r="R810" i="1"/>
  <c r="R818" i="1"/>
  <c r="R826" i="1"/>
  <c r="R834" i="1"/>
  <c r="R842" i="1"/>
  <c r="R850" i="1"/>
  <c r="R858" i="1"/>
  <c r="R866" i="1"/>
  <c r="R874" i="1"/>
  <c r="R882" i="1"/>
  <c r="R898" i="1"/>
  <c r="R906" i="1"/>
  <c r="R914" i="1"/>
  <c r="R922" i="1"/>
  <c r="R930" i="1"/>
  <c r="R938" i="1"/>
  <c r="R946" i="1"/>
  <c r="R954" i="1"/>
  <c r="R962" i="1"/>
  <c r="R970" i="1"/>
  <c r="R978" i="1"/>
  <c r="R986" i="1"/>
  <c r="R994" i="1"/>
  <c r="R940" i="1"/>
  <c r="R948" i="1"/>
  <c r="R956" i="1"/>
  <c r="R964" i="1"/>
  <c r="R972" i="1"/>
  <c r="R980" i="1"/>
  <c r="R988" i="1"/>
  <c r="R933" i="1"/>
  <c r="R941" i="1"/>
  <c r="R949" i="1"/>
  <c r="R957" i="1"/>
  <c r="R965" i="1"/>
  <c r="R973" i="1"/>
  <c r="R981" i="1"/>
  <c r="R989" i="1"/>
  <c r="R934" i="1"/>
  <c r="R942" i="1"/>
  <c r="R950" i="1"/>
  <c r="R958" i="1"/>
  <c r="R966" i="1"/>
  <c r="R974" i="1"/>
  <c r="R982" i="1"/>
  <c r="R990" i="1"/>
  <c r="R7" i="1"/>
  <c r="R15" i="1"/>
  <c r="R23" i="1"/>
  <c r="R31" i="1"/>
  <c r="R39" i="1"/>
  <c r="R47" i="1"/>
  <c r="R55" i="1"/>
  <c r="R63" i="1"/>
  <c r="R71" i="1"/>
  <c r="R79" i="1"/>
  <c r="R87" i="1"/>
  <c r="R95" i="1"/>
  <c r="R103" i="1"/>
  <c r="R111" i="1"/>
  <c r="R119" i="1"/>
  <c r="R127" i="1"/>
  <c r="R135" i="1"/>
  <c r="R143" i="1"/>
  <c r="R151" i="1"/>
  <c r="R159" i="1"/>
  <c r="R167" i="1"/>
  <c r="R175" i="1"/>
  <c r="R183" i="1"/>
  <c r="R191" i="1"/>
  <c r="R199" i="1"/>
  <c r="R207" i="1"/>
  <c r="R215" i="1"/>
  <c r="R223" i="1"/>
  <c r="R231" i="1"/>
  <c r="R239" i="1"/>
  <c r="R247" i="1"/>
  <c r="R255" i="1"/>
  <c r="R263" i="1"/>
  <c r="R271" i="1"/>
  <c r="R279" i="1"/>
  <c r="R287" i="1"/>
  <c r="R295" i="1"/>
  <c r="R8" i="1"/>
  <c r="R16" i="1"/>
  <c r="R24" i="1"/>
  <c r="R32" i="1"/>
  <c r="R40" i="1"/>
  <c r="R48" i="1"/>
  <c r="R56" i="1"/>
  <c r="R64" i="1"/>
  <c r="R72" i="1"/>
  <c r="R80" i="1"/>
  <c r="R88" i="1"/>
  <c r="R96" i="1"/>
  <c r="R104" i="1"/>
  <c r="R112" i="1"/>
  <c r="R120" i="1"/>
  <c r="R128" i="1"/>
  <c r="R136" i="1"/>
  <c r="R144" i="1"/>
  <c r="R152" i="1"/>
  <c r="R160" i="1"/>
  <c r="R168" i="1"/>
  <c r="R176" i="1"/>
  <c r="R184" i="1"/>
  <c r="R192" i="1"/>
  <c r="R200" i="1"/>
  <c r="R208" i="1"/>
  <c r="R216" i="1"/>
  <c r="R224" i="1"/>
  <c r="R232" i="1"/>
  <c r="R240" i="1"/>
  <c r="R248" i="1"/>
  <c r="R256" i="1"/>
  <c r="R264" i="1"/>
  <c r="R272" i="1"/>
  <c r="R280" i="1"/>
  <c r="R288" i="1"/>
  <c r="R296" i="1"/>
  <c r="R304" i="1"/>
  <c r="R312" i="1"/>
  <c r="R320" i="1"/>
  <c r="R328" i="1"/>
  <c r="R336" i="1"/>
  <c r="R344" i="1"/>
  <c r="R352" i="1"/>
  <c r="R360" i="1"/>
  <c r="R368" i="1"/>
  <c r="R376" i="1"/>
  <c r="R384" i="1"/>
  <c r="R392" i="1"/>
  <c r="R400" i="1"/>
  <c r="R408" i="1"/>
  <c r="R416" i="1"/>
  <c r="R424" i="1"/>
  <c r="R432" i="1"/>
  <c r="R440" i="1"/>
  <c r="R448" i="1"/>
  <c r="R456" i="1"/>
  <c r="R464" i="1"/>
  <c r="R472" i="1"/>
  <c r="R480" i="1"/>
  <c r="R488" i="1"/>
  <c r="R496" i="1"/>
  <c r="R504" i="1"/>
  <c r="R512" i="1"/>
  <c r="R520" i="1"/>
  <c r="R528" i="1"/>
  <c r="R536" i="1"/>
  <c r="R544" i="1"/>
  <c r="R552" i="1"/>
  <c r="R560" i="1"/>
  <c r="R568" i="1"/>
  <c r="R576" i="1"/>
  <c r="R584" i="1"/>
  <c r="R592" i="1"/>
  <c r="R600" i="1"/>
  <c r="R608" i="1"/>
  <c r="R616" i="1"/>
  <c r="R624" i="1"/>
  <c r="R632" i="1"/>
  <c r="R640" i="1"/>
  <c r="R9" i="1"/>
  <c r="R17" i="1"/>
  <c r="R25" i="1"/>
  <c r="R33" i="1"/>
  <c r="R41" i="1"/>
  <c r="R49" i="1"/>
  <c r="R57" i="1"/>
  <c r="R65" i="1"/>
  <c r="R73" i="1"/>
  <c r="R81" i="1"/>
  <c r="R89" i="1"/>
  <c r="R97" i="1"/>
  <c r="R105" i="1"/>
  <c r="R113" i="1"/>
  <c r="R121" i="1"/>
  <c r="R129" i="1"/>
  <c r="R137" i="1"/>
  <c r="R145" i="1"/>
  <c r="R153" i="1"/>
  <c r="R161" i="1"/>
  <c r="R169" i="1"/>
  <c r="R177" i="1"/>
  <c r="R185" i="1"/>
  <c r="R193" i="1"/>
  <c r="R201" i="1"/>
  <c r="R217" i="1"/>
  <c r="R225" i="1"/>
  <c r="R233" i="1"/>
  <c r="R241" i="1"/>
  <c r="R249" i="1"/>
  <c r="R257" i="1"/>
  <c r="R265" i="1"/>
  <c r="R273" i="1"/>
  <c r="R281" i="1"/>
  <c r="R289" i="1"/>
  <c r="R297" i="1"/>
  <c r="R303" i="1"/>
  <c r="R311" i="1"/>
  <c r="R319" i="1"/>
  <c r="R327" i="1"/>
  <c r="R335" i="1"/>
  <c r="R343" i="1"/>
  <c r="R351" i="1"/>
  <c r="R359" i="1"/>
  <c r="R367" i="1"/>
  <c r="R375" i="1"/>
  <c r="R383" i="1"/>
  <c r="R391" i="1"/>
  <c r="R399" i="1"/>
  <c r="R407" i="1"/>
  <c r="R415" i="1"/>
  <c r="R423" i="1"/>
  <c r="R431" i="1"/>
  <c r="R439" i="1"/>
  <c r="R447" i="1"/>
  <c r="R455" i="1"/>
  <c r="R463" i="1"/>
  <c r="R471" i="1"/>
  <c r="R479" i="1"/>
  <c r="R487" i="1"/>
  <c r="R495" i="1"/>
  <c r="R503" i="1"/>
  <c r="R511" i="1"/>
  <c r="R519" i="1"/>
  <c r="R527" i="1"/>
  <c r="R535" i="1"/>
  <c r="R543" i="1"/>
  <c r="R559" i="1"/>
  <c r="R567" i="1"/>
  <c r="R575" i="1"/>
  <c r="R583" i="1"/>
  <c r="R591" i="1"/>
  <c r="R599" i="1"/>
  <c r="R607" i="1"/>
  <c r="R615" i="1"/>
  <c r="R623" i="1"/>
  <c r="R631" i="1"/>
  <c r="R639" i="1"/>
  <c r="R647" i="1"/>
  <c r="R655" i="1"/>
  <c r="R663" i="1"/>
  <c r="R671" i="1"/>
  <c r="R679" i="1"/>
  <c r="R687" i="1"/>
  <c r="R695" i="1"/>
  <c r="R703" i="1"/>
  <c r="R711" i="1"/>
  <c r="R719" i="1"/>
  <c r="R727" i="1"/>
  <c r="R735" i="1"/>
  <c r="R743" i="1"/>
  <c r="R759" i="1"/>
  <c r="R767" i="1"/>
  <c r="R775" i="1"/>
  <c r="R783" i="1"/>
  <c r="R791" i="1"/>
  <c r="R799" i="1"/>
  <c r="R807" i="1"/>
  <c r="R815" i="1"/>
  <c r="R823" i="1"/>
  <c r="R831" i="1"/>
  <c r="R839" i="1"/>
  <c r="R847" i="1"/>
  <c r="R855" i="1"/>
  <c r="R863" i="1"/>
  <c r="R871" i="1"/>
  <c r="R879" i="1"/>
  <c r="R887" i="1"/>
  <c r="R895" i="1"/>
  <c r="R903" i="1"/>
  <c r="R919" i="1"/>
  <c r="R927" i="1"/>
  <c r="R935" i="1"/>
  <c r="R943" i="1"/>
  <c r="R959" i="1"/>
  <c r="R967" i="1"/>
  <c r="R975" i="1"/>
  <c r="R983" i="1"/>
  <c r="R991" i="1"/>
  <c r="R648" i="1"/>
  <c r="R656" i="1"/>
  <c r="R664" i="1"/>
  <c r="R672" i="1"/>
  <c r="R680" i="1"/>
  <c r="R688" i="1"/>
  <c r="R696" i="1"/>
  <c r="R704" i="1"/>
  <c r="R712" i="1"/>
  <c r="R720" i="1"/>
  <c r="R728" i="1"/>
  <c r="R736" i="1"/>
  <c r="R744" i="1"/>
  <c r="R752" i="1"/>
  <c r="R760" i="1"/>
  <c r="R768" i="1"/>
  <c r="R776" i="1"/>
  <c r="R784" i="1"/>
  <c r="R792" i="1"/>
  <c r="R800" i="1"/>
  <c r="R808" i="1"/>
  <c r="R816" i="1"/>
  <c r="R824" i="1"/>
  <c r="R832" i="1"/>
  <c r="R840" i="1"/>
  <c r="R848" i="1"/>
  <c r="R856" i="1"/>
  <c r="R864" i="1"/>
  <c r="R872" i="1"/>
  <c r="R880" i="1"/>
  <c r="R888" i="1"/>
  <c r="R896" i="1"/>
  <c r="R904" i="1"/>
  <c r="R912" i="1"/>
  <c r="R920" i="1"/>
  <c r="R928" i="1"/>
  <c r="R936" i="1"/>
  <c r="R944" i="1"/>
  <c r="R952" i="1"/>
  <c r="R960" i="1"/>
  <c r="R976" i="1"/>
  <c r="R984" i="1"/>
  <c r="R992" i="1"/>
  <c r="R305" i="1"/>
  <c r="R313" i="1"/>
  <c r="R321" i="1"/>
  <c r="R329" i="1"/>
  <c r="R337" i="1"/>
  <c r="R345" i="1"/>
  <c r="R353" i="1"/>
  <c r="R361" i="1"/>
  <c r="R369" i="1"/>
  <c r="R377" i="1"/>
  <c r="R385" i="1"/>
  <c r="R393" i="1"/>
  <c r="R401" i="1"/>
  <c r="R409" i="1"/>
  <c r="R417" i="1"/>
  <c r="R425" i="1"/>
  <c r="R433" i="1"/>
  <c r="R441" i="1"/>
  <c r="R449" i="1"/>
  <c r="R457" i="1"/>
  <c r="R465" i="1"/>
  <c r="R473" i="1"/>
  <c r="R481" i="1"/>
  <c r="R489" i="1"/>
  <c r="R497" i="1"/>
  <c r="R505" i="1"/>
  <c r="R513" i="1"/>
  <c r="R521" i="1"/>
  <c r="R529" i="1"/>
  <c r="R537" i="1"/>
  <c r="R545" i="1"/>
  <c r="R553" i="1"/>
  <c r="R561" i="1"/>
  <c r="R569" i="1"/>
  <c r="R577" i="1"/>
  <c r="R585" i="1"/>
  <c r="R593" i="1"/>
  <c r="R601" i="1"/>
  <c r="R609" i="1"/>
  <c r="R617" i="1"/>
  <c r="R625" i="1"/>
  <c r="R633" i="1"/>
  <c r="R641" i="1"/>
  <c r="R649" i="1"/>
  <c r="R657" i="1"/>
  <c r="R665" i="1"/>
  <c r="R673" i="1"/>
  <c r="R689" i="1"/>
  <c r="R697" i="1"/>
  <c r="R705" i="1"/>
  <c r="R713" i="1"/>
  <c r="R721" i="1"/>
  <c r="R729" i="1"/>
  <c r="R737" i="1"/>
  <c r="R745" i="1"/>
  <c r="R753" i="1"/>
  <c r="R761" i="1"/>
  <c r="R769" i="1"/>
  <c r="R777" i="1"/>
  <c r="R785" i="1"/>
  <c r="R793" i="1"/>
  <c r="R801" i="1"/>
  <c r="R809" i="1"/>
  <c r="R817" i="1"/>
  <c r="R825" i="1"/>
  <c r="R833" i="1"/>
  <c r="R841" i="1"/>
  <c r="R849" i="1"/>
  <c r="R857" i="1"/>
  <c r="R865" i="1"/>
  <c r="R881" i="1"/>
  <c r="R889" i="1"/>
  <c r="R897" i="1"/>
  <c r="R905" i="1"/>
  <c r="R913" i="1"/>
  <c r="R921" i="1"/>
  <c r="R929" i="1"/>
  <c r="R937" i="1"/>
  <c r="R945" i="1"/>
  <c r="R953" i="1"/>
  <c r="R961" i="1"/>
  <c r="R969" i="1"/>
  <c r="R977" i="1"/>
  <c r="R985" i="1"/>
  <c r="R993" i="1"/>
  <c r="U211" i="1"/>
  <c r="V211" i="1"/>
  <c r="U435" i="1"/>
  <c r="V435" i="1"/>
  <c r="U971" i="1"/>
  <c r="V971" i="1"/>
  <c r="U482" i="1"/>
  <c r="V482" i="1"/>
  <c r="V650" i="1"/>
  <c r="U650" i="1"/>
  <c r="V794" i="1"/>
  <c r="U794" i="1"/>
  <c r="U802" i="1"/>
  <c r="V802" i="1"/>
  <c r="U850" i="1"/>
  <c r="V850" i="1"/>
  <c r="V858" i="1"/>
  <c r="U858" i="1"/>
  <c r="U866" i="1"/>
  <c r="V866" i="1"/>
  <c r="V874" i="1"/>
  <c r="U874" i="1"/>
  <c r="U882" i="1"/>
  <c r="V882" i="1"/>
  <c r="V890" i="1"/>
  <c r="U890" i="1"/>
  <c r="U898" i="1"/>
  <c r="V898" i="1"/>
  <c r="V906" i="1"/>
  <c r="U906" i="1"/>
  <c r="U914" i="1"/>
  <c r="V914" i="1"/>
  <c r="V922" i="1"/>
  <c r="U922" i="1"/>
  <c r="U930" i="1"/>
  <c r="V930" i="1"/>
  <c r="V938" i="1"/>
  <c r="U938" i="1"/>
  <c r="U946" i="1"/>
  <c r="V946" i="1"/>
  <c r="V954" i="1"/>
  <c r="U954" i="1"/>
  <c r="U962" i="1"/>
  <c r="V962" i="1"/>
  <c r="V970" i="1"/>
  <c r="U970" i="1"/>
  <c r="U978" i="1"/>
  <c r="V978" i="1"/>
  <c r="V986" i="1"/>
  <c r="U986" i="1"/>
  <c r="U994" i="1"/>
  <c r="V994" i="1"/>
  <c r="V1002" i="1"/>
  <c r="U1002" i="1"/>
  <c r="U1010" i="1"/>
  <c r="V1010" i="1"/>
  <c r="V1018" i="1"/>
  <c r="U1018" i="1"/>
  <c r="U1026" i="1"/>
  <c r="V1026" i="1"/>
  <c r="V1034" i="1"/>
  <c r="U1034" i="1"/>
  <c r="U1042" i="1"/>
  <c r="V1042" i="1"/>
  <c r="V1050" i="1"/>
  <c r="U1050" i="1"/>
  <c r="V1058" i="1"/>
  <c r="U1058" i="1"/>
  <c r="V1066" i="1"/>
  <c r="U1066" i="1"/>
  <c r="U1074" i="1"/>
  <c r="V1074" i="1"/>
  <c r="V1082" i="1"/>
  <c r="U1082" i="1"/>
  <c r="U1090" i="1"/>
  <c r="V1090" i="1"/>
  <c r="V1098" i="1"/>
  <c r="U1098" i="1"/>
  <c r="U1106" i="1"/>
  <c r="V1106" i="1"/>
  <c r="V1114" i="1"/>
  <c r="U1114" i="1"/>
  <c r="U1122" i="1"/>
  <c r="V1122" i="1"/>
  <c r="V1130" i="1"/>
  <c r="U1130" i="1"/>
  <c r="U1138" i="1"/>
  <c r="V1138" i="1"/>
  <c r="V1146" i="1"/>
  <c r="U1146" i="1"/>
  <c r="U1154" i="1"/>
  <c r="V1154" i="1"/>
  <c r="U579" i="1"/>
  <c r="V579" i="1"/>
  <c r="U859" i="1"/>
  <c r="V859" i="1"/>
  <c r="U883" i="1"/>
  <c r="V883" i="1"/>
  <c r="U907" i="1"/>
  <c r="V907" i="1"/>
  <c r="U939" i="1"/>
  <c r="V939" i="1"/>
  <c r="U955" i="1"/>
  <c r="V955" i="1"/>
  <c r="U987" i="1"/>
  <c r="V987" i="1"/>
  <c r="U1003" i="1"/>
  <c r="V1003" i="1"/>
  <c r="U1019" i="1"/>
  <c r="V1019" i="1"/>
  <c r="U1035" i="1"/>
  <c r="V1035" i="1"/>
  <c r="U1051" i="1"/>
  <c r="V1051" i="1"/>
  <c r="U1067" i="1"/>
  <c r="V1067" i="1"/>
  <c r="U1083" i="1"/>
  <c r="V1083" i="1"/>
  <c r="U1099" i="1"/>
  <c r="V1099" i="1"/>
  <c r="U1123" i="1"/>
  <c r="V1123" i="1"/>
  <c r="U715" i="1"/>
  <c r="V715" i="1"/>
  <c r="U755" i="1"/>
  <c r="V755" i="1"/>
  <c r="V875" i="1"/>
  <c r="U875" i="1"/>
  <c r="U899" i="1"/>
  <c r="V899" i="1"/>
  <c r="U931" i="1"/>
  <c r="V931" i="1"/>
  <c r="V947" i="1"/>
  <c r="U947" i="1"/>
  <c r="V979" i="1"/>
  <c r="U979" i="1"/>
  <c r="U995" i="1"/>
  <c r="V995" i="1"/>
  <c r="U1011" i="1"/>
  <c r="V1011" i="1"/>
  <c r="U1027" i="1"/>
  <c r="V1027" i="1"/>
  <c r="U1043" i="1"/>
  <c r="V1043" i="1"/>
  <c r="U1059" i="1"/>
  <c r="V1059" i="1"/>
  <c r="V1075" i="1"/>
  <c r="U1075" i="1"/>
  <c r="U1091" i="1"/>
  <c r="V1091" i="1"/>
  <c r="U1107" i="1"/>
  <c r="V1107" i="1"/>
  <c r="U1115" i="1"/>
  <c r="V1115" i="1"/>
  <c r="V1155" i="1"/>
  <c r="U1155" i="1"/>
  <c r="U292" i="1"/>
  <c r="V292" i="1"/>
  <c r="U308" i="1"/>
  <c r="V308" i="1"/>
  <c r="V844" i="1"/>
  <c r="U844" i="1"/>
  <c r="U852" i="1"/>
  <c r="V852" i="1"/>
  <c r="V860" i="1"/>
  <c r="U860" i="1"/>
  <c r="U868" i="1"/>
  <c r="V868" i="1"/>
  <c r="V876" i="1"/>
  <c r="U876" i="1"/>
  <c r="U884" i="1"/>
  <c r="V884" i="1"/>
  <c r="V892" i="1"/>
  <c r="U892" i="1"/>
  <c r="V900" i="1"/>
  <c r="U900" i="1"/>
  <c r="V908" i="1"/>
  <c r="U908" i="1"/>
  <c r="U916" i="1"/>
  <c r="V916" i="1"/>
  <c r="V924" i="1"/>
  <c r="U924" i="1"/>
  <c r="U932" i="1"/>
  <c r="V932" i="1"/>
  <c r="V940" i="1"/>
  <c r="U940" i="1"/>
  <c r="U948" i="1"/>
  <c r="V948" i="1"/>
  <c r="V956" i="1"/>
  <c r="U956" i="1"/>
  <c r="U964" i="1"/>
  <c r="V964" i="1"/>
  <c r="V972" i="1"/>
  <c r="U972" i="1"/>
  <c r="V980" i="1"/>
  <c r="U980" i="1"/>
  <c r="V988" i="1"/>
  <c r="U988" i="1"/>
  <c r="U996" i="1"/>
  <c r="V996" i="1"/>
  <c r="V1004" i="1"/>
  <c r="U1004" i="1"/>
  <c r="U1012" i="1"/>
  <c r="V1012" i="1"/>
  <c r="V1020" i="1"/>
  <c r="U1020" i="1"/>
  <c r="U1028" i="1"/>
  <c r="V1028" i="1"/>
  <c r="V1036" i="1"/>
  <c r="U1036" i="1"/>
  <c r="U1044" i="1"/>
  <c r="V1044" i="1"/>
  <c r="V1052" i="1"/>
  <c r="U1052" i="1"/>
  <c r="U1060" i="1"/>
  <c r="V1060" i="1"/>
  <c r="V1068" i="1"/>
  <c r="U1068" i="1"/>
  <c r="U1076" i="1"/>
  <c r="V1076" i="1"/>
  <c r="V1084" i="1"/>
  <c r="U1084" i="1"/>
  <c r="V1092" i="1"/>
  <c r="U1092" i="1"/>
  <c r="V1100" i="1"/>
  <c r="U1100" i="1"/>
  <c r="V1108" i="1"/>
  <c r="U1108" i="1"/>
  <c r="V1116" i="1"/>
  <c r="U1116" i="1"/>
  <c r="U1124" i="1"/>
  <c r="V1124" i="1"/>
  <c r="V1132" i="1"/>
  <c r="U1132" i="1"/>
  <c r="U1140" i="1"/>
  <c r="V1140" i="1"/>
  <c r="V1148" i="1"/>
  <c r="U1148" i="1"/>
  <c r="V1156" i="1"/>
  <c r="U1156" i="1"/>
  <c r="V1139" i="1"/>
  <c r="U1139" i="1"/>
  <c r="U629" i="1"/>
  <c r="V629" i="1"/>
  <c r="U693" i="1"/>
  <c r="V693" i="1"/>
  <c r="V845" i="1"/>
  <c r="U845" i="1"/>
  <c r="U853" i="1"/>
  <c r="V853" i="1"/>
  <c r="V861" i="1"/>
  <c r="U861" i="1"/>
  <c r="U869" i="1"/>
  <c r="V869" i="1"/>
  <c r="V877" i="1"/>
  <c r="U877" i="1"/>
  <c r="U885" i="1"/>
  <c r="V885" i="1"/>
  <c r="V893" i="1"/>
  <c r="U893" i="1"/>
  <c r="U901" i="1"/>
  <c r="V901" i="1"/>
  <c r="V909" i="1"/>
  <c r="U909" i="1"/>
  <c r="U917" i="1"/>
  <c r="V917" i="1"/>
  <c r="V925" i="1"/>
  <c r="U925" i="1"/>
  <c r="U933" i="1"/>
  <c r="V933" i="1"/>
  <c r="V941" i="1"/>
  <c r="U941" i="1"/>
  <c r="U949" i="1"/>
  <c r="V949" i="1"/>
  <c r="V957" i="1"/>
  <c r="U957" i="1"/>
  <c r="U965" i="1"/>
  <c r="V965" i="1"/>
  <c r="V973" i="1"/>
  <c r="U973" i="1"/>
  <c r="U981" i="1"/>
  <c r="V981" i="1"/>
  <c r="V989" i="1"/>
  <c r="U989" i="1"/>
  <c r="U997" i="1"/>
  <c r="V997" i="1"/>
  <c r="V1005" i="1"/>
  <c r="U1005" i="1"/>
  <c r="U1013" i="1"/>
  <c r="V1013" i="1"/>
  <c r="V1021" i="1"/>
  <c r="U1021" i="1"/>
  <c r="U1029" i="1"/>
  <c r="V1029" i="1"/>
  <c r="V1037" i="1"/>
  <c r="U1037" i="1"/>
  <c r="U1045" i="1"/>
  <c r="V1045" i="1"/>
  <c r="V1053" i="1"/>
  <c r="U1053" i="1"/>
  <c r="U1061" i="1"/>
  <c r="V1061" i="1"/>
  <c r="V1069" i="1"/>
  <c r="U1069" i="1"/>
  <c r="U1077" i="1"/>
  <c r="V1077" i="1"/>
  <c r="V1085" i="1"/>
  <c r="U1085" i="1"/>
  <c r="U1093" i="1"/>
  <c r="V1093" i="1"/>
  <c r="V1101" i="1"/>
  <c r="U1101" i="1"/>
  <c r="U1109" i="1"/>
  <c r="V1109" i="1"/>
  <c r="V1117" i="1"/>
  <c r="U1117" i="1"/>
  <c r="U1125" i="1"/>
  <c r="V1125" i="1"/>
  <c r="V1133" i="1"/>
  <c r="U1133" i="1"/>
  <c r="U1141" i="1"/>
  <c r="V1141" i="1"/>
  <c r="V1149" i="1"/>
  <c r="U1149" i="1"/>
  <c r="U1157" i="1"/>
  <c r="V1157" i="1"/>
  <c r="U686" i="1"/>
  <c r="V686" i="1"/>
  <c r="U782" i="1"/>
  <c r="V782" i="1"/>
  <c r="V846" i="1"/>
  <c r="U846" i="1"/>
  <c r="U854" i="1"/>
  <c r="V854" i="1"/>
  <c r="U862" i="1"/>
  <c r="V862" i="1"/>
  <c r="U870" i="1"/>
  <c r="V870" i="1"/>
  <c r="U878" i="1"/>
  <c r="V878" i="1"/>
  <c r="V886" i="1"/>
  <c r="U886" i="1"/>
  <c r="U894" i="1"/>
  <c r="V894" i="1"/>
  <c r="U902" i="1"/>
  <c r="V902" i="1"/>
  <c r="U910" i="1"/>
  <c r="V910" i="1"/>
  <c r="U918" i="1"/>
  <c r="V918" i="1"/>
  <c r="U926" i="1"/>
  <c r="V926" i="1"/>
  <c r="U934" i="1"/>
  <c r="V934" i="1"/>
  <c r="V942" i="1"/>
  <c r="U942" i="1"/>
  <c r="V950" i="1"/>
  <c r="U950" i="1"/>
  <c r="U958" i="1"/>
  <c r="V958" i="1"/>
  <c r="U966" i="1"/>
  <c r="V966" i="1"/>
  <c r="V974" i="1"/>
  <c r="U974" i="1"/>
  <c r="U982" i="1"/>
  <c r="V982" i="1"/>
  <c r="U990" i="1"/>
  <c r="V990" i="1"/>
  <c r="U998" i="1"/>
  <c r="V998" i="1"/>
  <c r="V1006" i="1"/>
  <c r="U1006" i="1"/>
  <c r="U1014" i="1"/>
  <c r="V1014" i="1"/>
  <c r="U1022" i="1"/>
  <c r="V1022" i="1"/>
  <c r="U1030" i="1"/>
  <c r="V1030" i="1"/>
  <c r="V1038" i="1"/>
  <c r="U1038" i="1"/>
  <c r="U1046" i="1"/>
  <c r="V1046" i="1"/>
  <c r="U1054" i="1"/>
  <c r="V1054" i="1"/>
  <c r="U1062" i="1"/>
  <c r="V1062" i="1"/>
  <c r="V1070" i="1"/>
  <c r="U1070" i="1"/>
  <c r="U1078" i="1"/>
  <c r="V1078" i="1"/>
  <c r="U1086" i="1"/>
  <c r="V1086" i="1"/>
  <c r="V1094" i="1"/>
  <c r="U1094" i="1"/>
  <c r="V1102" i="1"/>
  <c r="U1102" i="1"/>
  <c r="U1110" i="1"/>
  <c r="V1110" i="1"/>
  <c r="U1118" i="1"/>
  <c r="V1118" i="1"/>
  <c r="U1126" i="1"/>
  <c r="V1126" i="1"/>
  <c r="V1134" i="1"/>
  <c r="U1134" i="1"/>
  <c r="U1142" i="1"/>
  <c r="V1142" i="1"/>
  <c r="U1150" i="1"/>
  <c r="V1150" i="1"/>
  <c r="U1158" i="1"/>
  <c r="V1158" i="1"/>
  <c r="V427" i="1"/>
  <c r="U427" i="1"/>
  <c r="U867" i="1"/>
  <c r="V867" i="1"/>
  <c r="U891" i="1"/>
  <c r="V891" i="1"/>
  <c r="U915" i="1"/>
  <c r="V915" i="1"/>
  <c r="U963" i="1"/>
  <c r="V963" i="1"/>
  <c r="U1131" i="1"/>
  <c r="V1131" i="1"/>
  <c r="V847" i="1"/>
  <c r="U847" i="1"/>
  <c r="U855" i="1"/>
  <c r="V855" i="1"/>
  <c r="U863" i="1"/>
  <c r="V863" i="1"/>
  <c r="U871" i="1"/>
  <c r="V871" i="1"/>
  <c r="U879" i="1"/>
  <c r="V879" i="1"/>
  <c r="U887" i="1"/>
  <c r="V887" i="1"/>
  <c r="U895" i="1"/>
  <c r="V895" i="1"/>
  <c r="U903" i="1"/>
  <c r="V903" i="1"/>
  <c r="U911" i="1"/>
  <c r="V911" i="1"/>
  <c r="U919" i="1"/>
  <c r="V919" i="1"/>
  <c r="V927" i="1"/>
  <c r="U927" i="1"/>
  <c r="U935" i="1"/>
  <c r="V935" i="1"/>
  <c r="V943" i="1"/>
  <c r="U943" i="1"/>
  <c r="U951" i="1"/>
  <c r="V951" i="1"/>
  <c r="U959" i="1"/>
  <c r="V959" i="1"/>
  <c r="U967" i="1"/>
  <c r="V967" i="1"/>
  <c r="V975" i="1"/>
  <c r="U975" i="1"/>
  <c r="U983" i="1"/>
  <c r="V983" i="1"/>
  <c r="V991" i="1"/>
  <c r="U991" i="1"/>
  <c r="U999" i="1"/>
  <c r="V999" i="1"/>
  <c r="U1007" i="1"/>
  <c r="V1007" i="1"/>
  <c r="U1015" i="1"/>
  <c r="V1015" i="1"/>
  <c r="U1023" i="1"/>
  <c r="V1023" i="1"/>
  <c r="U1031" i="1"/>
  <c r="V1031" i="1"/>
  <c r="U1039" i="1"/>
  <c r="V1039" i="1"/>
  <c r="U1047" i="1"/>
  <c r="V1047" i="1"/>
  <c r="U1055" i="1"/>
  <c r="V1055" i="1"/>
  <c r="U1063" i="1"/>
  <c r="V1063" i="1"/>
  <c r="V1071" i="1"/>
  <c r="U1071" i="1"/>
  <c r="U1079" i="1"/>
  <c r="V1079" i="1"/>
  <c r="U1087" i="1"/>
  <c r="V1087" i="1"/>
  <c r="U1095" i="1"/>
  <c r="V1095" i="1"/>
  <c r="V1103" i="1"/>
  <c r="U1103" i="1"/>
  <c r="U1111" i="1"/>
  <c r="V1111" i="1"/>
  <c r="U1119" i="1"/>
  <c r="V1119" i="1"/>
  <c r="U1127" i="1"/>
  <c r="V1127" i="1"/>
  <c r="U1135" i="1"/>
  <c r="V1135" i="1"/>
  <c r="U1143" i="1"/>
  <c r="V1143" i="1"/>
  <c r="U1151" i="1"/>
  <c r="V1151" i="1"/>
  <c r="U1159" i="1"/>
  <c r="V1159" i="1"/>
  <c r="U411" i="1"/>
  <c r="V411" i="1"/>
  <c r="U779" i="1"/>
  <c r="V779" i="1"/>
  <c r="U851" i="1"/>
  <c r="V851" i="1"/>
  <c r="U923" i="1"/>
  <c r="V923" i="1"/>
  <c r="U1147" i="1"/>
  <c r="V1147" i="1"/>
  <c r="V448" i="1"/>
  <c r="U448" i="1"/>
  <c r="V728" i="1"/>
  <c r="U728" i="1"/>
  <c r="U848" i="1"/>
  <c r="V848" i="1"/>
  <c r="U856" i="1"/>
  <c r="V856" i="1"/>
  <c r="U864" i="1"/>
  <c r="V864" i="1"/>
  <c r="U872" i="1"/>
  <c r="V872" i="1"/>
  <c r="U880" i="1"/>
  <c r="V880" i="1"/>
  <c r="U888" i="1"/>
  <c r="V888" i="1"/>
  <c r="U896" i="1"/>
  <c r="V896" i="1"/>
  <c r="U904" i="1"/>
  <c r="V904" i="1"/>
  <c r="U912" i="1"/>
  <c r="V912" i="1"/>
  <c r="U920" i="1"/>
  <c r="V920" i="1"/>
  <c r="U928" i="1"/>
  <c r="V928" i="1"/>
  <c r="U936" i="1"/>
  <c r="V936" i="1"/>
  <c r="U944" i="1"/>
  <c r="V944" i="1"/>
  <c r="U952" i="1"/>
  <c r="V952" i="1"/>
  <c r="U960" i="1"/>
  <c r="V960" i="1"/>
  <c r="U968" i="1"/>
  <c r="V968" i="1"/>
  <c r="U976" i="1"/>
  <c r="V976" i="1"/>
  <c r="U984" i="1"/>
  <c r="V984" i="1"/>
  <c r="U992" i="1"/>
  <c r="V992" i="1"/>
  <c r="U1000" i="1"/>
  <c r="V1000" i="1"/>
  <c r="U1008" i="1"/>
  <c r="V1008" i="1"/>
  <c r="U1016" i="1"/>
  <c r="V1016" i="1"/>
  <c r="U1024" i="1"/>
  <c r="V1024" i="1"/>
  <c r="U1032" i="1"/>
  <c r="V1032" i="1"/>
  <c r="U1040" i="1"/>
  <c r="V1040" i="1"/>
  <c r="U1048" i="1"/>
  <c r="V1048" i="1"/>
  <c r="U1056" i="1"/>
  <c r="V1056" i="1"/>
  <c r="U1064" i="1"/>
  <c r="V1064" i="1"/>
  <c r="U1072" i="1"/>
  <c r="V1072" i="1"/>
  <c r="U1080" i="1"/>
  <c r="V1080" i="1"/>
  <c r="U1088" i="1"/>
  <c r="V1088" i="1"/>
  <c r="U1096" i="1"/>
  <c r="V1096" i="1"/>
  <c r="U1104" i="1"/>
  <c r="V1104" i="1"/>
  <c r="U1112" i="1"/>
  <c r="V1112" i="1"/>
  <c r="U1120" i="1"/>
  <c r="V1120" i="1"/>
  <c r="U1128" i="1"/>
  <c r="V1128" i="1"/>
  <c r="U1136" i="1"/>
  <c r="V1136" i="1"/>
  <c r="U1144" i="1"/>
  <c r="V1144" i="1"/>
  <c r="U1152" i="1"/>
  <c r="V1152" i="1"/>
  <c r="U1160" i="1"/>
  <c r="V1160" i="1"/>
  <c r="U105" i="1"/>
  <c r="V105" i="1"/>
  <c r="V441" i="1"/>
  <c r="U441" i="1"/>
  <c r="V665" i="1"/>
  <c r="U665" i="1"/>
  <c r="U849" i="1"/>
  <c r="V849" i="1"/>
  <c r="U857" i="1"/>
  <c r="V857" i="1"/>
  <c r="V865" i="1"/>
  <c r="U865" i="1"/>
  <c r="V873" i="1"/>
  <c r="U873" i="1"/>
  <c r="U881" i="1"/>
  <c r="V881" i="1"/>
  <c r="U889" i="1"/>
  <c r="V889" i="1"/>
  <c r="U897" i="1"/>
  <c r="V897" i="1"/>
  <c r="V905" i="1"/>
  <c r="U905" i="1"/>
  <c r="V913" i="1"/>
  <c r="U913" i="1"/>
  <c r="U921" i="1"/>
  <c r="V921" i="1"/>
  <c r="U929" i="1"/>
  <c r="V929" i="1"/>
  <c r="U937" i="1"/>
  <c r="V937" i="1"/>
  <c r="U945" i="1"/>
  <c r="V945" i="1"/>
  <c r="U953" i="1"/>
  <c r="V953" i="1"/>
  <c r="V961" i="1"/>
  <c r="U961" i="1"/>
  <c r="U969" i="1"/>
  <c r="V969" i="1"/>
  <c r="U977" i="1"/>
  <c r="V977" i="1"/>
  <c r="U985" i="1"/>
  <c r="V985" i="1"/>
  <c r="U993" i="1"/>
  <c r="V993" i="1"/>
  <c r="U1001" i="1"/>
  <c r="V1001" i="1"/>
  <c r="U1009" i="1"/>
  <c r="V1009" i="1"/>
  <c r="U1017" i="1"/>
  <c r="V1017" i="1"/>
  <c r="V1025" i="1"/>
  <c r="U1025" i="1"/>
  <c r="U1033" i="1"/>
  <c r="V1033" i="1"/>
  <c r="V1041" i="1"/>
  <c r="U1041" i="1"/>
  <c r="U1049" i="1"/>
  <c r="V1049" i="1"/>
  <c r="V1057" i="1"/>
  <c r="U1057" i="1"/>
  <c r="U1065" i="1"/>
  <c r="V1065" i="1"/>
  <c r="U1073" i="1"/>
  <c r="V1073" i="1"/>
  <c r="U1081" i="1"/>
  <c r="V1081" i="1"/>
  <c r="V1089" i="1"/>
  <c r="U1089" i="1"/>
  <c r="U1097" i="1"/>
  <c r="V1097" i="1"/>
  <c r="V1105" i="1"/>
  <c r="U1105" i="1"/>
  <c r="U1113" i="1"/>
  <c r="V1113" i="1"/>
  <c r="U1121" i="1"/>
  <c r="V1121" i="1"/>
  <c r="V1129" i="1"/>
  <c r="U1129" i="1"/>
  <c r="U1137" i="1"/>
  <c r="V1137" i="1"/>
  <c r="U1145" i="1"/>
  <c r="V1145" i="1"/>
  <c r="U1153" i="1"/>
  <c r="V1153" i="1"/>
  <c r="U1161" i="1"/>
  <c r="V1161" i="1"/>
  <c r="U35" i="1"/>
  <c r="S35" i="1"/>
  <c r="V35" i="1"/>
  <c r="V131" i="1"/>
  <c r="U131" i="1"/>
  <c r="S131" i="1"/>
  <c r="S227" i="1"/>
  <c r="V227" i="1"/>
  <c r="U227" i="1"/>
  <c r="U315" i="1"/>
  <c r="V315" i="1"/>
  <c r="S315" i="1"/>
  <c r="U379" i="1"/>
  <c r="S379" i="1"/>
  <c r="V379" i="1"/>
  <c r="S435" i="1"/>
  <c r="U499" i="1"/>
  <c r="S499" i="1"/>
  <c r="V499" i="1"/>
  <c r="V595" i="1"/>
  <c r="S595" i="1"/>
  <c r="U595" i="1"/>
  <c r="V691" i="1"/>
  <c r="U691" i="1"/>
  <c r="S691" i="1"/>
  <c r="V795" i="1"/>
  <c r="U795" i="1"/>
  <c r="S795" i="1"/>
  <c r="S891" i="1"/>
  <c r="S971" i="1"/>
  <c r="S1067" i="1"/>
  <c r="S1139" i="1"/>
  <c r="V38" i="1"/>
  <c r="S38" i="1"/>
  <c r="U38" i="1"/>
  <c r="V110" i="1"/>
  <c r="S110" i="1"/>
  <c r="U110" i="1"/>
  <c r="V174" i="1"/>
  <c r="U174" i="1"/>
  <c r="S174" i="1"/>
  <c r="U238" i="1"/>
  <c r="S238" i="1"/>
  <c r="V238" i="1"/>
  <c r="W14" i="1"/>
  <c r="T14" i="1"/>
  <c r="W78" i="1"/>
  <c r="T78" i="1"/>
  <c r="T126" i="1"/>
  <c r="W126" i="1"/>
  <c r="W174" i="1"/>
  <c r="T174" i="1"/>
  <c r="W230" i="1"/>
  <c r="T230" i="1"/>
  <c r="W286" i="1"/>
  <c r="T286" i="1"/>
  <c r="W342" i="1"/>
  <c r="T342" i="1"/>
  <c r="W390" i="1"/>
  <c r="T390" i="1"/>
  <c r="W438" i="1"/>
  <c r="T438" i="1"/>
  <c r="W510" i="1"/>
  <c r="T510" i="1"/>
  <c r="W558" i="1"/>
  <c r="T558" i="1"/>
  <c r="W598" i="1"/>
  <c r="T598" i="1"/>
  <c r="T646" i="1"/>
  <c r="W646" i="1"/>
  <c r="T678" i="1"/>
  <c r="W678" i="1"/>
  <c r="W726" i="1"/>
  <c r="T726" i="1"/>
  <c r="W798" i="1"/>
  <c r="T798" i="1"/>
  <c r="W838" i="1"/>
  <c r="T838" i="1"/>
  <c r="T878" i="1"/>
  <c r="T894" i="1"/>
  <c r="T910" i="1"/>
  <c r="T942" i="1"/>
  <c r="T990" i="1"/>
  <c r="T1062" i="1"/>
  <c r="T1110" i="1"/>
  <c r="T1158" i="1"/>
  <c r="U31" i="1"/>
  <c r="S31" i="1"/>
  <c r="V31" i="1"/>
  <c r="U63" i="1"/>
  <c r="S63" i="1"/>
  <c r="V63" i="1"/>
  <c r="S87" i="1"/>
  <c r="U87" i="1"/>
  <c r="V87" i="1"/>
  <c r="V143" i="1"/>
  <c r="U143" i="1"/>
  <c r="S143" i="1"/>
  <c r="U199" i="1"/>
  <c r="S199" i="1"/>
  <c r="V199" i="1"/>
  <c r="U231" i="1"/>
  <c r="S231" i="1"/>
  <c r="V231" i="1"/>
  <c r="U271" i="1"/>
  <c r="S271" i="1"/>
  <c r="V271" i="1"/>
  <c r="S311" i="1"/>
  <c r="V311" i="1"/>
  <c r="U311" i="1"/>
  <c r="S359" i="1"/>
  <c r="V359" i="1"/>
  <c r="U359" i="1"/>
  <c r="S407" i="1"/>
  <c r="V407" i="1"/>
  <c r="U407" i="1"/>
  <c r="U455" i="1"/>
  <c r="V455" i="1"/>
  <c r="S455" i="1"/>
  <c r="U503" i="1"/>
  <c r="V503" i="1"/>
  <c r="S503" i="1"/>
  <c r="U543" i="1"/>
  <c r="V543" i="1"/>
  <c r="S543" i="1"/>
  <c r="U591" i="1"/>
  <c r="S591" i="1"/>
  <c r="V591" i="1"/>
  <c r="U615" i="1"/>
  <c r="V615" i="1"/>
  <c r="S615" i="1"/>
  <c r="U647" i="1"/>
  <c r="V647" i="1"/>
  <c r="S647" i="1"/>
  <c r="U703" i="1"/>
  <c r="V703" i="1"/>
  <c r="S703" i="1"/>
  <c r="U759" i="1"/>
  <c r="S759" i="1"/>
  <c r="V759" i="1"/>
  <c r="U807" i="1"/>
  <c r="S807" i="1"/>
  <c r="V807" i="1"/>
  <c r="S847" i="1"/>
  <c r="S879" i="1"/>
  <c r="S919" i="1"/>
  <c r="S959" i="1"/>
  <c r="S991" i="1"/>
  <c r="S1047" i="1"/>
  <c r="T31" i="1"/>
  <c r="W31" i="1"/>
  <c r="W95" i="1"/>
  <c r="T95" i="1"/>
  <c r="T111" i="1"/>
  <c r="W111" i="1"/>
  <c r="T159" i="1"/>
  <c r="W159" i="1"/>
  <c r="T199" i="1"/>
  <c r="W199" i="1"/>
  <c r="T239" i="1"/>
  <c r="W239" i="1"/>
  <c r="T303" i="1"/>
  <c r="W303" i="1"/>
  <c r="W343" i="1"/>
  <c r="T343" i="1"/>
  <c r="W375" i="1"/>
  <c r="T375" i="1"/>
  <c r="W431" i="1"/>
  <c r="T431" i="1"/>
  <c r="W503" i="1"/>
  <c r="T503" i="1"/>
  <c r="W551" i="1"/>
  <c r="T551" i="1"/>
  <c r="T591" i="1"/>
  <c r="W591" i="1"/>
  <c r="T647" i="1"/>
  <c r="W647" i="1"/>
  <c r="T703" i="1"/>
  <c r="W703" i="1"/>
  <c r="T743" i="1"/>
  <c r="W743" i="1"/>
  <c r="W791" i="1"/>
  <c r="T791" i="1"/>
  <c r="W839" i="1"/>
  <c r="T839" i="1"/>
  <c r="T879" i="1"/>
  <c r="T927" i="1"/>
  <c r="T951" i="1"/>
  <c r="T999" i="1"/>
  <c r="T1047" i="1"/>
  <c r="T1079" i="1"/>
  <c r="T1127" i="1"/>
  <c r="T1151" i="1"/>
  <c r="W8" i="1"/>
  <c r="T8" i="1"/>
  <c r="W48" i="1"/>
  <c r="T48" i="1"/>
  <c r="T80" i="1"/>
  <c r="W80" i="1"/>
  <c r="T120" i="1"/>
  <c r="W120" i="1"/>
  <c r="W152" i="1"/>
  <c r="T152" i="1"/>
  <c r="T192" i="1"/>
  <c r="W192" i="1"/>
  <c r="W232" i="1"/>
  <c r="T232" i="1"/>
  <c r="W264" i="1"/>
  <c r="T264" i="1"/>
  <c r="W296" i="1"/>
  <c r="T296" i="1"/>
  <c r="T328" i="1"/>
  <c r="W328" i="1"/>
  <c r="W368" i="1"/>
  <c r="T368" i="1"/>
  <c r="T448" i="1"/>
  <c r="S3" i="1"/>
  <c r="V25" i="1"/>
  <c r="U25" i="1"/>
  <c r="S25" i="1"/>
  <c r="V57" i="1"/>
  <c r="U57" i="1"/>
  <c r="S57" i="1"/>
  <c r="V81" i="1"/>
  <c r="S81" i="1"/>
  <c r="U81" i="1"/>
  <c r="S97" i="1"/>
  <c r="V97" i="1"/>
  <c r="U97" i="1"/>
  <c r="V113" i="1"/>
  <c r="U113" i="1"/>
  <c r="S113" i="1"/>
  <c r="V137" i="1"/>
  <c r="U137" i="1"/>
  <c r="S137" i="1"/>
  <c r="U169" i="1"/>
  <c r="S169" i="1"/>
  <c r="V169" i="1"/>
  <c r="U193" i="1"/>
  <c r="V193" i="1"/>
  <c r="S193" i="1"/>
  <c r="U233" i="1"/>
  <c r="V233" i="1"/>
  <c r="S233" i="1"/>
  <c r="U265" i="1"/>
  <c r="V265" i="1"/>
  <c r="S265" i="1"/>
  <c r="V289" i="1"/>
  <c r="S289" i="1"/>
  <c r="U289" i="1"/>
  <c r="V321" i="1"/>
  <c r="U321" i="1"/>
  <c r="S321" i="1"/>
  <c r="V353" i="1"/>
  <c r="U353" i="1"/>
  <c r="S353" i="1"/>
  <c r="V377" i="1"/>
  <c r="U377" i="1"/>
  <c r="S377" i="1"/>
  <c r="V409" i="1"/>
  <c r="U409" i="1"/>
  <c r="S409" i="1"/>
  <c r="U433" i="1"/>
  <c r="V433" i="1"/>
  <c r="S433" i="1"/>
  <c r="U465" i="1"/>
  <c r="V465" i="1"/>
  <c r="S465" i="1"/>
  <c r="U489" i="1"/>
  <c r="V489" i="1"/>
  <c r="S489" i="1"/>
  <c r="U521" i="1"/>
  <c r="V521" i="1"/>
  <c r="S521" i="1"/>
  <c r="V545" i="1"/>
  <c r="S545" i="1"/>
  <c r="U545" i="1"/>
  <c r="V569" i="1"/>
  <c r="S569" i="1"/>
  <c r="U569" i="1"/>
  <c r="V601" i="1"/>
  <c r="U601" i="1"/>
  <c r="S601" i="1"/>
  <c r="V633" i="1"/>
  <c r="U633" i="1"/>
  <c r="S633" i="1"/>
  <c r="V657" i="1"/>
  <c r="U657" i="1"/>
  <c r="S657" i="1"/>
  <c r="U681" i="1"/>
  <c r="S681" i="1"/>
  <c r="V681" i="1"/>
  <c r="S713" i="1"/>
  <c r="U713" i="1"/>
  <c r="V713" i="1"/>
  <c r="U761" i="1"/>
  <c r="S761" i="1"/>
  <c r="V761" i="1"/>
  <c r="U793" i="1"/>
  <c r="S793" i="1"/>
  <c r="V793" i="1"/>
  <c r="V825" i="1"/>
  <c r="U825" i="1"/>
  <c r="S825" i="1"/>
  <c r="S849" i="1"/>
  <c r="S881" i="1"/>
  <c r="S913" i="1"/>
  <c r="S945" i="1"/>
  <c r="S977" i="1"/>
  <c r="S1009" i="1"/>
  <c r="S1041" i="1"/>
  <c r="S1065" i="1"/>
  <c r="S1097" i="1"/>
  <c r="S1121" i="1"/>
  <c r="S1145" i="1"/>
  <c r="W17" i="1"/>
  <c r="T17" i="1"/>
  <c r="W33" i="1"/>
  <c r="T33" i="1"/>
  <c r="W57" i="1"/>
  <c r="T57" i="1"/>
  <c r="W73" i="1"/>
  <c r="T73" i="1"/>
  <c r="T105" i="1"/>
  <c r="W129" i="1"/>
  <c r="T129" i="1"/>
  <c r="W153" i="1"/>
  <c r="T153" i="1"/>
  <c r="W177" i="1"/>
  <c r="T177" i="1"/>
  <c r="W201" i="1"/>
  <c r="T201" i="1"/>
  <c r="W233" i="1"/>
  <c r="T233" i="1"/>
  <c r="W257" i="1"/>
  <c r="T257" i="1"/>
  <c r="W281" i="1"/>
  <c r="T281" i="1"/>
  <c r="W305" i="1"/>
  <c r="T305" i="1"/>
  <c r="W329" i="1"/>
  <c r="T329" i="1"/>
  <c r="W353" i="1"/>
  <c r="T353" i="1"/>
  <c r="W369" i="1"/>
  <c r="T369" i="1"/>
  <c r="W393" i="1"/>
  <c r="T393" i="1"/>
  <c r="W417" i="1"/>
  <c r="T417" i="1"/>
  <c r="T441" i="1"/>
  <c r="W465" i="1"/>
  <c r="T465" i="1"/>
  <c r="W489" i="1"/>
  <c r="T489" i="1"/>
  <c r="W513" i="1"/>
  <c r="T513" i="1"/>
  <c r="T537" i="1"/>
  <c r="W537" i="1"/>
  <c r="W561" i="1"/>
  <c r="T561" i="1"/>
  <c r="T585" i="1"/>
  <c r="W585" i="1"/>
  <c r="T609" i="1"/>
  <c r="W609" i="1"/>
  <c r="W633" i="1"/>
  <c r="T633" i="1"/>
  <c r="T665" i="1"/>
  <c r="W689" i="1"/>
  <c r="T689" i="1"/>
  <c r="W721" i="1"/>
  <c r="T721" i="1"/>
  <c r="W737" i="1"/>
  <c r="T737" i="1"/>
  <c r="T761" i="1"/>
  <c r="W761" i="1"/>
  <c r="W785" i="1"/>
  <c r="T785" i="1"/>
  <c r="T825" i="1"/>
  <c r="W825" i="1"/>
  <c r="T849" i="1"/>
  <c r="T873" i="1"/>
  <c r="T897" i="1"/>
  <c r="T929" i="1"/>
  <c r="T945" i="1"/>
  <c r="T969" i="1"/>
  <c r="T993" i="1"/>
  <c r="T1017" i="1"/>
  <c r="T1033" i="1"/>
  <c r="T1057" i="1"/>
  <c r="T1073" i="1"/>
  <c r="T1097" i="1"/>
  <c r="T1105" i="1"/>
  <c r="T1121" i="1"/>
  <c r="T1129" i="1"/>
  <c r="T1145" i="1"/>
  <c r="T1161" i="1"/>
  <c r="U3" i="1"/>
  <c r="S10" i="1"/>
  <c r="V10" i="1"/>
  <c r="U10" i="1"/>
  <c r="S18" i="1"/>
  <c r="V18" i="1"/>
  <c r="U18" i="1"/>
  <c r="S26" i="1"/>
  <c r="U26" i="1"/>
  <c r="V26" i="1"/>
  <c r="S34" i="1"/>
  <c r="U34" i="1"/>
  <c r="V34" i="1"/>
  <c r="S42" i="1"/>
  <c r="V42" i="1"/>
  <c r="U42" i="1"/>
  <c r="S50" i="1"/>
  <c r="U50" i="1"/>
  <c r="V50" i="1"/>
  <c r="S58" i="1"/>
  <c r="U58" i="1"/>
  <c r="V58" i="1"/>
  <c r="S66" i="1"/>
  <c r="U66" i="1"/>
  <c r="V66" i="1"/>
  <c r="V74" i="1"/>
  <c r="U74" i="1"/>
  <c r="S74" i="1"/>
  <c r="V82" i="1"/>
  <c r="U82" i="1"/>
  <c r="S82" i="1"/>
  <c r="V90" i="1"/>
  <c r="U90" i="1"/>
  <c r="S90" i="1"/>
  <c r="V98" i="1"/>
  <c r="U98" i="1"/>
  <c r="S98" i="1"/>
  <c r="V106" i="1"/>
  <c r="U106" i="1"/>
  <c r="S106" i="1"/>
  <c r="U114" i="1"/>
  <c r="S114" i="1"/>
  <c r="V114" i="1"/>
  <c r="U122" i="1"/>
  <c r="V122" i="1"/>
  <c r="S122" i="1"/>
  <c r="S130" i="1"/>
  <c r="U130" i="1"/>
  <c r="V130" i="1"/>
  <c r="V138" i="1"/>
  <c r="S138" i="1"/>
  <c r="U138" i="1"/>
  <c r="V146" i="1"/>
  <c r="U146" i="1"/>
  <c r="S146" i="1"/>
  <c r="V154" i="1"/>
  <c r="U154" i="1"/>
  <c r="S154" i="1"/>
  <c r="V162" i="1"/>
  <c r="U162" i="1"/>
  <c r="S162" i="1"/>
  <c r="V170" i="1"/>
  <c r="U170" i="1"/>
  <c r="S170" i="1"/>
  <c r="V178" i="1"/>
  <c r="U178" i="1"/>
  <c r="S178" i="1"/>
  <c r="S186" i="1"/>
  <c r="U186" i="1"/>
  <c r="V186" i="1"/>
  <c r="S194" i="1"/>
  <c r="U194" i="1"/>
  <c r="V194" i="1"/>
  <c r="S202" i="1"/>
  <c r="V202" i="1"/>
  <c r="U202" i="1"/>
  <c r="S210" i="1"/>
  <c r="U210" i="1"/>
  <c r="V210" i="1"/>
  <c r="S218" i="1"/>
  <c r="V218" i="1"/>
  <c r="U218" i="1"/>
  <c r="S226" i="1"/>
  <c r="V226" i="1"/>
  <c r="U226" i="1"/>
  <c r="S234" i="1"/>
  <c r="U234" i="1"/>
  <c r="V234" i="1"/>
  <c r="S242" i="1"/>
  <c r="V242" i="1"/>
  <c r="U242" i="1"/>
  <c r="S250" i="1"/>
  <c r="V250" i="1"/>
  <c r="U250" i="1"/>
  <c r="S258" i="1"/>
  <c r="V258" i="1"/>
  <c r="U258" i="1"/>
  <c r="S266" i="1"/>
  <c r="U266" i="1"/>
  <c r="V266" i="1"/>
  <c r="S274" i="1"/>
  <c r="V274" i="1"/>
  <c r="U274" i="1"/>
  <c r="V282" i="1"/>
  <c r="U282" i="1"/>
  <c r="S282" i="1"/>
  <c r="V290" i="1"/>
  <c r="U290" i="1"/>
  <c r="S290" i="1"/>
  <c r="V298" i="1"/>
  <c r="U298" i="1"/>
  <c r="S298" i="1"/>
  <c r="V91" i="1"/>
  <c r="U91" i="1"/>
  <c r="S91" i="1"/>
  <c r="V235" i="1"/>
  <c r="U235" i="1"/>
  <c r="S235" i="1"/>
  <c r="V347" i="1"/>
  <c r="U347" i="1"/>
  <c r="S347" i="1"/>
  <c r="U451" i="1"/>
  <c r="V451" i="1"/>
  <c r="S451" i="1"/>
  <c r="S579" i="1"/>
  <c r="U675" i="1"/>
  <c r="S675" i="1"/>
  <c r="V675" i="1"/>
  <c r="S787" i="1"/>
  <c r="V787" i="1"/>
  <c r="U787" i="1"/>
  <c r="S907" i="1"/>
  <c r="S995" i="1"/>
  <c r="S1059" i="1"/>
  <c r="V62" i="1"/>
  <c r="S62" i="1"/>
  <c r="U62" i="1"/>
  <c r="V134" i="1"/>
  <c r="U134" i="1"/>
  <c r="S134" i="1"/>
  <c r="S206" i="1"/>
  <c r="V206" i="1"/>
  <c r="U206" i="1"/>
  <c r="W22" i="1"/>
  <c r="T22" i="1"/>
  <c r="W102" i="1"/>
  <c r="T102" i="1"/>
  <c r="W166" i="1"/>
  <c r="T166" i="1"/>
  <c r="W214" i="1"/>
  <c r="T214" i="1"/>
  <c r="W270" i="1"/>
  <c r="T270" i="1"/>
  <c r="W334" i="1"/>
  <c r="T334" i="1"/>
  <c r="W382" i="1"/>
  <c r="T382" i="1"/>
  <c r="W446" i="1"/>
  <c r="T446" i="1"/>
  <c r="W518" i="1"/>
  <c r="T518" i="1"/>
  <c r="T566" i="1"/>
  <c r="W566" i="1"/>
  <c r="T614" i="1"/>
  <c r="W614" i="1"/>
  <c r="T662" i="1"/>
  <c r="W662" i="1"/>
  <c r="W710" i="1"/>
  <c r="T710" i="1"/>
  <c r="W774" i="1"/>
  <c r="T774" i="1"/>
  <c r="W814" i="1"/>
  <c r="T814" i="1"/>
  <c r="T854" i="1"/>
  <c r="T918" i="1"/>
  <c r="T974" i="1"/>
  <c r="T1022" i="1"/>
  <c r="T1078" i="1"/>
  <c r="U47" i="1"/>
  <c r="S47" i="1"/>
  <c r="V47" i="1"/>
  <c r="S111" i="1"/>
  <c r="V111" i="1"/>
  <c r="U111" i="1"/>
  <c r="U167" i="1"/>
  <c r="V167" i="1"/>
  <c r="S167" i="1"/>
  <c r="U215" i="1"/>
  <c r="S215" i="1"/>
  <c r="V215" i="1"/>
  <c r="U263" i="1"/>
  <c r="S263" i="1"/>
  <c r="V263" i="1"/>
  <c r="S303" i="1"/>
  <c r="V303" i="1"/>
  <c r="U303" i="1"/>
  <c r="S351" i="1"/>
  <c r="U351" i="1"/>
  <c r="V351" i="1"/>
  <c r="U415" i="1"/>
  <c r="S415" i="1"/>
  <c r="V415" i="1"/>
  <c r="U463" i="1"/>
  <c r="V463" i="1"/>
  <c r="S463" i="1"/>
  <c r="U495" i="1"/>
  <c r="V495" i="1"/>
  <c r="S495" i="1"/>
  <c r="U535" i="1"/>
  <c r="V535" i="1"/>
  <c r="S535" i="1"/>
  <c r="S583" i="1"/>
  <c r="V583" i="1"/>
  <c r="U583" i="1"/>
  <c r="U607" i="1"/>
  <c r="V607" i="1"/>
  <c r="S607" i="1"/>
  <c r="U655" i="1"/>
  <c r="S655" i="1"/>
  <c r="V655" i="1"/>
  <c r="U711" i="1"/>
  <c r="V711" i="1"/>
  <c r="S711" i="1"/>
  <c r="U751" i="1"/>
  <c r="V751" i="1"/>
  <c r="S751" i="1"/>
  <c r="U783" i="1"/>
  <c r="S783" i="1"/>
  <c r="V783" i="1"/>
  <c r="V823" i="1"/>
  <c r="S823" i="1"/>
  <c r="U823" i="1"/>
  <c r="S855" i="1"/>
  <c r="S895" i="1"/>
  <c r="S927" i="1"/>
  <c r="S967" i="1"/>
  <c r="S1007" i="1"/>
  <c r="S1063" i="1"/>
  <c r="T15" i="1"/>
  <c r="W15" i="1"/>
  <c r="T63" i="1"/>
  <c r="W63" i="1"/>
  <c r="T103" i="1"/>
  <c r="W103" i="1"/>
  <c r="T143" i="1"/>
  <c r="W143" i="1"/>
  <c r="T191" i="1"/>
  <c r="W191" i="1"/>
  <c r="T231" i="1"/>
  <c r="W231" i="1"/>
  <c r="W287" i="1"/>
  <c r="T287" i="1"/>
  <c r="W319" i="1"/>
  <c r="T319" i="1"/>
  <c r="T367" i="1"/>
  <c r="W367" i="1"/>
  <c r="T415" i="1"/>
  <c r="W415" i="1"/>
  <c r="W447" i="1"/>
  <c r="T447" i="1"/>
  <c r="W495" i="1"/>
  <c r="T495" i="1"/>
  <c r="W519" i="1"/>
  <c r="T519" i="1"/>
  <c r="T567" i="1"/>
  <c r="W567" i="1"/>
  <c r="T607" i="1"/>
  <c r="W607" i="1"/>
  <c r="T655" i="1"/>
  <c r="W655" i="1"/>
  <c r="T687" i="1"/>
  <c r="W687" i="1"/>
  <c r="T727" i="1"/>
  <c r="W727" i="1"/>
  <c r="T783" i="1"/>
  <c r="W783" i="1"/>
  <c r="T823" i="1"/>
  <c r="W823" i="1"/>
  <c r="T871" i="1"/>
  <c r="T911" i="1"/>
  <c r="T959" i="1"/>
  <c r="T1007" i="1"/>
  <c r="T1031" i="1"/>
  <c r="T1087" i="1"/>
  <c r="W32" i="1"/>
  <c r="T32" i="1"/>
  <c r="W64" i="1"/>
  <c r="T64" i="1"/>
  <c r="T104" i="1"/>
  <c r="W104" i="1"/>
  <c r="W136" i="1"/>
  <c r="T136" i="1"/>
  <c r="W176" i="1"/>
  <c r="T176" i="1"/>
  <c r="W208" i="1"/>
  <c r="T208" i="1"/>
  <c r="T240" i="1"/>
  <c r="W240" i="1"/>
  <c r="W280" i="1"/>
  <c r="T280" i="1"/>
  <c r="T320" i="1"/>
  <c r="W320" i="1"/>
  <c r="T352" i="1"/>
  <c r="W352" i="1"/>
  <c r="W472" i="1"/>
  <c r="T472" i="1"/>
  <c r="V17" i="1"/>
  <c r="U17" i="1"/>
  <c r="S17" i="1"/>
  <c r="V41" i="1"/>
  <c r="U41" i="1"/>
  <c r="S41" i="1"/>
  <c r="V65" i="1"/>
  <c r="U65" i="1"/>
  <c r="S65" i="1"/>
  <c r="U89" i="1"/>
  <c r="V89" i="1"/>
  <c r="S89" i="1"/>
  <c r="U121" i="1"/>
  <c r="S121" i="1"/>
  <c r="V121" i="1"/>
  <c r="U145" i="1"/>
  <c r="S145" i="1"/>
  <c r="V145" i="1"/>
  <c r="U177" i="1"/>
  <c r="S177" i="1"/>
  <c r="V177" i="1"/>
  <c r="U185" i="1"/>
  <c r="S185" i="1"/>
  <c r="V185" i="1"/>
  <c r="U217" i="1"/>
  <c r="V217" i="1"/>
  <c r="S217" i="1"/>
  <c r="U241" i="1"/>
  <c r="S241" i="1"/>
  <c r="V241" i="1"/>
  <c r="V273" i="1"/>
  <c r="U273" i="1"/>
  <c r="S273" i="1"/>
  <c r="V297" i="1"/>
  <c r="U297" i="1"/>
  <c r="S297" i="1"/>
  <c r="V329" i="1"/>
  <c r="U329" i="1"/>
  <c r="S329" i="1"/>
  <c r="V361" i="1"/>
  <c r="U361" i="1"/>
  <c r="S361" i="1"/>
  <c r="V385" i="1"/>
  <c r="U385" i="1"/>
  <c r="S385" i="1"/>
  <c r="V417" i="1"/>
  <c r="S417" i="1"/>
  <c r="U417" i="1"/>
  <c r="S441" i="1"/>
  <c r="U473" i="1"/>
  <c r="S473" i="1"/>
  <c r="V473" i="1"/>
  <c r="U497" i="1"/>
  <c r="V497" i="1"/>
  <c r="S497" i="1"/>
  <c r="U529" i="1"/>
  <c r="V529" i="1"/>
  <c r="S529" i="1"/>
  <c r="U561" i="1"/>
  <c r="V561" i="1"/>
  <c r="S561" i="1"/>
  <c r="V585" i="1"/>
  <c r="U585" i="1"/>
  <c r="S585" i="1"/>
  <c r="V617" i="1"/>
  <c r="U617" i="1"/>
  <c r="S617" i="1"/>
  <c r="V649" i="1"/>
  <c r="U649" i="1"/>
  <c r="S649" i="1"/>
  <c r="V673" i="1"/>
  <c r="U673" i="1"/>
  <c r="S673" i="1"/>
  <c r="V705" i="1"/>
  <c r="U705" i="1"/>
  <c r="S705" i="1"/>
  <c r="U729" i="1"/>
  <c r="V729" i="1"/>
  <c r="S729" i="1"/>
  <c r="S753" i="1"/>
  <c r="V753" i="1"/>
  <c r="U753" i="1"/>
  <c r="V785" i="1"/>
  <c r="U785" i="1"/>
  <c r="S785" i="1"/>
  <c r="U809" i="1"/>
  <c r="V809" i="1"/>
  <c r="S809" i="1"/>
  <c r="V841" i="1"/>
  <c r="U841" i="1"/>
  <c r="S841" i="1"/>
  <c r="S873" i="1"/>
  <c r="S897" i="1"/>
  <c r="S929" i="1"/>
  <c r="S953" i="1"/>
  <c r="S985" i="1"/>
  <c r="S1001" i="1"/>
  <c r="S1025" i="1"/>
  <c r="S1057" i="1"/>
  <c r="S1089" i="1"/>
  <c r="S1113" i="1"/>
  <c r="S1137" i="1"/>
  <c r="S1161" i="1"/>
  <c r="R3" i="1"/>
  <c r="W25" i="1"/>
  <c r="T25" i="1"/>
  <c r="W49" i="1"/>
  <c r="T49" i="1"/>
  <c r="W81" i="1"/>
  <c r="T81" i="1"/>
  <c r="W97" i="1"/>
  <c r="T97" i="1"/>
  <c r="W121" i="1"/>
  <c r="T121" i="1"/>
  <c r="W145" i="1"/>
  <c r="T145" i="1"/>
  <c r="T169" i="1"/>
  <c r="W169" i="1"/>
  <c r="W185" i="1"/>
  <c r="T185" i="1"/>
  <c r="W209" i="1"/>
  <c r="T209" i="1"/>
  <c r="W225" i="1"/>
  <c r="T225" i="1"/>
  <c r="W249" i="1"/>
  <c r="T249" i="1"/>
  <c r="W273" i="1"/>
  <c r="T273" i="1"/>
  <c r="T297" i="1"/>
  <c r="W297" i="1"/>
  <c r="W313" i="1"/>
  <c r="T313" i="1"/>
  <c r="W337" i="1"/>
  <c r="T337" i="1"/>
  <c r="W361" i="1"/>
  <c r="T361" i="1"/>
  <c r="W385" i="1"/>
  <c r="T385" i="1"/>
  <c r="W409" i="1"/>
  <c r="T409" i="1"/>
  <c r="W425" i="1"/>
  <c r="T425" i="1"/>
  <c r="W449" i="1"/>
  <c r="T449" i="1"/>
  <c r="T473" i="1"/>
  <c r="W473" i="1"/>
  <c r="T505" i="1"/>
  <c r="W505" i="1"/>
  <c r="W521" i="1"/>
  <c r="T521" i="1"/>
  <c r="W545" i="1"/>
  <c r="T545" i="1"/>
  <c r="W569" i="1"/>
  <c r="T569" i="1"/>
  <c r="W593" i="1"/>
  <c r="T593" i="1"/>
  <c r="W625" i="1"/>
  <c r="T625" i="1"/>
  <c r="W649" i="1"/>
  <c r="T649" i="1"/>
  <c r="W673" i="1"/>
  <c r="T673" i="1"/>
  <c r="W697" i="1"/>
  <c r="T697" i="1"/>
  <c r="W713" i="1"/>
  <c r="T713" i="1"/>
  <c r="T745" i="1"/>
  <c r="W745" i="1"/>
  <c r="W769" i="1"/>
  <c r="T769" i="1"/>
  <c r="T793" i="1"/>
  <c r="W793" i="1"/>
  <c r="W809" i="1"/>
  <c r="T809" i="1"/>
  <c r="T833" i="1"/>
  <c r="W833" i="1"/>
  <c r="T857" i="1"/>
  <c r="T889" i="1"/>
  <c r="T913" i="1"/>
  <c r="T953" i="1"/>
  <c r="T977" i="1"/>
  <c r="T1001" i="1"/>
  <c r="T1025" i="1"/>
  <c r="T1049" i="1"/>
  <c r="T1081" i="1"/>
  <c r="T1137" i="1"/>
  <c r="U11" i="1"/>
  <c r="V11" i="1"/>
  <c r="S11" i="1"/>
  <c r="S83" i="1"/>
  <c r="V83" i="1"/>
  <c r="U83" i="1"/>
  <c r="S211" i="1"/>
  <c r="V339" i="1"/>
  <c r="U339" i="1"/>
  <c r="S339" i="1"/>
  <c r="U483" i="1"/>
  <c r="V483" i="1"/>
  <c r="S483" i="1"/>
  <c r="V643" i="1"/>
  <c r="U643" i="1"/>
  <c r="S643" i="1"/>
  <c r="S987" i="1"/>
  <c r="U19" i="1"/>
  <c r="V19" i="1"/>
  <c r="S19" i="1"/>
  <c r="S147" i="1"/>
  <c r="V147" i="1"/>
  <c r="U147" i="1"/>
  <c r="S259" i="1"/>
  <c r="U259" i="1"/>
  <c r="V259" i="1"/>
  <c r="S363" i="1"/>
  <c r="V363" i="1"/>
  <c r="U363" i="1"/>
  <c r="U459" i="1"/>
  <c r="S459" i="1"/>
  <c r="V459" i="1"/>
  <c r="U571" i="1"/>
  <c r="S571" i="1"/>
  <c r="V571" i="1"/>
  <c r="V667" i="1"/>
  <c r="U667" i="1"/>
  <c r="S667" i="1"/>
  <c r="V771" i="1"/>
  <c r="S771" i="1"/>
  <c r="U771" i="1"/>
  <c r="S859" i="1"/>
  <c r="S923" i="1"/>
  <c r="S1019" i="1"/>
  <c r="S1107" i="1"/>
  <c r="W11" i="1"/>
  <c r="T11" i="1"/>
  <c r="T19" i="1"/>
  <c r="W19" i="1"/>
  <c r="W27" i="1"/>
  <c r="T27" i="1"/>
  <c r="W35" i="1"/>
  <c r="T35" i="1"/>
  <c r="T43" i="1"/>
  <c r="W43" i="1"/>
  <c r="T51" i="1"/>
  <c r="W51" i="1"/>
  <c r="T59" i="1"/>
  <c r="W59" i="1"/>
  <c r="W67" i="1"/>
  <c r="T67" i="1"/>
  <c r="W75" i="1"/>
  <c r="T75" i="1"/>
  <c r="W83" i="1"/>
  <c r="T83" i="1"/>
  <c r="T91" i="1"/>
  <c r="W91" i="1"/>
  <c r="W99" i="1"/>
  <c r="T99" i="1"/>
  <c r="W107" i="1"/>
  <c r="T107" i="1"/>
  <c r="W115" i="1"/>
  <c r="T115" i="1"/>
  <c r="T123" i="1"/>
  <c r="W123" i="1"/>
  <c r="W131" i="1"/>
  <c r="T131" i="1"/>
  <c r="W139" i="1"/>
  <c r="T139" i="1"/>
  <c r="T147" i="1"/>
  <c r="W147" i="1"/>
  <c r="W155" i="1"/>
  <c r="T155" i="1"/>
  <c r="W163" i="1"/>
  <c r="T163" i="1"/>
  <c r="W171" i="1"/>
  <c r="T171" i="1"/>
  <c r="W179" i="1"/>
  <c r="T179" i="1"/>
  <c r="W187" i="1"/>
  <c r="T187" i="1"/>
  <c r="W195" i="1"/>
  <c r="T195" i="1"/>
  <c r="W203" i="1"/>
  <c r="T203" i="1"/>
  <c r="T211" i="1"/>
  <c r="W219" i="1"/>
  <c r="T219" i="1"/>
  <c r="W227" i="1"/>
  <c r="T227" i="1"/>
  <c r="W235" i="1"/>
  <c r="T235" i="1"/>
  <c r="W243" i="1"/>
  <c r="T243" i="1"/>
  <c r="W251" i="1"/>
  <c r="T251" i="1"/>
  <c r="T259" i="1"/>
  <c r="W259" i="1"/>
  <c r="W267" i="1"/>
  <c r="T267" i="1"/>
  <c r="W275" i="1"/>
  <c r="T275" i="1"/>
  <c r="W283" i="1"/>
  <c r="T283" i="1"/>
  <c r="T291" i="1"/>
  <c r="W291" i="1"/>
  <c r="W299" i="1"/>
  <c r="T299" i="1"/>
  <c r="W307" i="1"/>
  <c r="T307" i="1"/>
  <c r="W315" i="1"/>
  <c r="T315" i="1"/>
  <c r="W323" i="1"/>
  <c r="T323" i="1"/>
  <c r="W331" i="1"/>
  <c r="T331" i="1"/>
  <c r="W339" i="1"/>
  <c r="T339" i="1"/>
  <c r="W347" i="1"/>
  <c r="T347" i="1"/>
  <c r="W355" i="1"/>
  <c r="T355" i="1"/>
  <c r="W363" i="1"/>
  <c r="T363" i="1"/>
  <c r="W371" i="1"/>
  <c r="T371" i="1"/>
  <c r="W379" i="1"/>
  <c r="T379" i="1"/>
  <c r="W387" i="1"/>
  <c r="T387" i="1"/>
  <c r="W395" i="1"/>
  <c r="T395" i="1"/>
  <c r="W403" i="1"/>
  <c r="T403" i="1"/>
  <c r="T411" i="1"/>
  <c r="W419" i="1"/>
  <c r="T419" i="1"/>
  <c r="T427" i="1"/>
  <c r="T435" i="1"/>
  <c r="T443" i="1"/>
  <c r="W443" i="1"/>
  <c r="W451" i="1"/>
  <c r="T451" i="1"/>
  <c r="T459" i="1"/>
  <c r="W459" i="1"/>
  <c r="T467" i="1"/>
  <c r="W467" i="1"/>
  <c r="W475" i="1"/>
  <c r="T475" i="1"/>
  <c r="W483" i="1"/>
  <c r="T483" i="1"/>
  <c r="T491" i="1"/>
  <c r="W491" i="1"/>
  <c r="W499" i="1"/>
  <c r="T499" i="1"/>
  <c r="T507" i="1"/>
  <c r="W507" i="1"/>
  <c r="W515" i="1"/>
  <c r="T515" i="1"/>
  <c r="T523" i="1"/>
  <c r="W523" i="1"/>
  <c r="W531" i="1"/>
  <c r="T531" i="1"/>
  <c r="W539" i="1"/>
  <c r="T539" i="1"/>
  <c r="W547" i="1"/>
  <c r="T547" i="1"/>
  <c r="T555" i="1"/>
  <c r="W555" i="1"/>
  <c r="T563" i="1"/>
  <c r="W563" i="1"/>
  <c r="T571" i="1"/>
  <c r="W571" i="1"/>
  <c r="T579" i="1"/>
  <c r="W587" i="1"/>
  <c r="T587" i="1"/>
  <c r="W595" i="1"/>
  <c r="T595" i="1"/>
  <c r="W603" i="1"/>
  <c r="T603" i="1"/>
  <c r="T611" i="1"/>
  <c r="W611" i="1"/>
  <c r="W619" i="1"/>
  <c r="T619" i="1"/>
  <c r="W627" i="1"/>
  <c r="T627" i="1"/>
  <c r="W635" i="1"/>
  <c r="T635" i="1"/>
  <c r="W643" i="1"/>
  <c r="T643" i="1"/>
  <c r="T651" i="1"/>
  <c r="W651" i="1"/>
  <c r="W659" i="1"/>
  <c r="T659" i="1"/>
  <c r="W667" i="1"/>
  <c r="T667" i="1"/>
  <c r="T675" i="1"/>
  <c r="W675" i="1"/>
  <c r="W683" i="1"/>
  <c r="T683" i="1"/>
  <c r="T691" i="1"/>
  <c r="W691" i="1"/>
  <c r="W699" i="1"/>
  <c r="T699" i="1"/>
  <c r="W707" i="1"/>
  <c r="T707" i="1"/>
  <c r="T715" i="1"/>
  <c r="W723" i="1"/>
  <c r="T723" i="1"/>
  <c r="W731" i="1"/>
  <c r="T731" i="1"/>
  <c r="T739" i="1"/>
  <c r="W739" i="1"/>
  <c r="W747" i="1"/>
  <c r="T747" i="1"/>
  <c r="T755" i="1"/>
  <c r="W763" i="1"/>
  <c r="T763" i="1"/>
  <c r="T771" i="1"/>
  <c r="W771" i="1"/>
  <c r="T779" i="1"/>
  <c r="T787" i="1"/>
  <c r="W787" i="1"/>
  <c r="W795" i="1"/>
  <c r="T795" i="1"/>
  <c r="W803" i="1"/>
  <c r="T803" i="1"/>
  <c r="W811" i="1"/>
  <c r="T811" i="1"/>
  <c r="W819" i="1"/>
  <c r="T819" i="1"/>
  <c r="T827" i="1"/>
  <c r="W827" i="1"/>
  <c r="W835" i="1"/>
  <c r="T835" i="1"/>
  <c r="W843" i="1"/>
  <c r="T843" i="1"/>
  <c r="T851" i="1"/>
  <c r="T859" i="1"/>
  <c r="T867" i="1"/>
  <c r="T875" i="1"/>
  <c r="T883" i="1"/>
  <c r="T891" i="1"/>
  <c r="T899" i="1"/>
  <c r="T907" i="1"/>
  <c r="T915" i="1"/>
  <c r="T923" i="1"/>
  <c r="T931" i="1"/>
  <c r="T939" i="1"/>
  <c r="T947" i="1"/>
  <c r="T955" i="1"/>
  <c r="T963" i="1"/>
  <c r="T971" i="1"/>
  <c r="T979" i="1"/>
  <c r="T987" i="1"/>
  <c r="T995" i="1"/>
  <c r="T1003" i="1"/>
  <c r="T1011" i="1"/>
  <c r="T1019" i="1"/>
  <c r="T1027" i="1"/>
  <c r="T1035" i="1"/>
  <c r="T1043" i="1"/>
  <c r="T1051" i="1"/>
  <c r="T1059" i="1"/>
  <c r="T1067" i="1"/>
  <c r="T1075" i="1"/>
  <c r="T1083" i="1"/>
  <c r="T1091" i="1"/>
  <c r="T1099" i="1"/>
  <c r="T1107" i="1"/>
  <c r="T1115" i="1"/>
  <c r="T1123" i="1"/>
  <c r="T1131" i="1"/>
  <c r="T1139" i="1"/>
  <c r="T1147" i="1"/>
  <c r="T1155" i="1"/>
  <c r="U139" i="1"/>
  <c r="V139" i="1"/>
  <c r="S139" i="1"/>
  <c r="V251" i="1"/>
  <c r="U251" i="1"/>
  <c r="S251" i="1"/>
  <c r="V355" i="1"/>
  <c r="U355" i="1"/>
  <c r="S355" i="1"/>
  <c r="U475" i="1"/>
  <c r="V475" i="1"/>
  <c r="S475" i="1"/>
  <c r="S587" i="1"/>
  <c r="V587" i="1"/>
  <c r="U587" i="1"/>
  <c r="S683" i="1"/>
  <c r="V683" i="1"/>
  <c r="U683" i="1"/>
  <c r="V763" i="1"/>
  <c r="U763" i="1"/>
  <c r="S763" i="1"/>
  <c r="S851" i="1"/>
  <c r="S931" i="1"/>
  <c r="S1011" i="1"/>
  <c r="S1083" i="1"/>
  <c r="V12" i="1"/>
  <c r="U12" i="1"/>
  <c r="S12" i="1"/>
  <c r="V28" i="1"/>
  <c r="U28" i="1"/>
  <c r="S28" i="1"/>
  <c r="V44" i="1"/>
  <c r="U44" i="1"/>
  <c r="S44" i="1"/>
  <c r="V60" i="1"/>
  <c r="U60" i="1"/>
  <c r="S60" i="1"/>
  <c r="U76" i="1"/>
  <c r="V76" i="1"/>
  <c r="S76" i="1"/>
  <c r="U84" i="1"/>
  <c r="V84" i="1"/>
  <c r="S84" i="1"/>
  <c r="U100" i="1"/>
  <c r="S100" i="1"/>
  <c r="V100" i="1"/>
  <c r="U116" i="1"/>
  <c r="V116" i="1"/>
  <c r="S116" i="1"/>
  <c r="V132" i="1"/>
  <c r="S132" i="1"/>
  <c r="U132" i="1"/>
  <c r="V148" i="1"/>
  <c r="U148" i="1"/>
  <c r="S148" i="1"/>
  <c r="V156" i="1"/>
  <c r="S156" i="1"/>
  <c r="U156" i="1"/>
  <c r="V172" i="1"/>
  <c r="S172" i="1"/>
  <c r="U172" i="1"/>
  <c r="V196" i="1"/>
  <c r="S196" i="1"/>
  <c r="U196" i="1"/>
  <c r="V212" i="1"/>
  <c r="U212" i="1"/>
  <c r="S212" i="1"/>
  <c r="V236" i="1"/>
  <c r="U236" i="1"/>
  <c r="S236" i="1"/>
  <c r="V260" i="1"/>
  <c r="U260" i="1"/>
  <c r="S260" i="1"/>
  <c r="V284" i="1"/>
  <c r="U284" i="1"/>
  <c r="S284" i="1"/>
  <c r="S308" i="1"/>
  <c r="U332" i="1"/>
  <c r="S332" i="1"/>
  <c r="V332" i="1"/>
  <c r="U356" i="1"/>
  <c r="S356" i="1"/>
  <c r="V356" i="1"/>
  <c r="U380" i="1"/>
  <c r="S380" i="1"/>
  <c r="V380" i="1"/>
  <c r="U396" i="1"/>
  <c r="S396" i="1"/>
  <c r="V396" i="1"/>
  <c r="U420" i="1"/>
  <c r="V420" i="1"/>
  <c r="S420" i="1"/>
  <c r="V436" i="1"/>
  <c r="U436" i="1"/>
  <c r="S436" i="1"/>
  <c r="U460" i="1"/>
  <c r="S460" i="1"/>
  <c r="V460" i="1"/>
  <c r="S484" i="1"/>
  <c r="U484" i="1"/>
  <c r="V484" i="1"/>
  <c r="V508" i="1"/>
  <c r="U508" i="1"/>
  <c r="S508" i="1"/>
  <c r="S524" i="1"/>
  <c r="U524" i="1"/>
  <c r="V524" i="1"/>
  <c r="S548" i="1"/>
  <c r="V548" i="1"/>
  <c r="U548" i="1"/>
  <c r="V572" i="1"/>
  <c r="S572" i="1"/>
  <c r="U572" i="1"/>
  <c r="V604" i="1"/>
  <c r="S604" i="1"/>
  <c r="U604" i="1"/>
  <c r="V628" i="1"/>
  <c r="S628" i="1"/>
  <c r="U628" i="1"/>
  <c r="V652" i="1"/>
  <c r="U652" i="1"/>
  <c r="S652" i="1"/>
  <c r="V684" i="1"/>
  <c r="U684" i="1"/>
  <c r="S684" i="1"/>
  <c r="V708" i="1"/>
  <c r="U708" i="1"/>
  <c r="S708" i="1"/>
  <c r="V724" i="1"/>
  <c r="S724" i="1"/>
  <c r="U724" i="1"/>
  <c r="V748" i="1"/>
  <c r="U748" i="1"/>
  <c r="S748" i="1"/>
  <c r="V764" i="1"/>
  <c r="U764" i="1"/>
  <c r="S764" i="1"/>
  <c r="S796" i="1"/>
  <c r="V796" i="1"/>
  <c r="U796" i="1"/>
  <c r="S820" i="1"/>
  <c r="U820" i="1"/>
  <c r="V820" i="1"/>
  <c r="S844" i="1"/>
  <c r="S868" i="1"/>
  <c r="S892" i="1"/>
  <c r="S916" i="1"/>
  <c r="S948" i="1"/>
  <c r="S972" i="1"/>
  <c r="S996" i="1"/>
  <c r="S1020" i="1"/>
  <c r="S1052" i="1"/>
  <c r="S1076" i="1"/>
  <c r="S1100" i="1"/>
  <c r="S1124" i="1"/>
  <c r="S1140" i="1"/>
  <c r="S1156" i="1"/>
  <c r="U59" i="1"/>
  <c r="V59" i="1"/>
  <c r="S59" i="1"/>
  <c r="V99" i="1"/>
  <c r="U99" i="1"/>
  <c r="S99" i="1"/>
  <c r="V171" i="1"/>
  <c r="U171" i="1"/>
  <c r="S171" i="1"/>
  <c r="V243" i="1"/>
  <c r="U243" i="1"/>
  <c r="S243" i="1"/>
  <c r="S291" i="1"/>
  <c r="V291" i="1"/>
  <c r="U291" i="1"/>
  <c r="S371" i="1"/>
  <c r="V371" i="1"/>
  <c r="U371" i="1"/>
  <c r="V387" i="1"/>
  <c r="U387" i="1"/>
  <c r="S387" i="1"/>
  <c r="V507" i="1"/>
  <c r="U507" i="1"/>
  <c r="S507" i="1"/>
  <c r="V619" i="1"/>
  <c r="U619" i="1"/>
  <c r="S619" i="1"/>
  <c r="U723" i="1"/>
  <c r="V723" i="1"/>
  <c r="S723" i="1"/>
  <c r="V819" i="1"/>
  <c r="U819" i="1"/>
  <c r="S819" i="1"/>
  <c r="S867" i="1"/>
  <c r="S947" i="1"/>
  <c r="S1035" i="1"/>
  <c r="S1115" i="1"/>
  <c r="V4" i="1"/>
  <c r="U4" i="1"/>
  <c r="S4" i="1"/>
  <c r="V20" i="1"/>
  <c r="U20" i="1"/>
  <c r="S20" i="1"/>
  <c r="V36" i="1"/>
  <c r="U36" i="1"/>
  <c r="S36" i="1"/>
  <c r="V52" i="1"/>
  <c r="U52" i="1"/>
  <c r="S52" i="1"/>
  <c r="U68" i="1"/>
  <c r="V68" i="1"/>
  <c r="S68" i="1"/>
  <c r="U92" i="1"/>
  <c r="V92" i="1"/>
  <c r="S92" i="1"/>
  <c r="U108" i="1"/>
  <c r="V108" i="1"/>
  <c r="S108" i="1"/>
  <c r="U124" i="1"/>
  <c r="V124" i="1"/>
  <c r="S124" i="1"/>
  <c r="V140" i="1"/>
  <c r="U140" i="1"/>
  <c r="S140" i="1"/>
  <c r="V164" i="1"/>
  <c r="S164" i="1"/>
  <c r="U164" i="1"/>
  <c r="V188" i="1"/>
  <c r="S188" i="1"/>
  <c r="U188" i="1"/>
  <c r="V220" i="1"/>
  <c r="U220" i="1"/>
  <c r="S220" i="1"/>
  <c r="V244" i="1"/>
  <c r="U244" i="1"/>
  <c r="S244" i="1"/>
  <c r="V268" i="1"/>
  <c r="U268" i="1"/>
  <c r="S268" i="1"/>
  <c r="S292" i="1"/>
  <c r="U316" i="1"/>
  <c r="S316" i="1"/>
  <c r="V316" i="1"/>
  <c r="U340" i="1"/>
  <c r="S340" i="1"/>
  <c r="V340" i="1"/>
  <c r="U364" i="1"/>
  <c r="S364" i="1"/>
  <c r="V364" i="1"/>
  <c r="U388" i="1"/>
  <c r="S388" i="1"/>
  <c r="V388" i="1"/>
  <c r="V412" i="1"/>
  <c r="U412" i="1"/>
  <c r="S412" i="1"/>
  <c r="V444" i="1"/>
  <c r="U444" i="1"/>
  <c r="S444" i="1"/>
  <c r="V468" i="1"/>
  <c r="U468" i="1"/>
  <c r="S468" i="1"/>
  <c r="U492" i="1"/>
  <c r="S492" i="1"/>
  <c r="V492" i="1"/>
  <c r="S516" i="1"/>
  <c r="V516" i="1"/>
  <c r="U516" i="1"/>
  <c r="V540" i="1"/>
  <c r="U540" i="1"/>
  <c r="S540" i="1"/>
  <c r="V564" i="1"/>
  <c r="U564" i="1"/>
  <c r="S564" i="1"/>
  <c r="V580" i="1"/>
  <c r="U580" i="1"/>
  <c r="S580" i="1"/>
  <c r="V596" i="1"/>
  <c r="U596" i="1"/>
  <c r="S596" i="1"/>
  <c r="V620" i="1"/>
  <c r="U620" i="1"/>
  <c r="S620" i="1"/>
  <c r="V644" i="1"/>
  <c r="U644" i="1"/>
  <c r="S644" i="1"/>
  <c r="V668" i="1"/>
  <c r="U668" i="1"/>
  <c r="S668" i="1"/>
  <c r="V692" i="1"/>
  <c r="S692" i="1"/>
  <c r="U692" i="1"/>
  <c r="V716" i="1"/>
  <c r="U716" i="1"/>
  <c r="S716" i="1"/>
  <c r="V740" i="1"/>
  <c r="U740" i="1"/>
  <c r="S740" i="1"/>
  <c r="V772" i="1"/>
  <c r="U772" i="1"/>
  <c r="S772" i="1"/>
  <c r="S788" i="1"/>
  <c r="U788" i="1"/>
  <c r="V788" i="1"/>
  <c r="S804" i="1"/>
  <c r="V804" i="1"/>
  <c r="U804" i="1"/>
  <c r="S828" i="1"/>
  <c r="V828" i="1"/>
  <c r="U828" i="1"/>
  <c r="S852" i="1"/>
  <c r="S876" i="1"/>
  <c r="S900" i="1"/>
  <c r="S924" i="1"/>
  <c r="S940" i="1"/>
  <c r="S964" i="1"/>
  <c r="S980" i="1"/>
  <c r="S1004" i="1"/>
  <c r="S1028" i="1"/>
  <c r="S1044" i="1"/>
  <c r="S1068" i="1"/>
  <c r="S1108" i="1"/>
  <c r="S1132" i="1"/>
  <c r="W4" i="1"/>
  <c r="T4" i="1"/>
  <c r="W12" i="1"/>
  <c r="T12" i="1"/>
  <c r="W20" i="1"/>
  <c r="T20" i="1"/>
  <c r="W28" i="1"/>
  <c r="T28" i="1"/>
  <c r="W36" i="1"/>
  <c r="T36" i="1"/>
  <c r="W44" i="1"/>
  <c r="T44" i="1"/>
  <c r="W52" i="1"/>
  <c r="T52" i="1"/>
  <c r="W60" i="1"/>
  <c r="T60" i="1"/>
  <c r="W68" i="1"/>
  <c r="T68" i="1"/>
  <c r="W76" i="1"/>
  <c r="T76" i="1"/>
  <c r="T84" i="1"/>
  <c r="W84" i="1"/>
  <c r="T92" i="1"/>
  <c r="W92" i="1"/>
  <c r="W100" i="1"/>
  <c r="T100" i="1"/>
  <c r="W108" i="1"/>
  <c r="T108" i="1"/>
  <c r="W116" i="1"/>
  <c r="T116" i="1"/>
  <c r="T124" i="1"/>
  <c r="W124" i="1"/>
  <c r="T132" i="1"/>
  <c r="W132" i="1"/>
  <c r="W140" i="1"/>
  <c r="T140" i="1"/>
  <c r="W148" i="1"/>
  <c r="T148" i="1"/>
  <c r="T156" i="1"/>
  <c r="W156" i="1"/>
  <c r="W164" i="1"/>
  <c r="T164" i="1"/>
  <c r="T172" i="1"/>
  <c r="W172" i="1"/>
  <c r="T180" i="1"/>
  <c r="W180" i="1"/>
  <c r="W188" i="1"/>
  <c r="T188" i="1"/>
  <c r="W196" i="1"/>
  <c r="T196" i="1"/>
  <c r="W204" i="1"/>
  <c r="T204" i="1"/>
  <c r="W212" i="1"/>
  <c r="T212" i="1"/>
  <c r="W220" i="1"/>
  <c r="T220" i="1"/>
  <c r="W228" i="1"/>
  <c r="T228" i="1"/>
  <c r="W236" i="1"/>
  <c r="T236" i="1"/>
  <c r="W244" i="1"/>
  <c r="T244" i="1"/>
  <c r="W252" i="1"/>
  <c r="T252" i="1"/>
  <c r="W260" i="1"/>
  <c r="T260" i="1"/>
  <c r="W268" i="1"/>
  <c r="T268" i="1"/>
  <c r="T276" i="1"/>
  <c r="W276" i="1"/>
  <c r="T284" i="1"/>
  <c r="W284" i="1"/>
  <c r="T292" i="1"/>
  <c r="T300" i="1"/>
  <c r="W300" i="1"/>
  <c r="T308" i="1"/>
  <c r="T316" i="1"/>
  <c r="W316" i="1"/>
  <c r="T324" i="1"/>
  <c r="W324" i="1"/>
  <c r="T332" i="1"/>
  <c r="W332" i="1"/>
  <c r="T340" i="1"/>
  <c r="W340" i="1"/>
  <c r="T348" i="1"/>
  <c r="W348" i="1"/>
  <c r="T356" i="1"/>
  <c r="W356" i="1"/>
  <c r="T364" i="1"/>
  <c r="W364" i="1"/>
  <c r="T372" i="1"/>
  <c r="W372" i="1"/>
  <c r="T380" i="1"/>
  <c r="W380" i="1"/>
  <c r="T388" i="1"/>
  <c r="W388" i="1"/>
  <c r="T396" i="1"/>
  <c r="W396" i="1"/>
  <c r="T404" i="1"/>
  <c r="W404" i="1"/>
  <c r="T412" i="1"/>
  <c r="W412" i="1"/>
  <c r="W420" i="1"/>
  <c r="T420" i="1"/>
  <c r="W428" i="1"/>
  <c r="T428" i="1"/>
  <c r="W436" i="1"/>
  <c r="T436" i="1"/>
  <c r="W444" i="1"/>
  <c r="T444" i="1"/>
  <c r="W452" i="1"/>
  <c r="T452" i="1"/>
  <c r="W460" i="1"/>
  <c r="T460" i="1"/>
  <c r="W468" i="1"/>
  <c r="T468" i="1"/>
  <c r="W476" i="1"/>
  <c r="T476" i="1"/>
  <c r="W484" i="1"/>
  <c r="T484" i="1"/>
  <c r="W492" i="1"/>
  <c r="T492" i="1"/>
  <c r="W500" i="1"/>
  <c r="T500" i="1"/>
  <c r="W508" i="1"/>
  <c r="T508" i="1"/>
  <c r="W516" i="1"/>
  <c r="T516" i="1"/>
  <c r="W524" i="1"/>
  <c r="T524" i="1"/>
  <c r="W532" i="1"/>
  <c r="T532" i="1"/>
  <c r="W540" i="1"/>
  <c r="T540" i="1"/>
  <c r="W548" i="1"/>
  <c r="T548" i="1"/>
  <c r="W556" i="1"/>
  <c r="T556" i="1"/>
  <c r="W564" i="1"/>
  <c r="T564" i="1"/>
  <c r="W572" i="1"/>
  <c r="T572" i="1"/>
  <c r="W580" i="1"/>
  <c r="T580" i="1"/>
  <c r="T588" i="1"/>
  <c r="W588" i="1"/>
  <c r="W596" i="1"/>
  <c r="T596" i="1"/>
  <c r="W604" i="1"/>
  <c r="T604" i="1"/>
  <c r="W612" i="1"/>
  <c r="T612" i="1"/>
  <c r="W620" i="1"/>
  <c r="T620" i="1"/>
  <c r="W628" i="1"/>
  <c r="T628" i="1"/>
  <c r="W636" i="1"/>
  <c r="T636" i="1"/>
  <c r="W644" i="1"/>
  <c r="T644" i="1"/>
  <c r="W652" i="1"/>
  <c r="T652" i="1"/>
  <c r="W660" i="1"/>
  <c r="T660" i="1"/>
  <c r="W668" i="1"/>
  <c r="T668" i="1"/>
  <c r="W676" i="1"/>
  <c r="T676" i="1"/>
  <c r="W684" i="1"/>
  <c r="T684" i="1"/>
  <c r="W692" i="1"/>
  <c r="T692" i="1"/>
  <c r="W700" i="1"/>
  <c r="T700" i="1"/>
  <c r="W708" i="1"/>
  <c r="T708" i="1"/>
  <c r="W716" i="1"/>
  <c r="T716" i="1"/>
  <c r="W724" i="1"/>
  <c r="T724" i="1"/>
  <c r="W732" i="1"/>
  <c r="T732" i="1"/>
  <c r="W740" i="1"/>
  <c r="T740" i="1"/>
  <c r="W748" i="1"/>
  <c r="T748" i="1"/>
  <c r="W756" i="1"/>
  <c r="T756" i="1"/>
  <c r="W764" i="1"/>
  <c r="T764" i="1"/>
  <c r="W772" i="1"/>
  <c r="T772" i="1"/>
  <c r="W780" i="1"/>
  <c r="T780" i="1"/>
  <c r="W788" i="1"/>
  <c r="T788" i="1"/>
  <c r="W796" i="1"/>
  <c r="T796" i="1"/>
  <c r="W804" i="1"/>
  <c r="T804" i="1"/>
  <c r="W812" i="1"/>
  <c r="T812" i="1"/>
  <c r="T820" i="1"/>
  <c r="W820" i="1"/>
  <c r="T828" i="1"/>
  <c r="W828" i="1"/>
  <c r="T836" i="1"/>
  <c r="W836" i="1"/>
  <c r="T844" i="1"/>
  <c r="T852" i="1"/>
  <c r="T860" i="1"/>
  <c r="T868" i="1"/>
  <c r="T876" i="1"/>
  <c r="T884" i="1"/>
  <c r="T892" i="1"/>
  <c r="T900" i="1"/>
  <c r="T908" i="1"/>
  <c r="T916" i="1"/>
  <c r="T924" i="1"/>
  <c r="T932" i="1"/>
  <c r="T940" i="1"/>
  <c r="T948" i="1"/>
  <c r="T956" i="1"/>
  <c r="T964" i="1"/>
  <c r="T972" i="1"/>
  <c r="T980" i="1"/>
  <c r="T988" i="1"/>
  <c r="T996" i="1"/>
  <c r="T1004" i="1"/>
  <c r="T1012" i="1"/>
  <c r="T1020" i="1"/>
  <c r="T1028" i="1"/>
  <c r="T1036" i="1"/>
  <c r="T1044" i="1"/>
  <c r="T1052" i="1"/>
  <c r="T1060" i="1"/>
  <c r="T1068" i="1"/>
  <c r="T1076" i="1"/>
  <c r="T1084" i="1"/>
  <c r="T1092" i="1"/>
  <c r="T1100" i="1"/>
  <c r="T1108" i="1"/>
  <c r="T1116" i="1"/>
  <c r="T1124" i="1"/>
  <c r="T1132" i="1"/>
  <c r="T1140" i="1"/>
  <c r="T1148" i="1"/>
  <c r="T1156" i="1"/>
  <c r="S123" i="1"/>
  <c r="U123" i="1"/>
  <c r="V123" i="1"/>
  <c r="S203" i="1"/>
  <c r="V203" i="1"/>
  <c r="U203" i="1"/>
  <c r="V299" i="1"/>
  <c r="U299" i="1"/>
  <c r="S299" i="1"/>
  <c r="S411" i="1"/>
  <c r="S531" i="1"/>
  <c r="V531" i="1"/>
  <c r="U531" i="1"/>
  <c r="V627" i="1"/>
  <c r="U627" i="1"/>
  <c r="S627" i="1"/>
  <c r="V731" i="1"/>
  <c r="U731" i="1"/>
  <c r="S731" i="1"/>
  <c r="S827" i="1"/>
  <c r="U827" i="1"/>
  <c r="V827" i="1"/>
  <c r="S915" i="1"/>
  <c r="S1027" i="1"/>
  <c r="V180" i="1"/>
  <c r="S180" i="1"/>
  <c r="U180" i="1"/>
  <c r="V204" i="1"/>
  <c r="S204" i="1"/>
  <c r="U204" i="1"/>
  <c r="V228" i="1"/>
  <c r="U228" i="1"/>
  <c r="S228" i="1"/>
  <c r="V252" i="1"/>
  <c r="U252" i="1"/>
  <c r="S252" i="1"/>
  <c r="U276" i="1"/>
  <c r="V276" i="1"/>
  <c r="S276" i="1"/>
  <c r="U300" i="1"/>
  <c r="V300" i="1"/>
  <c r="S300" i="1"/>
  <c r="U324" i="1"/>
  <c r="S324" i="1"/>
  <c r="V324" i="1"/>
  <c r="U348" i="1"/>
  <c r="S348" i="1"/>
  <c r="V348" i="1"/>
  <c r="U372" i="1"/>
  <c r="S372" i="1"/>
  <c r="V372" i="1"/>
  <c r="U404" i="1"/>
  <c r="S404" i="1"/>
  <c r="V404" i="1"/>
  <c r="V428" i="1"/>
  <c r="U428" i="1"/>
  <c r="S428" i="1"/>
  <c r="S452" i="1"/>
  <c r="V452" i="1"/>
  <c r="U452" i="1"/>
  <c r="V476" i="1"/>
  <c r="U476" i="1"/>
  <c r="S476" i="1"/>
  <c r="S500" i="1"/>
  <c r="U500" i="1"/>
  <c r="V500" i="1"/>
  <c r="V532" i="1"/>
  <c r="U532" i="1"/>
  <c r="S532" i="1"/>
  <c r="V556" i="1"/>
  <c r="U556" i="1"/>
  <c r="S556" i="1"/>
  <c r="V588" i="1"/>
  <c r="U588" i="1"/>
  <c r="S588" i="1"/>
  <c r="V612" i="1"/>
  <c r="S612" i="1"/>
  <c r="U612" i="1"/>
  <c r="V636" i="1"/>
  <c r="U636" i="1"/>
  <c r="S636" i="1"/>
  <c r="V660" i="1"/>
  <c r="U660" i="1"/>
  <c r="S660" i="1"/>
  <c r="V676" i="1"/>
  <c r="U676" i="1"/>
  <c r="S676" i="1"/>
  <c r="V700" i="1"/>
  <c r="U700" i="1"/>
  <c r="S700" i="1"/>
  <c r="V732" i="1"/>
  <c r="U732" i="1"/>
  <c r="S732" i="1"/>
  <c r="V756" i="1"/>
  <c r="U756" i="1"/>
  <c r="S756" i="1"/>
  <c r="V780" i="1"/>
  <c r="U780" i="1"/>
  <c r="S780" i="1"/>
  <c r="S812" i="1"/>
  <c r="V812" i="1"/>
  <c r="U812" i="1"/>
  <c r="S836" i="1"/>
  <c r="U836" i="1"/>
  <c r="V836" i="1"/>
  <c r="S860" i="1"/>
  <c r="S884" i="1"/>
  <c r="S908" i="1"/>
  <c r="S932" i="1"/>
  <c r="S956" i="1"/>
  <c r="S988" i="1"/>
  <c r="S1012" i="1"/>
  <c r="S1036" i="1"/>
  <c r="S1060" i="1"/>
  <c r="S1084" i="1"/>
  <c r="S1092" i="1"/>
  <c r="S1116" i="1"/>
  <c r="S1148" i="1"/>
  <c r="V5" i="1"/>
  <c r="U5" i="1"/>
  <c r="S5" i="1"/>
  <c r="V13" i="1"/>
  <c r="U13" i="1"/>
  <c r="S13" i="1"/>
  <c r="V21" i="1"/>
  <c r="U21" i="1"/>
  <c r="S21" i="1"/>
  <c r="U29" i="1"/>
  <c r="V29" i="1"/>
  <c r="S29" i="1"/>
  <c r="V37" i="1"/>
  <c r="U37" i="1"/>
  <c r="S37" i="1"/>
  <c r="U45" i="1"/>
  <c r="S45" i="1"/>
  <c r="V45" i="1"/>
  <c r="S53" i="1"/>
  <c r="V53" i="1"/>
  <c r="U53" i="1"/>
  <c r="U61" i="1"/>
  <c r="S61" i="1"/>
  <c r="V61" i="1"/>
  <c r="U69" i="1"/>
  <c r="V69" i="1"/>
  <c r="S69" i="1"/>
  <c r="U77" i="1"/>
  <c r="S77" i="1"/>
  <c r="V77" i="1"/>
  <c r="V85" i="1"/>
  <c r="U85" i="1"/>
  <c r="S85" i="1"/>
  <c r="V93" i="1"/>
  <c r="S93" i="1"/>
  <c r="U93" i="1"/>
  <c r="V101" i="1"/>
  <c r="S101" i="1"/>
  <c r="U101" i="1"/>
  <c r="V109" i="1"/>
  <c r="S109" i="1"/>
  <c r="U109" i="1"/>
  <c r="S117" i="1"/>
  <c r="V117" i="1"/>
  <c r="U117" i="1"/>
  <c r="V125" i="1"/>
  <c r="U125" i="1"/>
  <c r="S125" i="1"/>
  <c r="U133" i="1"/>
  <c r="S133" i="1"/>
  <c r="V133" i="1"/>
  <c r="U141" i="1"/>
  <c r="V141" i="1"/>
  <c r="S141" i="1"/>
  <c r="V149" i="1"/>
  <c r="U149" i="1"/>
  <c r="S149" i="1"/>
  <c r="V157" i="1"/>
  <c r="S157" i="1"/>
  <c r="U157" i="1"/>
  <c r="V165" i="1"/>
  <c r="U165" i="1"/>
  <c r="S165" i="1"/>
  <c r="V173" i="1"/>
  <c r="U173" i="1"/>
  <c r="S173" i="1"/>
  <c r="V181" i="1"/>
  <c r="U181" i="1"/>
  <c r="S181" i="1"/>
  <c r="U189" i="1"/>
  <c r="S189" i="1"/>
  <c r="V189" i="1"/>
  <c r="V197" i="1"/>
  <c r="U197" i="1"/>
  <c r="S197" i="1"/>
  <c r="V205" i="1"/>
  <c r="U205" i="1"/>
  <c r="S205" i="1"/>
  <c r="S213" i="1"/>
  <c r="V213" i="1"/>
  <c r="U213" i="1"/>
  <c r="V221" i="1"/>
  <c r="U221" i="1"/>
  <c r="S221" i="1"/>
  <c r="S229" i="1"/>
  <c r="V229" i="1"/>
  <c r="U229" i="1"/>
  <c r="S237" i="1"/>
  <c r="U237" i="1"/>
  <c r="V237" i="1"/>
  <c r="S245" i="1"/>
  <c r="U245" i="1"/>
  <c r="V245" i="1"/>
  <c r="V253" i="1"/>
  <c r="S253" i="1"/>
  <c r="U253" i="1"/>
  <c r="U261" i="1"/>
  <c r="S261" i="1"/>
  <c r="V261" i="1"/>
  <c r="V269" i="1"/>
  <c r="S269" i="1"/>
  <c r="U269" i="1"/>
  <c r="S277" i="1"/>
  <c r="U277" i="1"/>
  <c r="V277" i="1"/>
  <c r="V285" i="1"/>
  <c r="U285" i="1"/>
  <c r="S285" i="1"/>
  <c r="U293" i="1"/>
  <c r="V293" i="1"/>
  <c r="S293" i="1"/>
  <c r="V301" i="1"/>
  <c r="U301" i="1"/>
  <c r="S301" i="1"/>
  <c r="V309" i="1"/>
  <c r="U309" i="1"/>
  <c r="S309" i="1"/>
  <c r="S317" i="1"/>
  <c r="V317" i="1"/>
  <c r="U317" i="1"/>
  <c r="V325" i="1"/>
  <c r="S325" i="1"/>
  <c r="U325" i="1"/>
  <c r="U333" i="1"/>
  <c r="S333" i="1"/>
  <c r="V333" i="1"/>
  <c r="V341" i="1"/>
  <c r="U341" i="1"/>
  <c r="S341" i="1"/>
  <c r="S349" i="1"/>
  <c r="V349" i="1"/>
  <c r="U349" i="1"/>
  <c r="V357" i="1"/>
  <c r="U357" i="1"/>
  <c r="S357" i="1"/>
  <c r="U365" i="1"/>
  <c r="S365" i="1"/>
  <c r="V365" i="1"/>
  <c r="V373" i="1"/>
  <c r="U373" i="1"/>
  <c r="S373" i="1"/>
  <c r="S381" i="1"/>
  <c r="V381" i="1"/>
  <c r="U381" i="1"/>
  <c r="U389" i="1"/>
  <c r="S389" i="1"/>
  <c r="V389" i="1"/>
  <c r="S397" i="1"/>
  <c r="V397" i="1"/>
  <c r="U397" i="1"/>
  <c r="V405" i="1"/>
  <c r="U405" i="1"/>
  <c r="S405" i="1"/>
  <c r="U413" i="1"/>
  <c r="S413" i="1"/>
  <c r="V413" i="1"/>
  <c r="S421" i="1"/>
  <c r="V421" i="1"/>
  <c r="U421" i="1"/>
  <c r="U429" i="1"/>
  <c r="S429" i="1"/>
  <c r="V429" i="1"/>
  <c r="U437" i="1"/>
  <c r="S437" i="1"/>
  <c r="V437" i="1"/>
  <c r="U445" i="1"/>
  <c r="S445" i="1"/>
  <c r="V445" i="1"/>
  <c r="U453" i="1"/>
  <c r="S453" i="1"/>
  <c r="V453" i="1"/>
  <c r="U461" i="1"/>
  <c r="S461" i="1"/>
  <c r="V461" i="1"/>
  <c r="U469" i="1"/>
  <c r="S469" i="1"/>
  <c r="V469" i="1"/>
  <c r="U477" i="1"/>
  <c r="S477" i="1"/>
  <c r="V477" i="1"/>
  <c r="U485" i="1"/>
  <c r="S485" i="1"/>
  <c r="V485" i="1"/>
  <c r="U493" i="1"/>
  <c r="S493" i="1"/>
  <c r="V493" i="1"/>
  <c r="U501" i="1"/>
  <c r="S501" i="1"/>
  <c r="V501" i="1"/>
  <c r="U509" i="1"/>
  <c r="S509" i="1"/>
  <c r="V509" i="1"/>
  <c r="U517" i="1"/>
  <c r="S517" i="1"/>
  <c r="V517" i="1"/>
  <c r="U525" i="1"/>
  <c r="S525" i="1"/>
  <c r="V525" i="1"/>
  <c r="U533" i="1"/>
  <c r="S533" i="1"/>
  <c r="V533" i="1"/>
  <c r="U541" i="1"/>
  <c r="S541" i="1"/>
  <c r="V541" i="1"/>
  <c r="U549" i="1"/>
  <c r="S549" i="1"/>
  <c r="V549" i="1"/>
  <c r="U557" i="1"/>
  <c r="S557" i="1"/>
  <c r="V557" i="1"/>
  <c r="V565" i="1"/>
  <c r="U565" i="1"/>
  <c r="S565" i="1"/>
  <c r="V573" i="1"/>
  <c r="U573" i="1"/>
  <c r="S573" i="1"/>
  <c r="U581" i="1"/>
  <c r="S581" i="1"/>
  <c r="V581" i="1"/>
  <c r="S589" i="1"/>
  <c r="V589" i="1"/>
  <c r="U589" i="1"/>
  <c r="S597" i="1"/>
  <c r="V597" i="1"/>
  <c r="U597" i="1"/>
  <c r="V605" i="1"/>
  <c r="U605" i="1"/>
  <c r="S605" i="1"/>
  <c r="S613" i="1"/>
  <c r="V613" i="1"/>
  <c r="U613" i="1"/>
  <c r="V621" i="1"/>
  <c r="U621" i="1"/>
  <c r="S621" i="1"/>
  <c r="S629" i="1"/>
  <c r="V637" i="1"/>
  <c r="U637" i="1"/>
  <c r="S637" i="1"/>
  <c r="S645" i="1"/>
  <c r="V645" i="1"/>
  <c r="U645" i="1"/>
  <c r="S653" i="1"/>
  <c r="U653" i="1"/>
  <c r="V653" i="1"/>
  <c r="S661" i="1"/>
  <c r="V661" i="1"/>
  <c r="U661" i="1"/>
  <c r="U669" i="1"/>
  <c r="S669" i="1"/>
  <c r="V669" i="1"/>
  <c r="U677" i="1"/>
  <c r="V677" i="1"/>
  <c r="S677" i="1"/>
  <c r="V685" i="1"/>
  <c r="U685" i="1"/>
  <c r="S685" i="1"/>
  <c r="S693" i="1"/>
  <c r="V701" i="1"/>
  <c r="U701" i="1"/>
  <c r="S701" i="1"/>
  <c r="S709" i="1"/>
  <c r="V709" i="1"/>
  <c r="U709" i="1"/>
  <c r="V717" i="1"/>
  <c r="U717" i="1"/>
  <c r="S717" i="1"/>
  <c r="S725" i="1"/>
  <c r="U725" i="1"/>
  <c r="V725" i="1"/>
  <c r="U733" i="1"/>
  <c r="S733" i="1"/>
  <c r="V733" i="1"/>
  <c r="S741" i="1"/>
  <c r="U741" i="1"/>
  <c r="V741" i="1"/>
  <c r="U749" i="1"/>
  <c r="S749" i="1"/>
  <c r="V749" i="1"/>
  <c r="V757" i="1"/>
  <c r="U757" i="1"/>
  <c r="S757" i="1"/>
  <c r="U765" i="1"/>
  <c r="S765" i="1"/>
  <c r="V765" i="1"/>
  <c r="U773" i="1"/>
  <c r="S773" i="1"/>
  <c r="V773" i="1"/>
  <c r="V781" i="1"/>
  <c r="U781" i="1"/>
  <c r="S781" i="1"/>
  <c r="V789" i="1"/>
  <c r="U789" i="1"/>
  <c r="S789" i="1"/>
  <c r="U797" i="1"/>
  <c r="V797" i="1"/>
  <c r="S797" i="1"/>
  <c r="U805" i="1"/>
  <c r="V805" i="1"/>
  <c r="S805" i="1"/>
  <c r="U813" i="1"/>
  <c r="V813" i="1"/>
  <c r="S813" i="1"/>
  <c r="U821" i="1"/>
  <c r="V821" i="1"/>
  <c r="S821" i="1"/>
  <c r="V829" i="1"/>
  <c r="U829" i="1"/>
  <c r="S829" i="1"/>
  <c r="S837" i="1"/>
  <c r="V837" i="1"/>
  <c r="U837" i="1"/>
  <c r="S845" i="1"/>
  <c r="S853" i="1"/>
  <c r="S861" i="1"/>
  <c r="S869" i="1"/>
  <c r="S877" i="1"/>
  <c r="S885" i="1"/>
  <c r="S893" i="1"/>
  <c r="S901" i="1"/>
  <c r="S909" i="1"/>
  <c r="S917" i="1"/>
  <c r="S925" i="1"/>
  <c r="S933" i="1"/>
  <c r="S941" i="1"/>
  <c r="S949" i="1"/>
  <c r="S957" i="1"/>
  <c r="S965" i="1"/>
  <c r="S973" i="1"/>
  <c r="S981" i="1"/>
  <c r="S989" i="1"/>
  <c r="S997" i="1"/>
  <c r="S1005" i="1"/>
  <c r="S1013" i="1"/>
  <c r="S1021" i="1"/>
  <c r="S1029" i="1"/>
  <c r="S1037" i="1"/>
  <c r="S1045" i="1"/>
  <c r="S1053" i="1"/>
  <c r="S1061" i="1"/>
  <c r="S1069" i="1"/>
  <c r="S1077" i="1"/>
  <c r="S1085" i="1"/>
  <c r="S1093" i="1"/>
  <c r="S1101" i="1"/>
  <c r="S1109" i="1"/>
  <c r="S1117" i="1"/>
  <c r="S1125" i="1"/>
  <c r="S1133" i="1"/>
  <c r="S1141" i="1"/>
  <c r="S1149" i="1"/>
  <c r="S1157" i="1"/>
  <c r="U67" i="1"/>
  <c r="S67" i="1"/>
  <c r="V67" i="1"/>
  <c r="V187" i="1"/>
  <c r="S187" i="1"/>
  <c r="U187" i="1"/>
  <c r="V307" i="1"/>
  <c r="U307" i="1"/>
  <c r="S307" i="1"/>
  <c r="S427" i="1"/>
  <c r="V539" i="1"/>
  <c r="U539" i="1"/>
  <c r="S539" i="1"/>
  <c r="V611" i="1"/>
  <c r="U611" i="1"/>
  <c r="S611" i="1"/>
  <c r="U707" i="1"/>
  <c r="S707" i="1"/>
  <c r="V707" i="1"/>
  <c r="V811" i="1"/>
  <c r="U811" i="1"/>
  <c r="S811" i="1"/>
  <c r="S939" i="1"/>
  <c r="S1043" i="1"/>
  <c r="S1123" i="1"/>
  <c r="W5" i="1"/>
  <c r="T5" i="1"/>
  <c r="W13" i="1"/>
  <c r="T13" i="1"/>
  <c r="W21" i="1"/>
  <c r="T21" i="1"/>
  <c r="T29" i="1"/>
  <c r="W29" i="1"/>
  <c r="W37" i="1"/>
  <c r="T37" i="1"/>
  <c r="T45" i="1"/>
  <c r="W45" i="1"/>
  <c r="T53" i="1"/>
  <c r="W53" i="1"/>
  <c r="W61" i="1"/>
  <c r="T61" i="1"/>
  <c r="W69" i="1"/>
  <c r="T69" i="1"/>
  <c r="T77" i="1"/>
  <c r="W77" i="1"/>
  <c r="W85" i="1"/>
  <c r="T85" i="1"/>
  <c r="W93" i="1"/>
  <c r="T93" i="1"/>
  <c r="T101" i="1"/>
  <c r="W101" i="1"/>
  <c r="T109" i="1"/>
  <c r="W109" i="1"/>
  <c r="T117" i="1"/>
  <c r="W117" i="1"/>
  <c r="W125" i="1"/>
  <c r="T125" i="1"/>
  <c r="T133" i="1"/>
  <c r="W133" i="1"/>
  <c r="T141" i="1"/>
  <c r="W141" i="1"/>
  <c r="W149" i="1"/>
  <c r="T149" i="1"/>
  <c r="W157" i="1"/>
  <c r="T157" i="1"/>
  <c r="W165" i="1"/>
  <c r="T165" i="1"/>
  <c r="W173" i="1"/>
  <c r="T173" i="1"/>
  <c r="W181" i="1"/>
  <c r="T181" i="1"/>
  <c r="W189" i="1"/>
  <c r="T189" i="1"/>
  <c r="W197" i="1"/>
  <c r="T197" i="1"/>
  <c r="W205" i="1"/>
  <c r="T205" i="1"/>
  <c r="W213" i="1"/>
  <c r="T213" i="1"/>
  <c r="T221" i="1"/>
  <c r="W221" i="1"/>
  <c r="T229" i="1"/>
  <c r="W229" i="1"/>
  <c r="W237" i="1"/>
  <c r="T237" i="1"/>
  <c r="W245" i="1"/>
  <c r="T245" i="1"/>
  <c r="W253" i="1"/>
  <c r="T253" i="1"/>
  <c r="W261" i="1"/>
  <c r="T261" i="1"/>
  <c r="W269" i="1"/>
  <c r="T269" i="1"/>
  <c r="W277" i="1"/>
  <c r="T277" i="1"/>
  <c r="T285" i="1"/>
  <c r="W285" i="1"/>
  <c r="W293" i="1"/>
  <c r="T293" i="1"/>
  <c r="W301" i="1"/>
  <c r="T301" i="1"/>
  <c r="W309" i="1"/>
  <c r="T309" i="1"/>
  <c r="W317" i="1"/>
  <c r="T317" i="1"/>
  <c r="W325" i="1"/>
  <c r="T325" i="1"/>
  <c r="W333" i="1"/>
  <c r="T333" i="1"/>
  <c r="W341" i="1"/>
  <c r="T341" i="1"/>
  <c r="T349" i="1"/>
  <c r="W349" i="1"/>
  <c r="W357" i="1"/>
  <c r="T357" i="1"/>
  <c r="W365" i="1"/>
  <c r="T365" i="1"/>
  <c r="W373" i="1"/>
  <c r="T373" i="1"/>
  <c r="T381" i="1"/>
  <c r="W381" i="1"/>
  <c r="W389" i="1"/>
  <c r="T389" i="1"/>
  <c r="W397" i="1"/>
  <c r="T397" i="1"/>
  <c r="W405" i="1"/>
  <c r="T405" i="1"/>
  <c r="T413" i="1"/>
  <c r="W413" i="1"/>
  <c r="T421" i="1"/>
  <c r="W421" i="1"/>
  <c r="T429" i="1"/>
  <c r="W429" i="1"/>
  <c r="T437" i="1"/>
  <c r="W437" i="1"/>
  <c r="T445" i="1"/>
  <c r="W445" i="1"/>
  <c r="T453" i="1"/>
  <c r="W453" i="1"/>
  <c r="T461" i="1"/>
  <c r="W461" i="1"/>
  <c r="T469" i="1"/>
  <c r="W469" i="1"/>
  <c r="T477" i="1"/>
  <c r="W477" i="1"/>
  <c r="T485" i="1"/>
  <c r="W485" i="1"/>
  <c r="T493" i="1"/>
  <c r="W493" i="1"/>
  <c r="T501" i="1"/>
  <c r="W501" i="1"/>
  <c r="T509" i="1"/>
  <c r="W509" i="1"/>
  <c r="T517" i="1"/>
  <c r="W517" i="1"/>
  <c r="T525" i="1"/>
  <c r="W525" i="1"/>
  <c r="T533" i="1"/>
  <c r="W533" i="1"/>
  <c r="T541" i="1"/>
  <c r="W541" i="1"/>
  <c r="T549" i="1"/>
  <c r="W549" i="1"/>
  <c r="T557" i="1"/>
  <c r="W557" i="1"/>
  <c r="W565" i="1"/>
  <c r="T565" i="1"/>
  <c r="W573" i="1"/>
  <c r="T573" i="1"/>
  <c r="T581" i="1"/>
  <c r="W581" i="1"/>
  <c r="T589" i="1"/>
  <c r="W589" i="1"/>
  <c r="W597" i="1"/>
  <c r="T597" i="1"/>
  <c r="T605" i="1"/>
  <c r="W605" i="1"/>
  <c r="T613" i="1"/>
  <c r="W613" i="1"/>
  <c r="T621" i="1"/>
  <c r="W621" i="1"/>
  <c r="T629" i="1"/>
  <c r="W637" i="1"/>
  <c r="T637" i="1"/>
  <c r="T645" i="1"/>
  <c r="W645" i="1"/>
  <c r="W653" i="1"/>
  <c r="T653" i="1"/>
  <c r="T661" i="1"/>
  <c r="W661" i="1"/>
  <c r="T669" i="1"/>
  <c r="W669" i="1"/>
  <c r="W677" i="1"/>
  <c r="T677" i="1"/>
  <c r="W685" i="1"/>
  <c r="T685" i="1"/>
  <c r="T693" i="1"/>
  <c r="W701" i="1"/>
  <c r="T701" i="1"/>
  <c r="T709" i="1"/>
  <c r="W709" i="1"/>
  <c r="W717" i="1"/>
  <c r="T717" i="1"/>
  <c r="W725" i="1"/>
  <c r="T725" i="1"/>
  <c r="T733" i="1"/>
  <c r="W733" i="1"/>
  <c r="W741" i="1"/>
  <c r="T741" i="1"/>
  <c r="T749" i="1"/>
  <c r="W749" i="1"/>
  <c r="W757" i="1"/>
  <c r="T757" i="1"/>
  <c r="T765" i="1"/>
  <c r="W765" i="1"/>
  <c r="T773" i="1"/>
  <c r="W773" i="1"/>
  <c r="W781" i="1"/>
  <c r="T781" i="1"/>
  <c r="W789" i="1"/>
  <c r="T789" i="1"/>
  <c r="T797" i="1"/>
  <c r="W797" i="1"/>
  <c r="W805" i="1"/>
  <c r="T805" i="1"/>
  <c r="W813" i="1"/>
  <c r="T813" i="1"/>
  <c r="W821" i="1"/>
  <c r="T821" i="1"/>
  <c r="W829" i="1"/>
  <c r="T829" i="1"/>
  <c r="T837" i="1"/>
  <c r="W837" i="1"/>
  <c r="T845" i="1"/>
  <c r="T853" i="1"/>
  <c r="T861" i="1"/>
  <c r="T869" i="1"/>
  <c r="T877" i="1"/>
  <c r="T885" i="1"/>
  <c r="T893" i="1"/>
  <c r="T901" i="1"/>
  <c r="T909" i="1"/>
  <c r="T917" i="1"/>
  <c r="T925" i="1"/>
  <c r="T933" i="1"/>
  <c r="T941" i="1"/>
  <c r="T949" i="1"/>
  <c r="T957" i="1"/>
  <c r="T965" i="1"/>
  <c r="T973" i="1"/>
  <c r="T981" i="1"/>
  <c r="T989" i="1"/>
  <c r="T997" i="1"/>
  <c r="T1005" i="1"/>
  <c r="T1013" i="1"/>
  <c r="T1021" i="1"/>
  <c r="T1029" i="1"/>
  <c r="T1037" i="1"/>
  <c r="T1045" i="1"/>
  <c r="T1053" i="1"/>
  <c r="T1061" i="1"/>
  <c r="T1069" i="1"/>
  <c r="T1077" i="1"/>
  <c r="T1085" i="1"/>
  <c r="T1093" i="1"/>
  <c r="T1101" i="1"/>
  <c r="T1109" i="1"/>
  <c r="T1117" i="1"/>
  <c r="T1125" i="1"/>
  <c r="T1133" i="1"/>
  <c r="T1141" i="1"/>
  <c r="T1149" i="1"/>
  <c r="T1157" i="1"/>
  <c r="V246" i="1"/>
  <c r="S246" i="1"/>
  <c r="U246" i="1"/>
  <c r="V254" i="1"/>
  <c r="U254" i="1"/>
  <c r="S254" i="1"/>
  <c r="U262" i="1"/>
  <c r="V262" i="1"/>
  <c r="S262" i="1"/>
  <c r="V270" i="1"/>
  <c r="U270" i="1"/>
  <c r="S270" i="1"/>
  <c r="V278" i="1"/>
  <c r="U278" i="1"/>
  <c r="S278" i="1"/>
  <c r="V286" i="1"/>
  <c r="U286" i="1"/>
  <c r="S286" i="1"/>
  <c r="S294" i="1"/>
  <c r="V294" i="1"/>
  <c r="U294" i="1"/>
  <c r="U302" i="1"/>
  <c r="V302" i="1"/>
  <c r="S302" i="1"/>
  <c r="U310" i="1"/>
  <c r="S310" i="1"/>
  <c r="V310" i="1"/>
  <c r="U318" i="1"/>
  <c r="S318" i="1"/>
  <c r="V318" i="1"/>
  <c r="U326" i="1"/>
  <c r="V326" i="1"/>
  <c r="S326" i="1"/>
  <c r="U334" i="1"/>
  <c r="V334" i="1"/>
  <c r="S334" i="1"/>
  <c r="U342" i="1"/>
  <c r="S342" i="1"/>
  <c r="V342" i="1"/>
  <c r="U350" i="1"/>
  <c r="S350" i="1"/>
  <c r="V350" i="1"/>
  <c r="U358" i="1"/>
  <c r="V358" i="1"/>
  <c r="S358" i="1"/>
  <c r="U366" i="1"/>
  <c r="V366" i="1"/>
  <c r="S366" i="1"/>
  <c r="U374" i="1"/>
  <c r="V374" i="1"/>
  <c r="S374" i="1"/>
  <c r="U382" i="1"/>
  <c r="V382" i="1"/>
  <c r="S382" i="1"/>
  <c r="U390" i="1"/>
  <c r="V390" i="1"/>
  <c r="S390" i="1"/>
  <c r="U398" i="1"/>
  <c r="V398" i="1"/>
  <c r="S398" i="1"/>
  <c r="U406" i="1"/>
  <c r="V406" i="1"/>
  <c r="S406" i="1"/>
  <c r="V414" i="1"/>
  <c r="S414" i="1"/>
  <c r="U414" i="1"/>
  <c r="V422" i="1"/>
  <c r="U422" i="1"/>
  <c r="S422" i="1"/>
  <c r="V430" i="1"/>
  <c r="U430" i="1"/>
  <c r="S430" i="1"/>
  <c r="S438" i="1"/>
  <c r="V438" i="1"/>
  <c r="U438" i="1"/>
  <c r="S446" i="1"/>
  <c r="U446" i="1"/>
  <c r="V446" i="1"/>
  <c r="U454" i="1"/>
  <c r="S454" i="1"/>
  <c r="V454" i="1"/>
  <c r="V462" i="1"/>
  <c r="U462" i="1"/>
  <c r="S462" i="1"/>
  <c r="S470" i="1"/>
  <c r="V470" i="1"/>
  <c r="U470" i="1"/>
  <c r="S478" i="1"/>
  <c r="U478" i="1"/>
  <c r="V478" i="1"/>
  <c r="S486" i="1"/>
  <c r="U486" i="1"/>
  <c r="V486" i="1"/>
  <c r="V494" i="1"/>
  <c r="U494" i="1"/>
  <c r="S494" i="1"/>
  <c r="S502" i="1"/>
  <c r="V502" i="1"/>
  <c r="U502" i="1"/>
  <c r="S510" i="1"/>
  <c r="U510" i="1"/>
  <c r="V510" i="1"/>
  <c r="V518" i="1"/>
  <c r="U518" i="1"/>
  <c r="S518" i="1"/>
  <c r="V526" i="1"/>
  <c r="U526" i="1"/>
  <c r="S526" i="1"/>
  <c r="S534" i="1"/>
  <c r="V534" i="1"/>
  <c r="U534" i="1"/>
  <c r="V542" i="1"/>
  <c r="U542" i="1"/>
  <c r="S542" i="1"/>
  <c r="V550" i="1"/>
  <c r="U550" i="1"/>
  <c r="S550" i="1"/>
  <c r="V558" i="1"/>
  <c r="U558" i="1"/>
  <c r="S558" i="1"/>
  <c r="U566" i="1"/>
  <c r="S566" i="1"/>
  <c r="V566" i="1"/>
  <c r="S574" i="1"/>
  <c r="V574" i="1"/>
  <c r="U574" i="1"/>
  <c r="V582" i="1"/>
  <c r="U582" i="1"/>
  <c r="S582" i="1"/>
  <c r="V590" i="1"/>
  <c r="U590" i="1"/>
  <c r="S590" i="1"/>
  <c r="V598" i="1"/>
  <c r="S598" i="1"/>
  <c r="U598" i="1"/>
  <c r="V606" i="1"/>
  <c r="U606" i="1"/>
  <c r="S606" i="1"/>
  <c r="V614" i="1"/>
  <c r="U614" i="1"/>
  <c r="S614" i="1"/>
  <c r="V622" i="1"/>
  <c r="U622" i="1"/>
  <c r="S622" i="1"/>
  <c r="V630" i="1"/>
  <c r="S630" i="1"/>
  <c r="U630" i="1"/>
  <c r="V638" i="1"/>
  <c r="U638" i="1"/>
  <c r="S638" i="1"/>
  <c r="S646" i="1"/>
  <c r="V646" i="1"/>
  <c r="U646" i="1"/>
  <c r="U654" i="1"/>
  <c r="S654" i="1"/>
  <c r="V654" i="1"/>
  <c r="V662" i="1"/>
  <c r="U662" i="1"/>
  <c r="S662" i="1"/>
  <c r="V670" i="1"/>
  <c r="U670" i="1"/>
  <c r="S670" i="1"/>
  <c r="U678" i="1"/>
  <c r="S678" i="1"/>
  <c r="V678" i="1"/>
  <c r="S686" i="1"/>
  <c r="U694" i="1"/>
  <c r="S694" i="1"/>
  <c r="V694" i="1"/>
  <c r="V702" i="1"/>
  <c r="U702" i="1"/>
  <c r="S702" i="1"/>
  <c r="V710" i="1"/>
  <c r="U710" i="1"/>
  <c r="S710" i="1"/>
  <c r="S718" i="1"/>
  <c r="V718" i="1"/>
  <c r="U718" i="1"/>
  <c r="U726" i="1"/>
  <c r="V726" i="1"/>
  <c r="S726" i="1"/>
  <c r="V734" i="1"/>
  <c r="U734" i="1"/>
  <c r="S734" i="1"/>
  <c r="U742" i="1"/>
  <c r="S742" i="1"/>
  <c r="V742" i="1"/>
  <c r="V750" i="1"/>
  <c r="U750" i="1"/>
  <c r="S750" i="1"/>
  <c r="U758" i="1"/>
  <c r="V758" i="1"/>
  <c r="S758" i="1"/>
  <c r="V766" i="1"/>
  <c r="U766" i="1"/>
  <c r="S766" i="1"/>
  <c r="S774" i="1"/>
  <c r="U774" i="1"/>
  <c r="V774" i="1"/>
  <c r="S782" i="1"/>
  <c r="V790" i="1"/>
  <c r="U790" i="1"/>
  <c r="S790" i="1"/>
  <c r="V798" i="1"/>
  <c r="U798" i="1"/>
  <c r="S798" i="1"/>
  <c r="V806" i="1"/>
  <c r="U806" i="1"/>
  <c r="S806" i="1"/>
  <c r="U814" i="1"/>
  <c r="V814" i="1"/>
  <c r="S814" i="1"/>
  <c r="V822" i="1"/>
  <c r="S822" i="1"/>
  <c r="U822" i="1"/>
  <c r="V830" i="1"/>
  <c r="U830" i="1"/>
  <c r="S830" i="1"/>
  <c r="V838" i="1"/>
  <c r="S838" i="1"/>
  <c r="U838" i="1"/>
  <c r="S846" i="1"/>
  <c r="S854" i="1"/>
  <c r="S862" i="1"/>
  <c r="S870" i="1"/>
  <c r="S878" i="1"/>
  <c r="S886" i="1"/>
  <c r="S894" i="1"/>
  <c r="S902" i="1"/>
  <c r="S910" i="1"/>
  <c r="S918" i="1"/>
  <c r="S926" i="1"/>
  <c r="S934" i="1"/>
  <c r="S942" i="1"/>
  <c r="S950" i="1"/>
  <c r="S958" i="1"/>
  <c r="S966" i="1"/>
  <c r="S974" i="1"/>
  <c r="S982" i="1"/>
  <c r="S990" i="1"/>
  <c r="S998" i="1"/>
  <c r="S1006" i="1"/>
  <c r="S1014" i="1"/>
  <c r="S1022" i="1"/>
  <c r="S1030" i="1"/>
  <c r="S1038" i="1"/>
  <c r="S1046" i="1"/>
  <c r="S1054" i="1"/>
  <c r="S1062" i="1"/>
  <c r="S1070" i="1"/>
  <c r="S1078" i="1"/>
  <c r="S1086" i="1"/>
  <c r="S1094" i="1"/>
  <c r="S1102" i="1"/>
  <c r="S1110" i="1"/>
  <c r="S1118" i="1"/>
  <c r="S1126" i="1"/>
  <c r="S1134" i="1"/>
  <c r="S1142" i="1"/>
  <c r="S1150" i="1"/>
  <c r="S1158" i="1"/>
  <c r="S275" i="1"/>
  <c r="U275" i="1"/>
  <c r="V275" i="1"/>
  <c r="V699" i="1"/>
  <c r="U699" i="1"/>
  <c r="S699" i="1"/>
  <c r="V22" i="1"/>
  <c r="S22" i="1"/>
  <c r="U22" i="1"/>
  <c r="V118" i="1"/>
  <c r="U118" i="1"/>
  <c r="S118" i="1"/>
  <c r="V198" i="1"/>
  <c r="U198" i="1"/>
  <c r="S198" i="1"/>
  <c r="W30" i="1"/>
  <c r="T30" i="1"/>
  <c r="W134" i="1"/>
  <c r="T134" i="1"/>
  <c r="W198" i="1"/>
  <c r="T198" i="1"/>
  <c r="W302" i="1"/>
  <c r="T302" i="1"/>
  <c r="W358" i="1"/>
  <c r="T358" i="1"/>
  <c r="W422" i="1"/>
  <c r="T422" i="1"/>
  <c r="W494" i="1"/>
  <c r="T494" i="1"/>
  <c r="T574" i="1"/>
  <c r="W574" i="1"/>
  <c r="W622" i="1"/>
  <c r="T622" i="1"/>
  <c r="W702" i="1"/>
  <c r="T702" i="1"/>
  <c r="W790" i="1"/>
  <c r="T790" i="1"/>
  <c r="T862" i="1"/>
  <c r="T950" i="1"/>
  <c r="T1030" i="1"/>
  <c r="T1126" i="1"/>
  <c r="U43" i="1"/>
  <c r="S43" i="1"/>
  <c r="V43" i="1"/>
  <c r="U107" i="1"/>
  <c r="S107" i="1"/>
  <c r="V107" i="1"/>
  <c r="U219" i="1"/>
  <c r="V219" i="1"/>
  <c r="S219" i="1"/>
  <c r="V323" i="1"/>
  <c r="U323" i="1"/>
  <c r="S323" i="1"/>
  <c r="U443" i="1"/>
  <c r="S443" i="1"/>
  <c r="V443" i="1"/>
  <c r="U555" i="1"/>
  <c r="S555" i="1"/>
  <c r="V555" i="1"/>
  <c r="S651" i="1"/>
  <c r="V651" i="1"/>
  <c r="U651" i="1"/>
  <c r="S755" i="1"/>
  <c r="S883" i="1"/>
  <c r="S979" i="1"/>
  <c r="V6" i="1"/>
  <c r="S6" i="1"/>
  <c r="U6" i="1"/>
  <c r="U86" i="1"/>
  <c r="V86" i="1"/>
  <c r="S86" i="1"/>
  <c r="S150" i="1"/>
  <c r="V150" i="1"/>
  <c r="U150" i="1"/>
  <c r="S222" i="1"/>
  <c r="V222" i="1"/>
  <c r="U222" i="1"/>
  <c r="W62" i="1"/>
  <c r="T62" i="1"/>
  <c r="W110" i="1"/>
  <c r="T110" i="1"/>
  <c r="T142" i="1"/>
  <c r="W142" i="1"/>
  <c r="W182" i="1"/>
  <c r="T182" i="1"/>
  <c r="W238" i="1"/>
  <c r="T238" i="1"/>
  <c r="W294" i="1"/>
  <c r="T294" i="1"/>
  <c r="W326" i="1"/>
  <c r="T326" i="1"/>
  <c r="W374" i="1"/>
  <c r="T374" i="1"/>
  <c r="W406" i="1"/>
  <c r="T406" i="1"/>
  <c r="W462" i="1"/>
  <c r="T462" i="1"/>
  <c r="W502" i="1"/>
  <c r="T502" i="1"/>
  <c r="W542" i="1"/>
  <c r="T542" i="1"/>
  <c r="W590" i="1"/>
  <c r="T590" i="1"/>
  <c r="W638" i="1"/>
  <c r="T638" i="1"/>
  <c r="T686" i="1"/>
  <c r="W758" i="1"/>
  <c r="T758" i="1"/>
  <c r="W822" i="1"/>
  <c r="T822" i="1"/>
  <c r="T870" i="1"/>
  <c r="T926" i="1"/>
  <c r="T966" i="1"/>
  <c r="T1014" i="1"/>
  <c r="T1054" i="1"/>
  <c r="T1086" i="1"/>
  <c r="T1094" i="1"/>
  <c r="T1134" i="1"/>
  <c r="U23" i="1"/>
  <c r="S23" i="1"/>
  <c r="V23" i="1"/>
  <c r="S71" i="1"/>
  <c r="V71" i="1"/>
  <c r="U71" i="1"/>
  <c r="S127" i="1"/>
  <c r="U127" i="1"/>
  <c r="V127" i="1"/>
  <c r="V183" i="1"/>
  <c r="U183" i="1"/>
  <c r="S183" i="1"/>
  <c r="U239" i="1"/>
  <c r="S239" i="1"/>
  <c r="V239" i="1"/>
  <c r="V279" i="1"/>
  <c r="U279" i="1"/>
  <c r="S279" i="1"/>
  <c r="S327" i="1"/>
  <c r="V327" i="1"/>
  <c r="U327" i="1"/>
  <c r="S399" i="1"/>
  <c r="U399" i="1"/>
  <c r="V399" i="1"/>
  <c r="U439" i="1"/>
  <c r="V439" i="1"/>
  <c r="S439" i="1"/>
  <c r="U487" i="1"/>
  <c r="V487" i="1"/>
  <c r="S487" i="1"/>
  <c r="U527" i="1"/>
  <c r="V527" i="1"/>
  <c r="S527" i="1"/>
  <c r="S567" i="1"/>
  <c r="V567" i="1"/>
  <c r="U567" i="1"/>
  <c r="U623" i="1"/>
  <c r="V623" i="1"/>
  <c r="S623" i="1"/>
  <c r="U639" i="1"/>
  <c r="V639" i="1"/>
  <c r="S639" i="1"/>
  <c r="U679" i="1"/>
  <c r="V679" i="1"/>
  <c r="S679" i="1"/>
  <c r="U727" i="1"/>
  <c r="S727" i="1"/>
  <c r="V727" i="1"/>
  <c r="V791" i="1"/>
  <c r="U791" i="1"/>
  <c r="S791" i="1"/>
  <c r="U839" i="1"/>
  <c r="V839" i="1"/>
  <c r="S839" i="1"/>
  <c r="S887" i="1"/>
  <c r="S935" i="1"/>
  <c r="S983" i="1"/>
  <c r="S1015" i="1"/>
  <c r="S1023" i="1"/>
  <c r="S1039" i="1"/>
  <c r="S1071" i="1"/>
  <c r="S1079" i="1"/>
  <c r="S1087" i="1"/>
  <c r="S1095" i="1"/>
  <c r="S1103" i="1"/>
  <c r="S1111" i="1"/>
  <c r="S1119" i="1"/>
  <c r="S1127" i="1"/>
  <c r="S1135" i="1"/>
  <c r="S1143" i="1"/>
  <c r="S1151" i="1"/>
  <c r="S1159" i="1"/>
  <c r="V155" i="1"/>
  <c r="U155" i="1"/>
  <c r="S155" i="1"/>
  <c r="U491" i="1"/>
  <c r="S491" i="1"/>
  <c r="V491" i="1"/>
  <c r="S803" i="1"/>
  <c r="V803" i="1"/>
  <c r="U803" i="1"/>
  <c r="S1131" i="1"/>
  <c r="V46" i="1"/>
  <c r="S46" i="1"/>
  <c r="U46" i="1"/>
  <c r="U158" i="1"/>
  <c r="V158" i="1"/>
  <c r="S158" i="1"/>
  <c r="W46" i="1"/>
  <c r="T46" i="1"/>
  <c r="W222" i="1"/>
  <c r="T222" i="1"/>
  <c r="W430" i="1"/>
  <c r="T430" i="1"/>
  <c r="W734" i="1"/>
  <c r="T734" i="1"/>
  <c r="V135" i="1"/>
  <c r="U135" i="1"/>
  <c r="S135" i="1"/>
  <c r="S367" i="1"/>
  <c r="U367" i="1"/>
  <c r="V367" i="1"/>
  <c r="U671" i="1"/>
  <c r="V671" i="1"/>
  <c r="S671" i="1"/>
  <c r="W71" i="1"/>
  <c r="T71" i="1"/>
  <c r="T167" i="1"/>
  <c r="W167" i="1"/>
  <c r="T255" i="1"/>
  <c r="W255" i="1"/>
  <c r="W351" i="1"/>
  <c r="T351" i="1"/>
  <c r="W455" i="1"/>
  <c r="T455" i="1"/>
  <c r="W543" i="1"/>
  <c r="T543" i="1"/>
  <c r="T639" i="1"/>
  <c r="W639" i="1"/>
  <c r="T751" i="1"/>
  <c r="W751" i="1"/>
  <c r="T863" i="1"/>
  <c r="T983" i="1"/>
  <c r="T1111" i="1"/>
  <c r="S179" i="1"/>
  <c r="V179" i="1"/>
  <c r="U179" i="1"/>
  <c r="U523" i="1"/>
  <c r="S523" i="1"/>
  <c r="V523" i="1"/>
  <c r="V835" i="1"/>
  <c r="U835" i="1"/>
  <c r="S835" i="1"/>
  <c r="S1155" i="1"/>
  <c r="V14" i="1"/>
  <c r="S14" i="1"/>
  <c r="U14" i="1"/>
  <c r="V102" i="1"/>
  <c r="U102" i="1"/>
  <c r="S102" i="1"/>
  <c r="U190" i="1"/>
  <c r="S190" i="1"/>
  <c r="V190" i="1"/>
  <c r="T86" i="1"/>
  <c r="W86" i="1"/>
  <c r="W254" i="1"/>
  <c r="T254" i="1"/>
  <c r="W470" i="1"/>
  <c r="T470" i="1"/>
  <c r="W750" i="1"/>
  <c r="T750" i="1"/>
  <c r="U191" i="1"/>
  <c r="V191" i="1"/>
  <c r="S191" i="1"/>
  <c r="U743" i="1"/>
  <c r="S743" i="1"/>
  <c r="V743" i="1"/>
  <c r="T55" i="1"/>
  <c r="W55" i="1"/>
  <c r="T135" i="1"/>
  <c r="W135" i="1"/>
  <c r="T215" i="1"/>
  <c r="W215" i="1"/>
  <c r="W279" i="1"/>
  <c r="T279" i="1"/>
  <c r="W335" i="1"/>
  <c r="T335" i="1"/>
  <c r="T399" i="1"/>
  <c r="W399" i="1"/>
  <c r="W463" i="1"/>
  <c r="T463" i="1"/>
  <c r="W535" i="1"/>
  <c r="T535" i="1"/>
  <c r="T599" i="1"/>
  <c r="W599" i="1"/>
  <c r="T679" i="1"/>
  <c r="W679" i="1"/>
  <c r="T759" i="1"/>
  <c r="W759" i="1"/>
  <c r="T831" i="1"/>
  <c r="W831" i="1"/>
  <c r="T903" i="1"/>
  <c r="T975" i="1"/>
  <c r="T1039" i="1"/>
  <c r="T1095" i="1"/>
  <c r="T1143" i="1"/>
  <c r="T1159" i="1"/>
  <c r="U51" i="1"/>
  <c r="V51" i="1"/>
  <c r="S51" i="1"/>
  <c r="S163" i="1"/>
  <c r="V163" i="1"/>
  <c r="U163" i="1"/>
  <c r="S283" i="1"/>
  <c r="V283" i="1"/>
  <c r="U283" i="1"/>
  <c r="V419" i="1"/>
  <c r="S419" i="1"/>
  <c r="U419" i="1"/>
  <c r="U547" i="1"/>
  <c r="V547" i="1"/>
  <c r="S547" i="1"/>
  <c r="V635" i="1"/>
  <c r="U635" i="1"/>
  <c r="S635" i="1"/>
  <c r="S715" i="1"/>
  <c r="S779" i="1"/>
  <c r="V843" i="1"/>
  <c r="U843" i="1"/>
  <c r="S843" i="1"/>
  <c r="S899" i="1"/>
  <c r="S955" i="1"/>
  <c r="S1003" i="1"/>
  <c r="S1075" i="1"/>
  <c r="S1147" i="1"/>
  <c r="S78" i="1"/>
  <c r="V78" i="1"/>
  <c r="U78" i="1"/>
  <c r="U142" i="1"/>
  <c r="V142" i="1"/>
  <c r="S142" i="1"/>
  <c r="U230" i="1"/>
  <c r="V230" i="1"/>
  <c r="S230" i="1"/>
  <c r="W38" i="1"/>
  <c r="T38" i="1"/>
  <c r="T94" i="1"/>
  <c r="W94" i="1"/>
  <c r="T150" i="1"/>
  <c r="W150" i="1"/>
  <c r="W190" i="1"/>
  <c r="T190" i="1"/>
  <c r="W262" i="1"/>
  <c r="T262" i="1"/>
  <c r="W318" i="1"/>
  <c r="T318" i="1"/>
  <c r="W366" i="1"/>
  <c r="T366" i="1"/>
  <c r="W414" i="1"/>
  <c r="T414" i="1"/>
  <c r="W478" i="1"/>
  <c r="T478" i="1"/>
  <c r="W534" i="1"/>
  <c r="T534" i="1"/>
  <c r="W582" i="1"/>
  <c r="T582" i="1"/>
  <c r="W630" i="1"/>
  <c r="T630" i="1"/>
  <c r="W670" i="1"/>
  <c r="T670" i="1"/>
  <c r="W718" i="1"/>
  <c r="T718" i="1"/>
  <c r="T782" i="1"/>
  <c r="W830" i="1"/>
  <c r="T830" i="1"/>
  <c r="T886" i="1"/>
  <c r="T934" i="1"/>
  <c r="T982" i="1"/>
  <c r="T998" i="1"/>
  <c r="T1038" i="1"/>
  <c r="T1070" i="1"/>
  <c r="T1118" i="1"/>
  <c r="T1150" i="1"/>
  <c r="U15" i="1"/>
  <c r="S15" i="1"/>
  <c r="V15" i="1"/>
  <c r="U55" i="1"/>
  <c r="S55" i="1"/>
  <c r="V55" i="1"/>
  <c r="S79" i="1"/>
  <c r="V79" i="1"/>
  <c r="U79" i="1"/>
  <c r="S95" i="1"/>
  <c r="V95" i="1"/>
  <c r="U95" i="1"/>
  <c r="S119" i="1"/>
  <c r="V119" i="1"/>
  <c r="U119" i="1"/>
  <c r="V175" i="1"/>
  <c r="U175" i="1"/>
  <c r="S175" i="1"/>
  <c r="U223" i="1"/>
  <c r="S223" i="1"/>
  <c r="V223" i="1"/>
  <c r="U247" i="1"/>
  <c r="S247" i="1"/>
  <c r="V247" i="1"/>
  <c r="S287" i="1"/>
  <c r="V287" i="1"/>
  <c r="U287" i="1"/>
  <c r="S319" i="1"/>
  <c r="V319" i="1"/>
  <c r="U319" i="1"/>
  <c r="S343" i="1"/>
  <c r="V343" i="1"/>
  <c r="U343" i="1"/>
  <c r="S375" i="1"/>
  <c r="U375" i="1"/>
  <c r="V375" i="1"/>
  <c r="U431" i="1"/>
  <c r="V431" i="1"/>
  <c r="S431" i="1"/>
  <c r="U471" i="1"/>
  <c r="V471" i="1"/>
  <c r="S471" i="1"/>
  <c r="U511" i="1"/>
  <c r="V511" i="1"/>
  <c r="S511" i="1"/>
  <c r="U551" i="1"/>
  <c r="V551" i="1"/>
  <c r="S551" i="1"/>
  <c r="U575" i="1"/>
  <c r="S575" i="1"/>
  <c r="V575" i="1"/>
  <c r="U631" i="1"/>
  <c r="V631" i="1"/>
  <c r="S631" i="1"/>
  <c r="U695" i="1"/>
  <c r="S695" i="1"/>
  <c r="V695" i="1"/>
  <c r="U735" i="1"/>
  <c r="V735" i="1"/>
  <c r="S735" i="1"/>
  <c r="U767" i="1"/>
  <c r="V767" i="1"/>
  <c r="S767" i="1"/>
  <c r="U799" i="1"/>
  <c r="V799" i="1"/>
  <c r="S799" i="1"/>
  <c r="V831" i="1"/>
  <c r="U831" i="1"/>
  <c r="S831" i="1"/>
  <c r="S871" i="1"/>
  <c r="S911" i="1"/>
  <c r="S951" i="1"/>
  <c r="S999" i="1"/>
  <c r="S1055" i="1"/>
  <c r="T7" i="1"/>
  <c r="W7" i="1"/>
  <c r="T39" i="1"/>
  <c r="W39" i="1"/>
  <c r="T87" i="1"/>
  <c r="W87" i="1"/>
  <c r="W119" i="1"/>
  <c r="T119" i="1"/>
  <c r="T175" i="1"/>
  <c r="W175" i="1"/>
  <c r="T207" i="1"/>
  <c r="W207" i="1"/>
  <c r="T247" i="1"/>
  <c r="W247" i="1"/>
  <c r="W295" i="1"/>
  <c r="T295" i="1"/>
  <c r="W327" i="1"/>
  <c r="T327" i="1"/>
  <c r="W391" i="1"/>
  <c r="T391" i="1"/>
  <c r="W423" i="1"/>
  <c r="T423" i="1"/>
  <c r="W487" i="1"/>
  <c r="T487" i="1"/>
  <c r="W527" i="1"/>
  <c r="T527" i="1"/>
  <c r="T583" i="1"/>
  <c r="W583" i="1"/>
  <c r="T623" i="1"/>
  <c r="W623" i="1"/>
  <c r="T663" i="1"/>
  <c r="W663" i="1"/>
  <c r="T695" i="1"/>
  <c r="W695" i="1"/>
  <c r="T735" i="1"/>
  <c r="W735" i="1"/>
  <c r="T775" i="1"/>
  <c r="W775" i="1"/>
  <c r="T807" i="1"/>
  <c r="W807" i="1"/>
  <c r="T847" i="1"/>
  <c r="T887" i="1"/>
  <c r="T919" i="1"/>
  <c r="T943" i="1"/>
  <c r="T991" i="1"/>
  <c r="T1023" i="1"/>
  <c r="T1071" i="1"/>
  <c r="T1103" i="1"/>
  <c r="T1135" i="1"/>
  <c r="W16" i="1"/>
  <c r="T16" i="1"/>
  <c r="W56" i="1"/>
  <c r="T56" i="1"/>
  <c r="W88" i="1"/>
  <c r="T88" i="1"/>
  <c r="W128" i="1"/>
  <c r="T128" i="1"/>
  <c r="W168" i="1"/>
  <c r="T168" i="1"/>
  <c r="W200" i="1"/>
  <c r="T200" i="1"/>
  <c r="T248" i="1"/>
  <c r="W248" i="1"/>
  <c r="T272" i="1"/>
  <c r="W272" i="1"/>
  <c r="W312" i="1"/>
  <c r="T312" i="1"/>
  <c r="W336" i="1"/>
  <c r="T336" i="1"/>
  <c r="W360" i="1"/>
  <c r="T360" i="1"/>
  <c r="W376" i="1"/>
  <c r="T376" i="1"/>
  <c r="T384" i="1"/>
  <c r="W384" i="1"/>
  <c r="W392" i="1"/>
  <c r="T392" i="1"/>
  <c r="T400" i="1"/>
  <c r="W400" i="1"/>
  <c r="W408" i="1"/>
  <c r="T408" i="1"/>
  <c r="W416" i="1"/>
  <c r="T416" i="1"/>
  <c r="W424" i="1"/>
  <c r="T424" i="1"/>
  <c r="W432" i="1"/>
  <c r="T432" i="1"/>
  <c r="W456" i="1"/>
  <c r="T456" i="1"/>
  <c r="W480" i="1"/>
  <c r="T480" i="1"/>
  <c r="W488" i="1"/>
  <c r="T488" i="1"/>
  <c r="W496" i="1"/>
  <c r="T496" i="1"/>
  <c r="W504" i="1"/>
  <c r="T504" i="1"/>
  <c r="W512" i="1"/>
  <c r="T512" i="1"/>
  <c r="W520" i="1"/>
  <c r="T520" i="1"/>
  <c r="W528" i="1"/>
  <c r="T528" i="1"/>
  <c r="W536" i="1"/>
  <c r="T536" i="1"/>
  <c r="W544" i="1"/>
  <c r="T544" i="1"/>
  <c r="W552" i="1"/>
  <c r="T552" i="1"/>
  <c r="W560" i="1"/>
  <c r="T560" i="1"/>
  <c r="T568" i="1"/>
  <c r="W568" i="1"/>
  <c r="W576" i="1"/>
  <c r="T576" i="1"/>
  <c r="W584" i="1"/>
  <c r="T584" i="1"/>
  <c r="W592" i="1"/>
  <c r="T592" i="1"/>
  <c r="T600" i="1"/>
  <c r="W600" i="1"/>
  <c r="T608" i="1"/>
  <c r="W608" i="1"/>
  <c r="T616" i="1"/>
  <c r="W616" i="1"/>
  <c r="T624" i="1"/>
  <c r="W624" i="1"/>
  <c r="W632" i="1"/>
  <c r="T632" i="1"/>
  <c r="T640" i="1"/>
  <c r="W640" i="1"/>
  <c r="T648" i="1"/>
  <c r="W648" i="1"/>
  <c r="W656" i="1"/>
  <c r="T656" i="1"/>
  <c r="T664" i="1"/>
  <c r="W664" i="1"/>
  <c r="T672" i="1"/>
  <c r="W672" i="1"/>
  <c r="W680" i="1"/>
  <c r="T680" i="1"/>
  <c r="W688" i="1"/>
  <c r="T688" i="1"/>
  <c r="W696" i="1"/>
  <c r="T696" i="1"/>
  <c r="W704" i="1"/>
  <c r="T704" i="1"/>
  <c r="W712" i="1"/>
  <c r="T712" i="1"/>
  <c r="W720" i="1"/>
  <c r="T720" i="1"/>
  <c r="T728" i="1"/>
  <c r="T736" i="1"/>
  <c r="W736" i="1"/>
  <c r="W744" i="1"/>
  <c r="T744" i="1"/>
  <c r="W752" i="1"/>
  <c r="T752" i="1"/>
  <c r="W760" i="1"/>
  <c r="T760" i="1"/>
  <c r="W768" i="1"/>
  <c r="T768" i="1"/>
  <c r="T776" i="1"/>
  <c r="W776" i="1"/>
  <c r="T784" i="1"/>
  <c r="W784" i="1"/>
  <c r="W792" i="1"/>
  <c r="T792" i="1"/>
  <c r="T800" i="1"/>
  <c r="W800" i="1"/>
  <c r="W808" i="1"/>
  <c r="T808" i="1"/>
  <c r="W816" i="1"/>
  <c r="T816" i="1"/>
  <c r="W824" i="1"/>
  <c r="T824" i="1"/>
  <c r="W832" i="1"/>
  <c r="T832" i="1"/>
  <c r="T840" i="1"/>
  <c r="W840" i="1"/>
  <c r="T848" i="1"/>
  <c r="T856" i="1"/>
  <c r="T864" i="1"/>
  <c r="T872" i="1"/>
  <c r="T880" i="1"/>
  <c r="T888" i="1"/>
  <c r="T896" i="1"/>
  <c r="T904" i="1"/>
  <c r="T912" i="1"/>
  <c r="T920" i="1"/>
  <c r="T928" i="1"/>
  <c r="T936" i="1"/>
  <c r="T944" i="1"/>
  <c r="T952" i="1"/>
  <c r="T960" i="1"/>
  <c r="T968" i="1"/>
  <c r="T976" i="1"/>
  <c r="T984" i="1"/>
  <c r="T992" i="1"/>
  <c r="T1000" i="1"/>
  <c r="T1008" i="1"/>
  <c r="T1016" i="1"/>
  <c r="T1024" i="1"/>
  <c r="T1032" i="1"/>
  <c r="T1040" i="1"/>
  <c r="T1048" i="1"/>
  <c r="T1056" i="1"/>
  <c r="T1064" i="1"/>
  <c r="T1072" i="1"/>
  <c r="T1080" i="1"/>
  <c r="T1088" i="1"/>
  <c r="T1096" i="1"/>
  <c r="T1104" i="1"/>
  <c r="T1112" i="1"/>
  <c r="T1120" i="1"/>
  <c r="T1128" i="1"/>
  <c r="T1136" i="1"/>
  <c r="T1144" i="1"/>
  <c r="T1152" i="1"/>
  <c r="T1160" i="1"/>
  <c r="V75" i="1"/>
  <c r="U75" i="1"/>
  <c r="S75" i="1"/>
  <c r="S395" i="1"/>
  <c r="U395" i="1"/>
  <c r="V395" i="1"/>
  <c r="U739" i="1"/>
  <c r="S739" i="1"/>
  <c r="V739" i="1"/>
  <c r="S1099" i="1"/>
  <c r="V70" i="1"/>
  <c r="S70" i="1"/>
  <c r="U70" i="1"/>
  <c r="U166" i="1"/>
  <c r="V166" i="1"/>
  <c r="S166" i="1"/>
  <c r="W70" i="1"/>
  <c r="T70" i="1"/>
  <c r="W246" i="1"/>
  <c r="T246" i="1"/>
  <c r="W486" i="1"/>
  <c r="T486" i="1"/>
  <c r="T742" i="1"/>
  <c r="W742" i="1"/>
  <c r="V151" i="1"/>
  <c r="U151" i="1"/>
  <c r="S151" i="1"/>
  <c r="S383" i="1"/>
  <c r="U383" i="1"/>
  <c r="V383" i="1"/>
  <c r="U687" i="1"/>
  <c r="V687" i="1"/>
  <c r="S687" i="1"/>
  <c r="T47" i="1"/>
  <c r="W47" i="1"/>
  <c r="T151" i="1"/>
  <c r="W151" i="1"/>
  <c r="T263" i="1"/>
  <c r="W263" i="1"/>
  <c r="W383" i="1"/>
  <c r="T383" i="1"/>
  <c r="W479" i="1"/>
  <c r="T479" i="1"/>
  <c r="W559" i="1"/>
  <c r="T559" i="1"/>
  <c r="T631" i="1"/>
  <c r="W631" i="1"/>
  <c r="T719" i="1"/>
  <c r="W719" i="1"/>
  <c r="T815" i="1"/>
  <c r="W815" i="1"/>
  <c r="T935" i="1"/>
  <c r="T1055" i="1"/>
  <c r="W40" i="1"/>
  <c r="T40" i="1"/>
  <c r="W96" i="1"/>
  <c r="T96" i="1"/>
  <c r="W160" i="1"/>
  <c r="T160" i="1"/>
  <c r="W216" i="1"/>
  <c r="T216" i="1"/>
  <c r="T288" i="1"/>
  <c r="W288" i="1"/>
  <c r="W440" i="1"/>
  <c r="T440" i="1"/>
  <c r="V49" i="1"/>
  <c r="U49" i="1"/>
  <c r="S49" i="1"/>
  <c r="S105" i="1"/>
  <c r="S153" i="1"/>
  <c r="V153" i="1"/>
  <c r="U153" i="1"/>
  <c r="U209" i="1"/>
  <c r="S209" i="1"/>
  <c r="V209" i="1"/>
  <c r="U257" i="1"/>
  <c r="V257" i="1"/>
  <c r="S257" i="1"/>
  <c r="V305" i="1"/>
  <c r="S305" i="1"/>
  <c r="U305" i="1"/>
  <c r="V345" i="1"/>
  <c r="U345" i="1"/>
  <c r="S345" i="1"/>
  <c r="V401" i="1"/>
  <c r="U401" i="1"/>
  <c r="S401" i="1"/>
  <c r="U457" i="1"/>
  <c r="S457" i="1"/>
  <c r="V457" i="1"/>
  <c r="U505" i="1"/>
  <c r="S505" i="1"/>
  <c r="V505" i="1"/>
  <c r="U553" i="1"/>
  <c r="S553" i="1"/>
  <c r="V553" i="1"/>
  <c r="U593" i="1"/>
  <c r="V593" i="1"/>
  <c r="S593" i="1"/>
  <c r="V641" i="1"/>
  <c r="U641" i="1"/>
  <c r="S641" i="1"/>
  <c r="U689" i="1"/>
  <c r="V689" i="1"/>
  <c r="S689" i="1"/>
  <c r="S737" i="1"/>
  <c r="V737" i="1"/>
  <c r="U737" i="1"/>
  <c r="V769" i="1"/>
  <c r="U769" i="1"/>
  <c r="S769" i="1"/>
  <c r="V817" i="1"/>
  <c r="U817" i="1"/>
  <c r="S817" i="1"/>
  <c r="S857" i="1"/>
  <c r="S905" i="1"/>
  <c r="S969" i="1"/>
  <c r="S1033" i="1"/>
  <c r="S1081" i="1"/>
  <c r="S1153" i="1"/>
  <c r="U27" i="1"/>
  <c r="S27" i="1"/>
  <c r="V27" i="1"/>
  <c r="V115" i="1"/>
  <c r="U115" i="1"/>
  <c r="S115" i="1"/>
  <c r="V195" i="1"/>
  <c r="U195" i="1"/>
  <c r="S195" i="1"/>
  <c r="S267" i="1"/>
  <c r="V267" i="1"/>
  <c r="U267" i="1"/>
  <c r="S331" i="1"/>
  <c r="V331" i="1"/>
  <c r="U331" i="1"/>
  <c r="U403" i="1"/>
  <c r="S403" i="1"/>
  <c r="V403" i="1"/>
  <c r="U467" i="1"/>
  <c r="S467" i="1"/>
  <c r="V467" i="1"/>
  <c r="U515" i="1"/>
  <c r="V515" i="1"/>
  <c r="S515" i="1"/>
  <c r="S563" i="1"/>
  <c r="U563" i="1"/>
  <c r="V563" i="1"/>
  <c r="U603" i="1"/>
  <c r="S603" i="1"/>
  <c r="V603" i="1"/>
  <c r="U659" i="1"/>
  <c r="V659" i="1"/>
  <c r="S659" i="1"/>
  <c r="V747" i="1"/>
  <c r="U747" i="1"/>
  <c r="S747" i="1"/>
  <c r="S875" i="1"/>
  <c r="S963" i="1"/>
  <c r="S1051" i="1"/>
  <c r="S1091" i="1"/>
  <c r="V30" i="1"/>
  <c r="S30" i="1"/>
  <c r="U30" i="1"/>
  <c r="V54" i="1"/>
  <c r="S54" i="1"/>
  <c r="U54" i="1"/>
  <c r="U94" i="1"/>
  <c r="S94" i="1"/>
  <c r="V94" i="1"/>
  <c r="V126" i="1"/>
  <c r="U126" i="1"/>
  <c r="S126" i="1"/>
  <c r="U182" i="1"/>
  <c r="V182" i="1"/>
  <c r="S182" i="1"/>
  <c r="S214" i="1"/>
  <c r="V214" i="1"/>
  <c r="U214" i="1"/>
  <c r="W6" i="1"/>
  <c r="T6" i="1"/>
  <c r="W54" i="1"/>
  <c r="T54" i="1"/>
  <c r="W118" i="1"/>
  <c r="T118" i="1"/>
  <c r="W158" i="1"/>
  <c r="T158" i="1"/>
  <c r="W206" i="1"/>
  <c r="T206" i="1"/>
  <c r="T278" i="1"/>
  <c r="W278" i="1"/>
  <c r="W310" i="1"/>
  <c r="T310" i="1"/>
  <c r="W350" i="1"/>
  <c r="T350" i="1"/>
  <c r="W398" i="1"/>
  <c r="T398" i="1"/>
  <c r="W454" i="1"/>
  <c r="T454" i="1"/>
  <c r="W526" i="1"/>
  <c r="T526" i="1"/>
  <c r="W550" i="1"/>
  <c r="T550" i="1"/>
  <c r="W606" i="1"/>
  <c r="T606" i="1"/>
  <c r="T654" i="1"/>
  <c r="W654" i="1"/>
  <c r="T694" i="1"/>
  <c r="W694" i="1"/>
  <c r="W766" i="1"/>
  <c r="T766" i="1"/>
  <c r="W806" i="1"/>
  <c r="T806" i="1"/>
  <c r="T846" i="1"/>
  <c r="T902" i="1"/>
  <c r="T958" i="1"/>
  <c r="T1006" i="1"/>
  <c r="T1046" i="1"/>
  <c r="T1102" i="1"/>
  <c r="T1142" i="1"/>
  <c r="U7" i="1"/>
  <c r="S7" i="1"/>
  <c r="V7" i="1"/>
  <c r="U39" i="1"/>
  <c r="S39" i="1"/>
  <c r="V39" i="1"/>
  <c r="S103" i="1"/>
  <c r="V103" i="1"/>
  <c r="U103" i="1"/>
  <c r="U159" i="1"/>
  <c r="S159" i="1"/>
  <c r="V159" i="1"/>
  <c r="U207" i="1"/>
  <c r="S207" i="1"/>
  <c r="V207" i="1"/>
  <c r="U255" i="1"/>
  <c r="S255" i="1"/>
  <c r="V255" i="1"/>
  <c r="S295" i="1"/>
  <c r="V295" i="1"/>
  <c r="U295" i="1"/>
  <c r="S335" i="1"/>
  <c r="V335" i="1"/>
  <c r="U335" i="1"/>
  <c r="S391" i="1"/>
  <c r="V391" i="1"/>
  <c r="U391" i="1"/>
  <c r="V423" i="1"/>
  <c r="U423" i="1"/>
  <c r="S423" i="1"/>
  <c r="U447" i="1"/>
  <c r="V447" i="1"/>
  <c r="S447" i="1"/>
  <c r="U479" i="1"/>
  <c r="V479" i="1"/>
  <c r="S479" i="1"/>
  <c r="U519" i="1"/>
  <c r="V519" i="1"/>
  <c r="S519" i="1"/>
  <c r="U559" i="1"/>
  <c r="V559" i="1"/>
  <c r="S559" i="1"/>
  <c r="V599" i="1"/>
  <c r="S599" i="1"/>
  <c r="U599" i="1"/>
  <c r="U663" i="1"/>
  <c r="V663" i="1"/>
  <c r="S663" i="1"/>
  <c r="U719" i="1"/>
  <c r="V719" i="1"/>
  <c r="S719" i="1"/>
  <c r="U775" i="1"/>
  <c r="V775" i="1"/>
  <c r="S775" i="1"/>
  <c r="V815" i="1"/>
  <c r="U815" i="1"/>
  <c r="S815" i="1"/>
  <c r="S863" i="1"/>
  <c r="S903" i="1"/>
  <c r="S943" i="1"/>
  <c r="S975" i="1"/>
  <c r="S1031" i="1"/>
  <c r="T23" i="1"/>
  <c r="W23" i="1"/>
  <c r="W79" i="1"/>
  <c r="T79" i="1"/>
  <c r="T127" i="1"/>
  <c r="W127" i="1"/>
  <c r="T183" i="1"/>
  <c r="W183" i="1"/>
  <c r="T223" i="1"/>
  <c r="W223" i="1"/>
  <c r="T271" i="1"/>
  <c r="W271" i="1"/>
  <c r="W311" i="1"/>
  <c r="T311" i="1"/>
  <c r="W359" i="1"/>
  <c r="T359" i="1"/>
  <c r="W407" i="1"/>
  <c r="T407" i="1"/>
  <c r="W439" i="1"/>
  <c r="T439" i="1"/>
  <c r="W471" i="1"/>
  <c r="T471" i="1"/>
  <c r="W511" i="1"/>
  <c r="T511" i="1"/>
  <c r="T575" i="1"/>
  <c r="W575" i="1"/>
  <c r="T615" i="1"/>
  <c r="W615" i="1"/>
  <c r="T671" i="1"/>
  <c r="W671" i="1"/>
  <c r="T711" i="1"/>
  <c r="W711" i="1"/>
  <c r="T767" i="1"/>
  <c r="W767" i="1"/>
  <c r="W799" i="1"/>
  <c r="T799" i="1"/>
  <c r="T855" i="1"/>
  <c r="T895" i="1"/>
  <c r="T967" i="1"/>
  <c r="T1015" i="1"/>
  <c r="T1063" i="1"/>
  <c r="T1119" i="1"/>
  <c r="W24" i="1"/>
  <c r="T24" i="1"/>
  <c r="T72" i="1"/>
  <c r="W72" i="1"/>
  <c r="W112" i="1"/>
  <c r="T112" i="1"/>
  <c r="T144" i="1"/>
  <c r="W144" i="1"/>
  <c r="W184" i="1"/>
  <c r="T184" i="1"/>
  <c r="W224" i="1"/>
  <c r="T224" i="1"/>
  <c r="T256" i="1"/>
  <c r="W256" i="1"/>
  <c r="T304" i="1"/>
  <c r="W304" i="1"/>
  <c r="W344" i="1"/>
  <c r="T344" i="1"/>
  <c r="W464" i="1"/>
  <c r="T464" i="1"/>
  <c r="V9" i="1"/>
  <c r="U9" i="1"/>
  <c r="S9" i="1"/>
  <c r="V33" i="1"/>
  <c r="U33" i="1"/>
  <c r="S33" i="1"/>
  <c r="V73" i="1"/>
  <c r="S73" i="1"/>
  <c r="U73" i="1"/>
  <c r="S129" i="1"/>
  <c r="V129" i="1"/>
  <c r="U129" i="1"/>
  <c r="U161" i="1"/>
  <c r="V161" i="1"/>
  <c r="S161" i="1"/>
  <c r="U201" i="1"/>
  <c r="V201" i="1"/>
  <c r="S201" i="1"/>
  <c r="U225" i="1"/>
  <c r="S225" i="1"/>
  <c r="V225" i="1"/>
  <c r="U249" i="1"/>
  <c r="S249" i="1"/>
  <c r="V249" i="1"/>
  <c r="V281" i="1"/>
  <c r="U281" i="1"/>
  <c r="S281" i="1"/>
  <c r="V313" i="1"/>
  <c r="U313" i="1"/>
  <c r="S313" i="1"/>
  <c r="V337" i="1"/>
  <c r="U337" i="1"/>
  <c r="S337" i="1"/>
  <c r="V369" i="1"/>
  <c r="U369" i="1"/>
  <c r="S369" i="1"/>
  <c r="V393" i="1"/>
  <c r="U393" i="1"/>
  <c r="S393" i="1"/>
  <c r="V425" i="1"/>
  <c r="U425" i="1"/>
  <c r="S425" i="1"/>
  <c r="S449" i="1"/>
  <c r="U449" i="1"/>
  <c r="V449" i="1"/>
  <c r="U481" i="1"/>
  <c r="S481" i="1"/>
  <c r="V481" i="1"/>
  <c r="U513" i="1"/>
  <c r="V513" i="1"/>
  <c r="S513" i="1"/>
  <c r="U537" i="1"/>
  <c r="S537" i="1"/>
  <c r="V537" i="1"/>
  <c r="S577" i="1"/>
  <c r="V577" i="1"/>
  <c r="U577" i="1"/>
  <c r="V609" i="1"/>
  <c r="U609" i="1"/>
  <c r="S609" i="1"/>
  <c r="V625" i="1"/>
  <c r="U625" i="1"/>
  <c r="S625" i="1"/>
  <c r="S665" i="1"/>
  <c r="V697" i="1"/>
  <c r="U697" i="1"/>
  <c r="S697" i="1"/>
  <c r="S721" i="1"/>
  <c r="V721" i="1"/>
  <c r="U721" i="1"/>
  <c r="U745" i="1"/>
  <c r="S745" i="1"/>
  <c r="V745" i="1"/>
  <c r="V777" i="1"/>
  <c r="U777" i="1"/>
  <c r="S777" i="1"/>
  <c r="U801" i="1"/>
  <c r="S801" i="1"/>
  <c r="V801" i="1"/>
  <c r="V833" i="1"/>
  <c r="U833" i="1"/>
  <c r="S833" i="1"/>
  <c r="S865" i="1"/>
  <c r="S889" i="1"/>
  <c r="S921" i="1"/>
  <c r="S937" i="1"/>
  <c r="S961" i="1"/>
  <c r="S993" i="1"/>
  <c r="S1017" i="1"/>
  <c r="S1049" i="1"/>
  <c r="S1073" i="1"/>
  <c r="S1105" i="1"/>
  <c r="S1129" i="1"/>
  <c r="W9" i="1"/>
  <c r="T9" i="1"/>
  <c r="W41" i="1"/>
  <c r="T41" i="1"/>
  <c r="W65" i="1"/>
  <c r="T65" i="1"/>
  <c r="W89" i="1"/>
  <c r="T89" i="1"/>
  <c r="W113" i="1"/>
  <c r="T113" i="1"/>
  <c r="W137" i="1"/>
  <c r="T137" i="1"/>
  <c r="W161" i="1"/>
  <c r="T161" i="1"/>
  <c r="W193" i="1"/>
  <c r="T193" i="1"/>
  <c r="W217" i="1"/>
  <c r="T217" i="1"/>
  <c r="W241" i="1"/>
  <c r="T241" i="1"/>
  <c r="W265" i="1"/>
  <c r="T265" i="1"/>
  <c r="W289" i="1"/>
  <c r="T289" i="1"/>
  <c r="W321" i="1"/>
  <c r="T321" i="1"/>
  <c r="W345" i="1"/>
  <c r="T345" i="1"/>
  <c r="W377" i="1"/>
  <c r="T377" i="1"/>
  <c r="W401" i="1"/>
  <c r="T401" i="1"/>
  <c r="W433" i="1"/>
  <c r="T433" i="1"/>
  <c r="T457" i="1"/>
  <c r="W457" i="1"/>
  <c r="T481" i="1"/>
  <c r="W481" i="1"/>
  <c r="W497" i="1"/>
  <c r="T497" i="1"/>
  <c r="W529" i="1"/>
  <c r="T529" i="1"/>
  <c r="T553" i="1"/>
  <c r="W553" i="1"/>
  <c r="W577" i="1"/>
  <c r="T577" i="1"/>
  <c r="W601" i="1"/>
  <c r="T601" i="1"/>
  <c r="T617" i="1"/>
  <c r="W617" i="1"/>
  <c r="W641" i="1"/>
  <c r="T641" i="1"/>
  <c r="W657" i="1"/>
  <c r="T657" i="1"/>
  <c r="T681" i="1"/>
  <c r="W681" i="1"/>
  <c r="W705" i="1"/>
  <c r="T705" i="1"/>
  <c r="W729" i="1"/>
  <c r="T729" i="1"/>
  <c r="W753" i="1"/>
  <c r="T753" i="1"/>
  <c r="W777" i="1"/>
  <c r="T777" i="1"/>
  <c r="T801" i="1"/>
  <c r="W801" i="1"/>
  <c r="W817" i="1"/>
  <c r="T817" i="1"/>
  <c r="W841" i="1"/>
  <c r="T841" i="1"/>
  <c r="T865" i="1"/>
  <c r="T881" i="1"/>
  <c r="T905" i="1"/>
  <c r="T921" i="1"/>
  <c r="T937" i="1"/>
  <c r="T961" i="1"/>
  <c r="T985" i="1"/>
  <c r="T1009" i="1"/>
  <c r="T1041" i="1"/>
  <c r="T1065" i="1"/>
  <c r="T1089" i="1"/>
  <c r="T1113" i="1"/>
  <c r="T1153" i="1"/>
  <c r="U306" i="1"/>
  <c r="S306" i="1"/>
  <c r="V306" i="1"/>
  <c r="S314" i="1"/>
  <c r="U314" i="1"/>
  <c r="V314" i="1"/>
  <c r="V322" i="1"/>
  <c r="U322" i="1"/>
  <c r="S322" i="1"/>
  <c r="U330" i="1"/>
  <c r="S330" i="1"/>
  <c r="V330" i="1"/>
  <c r="U338" i="1"/>
  <c r="S338" i="1"/>
  <c r="V338" i="1"/>
  <c r="U346" i="1"/>
  <c r="V346" i="1"/>
  <c r="S346" i="1"/>
  <c r="S354" i="1"/>
  <c r="V354" i="1"/>
  <c r="U354" i="1"/>
  <c r="U362" i="1"/>
  <c r="V362" i="1"/>
  <c r="S362" i="1"/>
  <c r="U370" i="1"/>
  <c r="S370" i="1"/>
  <c r="V370" i="1"/>
  <c r="U378" i="1"/>
  <c r="V378" i="1"/>
  <c r="S378" i="1"/>
  <c r="V386" i="1"/>
  <c r="U386" i="1"/>
  <c r="S386" i="1"/>
  <c r="U394" i="1"/>
  <c r="S394" i="1"/>
  <c r="V394" i="1"/>
  <c r="U402" i="1"/>
  <c r="S402" i="1"/>
  <c r="V402" i="1"/>
  <c r="V410" i="1"/>
  <c r="U410" i="1"/>
  <c r="S410" i="1"/>
  <c r="V418" i="1"/>
  <c r="S418" i="1"/>
  <c r="U418" i="1"/>
  <c r="V426" i="1"/>
  <c r="U426" i="1"/>
  <c r="S426" i="1"/>
  <c r="V434" i="1"/>
  <c r="U434" i="1"/>
  <c r="S434" i="1"/>
  <c r="V442" i="1"/>
  <c r="U442" i="1"/>
  <c r="S442" i="1"/>
  <c r="V450" i="1"/>
  <c r="U450" i="1"/>
  <c r="S450" i="1"/>
  <c r="V458" i="1"/>
  <c r="U458" i="1"/>
  <c r="S458" i="1"/>
  <c r="V466" i="1"/>
  <c r="U466" i="1"/>
  <c r="S466" i="1"/>
  <c r="V474" i="1"/>
  <c r="U474" i="1"/>
  <c r="S474" i="1"/>
  <c r="S482" i="1"/>
  <c r="V490" i="1"/>
  <c r="U490" i="1"/>
  <c r="S490" i="1"/>
  <c r="V498" i="1"/>
  <c r="U498" i="1"/>
  <c r="S498" i="1"/>
  <c r="V506" i="1"/>
  <c r="U506" i="1"/>
  <c r="S506" i="1"/>
  <c r="V514" i="1"/>
  <c r="U514" i="1"/>
  <c r="S514" i="1"/>
  <c r="V522" i="1"/>
  <c r="U522" i="1"/>
  <c r="S522" i="1"/>
  <c r="V530" i="1"/>
  <c r="U530" i="1"/>
  <c r="S530" i="1"/>
  <c r="V538" i="1"/>
  <c r="U538" i="1"/>
  <c r="S538" i="1"/>
  <c r="V546" i="1"/>
  <c r="U546" i="1"/>
  <c r="S546" i="1"/>
  <c r="V554" i="1"/>
  <c r="U554" i="1"/>
  <c r="S554" i="1"/>
  <c r="V562" i="1"/>
  <c r="U562" i="1"/>
  <c r="S562" i="1"/>
  <c r="S570" i="1"/>
  <c r="U570" i="1"/>
  <c r="V570" i="1"/>
  <c r="V578" i="1"/>
  <c r="U578" i="1"/>
  <c r="S578" i="1"/>
  <c r="U586" i="1"/>
  <c r="V586" i="1"/>
  <c r="S586" i="1"/>
  <c r="S594" i="1"/>
  <c r="V594" i="1"/>
  <c r="U594" i="1"/>
  <c r="V602" i="1"/>
  <c r="U602" i="1"/>
  <c r="S602" i="1"/>
  <c r="S610" i="1"/>
  <c r="V610" i="1"/>
  <c r="U610" i="1"/>
  <c r="S618" i="1"/>
  <c r="V618" i="1"/>
  <c r="U618" i="1"/>
  <c r="S626" i="1"/>
  <c r="V626" i="1"/>
  <c r="U626" i="1"/>
  <c r="S634" i="1"/>
  <c r="V634" i="1"/>
  <c r="U634" i="1"/>
  <c r="S642" i="1"/>
  <c r="V642" i="1"/>
  <c r="U642" i="1"/>
  <c r="S650" i="1"/>
  <c r="S658" i="1"/>
  <c r="V658" i="1"/>
  <c r="U658" i="1"/>
  <c r="S666" i="1"/>
  <c r="U666" i="1"/>
  <c r="V666" i="1"/>
  <c r="S674" i="1"/>
  <c r="V674" i="1"/>
  <c r="U674" i="1"/>
  <c r="S682" i="1"/>
  <c r="U682" i="1"/>
  <c r="V682" i="1"/>
  <c r="S690" i="1"/>
  <c r="V690" i="1"/>
  <c r="U690" i="1"/>
  <c r="S698" i="1"/>
  <c r="V698" i="1"/>
  <c r="U698" i="1"/>
  <c r="S706" i="1"/>
  <c r="V706" i="1"/>
  <c r="U706" i="1"/>
  <c r="S714" i="1"/>
  <c r="V714" i="1"/>
  <c r="U714" i="1"/>
  <c r="S722" i="1"/>
  <c r="V722" i="1"/>
  <c r="U722" i="1"/>
  <c r="S730" i="1"/>
  <c r="U730" i="1"/>
  <c r="V730" i="1"/>
  <c r="S738" i="1"/>
  <c r="V738" i="1"/>
  <c r="U738" i="1"/>
  <c r="S746" i="1"/>
  <c r="V746" i="1"/>
  <c r="U746" i="1"/>
  <c r="S754" i="1"/>
  <c r="V754" i="1"/>
  <c r="U754" i="1"/>
  <c r="S762" i="1"/>
  <c r="V762" i="1"/>
  <c r="U762" i="1"/>
  <c r="S770" i="1"/>
  <c r="V770" i="1"/>
  <c r="U770" i="1"/>
  <c r="S778" i="1"/>
  <c r="U778" i="1"/>
  <c r="V778" i="1"/>
  <c r="S786" i="1"/>
  <c r="V786" i="1"/>
  <c r="U786" i="1"/>
  <c r="S794" i="1"/>
  <c r="S802" i="1"/>
  <c r="V810" i="1"/>
  <c r="U810" i="1"/>
  <c r="S810" i="1"/>
  <c r="U818" i="1"/>
  <c r="S818" i="1"/>
  <c r="V818" i="1"/>
  <c r="S826" i="1"/>
  <c r="V826" i="1"/>
  <c r="U826" i="1"/>
  <c r="S834" i="1"/>
  <c r="V834" i="1"/>
  <c r="U834" i="1"/>
  <c r="V842" i="1"/>
  <c r="U842" i="1"/>
  <c r="S842" i="1"/>
  <c r="S850" i="1"/>
  <c r="S858" i="1"/>
  <c r="S866" i="1"/>
  <c r="S874" i="1"/>
  <c r="S882" i="1"/>
  <c r="S890" i="1"/>
  <c r="S898" i="1"/>
  <c r="S906" i="1"/>
  <c r="S914" i="1"/>
  <c r="S922" i="1"/>
  <c r="S930" i="1"/>
  <c r="S938" i="1"/>
  <c r="S946" i="1"/>
  <c r="S954" i="1"/>
  <c r="S962" i="1"/>
  <c r="S970" i="1"/>
  <c r="S978" i="1"/>
  <c r="S986" i="1"/>
  <c r="S994" i="1"/>
  <c r="S1002" i="1"/>
  <c r="S1010" i="1"/>
  <c r="S1018" i="1"/>
  <c r="S1026" i="1"/>
  <c r="S1034" i="1"/>
  <c r="S1042" i="1"/>
  <c r="S1050" i="1"/>
  <c r="S1058" i="1"/>
  <c r="S1066" i="1"/>
  <c r="S1074" i="1"/>
  <c r="S1082" i="1"/>
  <c r="S1090" i="1"/>
  <c r="S1098" i="1"/>
  <c r="S1106" i="1"/>
  <c r="S1114" i="1"/>
  <c r="S1122" i="1"/>
  <c r="S1130" i="1"/>
  <c r="S1138" i="1"/>
  <c r="S1146" i="1"/>
  <c r="S1154" i="1"/>
  <c r="W10" i="1"/>
  <c r="T10" i="1"/>
  <c r="W18" i="1"/>
  <c r="T18" i="1"/>
  <c r="W26" i="1"/>
  <c r="T26" i="1"/>
  <c r="T34" i="1"/>
  <c r="W34" i="1"/>
  <c r="W42" i="1"/>
  <c r="T42" i="1"/>
  <c r="W50" i="1"/>
  <c r="T50" i="1"/>
  <c r="T58" i="1"/>
  <c r="W58" i="1"/>
  <c r="W66" i="1"/>
  <c r="T66" i="1"/>
  <c r="T74" i="1"/>
  <c r="W74" i="1"/>
  <c r="W82" i="1"/>
  <c r="T82" i="1"/>
  <c r="W90" i="1"/>
  <c r="T90" i="1"/>
  <c r="W98" i="1"/>
  <c r="T98" i="1"/>
  <c r="W106" i="1"/>
  <c r="T106" i="1"/>
  <c r="T114" i="1"/>
  <c r="W114" i="1"/>
  <c r="W122" i="1"/>
  <c r="T122" i="1"/>
  <c r="T130" i="1"/>
  <c r="W130" i="1"/>
  <c r="W138" i="1"/>
  <c r="T138" i="1"/>
  <c r="W146" i="1"/>
  <c r="T146" i="1"/>
  <c r="W154" i="1"/>
  <c r="T154" i="1"/>
  <c r="T162" i="1"/>
  <c r="W162" i="1"/>
  <c r="W170" i="1"/>
  <c r="T170" i="1"/>
  <c r="W178" i="1"/>
  <c r="T178" i="1"/>
  <c r="T186" i="1"/>
  <c r="W186" i="1"/>
  <c r="W194" i="1"/>
  <c r="T194" i="1"/>
  <c r="W202" i="1"/>
  <c r="T202" i="1"/>
  <c r="T210" i="1"/>
  <c r="W210" i="1"/>
  <c r="T218" i="1"/>
  <c r="W218" i="1"/>
  <c r="W226" i="1"/>
  <c r="T226" i="1"/>
  <c r="T234" i="1"/>
  <c r="W234" i="1"/>
  <c r="T242" i="1"/>
  <c r="W242" i="1"/>
  <c r="W250" i="1"/>
  <c r="T250" i="1"/>
  <c r="W258" i="1"/>
  <c r="T258" i="1"/>
  <c r="W266" i="1"/>
  <c r="T266" i="1"/>
  <c r="T274" i="1"/>
  <c r="W274" i="1"/>
  <c r="W282" i="1"/>
  <c r="T282" i="1"/>
  <c r="W290" i="1"/>
  <c r="T290" i="1"/>
  <c r="W298" i="1"/>
  <c r="T298" i="1"/>
  <c r="T306" i="1"/>
  <c r="W306" i="1"/>
  <c r="W314" i="1"/>
  <c r="T314" i="1"/>
  <c r="W322" i="1"/>
  <c r="T322" i="1"/>
  <c r="W330" i="1"/>
  <c r="T330" i="1"/>
  <c r="T338" i="1"/>
  <c r="W338" i="1"/>
  <c r="W346" i="1"/>
  <c r="T346" i="1"/>
  <c r="W354" i="1"/>
  <c r="T354" i="1"/>
  <c r="W362" i="1"/>
  <c r="T362" i="1"/>
  <c r="T370" i="1"/>
  <c r="W370" i="1"/>
  <c r="W378" i="1"/>
  <c r="T378" i="1"/>
  <c r="W386" i="1"/>
  <c r="T386" i="1"/>
  <c r="W394" i="1"/>
  <c r="T394" i="1"/>
  <c r="T402" i="1"/>
  <c r="W402" i="1"/>
  <c r="W410" i="1"/>
  <c r="T410" i="1"/>
  <c r="T418" i="1"/>
  <c r="W418" i="1"/>
  <c r="W426" i="1"/>
  <c r="T426" i="1"/>
  <c r="W434" i="1"/>
  <c r="T434" i="1"/>
  <c r="W442" i="1"/>
  <c r="T442" i="1"/>
  <c r="W450" i="1"/>
  <c r="T450" i="1"/>
  <c r="W458" i="1"/>
  <c r="T458" i="1"/>
  <c r="W466" i="1"/>
  <c r="T466" i="1"/>
  <c r="W474" i="1"/>
  <c r="T474" i="1"/>
  <c r="T482" i="1"/>
  <c r="W490" i="1"/>
  <c r="T490" i="1"/>
  <c r="W498" i="1"/>
  <c r="T498" i="1"/>
  <c r="W506" i="1"/>
  <c r="T506" i="1"/>
  <c r="W514" i="1"/>
  <c r="T514" i="1"/>
  <c r="W522" i="1"/>
  <c r="T522" i="1"/>
  <c r="W530" i="1"/>
  <c r="T530" i="1"/>
  <c r="W538" i="1"/>
  <c r="T538" i="1"/>
  <c r="W546" i="1"/>
  <c r="T546" i="1"/>
  <c r="W554" i="1"/>
  <c r="T554" i="1"/>
  <c r="W562" i="1"/>
  <c r="T562" i="1"/>
  <c r="W570" i="1"/>
  <c r="T570" i="1"/>
  <c r="T578" i="1"/>
  <c r="W578" i="1"/>
  <c r="W586" i="1"/>
  <c r="T586" i="1"/>
  <c r="T594" i="1"/>
  <c r="W594" i="1"/>
  <c r="W602" i="1"/>
  <c r="T602" i="1"/>
  <c r="T610" i="1"/>
  <c r="W610" i="1"/>
  <c r="T618" i="1"/>
  <c r="W618" i="1"/>
  <c r="W626" i="1"/>
  <c r="T626" i="1"/>
  <c r="T634" i="1"/>
  <c r="W634" i="1"/>
  <c r="T642" i="1"/>
  <c r="W642" i="1"/>
  <c r="T650" i="1"/>
  <c r="W658" i="1"/>
  <c r="T658" i="1"/>
  <c r="T666" i="1"/>
  <c r="W666" i="1"/>
  <c r="W674" i="1"/>
  <c r="T674" i="1"/>
  <c r="W682" i="1"/>
  <c r="T682" i="1"/>
  <c r="W690" i="1"/>
  <c r="T690" i="1"/>
  <c r="T698" i="1"/>
  <c r="W698" i="1"/>
  <c r="W706" i="1"/>
  <c r="T706" i="1"/>
  <c r="W714" i="1"/>
  <c r="T714" i="1"/>
  <c r="W722" i="1"/>
  <c r="T722" i="1"/>
  <c r="T730" i="1"/>
  <c r="W730" i="1"/>
  <c r="W738" i="1"/>
  <c r="T738" i="1"/>
  <c r="W746" i="1"/>
  <c r="T746" i="1"/>
  <c r="W754" i="1"/>
  <c r="T754" i="1"/>
  <c r="W762" i="1"/>
  <c r="T762" i="1"/>
  <c r="T770" i="1"/>
  <c r="W770" i="1"/>
  <c r="T778" i="1"/>
  <c r="W778" i="1"/>
  <c r="T786" i="1"/>
  <c r="W786" i="1"/>
  <c r="T794" i="1"/>
  <c r="T802" i="1"/>
  <c r="W810" i="1"/>
  <c r="T810" i="1"/>
  <c r="T818" i="1"/>
  <c r="W818" i="1"/>
  <c r="W826" i="1"/>
  <c r="T826" i="1"/>
  <c r="T834" i="1"/>
  <c r="W834" i="1"/>
  <c r="T842" i="1"/>
  <c r="W842" i="1"/>
  <c r="T850" i="1"/>
  <c r="T858" i="1"/>
  <c r="T866" i="1"/>
  <c r="T874" i="1"/>
  <c r="T882" i="1"/>
  <c r="T890" i="1"/>
  <c r="T898" i="1"/>
  <c r="T906" i="1"/>
  <c r="T914" i="1"/>
  <c r="T922" i="1"/>
  <c r="T930" i="1"/>
  <c r="T938" i="1"/>
  <c r="T946" i="1"/>
  <c r="T954" i="1"/>
  <c r="T962" i="1"/>
  <c r="T970" i="1"/>
  <c r="T978" i="1"/>
  <c r="T986" i="1"/>
  <c r="T994" i="1"/>
  <c r="T1002" i="1"/>
  <c r="T1010" i="1"/>
  <c r="T1018" i="1"/>
  <c r="T1026" i="1"/>
  <c r="T1034" i="1"/>
  <c r="T1042" i="1"/>
  <c r="T1050" i="1"/>
  <c r="T1058" i="1"/>
  <c r="T1066" i="1"/>
  <c r="T1074" i="1"/>
  <c r="T1082" i="1"/>
  <c r="T1090" i="1"/>
  <c r="T1098" i="1"/>
  <c r="T1106" i="1"/>
  <c r="T1114" i="1"/>
  <c r="T1122" i="1"/>
  <c r="T1130" i="1"/>
  <c r="T1138" i="1"/>
  <c r="T1146" i="1"/>
  <c r="T1154" i="1"/>
  <c r="V8" i="1"/>
  <c r="U8" i="1"/>
  <c r="S8" i="1"/>
  <c r="S16" i="1"/>
  <c r="V16" i="1"/>
  <c r="U16" i="1"/>
  <c r="U24" i="1"/>
  <c r="V24" i="1"/>
  <c r="S24" i="1"/>
  <c r="V32" i="1"/>
  <c r="U32" i="1"/>
  <c r="S32" i="1"/>
  <c r="U40" i="1"/>
  <c r="S40" i="1"/>
  <c r="V40" i="1"/>
  <c r="S48" i="1"/>
  <c r="U48" i="1"/>
  <c r="V48" i="1"/>
  <c r="U56" i="1"/>
  <c r="V56" i="1"/>
  <c r="S56" i="1"/>
  <c r="S64" i="1"/>
  <c r="V64" i="1"/>
  <c r="U64" i="1"/>
  <c r="U72" i="1"/>
  <c r="V72" i="1"/>
  <c r="S72" i="1"/>
  <c r="S80" i="1"/>
  <c r="V80" i="1"/>
  <c r="U80" i="1"/>
  <c r="V88" i="1"/>
  <c r="U88" i="1"/>
  <c r="S88" i="1"/>
  <c r="V96" i="1"/>
  <c r="U96" i="1"/>
  <c r="S96" i="1"/>
  <c r="U104" i="1"/>
  <c r="S104" i="1"/>
  <c r="V104" i="1"/>
  <c r="V112" i="1"/>
  <c r="U112" i="1"/>
  <c r="S112" i="1"/>
  <c r="S120" i="1"/>
  <c r="V120" i="1"/>
  <c r="U120" i="1"/>
  <c r="V128" i="1"/>
  <c r="U128" i="1"/>
  <c r="S128" i="1"/>
  <c r="U136" i="1"/>
  <c r="S136" i="1"/>
  <c r="V136" i="1"/>
  <c r="V144" i="1"/>
  <c r="U144" i="1"/>
  <c r="S144" i="1"/>
  <c r="V152" i="1"/>
  <c r="U152" i="1"/>
  <c r="S152" i="1"/>
  <c r="U160" i="1"/>
  <c r="V160" i="1"/>
  <c r="S160" i="1"/>
  <c r="V168" i="1"/>
  <c r="U168" i="1"/>
  <c r="S168" i="1"/>
  <c r="U176" i="1"/>
  <c r="V176" i="1"/>
  <c r="S176" i="1"/>
  <c r="V184" i="1"/>
  <c r="U184" i="1"/>
  <c r="S184" i="1"/>
  <c r="V192" i="1"/>
  <c r="S192" i="1"/>
  <c r="U192" i="1"/>
  <c r="V200" i="1"/>
  <c r="U200" i="1"/>
  <c r="S200" i="1"/>
  <c r="U208" i="1"/>
  <c r="S208" i="1"/>
  <c r="V208" i="1"/>
  <c r="U216" i="1"/>
  <c r="V216" i="1"/>
  <c r="S216" i="1"/>
  <c r="V224" i="1"/>
  <c r="U224" i="1"/>
  <c r="S224" i="1"/>
  <c r="V232" i="1"/>
  <c r="U232" i="1"/>
  <c r="S232" i="1"/>
  <c r="U240" i="1"/>
  <c r="S240" i="1"/>
  <c r="V240" i="1"/>
  <c r="U248" i="1"/>
  <c r="S248" i="1"/>
  <c r="V248" i="1"/>
  <c r="U256" i="1"/>
  <c r="V256" i="1"/>
  <c r="S256" i="1"/>
  <c r="U264" i="1"/>
  <c r="V264" i="1"/>
  <c r="S264" i="1"/>
  <c r="V272" i="1"/>
  <c r="S272" i="1"/>
  <c r="U272" i="1"/>
  <c r="V280" i="1"/>
  <c r="U280" i="1"/>
  <c r="S280" i="1"/>
  <c r="U288" i="1"/>
  <c r="S288" i="1"/>
  <c r="V288" i="1"/>
  <c r="V296" i="1"/>
  <c r="S296" i="1"/>
  <c r="U296" i="1"/>
  <c r="U304" i="1"/>
  <c r="S304" i="1"/>
  <c r="V304" i="1"/>
  <c r="U312" i="1"/>
  <c r="V312" i="1"/>
  <c r="S312" i="1"/>
  <c r="U320" i="1"/>
  <c r="S320" i="1"/>
  <c r="V320" i="1"/>
  <c r="S328" i="1"/>
  <c r="V328" i="1"/>
  <c r="U328" i="1"/>
  <c r="V336" i="1"/>
  <c r="S336" i="1"/>
  <c r="U336" i="1"/>
  <c r="U344" i="1"/>
  <c r="S344" i="1"/>
  <c r="V344" i="1"/>
  <c r="U352" i="1"/>
  <c r="S352" i="1"/>
  <c r="V352" i="1"/>
  <c r="S360" i="1"/>
  <c r="V360" i="1"/>
  <c r="U360" i="1"/>
  <c r="U368" i="1"/>
  <c r="V368" i="1"/>
  <c r="S368" i="1"/>
  <c r="U376" i="1"/>
  <c r="V376" i="1"/>
  <c r="S376" i="1"/>
  <c r="U384" i="1"/>
  <c r="S384" i="1"/>
  <c r="V384" i="1"/>
  <c r="U392" i="1"/>
  <c r="V392" i="1"/>
  <c r="S392" i="1"/>
  <c r="U400" i="1"/>
  <c r="V400" i="1"/>
  <c r="S400" i="1"/>
  <c r="U408" i="1"/>
  <c r="S408" i="1"/>
  <c r="V408" i="1"/>
  <c r="V416" i="1"/>
  <c r="U416" i="1"/>
  <c r="S416" i="1"/>
  <c r="S424" i="1"/>
  <c r="V424" i="1"/>
  <c r="U424" i="1"/>
  <c r="S432" i="1"/>
  <c r="V432" i="1"/>
  <c r="U432" i="1"/>
  <c r="S440" i="1"/>
  <c r="U440" i="1"/>
  <c r="V440" i="1"/>
  <c r="S448" i="1"/>
  <c r="S456" i="1"/>
  <c r="U456" i="1"/>
  <c r="V456" i="1"/>
  <c r="S464" i="1"/>
  <c r="V464" i="1"/>
  <c r="U464" i="1"/>
  <c r="S472" i="1"/>
  <c r="V472" i="1"/>
  <c r="U472" i="1"/>
  <c r="S480" i="1"/>
  <c r="V480" i="1"/>
  <c r="U480" i="1"/>
  <c r="S488" i="1"/>
  <c r="V488" i="1"/>
  <c r="U488" i="1"/>
  <c r="S496" i="1"/>
  <c r="V496" i="1"/>
  <c r="U496" i="1"/>
  <c r="S504" i="1"/>
  <c r="V504" i="1"/>
  <c r="U504" i="1"/>
  <c r="S512" i="1"/>
  <c r="V512" i="1"/>
  <c r="U512" i="1"/>
  <c r="S520" i="1"/>
  <c r="V520" i="1"/>
  <c r="U520" i="1"/>
  <c r="S528" i="1"/>
  <c r="V528" i="1"/>
  <c r="U528" i="1"/>
  <c r="S536" i="1"/>
  <c r="U536" i="1"/>
  <c r="V536" i="1"/>
  <c r="S544" i="1"/>
  <c r="V544" i="1"/>
  <c r="U544" i="1"/>
  <c r="S552" i="1"/>
  <c r="V552" i="1"/>
  <c r="U552" i="1"/>
  <c r="S560" i="1"/>
  <c r="V560" i="1"/>
  <c r="U560" i="1"/>
  <c r="V568" i="1"/>
  <c r="U568" i="1"/>
  <c r="S568" i="1"/>
  <c r="U576" i="1"/>
  <c r="V576" i="1"/>
  <c r="S576" i="1"/>
  <c r="V584" i="1"/>
  <c r="S584" i="1"/>
  <c r="U584" i="1"/>
  <c r="V592" i="1"/>
  <c r="U592" i="1"/>
  <c r="S592" i="1"/>
  <c r="V600" i="1"/>
  <c r="U600" i="1"/>
  <c r="S600" i="1"/>
  <c r="V608" i="1"/>
  <c r="U608" i="1"/>
  <c r="S608" i="1"/>
  <c r="S616" i="1"/>
  <c r="V616" i="1"/>
  <c r="U616" i="1"/>
  <c r="V624" i="1"/>
  <c r="U624" i="1"/>
  <c r="S624" i="1"/>
  <c r="V632" i="1"/>
  <c r="U632" i="1"/>
  <c r="S632" i="1"/>
  <c r="V640" i="1"/>
  <c r="U640" i="1"/>
  <c r="S640" i="1"/>
  <c r="S648" i="1"/>
  <c r="V648" i="1"/>
  <c r="U648" i="1"/>
  <c r="V656" i="1"/>
  <c r="U656" i="1"/>
  <c r="S656" i="1"/>
  <c r="V664" i="1"/>
  <c r="U664" i="1"/>
  <c r="S664" i="1"/>
  <c r="U672" i="1"/>
  <c r="S672" i="1"/>
  <c r="V672" i="1"/>
  <c r="V680" i="1"/>
  <c r="U680" i="1"/>
  <c r="S680" i="1"/>
  <c r="V688" i="1"/>
  <c r="U688" i="1"/>
  <c r="S688" i="1"/>
  <c r="V696" i="1"/>
  <c r="U696" i="1"/>
  <c r="S696" i="1"/>
  <c r="V704" i="1"/>
  <c r="U704" i="1"/>
  <c r="S704" i="1"/>
  <c r="S712" i="1"/>
  <c r="U712" i="1"/>
  <c r="V712" i="1"/>
  <c r="U720" i="1"/>
  <c r="V720" i="1"/>
  <c r="S720" i="1"/>
  <c r="S728" i="1"/>
  <c r="U736" i="1"/>
  <c r="S736" i="1"/>
  <c r="V736" i="1"/>
  <c r="V744" i="1"/>
  <c r="U744" i="1"/>
  <c r="S744" i="1"/>
  <c r="U752" i="1"/>
  <c r="V752" i="1"/>
  <c r="S752" i="1"/>
  <c r="V760" i="1"/>
  <c r="U760" i="1"/>
  <c r="S760" i="1"/>
  <c r="U768" i="1"/>
  <c r="V768" i="1"/>
  <c r="S768" i="1"/>
  <c r="V776" i="1"/>
  <c r="U776" i="1"/>
  <c r="S776" i="1"/>
  <c r="U784" i="1"/>
  <c r="S784" i="1"/>
  <c r="V784" i="1"/>
  <c r="V792" i="1"/>
  <c r="S792" i="1"/>
  <c r="U792" i="1"/>
  <c r="S800" i="1"/>
  <c r="V800" i="1"/>
  <c r="U800" i="1"/>
  <c r="V808" i="1"/>
  <c r="U808" i="1"/>
  <c r="S808" i="1"/>
  <c r="V816" i="1"/>
  <c r="U816" i="1"/>
  <c r="S816" i="1"/>
  <c r="S824" i="1"/>
  <c r="U824" i="1"/>
  <c r="V824" i="1"/>
  <c r="V832" i="1"/>
  <c r="U832" i="1"/>
  <c r="S832" i="1"/>
  <c r="U840" i="1"/>
  <c r="V840" i="1"/>
  <c r="S840" i="1"/>
  <c r="S848" i="1"/>
  <c r="S856" i="1"/>
  <c r="S864" i="1"/>
  <c r="S872" i="1"/>
  <c r="S880" i="1"/>
  <c r="S888" i="1"/>
  <c r="S896" i="1"/>
  <c r="S904" i="1"/>
  <c r="S912" i="1"/>
  <c r="S920" i="1"/>
  <c r="S928" i="1"/>
  <c r="S936" i="1"/>
  <c r="S944" i="1"/>
  <c r="S952" i="1"/>
  <c r="S960" i="1"/>
  <c r="S968" i="1"/>
  <c r="S976" i="1"/>
  <c r="S984" i="1"/>
  <c r="S992" i="1"/>
  <c r="S1000" i="1"/>
  <c r="S1008" i="1"/>
  <c r="S1016" i="1"/>
  <c r="S1024" i="1"/>
  <c r="S1032" i="1"/>
  <c r="S1040" i="1"/>
  <c r="S1048" i="1"/>
  <c r="S1056" i="1"/>
  <c r="S1064" i="1"/>
  <c r="S1072" i="1"/>
  <c r="S1080" i="1"/>
  <c r="S1088" i="1"/>
  <c r="S1096" i="1"/>
  <c r="S1104" i="1"/>
  <c r="S1112" i="1"/>
  <c r="S1120" i="1"/>
  <c r="S1128" i="1"/>
  <c r="S1136" i="1"/>
  <c r="S1144" i="1"/>
  <c r="S1152" i="1"/>
  <c r="S1160" i="1"/>
  <c r="T3" i="1"/>
  <c r="N1" i="1"/>
  <c r="M1" i="1"/>
</calcChain>
</file>

<file path=xl/sharedStrings.xml><?xml version="1.0" encoding="utf-8"?>
<sst xmlns="http://schemas.openxmlformats.org/spreadsheetml/2006/main" count="13336" uniqueCount="3091">
  <si>
    <t>Артикул</t>
  </si>
  <si>
    <t>Артикул WB</t>
  </si>
  <si>
    <t>Бизнес-группа</t>
  </si>
  <si>
    <t>Розничный отдел</t>
  </si>
  <si>
    <t>Группа</t>
  </si>
  <si>
    <t>Сезон</t>
  </si>
  <si>
    <t>Бренд</t>
  </si>
  <si>
    <t>Ответственный за группу</t>
  </si>
  <si>
    <t>Коллекция</t>
  </si>
  <si>
    <t>CTR</t>
  </si>
  <si>
    <t>Конверсия клики в заказы</t>
  </si>
  <si>
    <t>95200130</t>
  </si>
  <si>
    <t>786399465</t>
  </si>
  <si>
    <t>Одежда для детей</t>
  </si>
  <si>
    <t>Верхняя одежда детская для мальчиков</t>
  </si>
  <si>
    <t>952 Ветровка детская для мальчиков</t>
  </si>
  <si>
    <t>демисезонный</t>
  </si>
  <si>
    <t>kari</t>
  </si>
  <si>
    <t>Зиннуров Ильнур</t>
  </si>
  <si>
    <t>2026SS</t>
  </si>
  <si>
    <t>95400190</t>
  </si>
  <si>
    <t>786399435</t>
  </si>
  <si>
    <t>Верхняя детская одежда для девочек</t>
  </si>
  <si>
    <t>954 Ветровка детская для девочек</t>
  </si>
  <si>
    <t>95400220</t>
  </si>
  <si>
    <t>835127759</t>
  </si>
  <si>
    <t>95200120</t>
  </si>
  <si>
    <t>786399453</t>
  </si>
  <si>
    <t>95200140</t>
  </si>
  <si>
    <t>786399477</t>
  </si>
  <si>
    <t>39300250</t>
  </si>
  <si>
    <t>18788099</t>
  </si>
  <si>
    <t>Чулочные и носочные детские изделия для девочек</t>
  </si>
  <si>
    <t>393 Детские легинсы</t>
  </si>
  <si>
    <t>всесезонный</t>
  </si>
  <si>
    <t>Kari KIDS</t>
  </si>
  <si>
    <t>18108100</t>
  </si>
  <si>
    <t>316075984</t>
  </si>
  <si>
    <t>Джинсы детские для девочек</t>
  </si>
  <si>
    <t>181 Джинсы детские для девочек</t>
  </si>
  <si>
    <t>29709000</t>
  </si>
  <si>
    <t>465496481</t>
  </si>
  <si>
    <t>Пиджаки, костюмы детские для девочек</t>
  </si>
  <si>
    <t>297 Кофта детская для девочек</t>
  </si>
  <si>
    <t>осень, зима</t>
  </si>
  <si>
    <t>95400210</t>
  </si>
  <si>
    <t>835127746</t>
  </si>
  <si>
    <t>18200180</t>
  </si>
  <si>
    <t>762056973</t>
  </si>
  <si>
    <t>Джинсы детские для мальчиков</t>
  </si>
  <si>
    <t>182 Джинсы детские для мальчиков</t>
  </si>
  <si>
    <t>95400200</t>
  </si>
  <si>
    <t>762222717</t>
  </si>
  <si>
    <t>18408130</t>
  </si>
  <si>
    <t>341720414</t>
  </si>
  <si>
    <t>Одежда и аксессуары</t>
  </si>
  <si>
    <t>Майки и платья женские</t>
  </si>
  <si>
    <t>184 Женская футболка</t>
  </si>
  <si>
    <t>18700040</t>
  </si>
  <si>
    <t>840057920</t>
  </si>
  <si>
    <t>187 Платье женское</t>
  </si>
  <si>
    <t>весна, лето</t>
  </si>
  <si>
    <t>18100300</t>
  </si>
  <si>
    <t>762057066</t>
  </si>
  <si>
    <t>88600100</t>
  </si>
  <si>
    <t>790337433</t>
  </si>
  <si>
    <t>886 Жилет утепленный детский для девочек</t>
  </si>
  <si>
    <t>42400070</t>
  </si>
  <si>
    <t>721197630</t>
  </si>
  <si>
    <t>Одежда для новорожденных</t>
  </si>
  <si>
    <t>424 Комбинезон для новорожденных утепленный</t>
  </si>
  <si>
    <t>весна, осень, зима</t>
  </si>
  <si>
    <t>Kari baby</t>
  </si>
  <si>
    <t>18208210</t>
  </si>
  <si>
    <t>341720493</t>
  </si>
  <si>
    <t>30200240</t>
  </si>
  <si>
    <t>701616700</t>
  </si>
  <si>
    <t>Платья, майки, футболки детские для девочек</t>
  </si>
  <si>
    <t>302 Юбка детская для девочек</t>
  </si>
  <si>
    <t>18200110</t>
  </si>
  <si>
    <t>765953867</t>
  </si>
  <si>
    <t>18200090</t>
  </si>
  <si>
    <t>771100637</t>
  </si>
  <si>
    <t>43500130</t>
  </si>
  <si>
    <t>698694560</t>
  </si>
  <si>
    <t>Брюки детские для мальчиков</t>
  </si>
  <si>
    <t>435 Брюки спортивные утепленные для мальчиков</t>
  </si>
  <si>
    <t>a6000090</t>
  </si>
  <si>
    <t>708049716</t>
  </si>
  <si>
    <t>a60 Футболка детская для девочек</t>
  </si>
  <si>
    <t>a6000080</t>
  </si>
  <si>
    <t>760545241</t>
  </si>
  <si>
    <t>094001M0</t>
  </si>
  <si>
    <t>804097383</t>
  </si>
  <si>
    <t>Купальники женские</t>
  </si>
  <si>
    <t>094 Купальник</t>
  </si>
  <si>
    <t>лето</t>
  </si>
  <si>
    <t>Никонорова Алина</t>
  </si>
  <si>
    <t>30200250</t>
  </si>
  <si>
    <t>701616627</t>
  </si>
  <si>
    <t>18200210</t>
  </si>
  <si>
    <t>788369489</t>
  </si>
  <si>
    <t>44800070</t>
  </si>
  <si>
    <t>797503209</t>
  </si>
  <si>
    <t>Брюки детские для девочек</t>
  </si>
  <si>
    <t>448 Брюки спортивные утепленные для девочек</t>
  </si>
  <si>
    <t>95400180</t>
  </si>
  <si>
    <t>762228284</t>
  </si>
  <si>
    <t>a6000290</t>
  </si>
  <si>
    <t>699629597</t>
  </si>
  <si>
    <t>29600040</t>
  </si>
  <si>
    <t>732841064</t>
  </si>
  <si>
    <t>296 Блузка длинный рукав женская</t>
  </si>
  <si>
    <t>18108140</t>
  </si>
  <si>
    <t>325157109</t>
  </si>
  <si>
    <t>18200220</t>
  </si>
  <si>
    <t>788369310</t>
  </si>
  <si>
    <t>09400350</t>
  </si>
  <si>
    <t>710483822</t>
  </si>
  <si>
    <t>a8900100</t>
  </si>
  <si>
    <t>711888409</t>
  </si>
  <si>
    <t>Свитера детские для девочек</t>
  </si>
  <si>
    <t>a89 Свитшот для девочки</t>
  </si>
  <si>
    <t>весна, лето, осень</t>
  </si>
  <si>
    <t>18100160</t>
  </si>
  <si>
    <t>710160904</t>
  </si>
  <si>
    <t>88600080</t>
  </si>
  <si>
    <t>866468970</t>
  </si>
  <si>
    <t>094000Z0</t>
  </si>
  <si>
    <t>773198122</t>
  </si>
  <si>
    <t>a6000060</t>
  </si>
  <si>
    <t>723105258</t>
  </si>
  <si>
    <t>18700010</t>
  </si>
  <si>
    <t>840057965</t>
  </si>
  <si>
    <t>23408200</t>
  </si>
  <si>
    <t>373110894</t>
  </si>
  <si>
    <t>234 Колготки детские для девочек</t>
  </si>
  <si>
    <t>29709030</t>
  </si>
  <si>
    <t>443729792</t>
  </si>
  <si>
    <t>094001Q0</t>
  </si>
  <si>
    <t>710411813</t>
  </si>
  <si>
    <t>23208050</t>
  </si>
  <si>
    <t>316075997</t>
  </si>
  <si>
    <t>Нижнее белье детское для мальчиков</t>
  </si>
  <si>
    <t>232 Пижама детская для мальчиков</t>
  </si>
  <si>
    <t>13700010</t>
  </si>
  <si>
    <t>770920657</t>
  </si>
  <si>
    <t>Свитера женские</t>
  </si>
  <si>
    <t>137 Кардиган женский</t>
  </si>
  <si>
    <t>95400150</t>
  </si>
  <si>
    <t>800312866</t>
  </si>
  <si>
    <t>18200170</t>
  </si>
  <si>
    <t>762057086</t>
  </si>
  <si>
    <t>310061J0</t>
  </si>
  <si>
    <t>218537489</t>
  </si>
  <si>
    <t>Футболки, майки, рубашки детские для мальчиков</t>
  </si>
  <si>
    <t>310 Футболка детская для мальчиков</t>
  </si>
  <si>
    <t>93900240</t>
  </si>
  <si>
    <t>766736593</t>
  </si>
  <si>
    <t>939 Футболка для маленькой девочки</t>
  </si>
  <si>
    <t>18108200</t>
  </si>
  <si>
    <t>325157066</t>
  </si>
  <si>
    <t>55709160</t>
  </si>
  <si>
    <t>475734513</t>
  </si>
  <si>
    <t>Свитера детские для мальчиков</t>
  </si>
  <si>
    <t>557 Кофта детская для мальчиков</t>
  </si>
  <si>
    <t>a6000240</t>
  </si>
  <si>
    <t>706058169</t>
  </si>
  <si>
    <t>43500170</t>
  </si>
  <si>
    <t>769002320</t>
  </si>
  <si>
    <t>23800130</t>
  </si>
  <si>
    <t>765996661</t>
  </si>
  <si>
    <t>238 Платье детское для девочек</t>
  </si>
  <si>
    <t>95200100</t>
  </si>
  <si>
    <t>762222700</t>
  </si>
  <si>
    <t>43500140</t>
  </si>
  <si>
    <t>698694672</t>
  </si>
  <si>
    <t>310000B0</t>
  </si>
  <si>
    <t>723105235</t>
  </si>
  <si>
    <t>87708050</t>
  </si>
  <si>
    <t>316075945</t>
  </si>
  <si>
    <t>877 Жилет утепленный детский для мальчиков</t>
  </si>
  <si>
    <t>18100330</t>
  </si>
  <si>
    <t>762057042</t>
  </si>
  <si>
    <t>31000950</t>
  </si>
  <si>
    <t>833589305</t>
  </si>
  <si>
    <t>23200040</t>
  </si>
  <si>
    <t>694287450</t>
  </si>
  <si>
    <t>89000120</t>
  </si>
  <si>
    <t>770505917</t>
  </si>
  <si>
    <t>890 Платье для маленькой девочки</t>
  </si>
  <si>
    <t>88300270</t>
  </si>
  <si>
    <t>697438293</t>
  </si>
  <si>
    <t>883 Футболка длинный рукав детская для девочек</t>
  </si>
  <si>
    <t>39300650</t>
  </si>
  <si>
    <t>721063887</t>
  </si>
  <si>
    <t>42400060</t>
  </si>
  <si>
    <t>721197623</t>
  </si>
  <si>
    <t>a6000420</t>
  </si>
  <si>
    <t>705939704</t>
  </si>
  <si>
    <t>09400910</t>
  </si>
  <si>
    <t>684740657</t>
  </si>
  <si>
    <t>94404120</t>
  </si>
  <si>
    <t>145534059</t>
  </si>
  <si>
    <t>944 Комплект одежды для маленькой девочки</t>
  </si>
  <si>
    <t>h1200030</t>
  </si>
  <si>
    <t>754564324</t>
  </si>
  <si>
    <t>h12 Толстовка женская</t>
  </si>
  <si>
    <t>57300150</t>
  </si>
  <si>
    <t>725305700</t>
  </si>
  <si>
    <t>573 Штанишки для маленькой девочки</t>
  </si>
  <si>
    <t>a6000000</t>
  </si>
  <si>
    <t>819952150</t>
  </si>
  <si>
    <t>30200320</t>
  </si>
  <si>
    <t>716072268</t>
  </si>
  <si>
    <t>h0108020</t>
  </si>
  <si>
    <t>373110892</t>
  </si>
  <si>
    <t>Свитера мужские</t>
  </si>
  <si>
    <t>h01 Толстовка мужская</t>
  </si>
  <si>
    <t>30200260</t>
  </si>
  <si>
    <t>788608453</t>
  </si>
  <si>
    <t>18400150</t>
  </si>
  <si>
    <t>754451670</t>
  </si>
  <si>
    <t>310080F0</t>
  </si>
  <si>
    <t>296541523</t>
  </si>
  <si>
    <t>56900130</t>
  </si>
  <si>
    <t>768806472</t>
  </si>
  <si>
    <t>569 Комбинезон для маленькой девочки</t>
  </si>
  <si>
    <t>18208220</t>
  </si>
  <si>
    <t>325157017</t>
  </si>
  <si>
    <t>88300240</t>
  </si>
  <si>
    <t>697438183</t>
  </si>
  <si>
    <t>a6000210</t>
  </si>
  <si>
    <t>699629770</t>
  </si>
  <si>
    <t>18200130</t>
  </si>
  <si>
    <t>762057037</t>
  </si>
  <si>
    <t>094000V0</t>
  </si>
  <si>
    <t>710340703</t>
  </si>
  <si>
    <t>a8900090</t>
  </si>
  <si>
    <t>696912199</t>
  </si>
  <si>
    <t>18700000</t>
  </si>
  <si>
    <t>840057954</t>
  </si>
  <si>
    <t>88100150</t>
  </si>
  <si>
    <t>833908052</t>
  </si>
  <si>
    <t>881 Футболка длинный рукав детская для мальчиков</t>
  </si>
  <si>
    <t>88300190</t>
  </si>
  <si>
    <t>714592506</t>
  </si>
  <si>
    <t>18208180</t>
  </si>
  <si>
    <t>341720565</t>
  </si>
  <si>
    <t>42400050</t>
  </si>
  <si>
    <t>706564139</t>
  </si>
  <si>
    <t>30400030</t>
  </si>
  <si>
    <t>734171265</t>
  </si>
  <si>
    <t>304 Юбка женская</t>
  </si>
  <si>
    <t>a8200020</t>
  </si>
  <si>
    <t>696576996</t>
  </si>
  <si>
    <t>a82 Толстовка на молнии для мальчиков</t>
  </si>
  <si>
    <t>44800040</t>
  </si>
  <si>
    <t>710462729</t>
  </si>
  <si>
    <t>a6000110</t>
  </si>
  <si>
    <t>723105264</t>
  </si>
  <si>
    <t>18400050</t>
  </si>
  <si>
    <t>766389221</t>
  </si>
  <si>
    <t>23200050</t>
  </si>
  <si>
    <t>694287455</t>
  </si>
  <si>
    <t>a6000410</t>
  </si>
  <si>
    <t>705939698</t>
  </si>
  <si>
    <t>45500040</t>
  </si>
  <si>
    <t>768370800</t>
  </si>
  <si>
    <t>455 Брюки спортивные утепленные для маленьких девочек</t>
  </si>
  <si>
    <t>96700040</t>
  </si>
  <si>
    <t>709611826</t>
  </si>
  <si>
    <t>967 Куртка джинсовая для девочки</t>
  </si>
  <si>
    <t>a6000070</t>
  </si>
  <si>
    <t>815191830</t>
  </si>
  <si>
    <t>a8000000</t>
  </si>
  <si>
    <t>695348228</t>
  </si>
  <si>
    <t>a80 Толстовка-бомбер для мальчиков</t>
  </si>
  <si>
    <t>95200080</t>
  </si>
  <si>
    <t>786399441</t>
  </si>
  <si>
    <t>39300640</t>
  </si>
  <si>
    <t>721063886</t>
  </si>
  <si>
    <t>56900120</t>
  </si>
  <si>
    <t>768806446</t>
  </si>
  <si>
    <t>56900100</t>
  </si>
  <si>
    <t>721197634</t>
  </si>
  <si>
    <t>a6000230</t>
  </si>
  <si>
    <t>715352079</t>
  </si>
  <si>
    <t>56800110</t>
  </si>
  <si>
    <t>766639174</t>
  </si>
  <si>
    <t>568 Боди с коротким рукавом для девочек</t>
  </si>
  <si>
    <t>95200110</t>
  </si>
  <si>
    <t>776140798</t>
  </si>
  <si>
    <t>14400040</t>
  </si>
  <si>
    <t>722467591</t>
  </si>
  <si>
    <t>Шарфы женские</t>
  </si>
  <si>
    <t>144 Шарф летний женский</t>
  </si>
  <si>
    <t>23408190</t>
  </si>
  <si>
    <t>372160826</t>
  </si>
  <si>
    <t>18100200</t>
  </si>
  <si>
    <t>762056965</t>
  </si>
  <si>
    <t>18100130</t>
  </si>
  <si>
    <t>692414257</t>
  </si>
  <si>
    <t>18408050</t>
  </si>
  <si>
    <t>341720409</t>
  </si>
  <si>
    <t>a8200000</t>
  </si>
  <si>
    <t>716561242</t>
  </si>
  <si>
    <t>43500150</t>
  </si>
  <si>
    <t>698694585</t>
  </si>
  <si>
    <t>56700060</t>
  </si>
  <si>
    <t>766639208</t>
  </si>
  <si>
    <t>567 Боди с длинным рукавом для девочек</t>
  </si>
  <si>
    <t>18400180</t>
  </si>
  <si>
    <t>754451673</t>
  </si>
  <si>
    <t>91100050</t>
  </si>
  <si>
    <t>775472391</t>
  </si>
  <si>
    <t>911 Джемпер для маленькой девочки</t>
  </si>
  <si>
    <t>87708130</t>
  </si>
  <si>
    <t>325157089</t>
  </si>
  <si>
    <t>95400170</t>
  </si>
  <si>
    <t>762222707</t>
  </si>
  <si>
    <t>93900250</t>
  </si>
  <si>
    <t>790695429</t>
  </si>
  <si>
    <t>23408140</t>
  </si>
  <si>
    <t>373110889</t>
  </si>
  <si>
    <t>18200150</t>
  </si>
  <si>
    <t>762057080</t>
  </si>
  <si>
    <t>a6000270</t>
  </si>
  <si>
    <t>699629812</t>
  </si>
  <si>
    <t>310000A0</t>
  </si>
  <si>
    <t>708049755</t>
  </si>
  <si>
    <t>y5708020</t>
  </si>
  <si>
    <t>321683704</t>
  </si>
  <si>
    <t>y57 Куртка для мальчиков облегченная</t>
  </si>
  <si>
    <t>12304103</t>
  </si>
  <si>
    <t>372165510</t>
  </si>
  <si>
    <t>Чулочные и носочные изделия для женщин</t>
  </si>
  <si>
    <t>123 Гольфы эластичные женские</t>
  </si>
  <si>
    <t>16808100</t>
  </si>
  <si>
    <t>355550888</t>
  </si>
  <si>
    <t>Головные уборы женские</t>
  </si>
  <si>
    <t>168 Шляпа женская летняя</t>
  </si>
  <si>
    <t>42400090</t>
  </si>
  <si>
    <t>790046360</t>
  </si>
  <si>
    <t>95400140</t>
  </si>
  <si>
    <t>786399366</t>
  </si>
  <si>
    <t>310000O0</t>
  </si>
  <si>
    <t>721315689</t>
  </si>
  <si>
    <t>a6000010</t>
  </si>
  <si>
    <t>806662782</t>
  </si>
  <si>
    <t>18100120</t>
  </si>
  <si>
    <t>762057101</t>
  </si>
  <si>
    <t>12304104</t>
  </si>
  <si>
    <t>378959455</t>
  </si>
  <si>
    <t>18200160</t>
  </si>
  <si>
    <t>762057033</t>
  </si>
  <si>
    <t>88100230</t>
  </si>
  <si>
    <t>714592848</t>
  </si>
  <si>
    <t>31000990</t>
  </si>
  <si>
    <t>708049592</t>
  </si>
  <si>
    <t>18100210</t>
  </si>
  <si>
    <t>771100615</t>
  </si>
  <si>
    <t>18408120</t>
  </si>
  <si>
    <t>341720308</t>
  </si>
  <si>
    <t>96800060</t>
  </si>
  <si>
    <t>786710154</t>
  </si>
  <si>
    <t>968 Куртка джинсовая для мальчика</t>
  </si>
  <si>
    <t>96700060</t>
  </si>
  <si>
    <t>726680885</t>
  </si>
  <si>
    <t>94608110</t>
  </si>
  <si>
    <t>330018659</t>
  </si>
  <si>
    <t>946 Ромпер для мальчика</t>
  </si>
  <si>
    <t>a9200010</t>
  </si>
  <si>
    <t>696912215</t>
  </si>
  <si>
    <t>a92 Свитшот  утепленный для мальчика</t>
  </si>
  <si>
    <t>a7900000</t>
  </si>
  <si>
    <t>695352253</t>
  </si>
  <si>
    <t>a79 Толстовка-бомбер утепленная для мальчиков</t>
  </si>
  <si>
    <t>96600060</t>
  </si>
  <si>
    <t>788748502</t>
  </si>
  <si>
    <t>966 Сарафан джинсовый детский для девочек</t>
  </si>
  <si>
    <t>30200230</t>
  </si>
  <si>
    <t>701616691</t>
  </si>
  <si>
    <t>39300560</t>
  </si>
  <si>
    <t>697334136</t>
  </si>
  <si>
    <t>a6000200</t>
  </si>
  <si>
    <t>706058167</t>
  </si>
  <si>
    <t>44800050</t>
  </si>
  <si>
    <t>710462737</t>
  </si>
  <si>
    <t>a9000010</t>
  </si>
  <si>
    <t>711885754</t>
  </si>
  <si>
    <t>a90 Свитшот  утепленный для девочки</t>
  </si>
  <si>
    <t>18100290</t>
  </si>
  <si>
    <t>762056991</t>
  </si>
  <si>
    <t>y5600000</t>
  </si>
  <si>
    <t>790859931</t>
  </si>
  <si>
    <t>y56 Куртка для девочек облегченная</t>
  </si>
  <si>
    <t>23208070</t>
  </si>
  <si>
    <t>316075908</t>
  </si>
  <si>
    <t>88300300</t>
  </si>
  <si>
    <t>714592693</t>
  </si>
  <si>
    <t>18400060</t>
  </si>
  <si>
    <t>766389232</t>
  </si>
  <si>
    <t>19108040</t>
  </si>
  <si>
    <t>316541685</t>
  </si>
  <si>
    <t>Спортивная одежда детская для девочек</t>
  </si>
  <si>
    <t>191 Спортивный костюм детский для девочек</t>
  </si>
  <si>
    <t>a8700000</t>
  </si>
  <si>
    <t>716561247</t>
  </si>
  <si>
    <t>a87 Толстовка на молнии утепленная для девочек</t>
  </si>
  <si>
    <t>20100270</t>
  </si>
  <si>
    <t>820479754</t>
  </si>
  <si>
    <t>Головные детские уборы для девочек</t>
  </si>
  <si>
    <t>201 Бейсболка детская для девочек</t>
  </si>
  <si>
    <t>30200360</t>
  </si>
  <si>
    <t>716072303</t>
  </si>
  <si>
    <t>a6000280</t>
  </si>
  <si>
    <t>706058170</t>
  </si>
  <si>
    <t>57300140</t>
  </si>
  <si>
    <t>776072616</t>
  </si>
  <si>
    <t>a6000630</t>
  </si>
  <si>
    <t>884287747</t>
  </si>
  <si>
    <t>29000070</t>
  </si>
  <si>
    <t>698694765</t>
  </si>
  <si>
    <t>290 Штаны детские для девочек</t>
  </si>
  <si>
    <t>29900110</t>
  </si>
  <si>
    <t>722604245</t>
  </si>
  <si>
    <t>299 Платье длинный рукав детское для девочек</t>
  </si>
  <si>
    <t>30200210</t>
  </si>
  <si>
    <t>701616679</t>
  </si>
  <si>
    <t>12304105</t>
  </si>
  <si>
    <t>378959546</t>
  </si>
  <si>
    <t>a8900010</t>
  </si>
  <si>
    <t>696912318</t>
  </si>
  <si>
    <t>y5700000</t>
  </si>
  <si>
    <t>781307142</t>
  </si>
  <si>
    <t>94606080</t>
  </si>
  <si>
    <t>209042893</t>
  </si>
  <si>
    <t>39300590</t>
  </si>
  <si>
    <t>697334159</t>
  </si>
  <si>
    <t>310001B0</t>
  </si>
  <si>
    <t>879308905</t>
  </si>
  <si>
    <t>53600220</t>
  </si>
  <si>
    <t>806821986</t>
  </si>
  <si>
    <t>536 Платье летнее детское</t>
  </si>
  <si>
    <t>23408180</t>
  </si>
  <si>
    <t>372165687</t>
  </si>
  <si>
    <t>19108000</t>
  </si>
  <si>
    <t>316541615</t>
  </si>
  <si>
    <t>88300200</t>
  </si>
  <si>
    <t>714592560</t>
  </si>
  <si>
    <t>a8900080</t>
  </si>
  <si>
    <t>711885793</t>
  </si>
  <si>
    <t>93706120</t>
  </si>
  <si>
    <t>216453946</t>
  </si>
  <si>
    <t>937 Боди с коротким рукавом для мальчиков</t>
  </si>
  <si>
    <t>31000920</t>
  </si>
  <si>
    <t>728624330</t>
  </si>
  <si>
    <t>95208170</t>
  </si>
  <si>
    <t>325157095</t>
  </si>
  <si>
    <t>88100200</t>
  </si>
  <si>
    <t>817515747</t>
  </si>
  <si>
    <t>a6000400</t>
  </si>
  <si>
    <t>705939691</t>
  </si>
  <si>
    <t>23800140</t>
  </si>
  <si>
    <t>765996664</t>
  </si>
  <si>
    <t>14400070</t>
  </si>
  <si>
    <t>710264825</t>
  </si>
  <si>
    <t>29900150</t>
  </si>
  <si>
    <t>699198521</t>
  </si>
  <si>
    <t>19600130</t>
  </si>
  <si>
    <t>734337887</t>
  </si>
  <si>
    <t>196 Майка женская</t>
  </si>
  <si>
    <t>18100320</t>
  </si>
  <si>
    <t>762057001</t>
  </si>
  <si>
    <t>56900140</t>
  </si>
  <si>
    <t>768806491</t>
  </si>
  <si>
    <t>a6000340</t>
  </si>
  <si>
    <t>701976617</t>
  </si>
  <si>
    <t>20100190</t>
  </si>
  <si>
    <t>371244562</t>
  </si>
  <si>
    <t>18100340</t>
  </si>
  <si>
    <t>788369416</t>
  </si>
  <si>
    <t>a9100010</t>
  </si>
  <si>
    <t>711885807</t>
  </si>
  <si>
    <t>a91 Свитшот для мальчика</t>
  </si>
  <si>
    <t>91100080</t>
  </si>
  <si>
    <t>781106469</t>
  </si>
  <si>
    <t>18100310</t>
  </si>
  <si>
    <t>762057077</t>
  </si>
  <si>
    <t>a8600000</t>
  </si>
  <si>
    <t>695348276</t>
  </si>
  <si>
    <t>a86 Толстовка-бомбер для девочек</t>
  </si>
  <si>
    <t>18408140</t>
  </si>
  <si>
    <t>367487671</t>
  </si>
  <si>
    <t>31000940</t>
  </si>
  <si>
    <t>723105239</t>
  </si>
  <si>
    <t>h1200000</t>
  </si>
  <si>
    <t>754564345</t>
  </si>
  <si>
    <t>23400100</t>
  </si>
  <si>
    <t>833379571</t>
  </si>
  <si>
    <t>19608070</t>
  </si>
  <si>
    <t>341720376</t>
  </si>
  <si>
    <t>16806000</t>
  </si>
  <si>
    <t>8349662</t>
  </si>
  <si>
    <t>a6000300</t>
  </si>
  <si>
    <t>701976559</t>
  </si>
  <si>
    <t>87700070</t>
  </si>
  <si>
    <t>866469011</t>
  </si>
  <si>
    <t>a9200030</t>
  </si>
  <si>
    <t>696912300</t>
  </si>
  <si>
    <t>56700050</t>
  </si>
  <si>
    <t>766639235</t>
  </si>
  <si>
    <t>18100140</t>
  </si>
  <si>
    <t>788369373</t>
  </si>
  <si>
    <t>31000980</t>
  </si>
  <si>
    <t>819952121</t>
  </si>
  <si>
    <t>094000Q0</t>
  </si>
  <si>
    <t>710319264</t>
  </si>
  <si>
    <t>96700050</t>
  </si>
  <si>
    <t>879308830</t>
  </si>
  <si>
    <t>88600050</t>
  </si>
  <si>
    <t>790337431</t>
  </si>
  <si>
    <t>18100180</t>
  </si>
  <si>
    <t>710160963</t>
  </si>
  <si>
    <t>96600050</t>
  </si>
  <si>
    <t>788748497</t>
  </si>
  <si>
    <t>96600070</t>
  </si>
  <si>
    <t>788748505</t>
  </si>
  <si>
    <t>a8800040</t>
  </si>
  <si>
    <t>799835616</t>
  </si>
  <si>
    <t>a88 Толстовка на молнии для девочек</t>
  </si>
  <si>
    <t>88100170</t>
  </si>
  <si>
    <t>833908056</t>
  </si>
  <si>
    <t>14408920</t>
  </si>
  <si>
    <t>355550894</t>
  </si>
  <si>
    <t>a7700040</t>
  </si>
  <si>
    <t>772678776</t>
  </si>
  <si>
    <t>a77 Толстовка-худи утепленная для мальчиков</t>
  </si>
  <si>
    <t>094001W0</t>
  </si>
  <si>
    <t>710465036</t>
  </si>
  <si>
    <t>310000L0</t>
  </si>
  <si>
    <t>706058151</t>
  </si>
  <si>
    <t>89000110</t>
  </si>
  <si>
    <t>722704820</t>
  </si>
  <si>
    <t>23800150</t>
  </si>
  <si>
    <t>765996667</t>
  </si>
  <si>
    <t>88600090</t>
  </si>
  <si>
    <t>866468976</t>
  </si>
  <si>
    <t>09400980</t>
  </si>
  <si>
    <t>712237447</t>
  </si>
  <si>
    <t>a7900020</t>
  </si>
  <si>
    <t>772972378</t>
  </si>
  <si>
    <t>88300250</t>
  </si>
  <si>
    <t>697438223</t>
  </si>
  <si>
    <t>094000L0</t>
  </si>
  <si>
    <t>756548739</t>
  </si>
  <si>
    <t>94606090</t>
  </si>
  <si>
    <t>209042891</t>
  </si>
  <si>
    <t>16800200</t>
  </si>
  <si>
    <t>732955480</t>
  </si>
  <si>
    <t>16800070</t>
  </si>
  <si>
    <t>766703735</t>
  </si>
  <si>
    <t>a9100020</t>
  </si>
  <si>
    <t>696912349</t>
  </si>
  <si>
    <t>23908020</t>
  </si>
  <si>
    <t>316544877</t>
  </si>
  <si>
    <t>Спортивная детская одежда для мальчиков</t>
  </si>
  <si>
    <t>239 Спортивный костюм детский для мальчиков</t>
  </si>
  <si>
    <t>56800090</t>
  </si>
  <si>
    <t>766639196</t>
  </si>
  <si>
    <t>a9000020</t>
  </si>
  <si>
    <t>783984275</t>
  </si>
  <si>
    <t>18200120</t>
  </si>
  <si>
    <t>762057023</t>
  </si>
  <si>
    <t>a6000220</t>
  </si>
  <si>
    <t>715352879</t>
  </si>
  <si>
    <t>14408970</t>
  </si>
  <si>
    <t>355550870</t>
  </si>
  <si>
    <t>a8800060</t>
  </si>
  <si>
    <t>772435685</t>
  </si>
  <si>
    <t>16800140</t>
  </si>
  <si>
    <t>8349658</t>
  </si>
  <si>
    <t>96600020</t>
  </si>
  <si>
    <t>709711403</t>
  </si>
  <si>
    <t>a6000320</t>
  </si>
  <si>
    <t>715352485</t>
  </si>
  <si>
    <t>94608130</t>
  </si>
  <si>
    <t>343106170</t>
  </si>
  <si>
    <t>a9200020</t>
  </si>
  <si>
    <t>696912289</t>
  </si>
  <si>
    <t>88300350</t>
  </si>
  <si>
    <t>803430016</t>
  </si>
  <si>
    <t>a6000770</t>
  </si>
  <si>
    <t>815191836</t>
  </si>
  <si>
    <t>a8900040</t>
  </si>
  <si>
    <t>711885874</t>
  </si>
  <si>
    <t>29100180</t>
  </si>
  <si>
    <t>710462786</t>
  </si>
  <si>
    <t>291 Штаны детские для мальчиков</t>
  </si>
  <si>
    <t>18100250</t>
  </si>
  <si>
    <t>762057060</t>
  </si>
  <si>
    <t>310000D0</t>
  </si>
  <si>
    <t>701976646</t>
  </si>
  <si>
    <t>a8500000</t>
  </si>
  <si>
    <t>722895434</t>
  </si>
  <si>
    <t>a85 Толстовка-бомбер утепленная для девочек</t>
  </si>
  <si>
    <t>53600270</t>
  </si>
  <si>
    <t>699198387</t>
  </si>
  <si>
    <t>53000140</t>
  </si>
  <si>
    <t>820657735</t>
  </si>
  <si>
    <t>530 Панама детская для девочек</t>
  </si>
  <si>
    <t>12304102</t>
  </si>
  <si>
    <t>378959507</t>
  </si>
  <si>
    <t>18700020</t>
  </si>
  <si>
    <t>840057989</t>
  </si>
  <si>
    <t>42400100</t>
  </si>
  <si>
    <t>790045798</t>
  </si>
  <si>
    <t>18100220</t>
  </si>
  <si>
    <t>710160901</t>
  </si>
  <si>
    <t>09400990</t>
  </si>
  <si>
    <t>712237467</t>
  </si>
  <si>
    <t>a6000250</t>
  </si>
  <si>
    <t>701976548</t>
  </si>
  <si>
    <t>53000100</t>
  </si>
  <si>
    <t>820657731</t>
  </si>
  <si>
    <t>a6000030</t>
  </si>
  <si>
    <t>806662784</t>
  </si>
  <si>
    <t>55400080</t>
  </si>
  <si>
    <t>371246733</t>
  </si>
  <si>
    <t>Головные уборы детские для мальчиков</t>
  </si>
  <si>
    <t>554 Панама детская для мальчиков</t>
  </si>
  <si>
    <t>a6000330</t>
  </si>
  <si>
    <t>721315677</t>
  </si>
  <si>
    <t>39300530</t>
  </si>
  <si>
    <t>822577964</t>
  </si>
  <si>
    <t>094000P0</t>
  </si>
  <si>
    <t>879606137</t>
  </si>
  <si>
    <t>42400120</t>
  </si>
  <si>
    <t>790045803</t>
  </si>
  <si>
    <t>310001C0</t>
  </si>
  <si>
    <t>879308880</t>
  </si>
  <si>
    <t>14408940</t>
  </si>
  <si>
    <t>355550905</t>
  </si>
  <si>
    <t>14400130</t>
  </si>
  <si>
    <t>759892170</t>
  </si>
  <si>
    <t>95200090</t>
  </si>
  <si>
    <t>762222687</t>
  </si>
  <si>
    <t>a8300080</t>
  </si>
  <si>
    <t>822902220</t>
  </si>
  <si>
    <t>a83 Толстовка-худи утепленная для девочек</t>
  </si>
  <si>
    <t>09400360</t>
  </si>
  <si>
    <t>711802610</t>
  </si>
  <si>
    <t>31000930</t>
  </si>
  <si>
    <t>833589289</t>
  </si>
  <si>
    <t>a6000020</t>
  </si>
  <si>
    <t>879308848</t>
  </si>
  <si>
    <t>53600260</t>
  </si>
  <si>
    <t>722604254</t>
  </si>
  <si>
    <t>18100230</t>
  </si>
  <si>
    <t>710160919</t>
  </si>
  <si>
    <t>a6000120</t>
  </si>
  <si>
    <t>708049736</t>
  </si>
  <si>
    <t>42400080</t>
  </si>
  <si>
    <t>706564143</t>
  </si>
  <si>
    <t>a5700000</t>
  </si>
  <si>
    <t>770505927</t>
  </si>
  <si>
    <t>a57 Летнее платье для маленькой девочки</t>
  </si>
  <si>
    <t>88600060</t>
  </si>
  <si>
    <t>866468989</t>
  </si>
  <si>
    <t>a9200040</t>
  </si>
  <si>
    <t>762346795</t>
  </si>
  <si>
    <t>11008140</t>
  </si>
  <si>
    <t>378959575</t>
  </si>
  <si>
    <t>110 Платок женский</t>
  </si>
  <si>
    <t>19100020</t>
  </si>
  <si>
    <t>692563430</t>
  </si>
  <si>
    <t>a6000170</t>
  </si>
  <si>
    <t>709879605</t>
  </si>
  <si>
    <t>43500160</t>
  </si>
  <si>
    <t>698694737</t>
  </si>
  <si>
    <t>094000W0</t>
  </si>
  <si>
    <t>710344758</t>
  </si>
  <si>
    <t>20200340</t>
  </si>
  <si>
    <t>820479840</t>
  </si>
  <si>
    <t>202 Бейсболка детская для мальчиков</t>
  </si>
  <si>
    <t>43500180</t>
  </si>
  <si>
    <t>710462736</t>
  </si>
  <si>
    <t>a8900020</t>
  </si>
  <si>
    <t>696912240</t>
  </si>
  <si>
    <t>42400110</t>
  </si>
  <si>
    <t>781411941</t>
  </si>
  <si>
    <t>18400170</t>
  </si>
  <si>
    <t>754451672</t>
  </si>
  <si>
    <t>14400060</t>
  </si>
  <si>
    <t>722467593</t>
  </si>
  <si>
    <t>09400880</t>
  </si>
  <si>
    <t>815107371</t>
  </si>
  <si>
    <t>19800070</t>
  </si>
  <si>
    <t>770830749</t>
  </si>
  <si>
    <t>198 Топ женский</t>
  </si>
  <si>
    <t>29100190</t>
  </si>
  <si>
    <t>710462791</t>
  </si>
  <si>
    <t>23900020</t>
  </si>
  <si>
    <t>721093420</t>
  </si>
  <si>
    <t>094000C0</t>
  </si>
  <si>
    <t>756548662</t>
  </si>
  <si>
    <t>310000F0</t>
  </si>
  <si>
    <t>699629697</t>
  </si>
  <si>
    <t>19408260</t>
  </si>
  <si>
    <t>341720184</t>
  </si>
  <si>
    <t>194 Шорты детские для девочек</t>
  </si>
  <si>
    <t>a7700000</t>
  </si>
  <si>
    <t>695216101</t>
  </si>
  <si>
    <t>29100110</t>
  </si>
  <si>
    <t>698694613</t>
  </si>
  <si>
    <t>a8900050</t>
  </si>
  <si>
    <t>696912261</t>
  </si>
  <si>
    <t>88300260</t>
  </si>
  <si>
    <t>697438261</t>
  </si>
  <si>
    <t>a8900000</t>
  </si>
  <si>
    <t>711885864</t>
  </si>
  <si>
    <t>29600020</t>
  </si>
  <si>
    <t>732841050</t>
  </si>
  <si>
    <t>53600230</t>
  </si>
  <si>
    <t>699198475</t>
  </si>
  <si>
    <t>30200430</t>
  </si>
  <si>
    <t>822040320</t>
  </si>
  <si>
    <t>19408420</t>
  </si>
  <si>
    <t>387721184</t>
  </si>
  <si>
    <t>20200240</t>
  </si>
  <si>
    <t>371244581</t>
  </si>
  <si>
    <t>094001H0</t>
  </si>
  <si>
    <t>822827114</t>
  </si>
  <si>
    <t>53600250</t>
  </si>
  <si>
    <t>699198370</t>
  </si>
  <si>
    <t>53600290</t>
  </si>
  <si>
    <t>699198578</t>
  </si>
  <si>
    <t>b4806060</t>
  </si>
  <si>
    <t>209221216</t>
  </si>
  <si>
    <t>b48 Топ женский для активного отдыха</t>
  </si>
  <si>
    <t>144080A0</t>
  </si>
  <si>
    <t>355550869</t>
  </si>
  <si>
    <t>310000J0</t>
  </si>
  <si>
    <t>721315685</t>
  </si>
  <si>
    <t>a8900030</t>
  </si>
  <si>
    <t>711885752</t>
  </si>
  <si>
    <t>31000910</t>
  </si>
  <si>
    <t>819952064</t>
  </si>
  <si>
    <t>20100260</t>
  </si>
  <si>
    <t>760592132</t>
  </si>
  <si>
    <t>14400050</t>
  </si>
  <si>
    <t>722467592</t>
  </si>
  <si>
    <t>b5008080</t>
  </si>
  <si>
    <t>378959477</t>
  </si>
  <si>
    <t>b50 Футболка женская для активного отдыха</t>
  </si>
  <si>
    <t>88100160</t>
  </si>
  <si>
    <t>817515689</t>
  </si>
  <si>
    <t>a8800010</t>
  </si>
  <si>
    <t>696577014</t>
  </si>
  <si>
    <t>93900190</t>
  </si>
  <si>
    <t>725061254</t>
  </si>
  <si>
    <t>a8600010</t>
  </si>
  <si>
    <t>695348293</t>
  </si>
  <si>
    <t>88300150</t>
  </si>
  <si>
    <t>727422454</t>
  </si>
  <si>
    <t>20100240</t>
  </si>
  <si>
    <t>760592125</t>
  </si>
  <si>
    <t>31100020</t>
  </si>
  <si>
    <t>754824663</t>
  </si>
  <si>
    <t>311 Рубашка женская</t>
  </si>
  <si>
    <t>20200210</t>
  </si>
  <si>
    <t>371244746</t>
  </si>
  <si>
    <t>55400060</t>
  </si>
  <si>
    <t>371244621</t>
  </si>
  <si>
    <t>29709040</t>
  </si>
  <si>
    <t>475734576</t>
  </si>
  <si>
    <t>23200060</t>
  </si>
  <si>
    <t>722494495</t>
  </si>
  <si>
    <t>88300170</t>
  </si>
  <si>
    <t>724822104</t>
  </si>
  <si>
    <t>13700000</t>
  </si>
  <si>
    <t>770920652</t>
  </si>
  <si>
    <t>29100090</t>
  </si>
  <si>
    <t>698694604</t>
  </si>
  <si>
    <t>094000N0</t>
  </si>
  <si>
    <t>710287477</t>
  </si>
  <si>
    <t>88100130</t>
  </si>
  <si>
    <t>727422451</t>
  </si>
  <si>
    <t>39300620</t>
  </si>
  <si>
    <t>697334191</t>
  </si>
  <si>
    <t>88100250</t>
  </si>
  <si>
    <t>714592937</t>
  </si>
  <si>
    <t>19600120</t>
  </si>
  <si>
    <t>734337886</t>
  </si>
  <si>
    <t>88100240</t>
  </si>
  <si>
    <t>697438355</t>
  </si>
  <si>
    <t>h1800030</t>
  </si>
  <si>
    <t>732910208</t>
  </si>
  <si>
    <t>Спортивная одежда для женщин</t>
  </si>
  <si>
    <t>h28 Брюки спортивные женские</t>
  </si>
  <si>
    <t>16800090</t>
  </si>
  <si>
    <t>766703811</t>
  </si>
  <si>
    <t>57400010</t>
  </si>
  <si>
    <t>772653434</t>
  </si>
  <si>
    <t>574 Распашонка</t>
  </si>
  <si>
    <t>a7900010</t>
  </si>
  <si>
    <t>695348202</t>
  </si>
  <si>
    <t>19800080</t>
  </si>
  <si>
    <t>734343266</t>
  </si>
  <si>
    <t>h7700150</t>
  </si>
  <si>
    <t>782180815</t>
  </si>
  <si>
    <t>h77 Одежда пляжная женская</t>
  </si>
  <si>
    <t>h1200020</t>
  </si>
  <si>
    <t>754564301</t>
  </si>
  <si>
    <t>23908010</t>
  </si>
  <si>
    <t>316541570</t>
  </si>
  <si>
    <t>31000960</t>
  </si>
  <si>
    <t>819952114</t>
  </si>
  <si>
    <t>95400160</t>
  </si>
  <si>
    <t>786399404</t>
  </si>
  <si>
    <t>310000G0</t>
  </si>
  <si>
    <t>699629726</t>
  </si>
  <si>
    <t>a9100030</t>
  </si>
  <si>
    <t>711885817</t>
  </si>
  <si>
    <t>a8000020</t>
  </si>
  <si>
    <t>785806204</t>
  </si>
  <si>
    <t>39300600</t>
  </si>
  <si>
    <t>721063878</t>
  </si>
  <si>
    <t>55300070</t>
  </si>
  <si>
    <t>720809019</t>
  </si>
  <si>
    <t>553 Брюки детские для мальчиков</t>
  </si>
  <si>
    <t>a6000140</t>
  </si>
  <si>
    <t>701976531</t>
  </si>
  <si>
    <t>88300180</t>
  </si>
  <si>
    <t>824884793</t>
  </si>
  <si>
    <t>19600140</t>
  </si>
  <si>
    <t>734337888</t>
  </si>
  <si>
    <t>57400000</t>
  </si>
  <si>
    <t>772653446</t>
  </si>
  <si>
    <t>y5000020</t>
  </si>
  <si>
    <t>709528465</t>
  </si>
  <si>
    <t>y50 Комплект летней одежды для мальчиков</t>
  </si>
  <si>
    <t>a6000350</t>
  </si>
  <si>
    <t>699629682</t>
  </si>
  <si>
    <t>39300550</t>
  </si>
  <si>
    <t>697334112</t>
  </si>
  <si>
    <t>310001D0</t>
  </si>
  <si>
    <t>879308813</t>
  </si>
  <si>
    <t>53000090</t>
  </si>
  <si>
    <t>371244538</t>
  </si>
  <si>
    <t>88300310</t>
  </si>
  <si>
    <t>697438319</t>
  </si>
  <si>
    <t>a6000040</t>
  </si>
  <si>
    <t>708049667</t>
  </si>
  <si>
    <t>a9100000</t>
  </si>
  <si>
    <t>711885795</t>
  </si>
  <si>
    <t>56700040</t>
  </si>
  <si>
    <t>766639227</t>
  </si>
  <si>
    <t>96700080</t>
  </si>
  <si>
    <t>786710293</t>
  </si>
  <si>
    <t>88300290</t>
  </si>
  <si>
    <t>697438146</t>
  </si>
  <si>
    <t>094001P0</t>
  </si>
  <si>
    <t>710405599</t>
  </si>
  <si>
    <t>19408460</t>
  </si>
  <si>
    <t>341720624</t>
  </si>
  <si>
    <t>88300230</t>
  </si>
  <si>
    <t>697438054</t>
  </si>
  <si>
    <t>a9000000</t>
  </si>
  <si>
    <t>711885800</t>
  </si>
  <si>
    <t>a8300070</t>
  </si>
  <si>
    <t>784002030</t>
  </si>
  <si>
    <t>a6200000</t>
  </si>
  <si>
    <t>708423056</t>
  </si>
  <si>
    <t>a62 Треггинсы детские для девочек</t>
  </si>
  <si>
    <t>39300540</t>
  </si>
  <si>
    <t>697334104</t>
  </si>
  <si>
    <t>56808140</t>
  </si>
  <si>
    <t>343058736</t>
  </si>
  <si>
    <t>a7700010</t>
  </si>
  <si>
    <t>695216115</t>
  </si>
  <si>
    <t>31100010</t>
  </si>
  <si>
    <t>754824642</t>
  </si>
  <si>
    <t>18408000</t>
  </si>
  <si>
    <t>341720447</t>
  </si>
  <si>
    <t>b5008090</t>
  </si>
  <si>
    <t>378959578</t>
  </si>
  <si>
    <t>16806070</t>
  </si>
  <si>
    <t>211431667</t>
  </si>
  <si>
    <t>87700060</t>
  </si>
  <si>
    <t>786030419</t>
  </si>
  <si>
    <t>39300570</t>
  </si>
  <si>
    <t>697334147</t>
  </si>
  <si>
    <t>310000M0</t>
  </si>
  <si>
    <t>699629755</t>
  </si>
  <si>
    <t>20100280</t>
  </si>
  <si>
    <t>881347499</t>
  </si>
  <si>
    <t>88600070</t>
  </si>
  <si>
    <t>866468961</t>
  </si>
  <si>
    <t>29900130</t>
  </si>
  <si>
    <t>699198421</t>
  </si>
  <si>
    <t>42400040</t>
  </si>
  <si>
    <t>706564132</t>
  </si>
  <si>
    <t>310000P0</t>
  </si>
  <si>
    <t>788315560</t>
  </si>
  <si>
    <t>39300610</t>
  </si>
  <si>
    <t>697334173</t>
  </si>
  <si>
    <t>094001G0</t>
  </si>
  <si>
    <t>756548649</t>
  </si>
  <si>
    <t>23900040</t>
  </si>
  <si>
    <t>721093438</t>
  </si>
  <si>
    <t>29000040</t>
  </si>
  <si>
    <t>698694867</t>
  </si>
  <si>
    <t>310000X0</t>
  </si>
  <si>
    <t>819952045</t>
  </si>
  <si>
    <t>a8400010</t>
  </si>
  <si>
    <t>772678762</t>
  </si>
  <si>
    <t>a84 Толстовка-худи для девочек</t>
  </si>
  <si>
    <t>29900220</t>
  </si>
  <si>
    <t>806821980</t>
  </si>
  <si>
    <t>93606080</t>
  </si>
  <si>
    <t>216453926</t>
  </si>
  <si>
    <t>936 Боди с длинным рукавом для мальчиков</t>
  </si>
  <si>
    <t>11000000</t>
  </si>
  <si>
    <t>707519660</t>
  </si>
  <si>
    <t>a6000190</t>
  </si>
  <si>
    <t>706058165</t>
  </si>
  <si>
    <t>09400430</t>
  </si>
  <si>
    <t>712237396</t>
  </si>
  <si>
    <t>30200350</t>
  </si>
  <si>
    <t>788608588</t>
  </si>
  <si>
    <t>16800060</t>
  </si>
  <si>
    <t>766703937</t>
  </si>
  <si>
    <t>a9200000</t>
  </si>
  <si>
    <t>711885851</t>
  </si>
  <si>
    <t>20200250</t>
  </si>
  <si>
    <t>820479796</t>
  </si>
  <si>
    <t>18400160</t>
  </si>
  <si>
    <t>754451671</t>
  </si>
  <si>
    <t>19608060</t>
  </si>
  <si>
    <t>341720520</t>
  </si>
  <si>
    <t>a8000010</t>
  </si>
  <si>
    <t>695348246</t>
  </si>
  <si>
    <t>a6200030</t>
  </si>
  <si>
    <t>879308870</t>
  </si>
  <si>
    <t>094001S0</t>
  </si>
  <si>
    <t>710430453</t>
  </si>
  <si>
    <t>23400080</t>
  </si>
  <si>
    <t>833379536</t>
  </si>
  <si>
    <t>310000C0</t>
  </si>
  <si>
    <t>701976636</t>
  </si>
  <si>
    <t>29100140</t>
  </si>
  <si>
    <t>698694541</t>
  </si>
  <si>
    <t>18100190</t>
  </si>
  <si>
    <t>879308769</t>
  </si>
  <si>
    <t>94708130</t>
  </si>
  <si>
    <t>343110174</t>
  </si>
  <si>
    <t>947 Ромпер для девочки</t>
  </si>
  <si>
    <t>23900030</t>
  </si>
  <si>
    <t>721093427</t>
  </si>
  <si>
    <t>18100110</t>
  </si>
  <si>
    <t>762057004</t>
  </si>
  <si>
    <t>16800210</t>
  </si>
  <si>
    <t>766703746</t>
  </si>
  <si>
    <t>h7700190</t>
  </si>
  <si>
    <t>809625494</t>
  </si>
  <si>
    <t>92500050</t>
  </si>
  <si>
    <t>766639214</t>
  </si>
  <si>
    <t>925 Платье-боди</t>
  </si>
  <si>
    <t>17900010</t>
  </si>
  <si>
    <t>768695269</t>
  </si>
  <si>
    <t>Джинсы женские</t>
  </si>
  <si>
    <t>179 Джинсы женские</t>
  </si>
  <si>
    <t>94708120</t>
  </si>
  <si>
    <t>343110206</t>
  </si>
  <si>
    <t>310000K0</t>
  </si>
  <si>
    <t>701976671</t>
  </si>
  <si>
    <t>30308030</t>
  </si>
  <si>
    <t>378959600</t>
  </si>
  <si>
    <t>303 Юбка летняя детская</t>
  </si>
  <si>
    <t>29900160</t>
  </si>
  <si>
    <t>699198542</t>
  </si>
  <si>
    <t>18304030</t>
  </si>
  <si>
    <t>161375482</t>
  </si>
  <si>
    <t>Спортивная одежда для мужчин</t>
  </si>
  <si>
    <t>y97 Футболка мужская</t>
  </si>
  <si>
    <t>44800030</t>
  </si>
  <si>
    <t>698694831</t>
  </si>
  <si>
    <t>31100030</t>
  </si>
  <si>
    <t>754824676</t>
  </si>
  <si>
    <t>96700100</t>
  </si>
  <si>
    <t>820284549</t>
  </si>
  <si>
    <t>29100100</t>
  </si>
  <si>
    <t>710462723</t>
  </si>
  <si>
    <t>19800090</t>
  </si>
  <si>
    <t>734343267</t>
  </si>
  <si>
    <t>a6000100</t>
  </si>
  <si>
    <t>884287673</t>
  </si>
  <si>
    <t>29900100</t>
  </si>
  <si>
    <t>699198460</t>
  </si>
  <si>
    <t>39300630</t>
  </si>
  <si>
    <t>697334091</t>
  </si>
  <si>
    <t>20200330</t>
  </si>
  <si>
    <t>820479819</t>
  </si>
  <si>
    <t>19100030</t>
  </si>
  <si>
    <t>721093441</t>
  </si>
  <si>
    <t>55300080</t>
  </si>
  <si>
    <t>720809045</t>
  </si>
  <si>
    <t>29000110</t>
  </si>
  <si>
    <t>769002367</t>
  </si>
  <si>
    <t>94608120</t>
  </si>
  <si>
    <t>343110214</t>
  </si>
  <si>
    <t>y5000030</t>
  </si>
  <si>
    <t>879308850</t>
  </si>
  <si>
    <t>09400400</t>
  </si>
  <si>
    <t>712237381</t>
  </si>
  <si>
    <t>094000J0</t>
  </si>
  <si>
    <t>815107338</t>
  </si>
  <si>
    <t>53600240</t>
  </si>
  <si>
    <t>699198497</t>
  </si>
  <si>
    <t>16800080</t>
  </si>
  <si>
    <t>766703756</t>
  </si>
  <si>
    <t>310000H0</t>
  </si>
  <si>
    <t>699629739</t>
  </si>
  <si>
    <t>30400060</t>
  </si>
  <si>
    <t>734171318</t>
  </si>
  <si>
    <t>18700030</t>
  </si>
  <si>
    <t>840058004</t>
  </si>
  <si>
    <t>14400000</t>
  </si>
  <si>
    <t>756100281</t>
  </si>
  <si>
    <t>a8300000</t>
  </si>
  <si>
    <t>695216019</t>
  </si>
  <si>
    <t>144080C0</t>
  </si>
  <si>
    <t>355550873</t>
  </si>
  <si>
    <t>20200290</t>
  </si>
  <si>
    <t>760592141</t>
  </si>
  <si>
    <t>18200100</t>
  </si>
  <si>
    <t>762057011</t>
  </si>
  <si>
    <t>a6000260</t>
  </si>
  <si>
    <t>721315660</t>
  </si>
  <si>
    <t>17900000</t>
  </si>
  <si>
    <t>768695345</t>
  </si>
  <si>
    <t>h1200010</t>
  </si>
  <si>
    <t>754564363</t>
  </si>
  <si>
    <t>19800100</t>
  </si>
  <si>
    <t>734343268</t>
  </si>
  <si>
    <t>y9708210</t>
  </si>
  <si>
    <t>360618209</t>
  </si>
  <si>
    <t>Футболки, рубашки мужские</t>
  </si>
  <si>
    <t>h10 Футболка мужская</t>
  </si>
  <si>
    <t>094001R0</t>
  </si>
  <si>
    <t>710421826</t>
  </si>
  <si>
    <t>55300090</t>
  </si>
  <si>
    <t>720809064</t>
  </si>
  <si>
    <t>14400010</t>
  </si>
  <si>
    <t>756100290</t>
  </si>
  <si>
    <t>14408860</t>
  </si>
  <si>
    <t>355558793</t>
  </si>
  <si>
    <t>29000120</t>
  </si>
  <si>
    <t>769002379</t>
  </si>
  <si>
    <t>88300220</t>
  </si>
  <si>
    <t>714592630</t>
  </si>
  <si>
    <t>310000N0</t>
  </si>
  <si>
    <t>706058162</t>
  </si>
  <si>
    <t>55400070</t>
  </si>
  <si>
    <t>371244681</t>
  </si>
  <si>
    <t>88300320</t>
  </si>
  <si>
    <t>714592773</t>
  </si>
  <si>
    <t>56100190</t>
  </si>
  <si>
    <t>853127634</t>
  </si>
  <si>
    <t>561 Майка детская для мальчиков</t>
  </si>
  <si>
    <t>a6000390</t>
  </si>
  <si>
    <t>715352640</t>
  </si>
  <si>
    <t>18400030</t>
  </si>
  <si>
    <t>766389255</t>
  </si>
  <si>
    <t>29900190</t>
  </si>
  <si>
    <t>766002926</t>
  </si>
  <si>
    <t>23800120</t>
  </si>
  <si>
    <t>797255036</t>
  </si>
  <si>
    <t>094001U0</t>
  </si>
  <si>
    <t>710460016</t>
  </si>
  <si>
    <t>29900120</t>
  </si>
  <si>
    <t>699198396</t>
  </si>
  <si>
    <t>16800190</t>
  </si>
  <si>
    <t>766703883</t>
  </si>
  <si>
    <t>87700080</t>
  </si>
  <si>
    <t>866468999</t>
  </si>
  <si>
    <t>144080B0</t>
  </si>
  <si>
    <t>355550885</t>
  </si>
  <si>
    <t>57200000</t>
  </si>
  <si>
    <t>775959523</t>
  </si>
  <si>
    <t>572 Ползунки для девочки</t>
  </si>
  <si>
    <t>23400090</t>
  </si>
  <si>
    <t>833379546</t>
  </si>
  <si>
    <t>14400020</t>
  </si>
  <si>
    <t>722467590</t>
  </si>
  <si>
    <t>19800110</t>
  </si>
  <si>
    <t>734343269</t>
  </si>
  <si>
    <t>18400040</t>
  </si>
  <si>
    <t>766389208</t>
  </si>
  <si>
    <t>29000080</t>
  </si>
  <si>
    <t>710462714</t>
  </si>
  <si>
    <t>310000I0</t>
  </si>
  <si>
    <t>701976663</t>
  </si>
  <si>
    <t>29000050</t>
  </si>
  <si>
    <t>710462742</t>
  </si>
  <si>
    <t>094002B0</t>
  </si>
  <si>
    <t>756548795</t>
  </si>
  <si>
    <t>a6000360</t>
  </si>
  <si>
    <t>701976596</t>
  </si>
  <si>
    <t>094001D0</t>
  </si>
  <si>
    <t>804097378</t>
  </si>
  <si>
    <t>a8800000</t>
  </si>
  <si>
    <t>696577009</t>
  </si>
  <si>
    <t>11008090</t>
  </si>
  <si>
    <t>355553593</t>
  </si>
  <si>
    <t>29100200</t>
  </si>
  <si>
    <t>783834040</t>
  </si>
  <si>
    <t>19900010</t>
  </si>
  <si>
    <t>799453774</t>
  </si>
  <si>
    <t>Пиджаки, жакеты женские</t>
  </si>
  <si>
    <t>199 Пиджак женский</t>
  </si>
  <si>
    <t>53600280</t>
  </si>
  <si>
    <t>699198437</t>
  </si>
  <si>
    <t>h1800010</t>
  </si>
  <si>
    <t>732910206</t>
  </si>
  <si>
    <t>a8500010</t>
  </si>
  <si>
    <t>879308876</t>
  </si>
  <si>
    <t>19800010</t>
  </si>
  <si>
    <t>701479495</t>
  </si>
  <si>
    <t>31000970</t>
  </si>
  <si>
    <t>723105244</t>
  </si>
  <si>
    <t>y9708190</t>
  </si>
  <si>
    <t>360618187</t>
  </si>
  <si>
    <t>a9200050</t>
  </si>
  <si>
    <t>762346814</t>
  </si>
  <si>
    <t>16800050</t>
  </si>
  <si>
    <t>766703860</t>
  </si>
  <si>
    <t>18700060</t>
  </si>
  <si>
    <t>879308827</t>
  </si>
  <si>
    <t>96800030</t>
  </si>
  <si>
    <t>786709849</t>
  </si>
  <si>
    <t>16808110</t>
  </si>
  <si>
    <t>355550871</t>
  </si>
  <si>
    <t>20200320</t>
  </si>
  <si>
    <t>760592178</t>
  </si>
  <si>
    <t>29100150</t>
  </si>
  <si>
    <t>698694573</t>
  </si>
  <si>
    <t>44800060</t>
  </si>
  <si>
    <t>879308815</t>
  </si>
  <si>
    <t>30200220</t>
  </si>
  <si>
    <t>716072332</t>
  </si>
  <si>
    <t>88100220</t>
  </si>
  <si>
    <t>697438328</t>
  </si>
  <si>
    <t>29000060</t>
  </si>
  <si>
    <t>698694796</t>
  </si>
  <si>
    <t>30700040</t>
  </si>
  <si>
    <t>708667784</t>
  </si>
  <si>
    <t>307 Блузка детская для девочек</t>
  </si>
  <si>
    <t>a7700030</t>
  </si>
  <si>
    <t>716597177</t>
  </si>
  <si>
    <t>88300280</t>
  </si>
  <si>
    <t>697438111</t>
  </si>
  <si>
    <t>a6000310</t>
  </si>
  <si>
    <t>715352167</t>
  </si>
  <si>
    <t>29600000</t>
  </si>
  <si>
    <t>702147686</t>
  </si>
  <si>
    <t>18700070</t>
  </si>
  <si>
    <t>755304021</t>
  </si>
  <si>
    <t>094002A0</t>
  </si>
  <si>
    <t>756548738</t>
  </si>
  <si>
    <t>17900070</t>
  </si>
  <si>
    <t>768695335</t>
  </si>
  <si>
    <t>16808070</t>
  </si>
  <si>
    <t>355550913</t>
  </si>
  <si>
    <t>a8500020</t>
  </si>
  <si>
    <t>879308811</t>
  </si>
  <si>
    <t>29600010</t>
  </si>
  <si>
    <t>702147818</t>
  </si>
  <si>
    <t>y9706090</t>
  </si>
  <si>
    <t>210009117</t>
  </si>
  <si>
    <t>29900170</t>
  </si>
  <si>
    <t>699198556</t>
  </si>
  <si>
    <t>a8800030</t>
  </si>
  <si>
    <t>696577021</t>
  </si>
  <si>
    <t>96700090</t>
  </si>
  <si>
    <t>879308844</t>
  </si>
  <si>
    <t>14400030</t>
  </si>
  <si>
    <t>721052284</t>
  </si>
  <si>
    <t>a8300040</t>
  </si>
  <si>
    <t>695216181</t>
  </si>
  <si>
    <t>a6000050</t>
  </si>
  <si>
    <t>760543960</t>
  </si>
  <si>
    <t>29100130</t>
  </si>
  <si>
    <t>698694883</t>
  </si>
  <si>
    <t>144080D0</t>
  </si>
  <si>
    <t>355550919</t>
  </si>
  <si>
    <t>09400420</t>
  </si>
  <si>
    <t>712237385</t>
  </si>
  <si>
    <t>29900200</t>
  </si>
  <si>
    <t>765996668</t>
  </si>
  <si>
    <t>h7700180</t>
  </si>
  <si>
    <t>782181011</t>
  </si>
  <si>
    <t>09400900</t>
  </si>
  <si>
    <t>756548670</t>
  </si>
  <si>
    <t>44800080</t>
  </si>
  <si>
    <t>783834096</t>
  </si>
  <si>
    <t>a7800020</t>
  </si>
  <si>
    <t>695216153</t>
  </si>
  <si>
    <t>a78 Толстовка-худи для мальчиков</t>
  </si>
  <si>
    <t>a6000380</t>
  </si>
  <si>
    <t>715352561</t>
  </si>
  <si>
    <t>23100040</t>
  </si>
  <si>
    <t>694287441</t>
  </si>
  <si>
    <t>Нижнее белье детское для девочек</t>
  </si>
  <si>
    <t>231 Пижама детская для девочек</t>
  </si>
  <si>
    <t>96800040</t>
  </si>
  <si>
    <t>786709971</t>
  </si>
  <si>
    <t>30900080</t>
  </si>
  <si>
    <t>732910125</t>
  </si>
  <si>
    <t>Брюки, шорты женские</t>
  </si>
  <si>
    <t>h81 Брюки летние женские</t>
  </si>
  <si>
    <t/>
  </si>
  <si>
    <t>29100160</t>
  </si>
  <si>
    <t>710462777</t>
  </si>
  <si>
    <t>a9000030</t>
  </si>
  <si>
    <t>783984287</t>
  </si>
  <si>
    <t>h7700160</t>
  </si>
  <si>
    <t>782180837</t>
  </si>
  <si>
    <t>20200310</t>
  </si>
  <si>
    <t>760592148</t>
  </si>
  <si>
    <t>18700050</t>
  </si>
  <si>
    <t>840057931</t>
  </si>
  <si>
    <t>a6000370</t>
  </si>
  <si>
    <t>701976687</t>
  </si>
  <si>
    <t>18400020</t>
  </si>
  <si>
    <t>766389243</t>
  </si>
  <si>
    <t>h7700170</t>
  </si>
  <si>
    <t>782180991</t>
  </si>
  <si>
    <t>a8800020</t>
  </si>
  <si>
    <t>716561251</t>
  </si>
  <si>
    <t>30400050</t>
  </si>
  <si>
    <t>734171298</t>
  </si>
  <si>
    <t>39300580</t>
  </si>
  <si>
    <t>835318240</t>
  </si>
  <si>
    <t>a9100050</t>
  </si>
  <si>
    <t>711885828</t>
  </si>
  <si>
    <t>h1800000</t>
  </si>
  <si>
    <t>732910205</t>
  </si>
  <si>
    <t>a8900060</t>
  </si>
  <si>
    <t>696912332</t>
  </si>
  <si>
    <t>a9200060</t>
  </si>
  <si>
    <t>711885804</t>
  </si>
  <si>
    <t>94400100</t>
  </si>
  <si>
    <t>800126661</t>
  </si>
  <si>
    <t>20200280</t>
  </si>
  <si>
    <t>820479804</t>
  </si>
  <si>
    <t>a7700060</t>
  </si>
  <si>
    <t>716597318</t>
  </si>
  <si>
    <t>a8900070</t>
  </si>
  <si>
    <t>696912275</t>
  </si>
  <si>
    <t>e4008000</t>
  </si>
  <si>
    <t>371244794</t>
  </si>
  <si>
    <t>Головные уборы мужские</t>
  </si>
  <si>
    <t>e40 Панама</t>
  </si>
  <si>
    <t>95400130</t>
  </si>
  <si>
    <t>785932824</t>
  </si>
  <si>
    <t>30900000</t>
  </si>
  <si>
    <t>732910129</t>
  </si>
  <si>
    <t>23100060</t>
  </si>
  <si>
    <t>694287444</t>
  </si>
  <si>
    <t>30700030</t>
  </si>
  <si>
    <t>722902284</t>
  </si>
  <si>
    <t>88300210</t>
  </si>
  <si>
    <t>697438071</t>
  </si>
  <si>
    <t>89000100</t>
  </si>
  <si>
    <t>770505909</t>
  </si>
  <si>
    <t>19608040</t>
  </si>
  <si>
    <t>341720577</t>
  </si>
  <si>
    <t>11000030</t>
  </si>
  <si>
    <t>707522617</t>
  </si>
  <si>
    <t>29600030</t>
  </si>
  <si>
    <t>732841055</t>
  </si>
  <si>
    <t>31100000</t>
  </si>
  <si>
    <t>754824622</t>
  </si>
  <si>
    <t>094001T0</t>
  </si>
  <si>
    <t>710433322</t>
  </si>
  <si>
    <t>14408990</t>
  </si>
  <si>
    <t>355550883</t>
  </si>
  <si>
    <t>y9708110</t>
  </si>
  <si>
    <t>373110934</t>
  </si>
  <si>
    <t>30400010</t>
  </si>
  <si>
    <t>701616668</t>
  </si>
  <si>
    <t>09400890</t>
  </si>
  <si>
    <t>804097424</t>
  </si>
  <si>
    <t>094000T0</t>
  </si>
  <si>
    <t>756548788</t>
  </si>
  <si>
    <t>20100230</t>
  </si>
  <si>
    <t>820479744</t>
  </si>
  <si>
    <t>a8200030</t>
  </si>
  <si>
    <t>696577004</t>
  </si>
  <si>
    <t>23100050</t>
  </si>
  <si>
    <t>722494491</t>
  </si>
  <si>
    <t>310001Z0</t>
  </si>
  <si>
    <t>884287691</t>
  </si>
  <si>
    <t>56900110</t>
  </si>
  <si>
    <t>721197638</t>
  </si>
  <si>
    <t>20100200</t>
  </si>
  <si>
    <t>760592101</t>
  </si>
  <si>
    <t>11008160</t>
  </si>
  <si>
    <t>373110930</t>
  </si>
  <si>
    <t>19800040</t>
  </si>
  <si>
    <t>701479520</t>
  </si>
  <si>
    <t>a8300020</t>
  </si>
  <si>
    <t>695216070</t>
  </si>
  <si>
    <t>98500070</t>
  </si>
  <si>
    <t>804452953</t>
  </si>
  <si>
    <t>985 Лифчик подростковый</t>
  </si>
  <si>
    <t>55300100</t>
  </si>
  <si>
    <t>720809065</t>
  </si>
  <si>
    <t>18100260</t>
  </si>
  <si>
    <t>710160934</t>
  </si>
  <si>
    <t>11008150</t>
  </si>
  <si>
    <t>378959523</t>
  </si>
  <si>
    <t>11000050</t>
  </si>
  <si>
    <t>707522633</t>
  </si>
  <si>
    <t>29900140</t>
  </si>
  <si>
    <t>699198450</t>
  </si>
  <si>
    <t>18100280</t>
  </si>
  <si>
    <t>710160948</t>
  </si>
  <si>
    <t>a9100040</t>
  </si>
  <si>
    <t>783984299</t>
  </si>
  <si>
    <t>094000H0</t>
  </si>
  <si>
    <t>773198083</t>
  </si>
  <si>
    <t>14400140</t>
  </si>
  <si>
    <t>722467595</t>
  </si>
  <si>
    <t>19800030</t>
  </si>
  <si>
    <t>701479516</t>
  </si>
  <si>
    <t>19900030</t>
  </si>
  <si>
    <t>799453801</t>
  </si>
  <si>
    <t>a7800050</t>
  </si>
  <si>
    <t>716597435</t>
  </si>
  <si>
    <t>094001F0</t>
  </si>
  <si>
    <t>710392270</t>
  </si>
  <si>
    <t>55300110</t>
  </si>
  <si>
    <t>720809066</t>
  </si>
  <si>
    <t>20200270</t>
  </si>
  <si>
    <t>820479803</t>
  </si>
  <si>
    <t>19800140</t>
  </si>
  <si>
    <t>755027399</t>
  </si>
  <si>
    <t>96600040</t>
  </si>
  <si>
    <t>726770087</t>
  </si>
  <si>
    <t>19600070</t>
  </si>
  <si>
    <t>768078855</t>
  </si>
  <si>
    <t>y9706080</t>
  </si>
  <si>
    <t>210009153</t>
  </si>
  <si>
    <t>29100170</t>
  </si>
  <si>
    <t>710462781</t>
  </si>
  <si>
    <t>17908030</t>
  </si>
  <si>
    <t>316075893</t>
  </si>
  <si>
    <t>094000S0</t>
  </si>
  <si>
    <t>815107333</t>
  </si>
  <si>
    <t>y9808010</t>
  </si>
  <si>
    <t>378959433</t>
  </si>
  <si>
    <t>y98 Шорты мужские</t>
  </si>
  <si>
    <t>55400110</t>
  </si>
  <si>
    <t>820574358</t>
  </si>
  <si>
    <t>h4200010</t>
  </si>
  <si>
    <t>732841113</t>
  </si>
  <si>
    <t>h42 Блузка короткий рукав женская</t>
  </si>
  <si>
    <t>10908220</t>
  </si>
  <si>
    <t>355553638</t>
  </si>
  <si>
    <t>109 Палантин женский</t>
  </si>
  <si>
    <t>20200380</t>
  </si>
  <si>
    <t>820479839</t>
  </si>
  <si>
    <t>20200260</t>
  </si>
  <si>
    <t>820479783</t>
  </si>
  <si>
    <t>a6000180</t>
  </si>
  <si>
    <t>715352805</t>
  </si>
  <si>
    <t>55400120</t>
  </si>
  <si>
    <t>820574359</t>
  </si>
  <si>
    <t>16804130</t>
  </si>
  <si>
    <t>155841082</t>
  </si>
  <si>
    <t>20100180</t>
  </si>
  <si>
    <t>371244521</t>
  </si>
  <si>
    <t>19100040</t>
  </si>
  <si>
    <t>796398084</t>
  </si>
  <si>
    <t>96600030</t>
  </si>
  <si>
    <t>775686348</t>
  </si>
  <si>
    <t>a7700020</t>
  </si>
  <si>
    <t>695216196</t>
  </si>
  <si>
    <t>19600060</t>
  </si>
  <si>
    <t>768078844</t>
  </si>
  <si>
    <t>h1800020</t>
  </si>
  <si>
    <t>732910207</t>
  </si>
  <si>
    <t>y9508020</t>
  </si>
  <si>
    <t>360618181</t>
  </si>
  <si>
    <t>30400000</t>
  </si>
  <si>
    <t>701616662</t>
  </si>
  <si>
    <t>20200200</t>
  </si>
  <si>
    <t>371246730</t>
  </si>
  <si>
    <t>20100170</t>
  </si>
  <si>
    <t>371244718</t>
  </si>
  <si>
    <t>a8300030</t>
  </si>
  <si>
    <t>695216081</t>
  </si>
  <si>
    <t>30900070</t>
  </si>
  <si>
    <t>732910124</t>
  </si>
  <si>
    <t>29100120</t>
  </si>
  <si>
    <t>710462761</t>
  </si>
  <si>
    <t>17900060</t>
  </si>
  <si>
    <t>768695300</t>
  </si>
  <si>
    <t>y9706100</t>
  </si>
  <si>
    <t>210009162</t>
  </si>
  <si>
    <t>18100270</t>
  </si>
  <si>
    <t>762057019</t>
  </si>
  <si>
    <t>y9708270</t>
  </si>
  <si>
    <t>321683759</t>
  </si>
  <si>
    <t>16808020</t>
  </si>
  <si>
    <t>11286529</t>
  </si>
  <si>
    <t>144080H0</t>
  </si>
  <si>
    <t>355550903</t>
  </si>
  <si>
    <t>43500120</t>
  </si>
  <si>
    <t>698694546</t>
  </si>
  <si>
    <t>10908170</t>
  </si>
  <si>
    <t>355553501</t>
  </si>
  <si>
    <t>53000130</t>
  </si>
  <si>
    <t>820657734</t>
  </si>
  <si>
    <t>a6200020</t>
  </si>
  <si>
    <t>727397729</t>
  </si>
  <si>
    <t>a7800000</t>
  </si>
  <si>
    <t>695216006</t>
  </si>
  <si>
    <t>55400090</t>
  </si>
  <si>
    <t>881815657</t>
  </si>
  <si>
    <t>h4200000</t>
  </si>
  <si>
    <t>732841098</t>
  </si>
  <si>
    <t>09400390</t>
  </si>
  <si>
    <t>712234776</t>
  </si>
  <si>
    <t>29900210</t>
  </si>
  <si>
    <t>879308771</t>
  </si>
  <si>
    <t>11000010</t>
  </si>
  <si>
    <t>707522596</t>
  </si>
  <si>
    <t>a6200010</t>
  </si>
  <si>
    <t>708417644</t>
  </si>
  <si>
    <t>19800000</t>
  </si>
  <si>
    <t>701479484</t>
  </si>
  <si>
    <t>55400100</t>
  </si>
  <si>
    <t>881841619</t>
  </si>
  <si>
    <t>16508070</t>
  </si>
  <si>
    <t>316075946</t>
  </si>
  <si>
    <t>h13 Шорты женские</t>
  </si>
  <si>
    <t>93709020</t>
  </si>
  <si>
    <t>14298297</t>
  </si>
  <si>
    <t>094001C0</t>
  </si>
  <si>
    <t>710377631</t>
  </si>
  <si>
    <t>53000080</t>
  </si>
  <si>
    <t>371244782</t>
  </si>
  <si>
    <t>30200310</t>
  </si>
  <si>
    <t>775433396</t>
  </si>
  <si>
    <t>16808050</t>
  </si>
  <si>
    <t>355550909</t>
  </si>
  <si>
    <t>a8200010</t>
  </si>
  <si>
    <t>716561244</t>
  </si>
  <si>
    <t>19600090</t>
  </si>
  <si>
    <t>799656574</t>
  </si>
  <si>
    <t>a7800030</t>
  </si>
  <si>
    <t>784002045</t>
  </si>
  <si>
    <t>y9706020</t>
  </si>
  <si>
    <t>210009194</t>
  </si>
  <si>
    <t>094001O0</t>
  </si>
  <si>
    <t>773198141</t>
  </si>
  <si>
    <t>10908190</t>
  </si>
  <si>
    <t>355553705</t>
  </si>
  <si>
    <t>20200220</t>
  </si>
  <si>
    <t>371244734</t>
  </si>
  <si>
    <t>a6000150</t>
  </si>
  <si>
    <t>715352714</t>
  </si>
  <si>
    <t>h0508050</t>
  </si>
  <si>
    <t>316544886</t>
  </si>
  <si>
    <t>Брюки, шорты мужские</t>
  </si>
  <si>
    <t>h05 Брюки мужские</t>
  </si>
  <si>
    <t>11000040</t>
  </si>
  <si>
    <t>707522624</t>
  </si>
  <si>
    <t>094001X0</t>
  </si>
  <si>
    <t>710466105</t>
  </si>
  <si>
    <t>20100320</t>
  </si>
  <si>
    <t>881348977</t>
  </si>
  <si>
    <t>20100210</t>
  </si>
  <si>
    <t>760592103</t>
  </si>
  <si>
    <t>20100220</t>
  </si>
  <si>
    <t>760592118</t>
  </si>
  <si>
    <t>14400080</t>
  </si>
  <si>
    <t>722467594</t>
  </si>
  <si>
    <t>20200360</t>
  </si>
  <si>
    <t>820479817</t>
  </si>
  <si>
    <t>a6000680</t>
  </si>
  <si>
    <t>884287737</t>
  </si>
  <si>
    <t>20200350</t>
  </si>
  <si>
    <t>760592155</t>
  </si>
  <si>
    <t>y9708100</t>
  </si>
  <si>
    <t>373110972</t>
  </si>
  <si>
    <t>a8300010</t>
  </si>
  <si>
    <t>695216164</t>
  </si>
  <si>
    <t>18400010</t>
  </si>
  <si>
    <t>879308738</t>
  </si>
  <si>
    <t>a8200040</t>
  </si>
  <si>
    <t>785507782</t>
  </si>
  <si>
    <t>29000130</t>
  </si>
  <si>
    <t>797503196</t>
  </si>
  <si>
    <t>94000350</t>
  </si>
  <si>
    <t>839632192</t>
  </si>
  <si>
    <t>940 Футболка для маленького мальчика</t>
  </si>
  <si>
    <t>30400120</t>
  </si>
  <si>
    <t>768031869</t>
  </si>
  <si>
    <t>30800040</t>
  </si>
  <si>
    <t>775830491</t>
  </si>
  <si>
    <t>308 Рубашка длинный рукав детская для мальчиков</t>
  </si>
  <si>
    <t>09400410</t>
  </si>
  <si>
    <t>831959616</t>
  </si>
  <si>
    <t>310082X0</t>
  </si>
  <si>
    <t>370543717</t>
  </si>
  <si>
    <t>19600000</t>
  </si>
  <si>
    <t>768078842</t>
  </si>
  <si>
    <t>30200270</t>
  </si>
  <si>
    <t>716072364</t>
  </si>
  <si>
    <t>14408980</t>
  </si>
  <si>
    <t>355550922</t>
  </si>
  <si>
    <t>23100030</t>
  </si>
  <si>
    <t>694287422</t>
  </si>
  <si>
    <t>57200010</t>
  </si>
  <si>
    <t>775959533</t>
  </si>
  <si>
    <t>094000F0</t>
  </si>
  <si>
    <t>710202786</t>
  </si>
  <si>
    <t>a8200050</t>
  </si>
  <si>
    <t>879308835</t>
  </si>
  <si>
    <t>18400120</t>
  </si>
  <si>
    <t>879308760</t>
  </si>
  <si>
    <t>14400090</t>
  </si>
  <si>
    <t>721048844</t>
  </si>
  <si>
    <t>53000110</t>
  </si>
  <si>
    <t>820657732</t>
  </si>
  <si>
    <t>20200370</t>
  </si>
  <si>
    <t>760592168</t>
  </si>
  <si>
    <t>19408480</t>
  </si>
  <si>
    <t>341720524</t>
  </si>
  <si>
    <t>30400110</t>
  </si>
  <si>
    <t>768031868</t>
  </si>
  <si>
    <t>y9708090</t>
  </si>
  <si>
    <t>373110981</t>
  </si>
  <si>
    <t>094001N0</t>
  </si>
  <si>
    <t>804097397</t>
  </si>
  <si>
    <t>h7700220</t>
  </si>
  <si>
    <t>788918758</t>
  </si>
  <si>
    <t>a8400000</t>
  </si>
  <si>
    <t>716597509</t>
  </si>
  <si>
    <t>23900050</t>
  </si>
  <si>
    <t>781118597</t>
  </si>
  <si>
    <t>20200230</t>
  </si>
  <si>
    <t>371244615</t>
  </si>
  <si>
    <t>18400000</t>
  </si>
  <si>
    <t>879308874</t>
  </si>
  <si>
    <t>18200080</t>
  </si>
  <si>
    <t>762057059</t>
  </si>
  <si>
    <t>094002C0</t>
  </si>
  <si>
    <t>710470543</t>
  </si>
  <si>
    <t>44800090</t>
  </si>
  <si>
    <t>879308869</t>
  </si>
  <si>
    <t>11000070</t>
  </si>
  <si>
    <t>707522638</t>
  </si>
  <si>
    <t>14400110</t>
  </si>
  <si>
    <t>721048828</t>
  </si>
  <si>
    <t>310000V0</t>
  </si>
  <si>
    <t>879308864</t>
  </si>
  <si>
    <t>30200340</t>
  </si>
  <si>
    <t>788608523</t>
  </si>
  <si>
    <t>094002F0</t>
  </si>
  <si>
    <t>710477409</t>
  </si>
  <si>
    <t>310000Q0</t>
  </si>
  <si>
    <t>788315571</t>
  </si>
  <si>
    <t>y4900050</t>
  </si>
  <si>
    <t>879308812</t>
  </si>
  <si>
    <t>y49 Комплект летней одежды для девочки</t>
  </si>
  <si>
    <t>094000B0</t>
  </si>
  <si>
    <t>709812035</t>
  </si>
  <si>
    <t>20200390</t>
  </si>
  <si>
    <t>881335663</t>
  </si>
  <si>
    <t>30200280</t>
  </si>
  <si>
    <t>716072390</t>
  </si>
  <si>
    <t>29100210</t>
  </si>
  <si>
    <t>783834079</t>
  </si>
  <si>
    <t>95500300</t>
  </si>
  <si>
    <t>879308829</t>
  </si>
  <si>
    <t>955 Топ детский для девочек</t>
  </si>
  <si>
    <t>23204120</t>
  </si>
  <si>
    <t>151510775</t>
  </si>
  <si>
    <t>Max&amp;Jessi</t>
  </si>
  <si>
    <t>h7700080</t>
  </si>
  <si>
    <t>797451318</t>
  </si>
  <si>
    <t>18400100</t>
  </si>
  <si>
    <t>879308818</t>
  </si>
  <si>
    <t>91200110</t>
  </si>
  <si>
    <t>879308726</t>
  </si>
  <si>
    <t>912 Джемпер для маленького мальчика</t>
  </si>
  <si>
    <t>h7700240</t>
  </si>
  <si>
    <t>835902592</t>
  </si>
  <si>
    <t>88100180</t>
  </si>
  <si>
    <t>879308851</t>
  </si>
  <si>
    <t>a8600020</t>
  </si>
  <si>
    <t>879308866</t>
  </si>
  <si>
    <t>09400970</t>
  </si>
  <si>
    <t>773198223</t>
  </si>
  <si>
    <t>18200070</t>
  </si>
  <si>
    <t>771106634</t>
  </si>
  <si>
    <t>h7700210</t>
  </si>
  <si>
    <t>788918754</t>
  </si>
  <si>
    <t>14400120</t>
  </si>
  <si>
    <t>759892158</t>
  </si>
  <si>
    <t>11000060</t>
  </si>
  <si>
    <t>707522640</t>
  </si>
  <si>
    <t>30400100</t>
  </si>
  <si>
    <t>768031867</t>
  </si>
  <si>
    <t>094000D0</t>
  </si>
  <si>
    <t>831959609</t>
  </si>
  <si>
    <t>18200230</t>
  </si>
  <si>
    <t>879308758</t>
  </si>
  <si>
    <t>a6000690</t>
  </si>
  <si>
    <t>884287679</t>
  </si>
  <si>
    <t>19800060</t>
  </si>
  <si>
    <t>770830727</t>
  </si>
  <si>
    <t>a7800040</t>
  </si>
  <si>
    <t>784002015</t>
  </si>
  <si>
    <t>30900090</t>
  </si>
  <si>
    <t>732910126</t>
  </si>
  <si>
    <t>18100240</t>
  </si>
  <si>
    <t>879308886</t>
  </si>
  <si>
    <t>14400100</t>
  </si>
  <si>
    <t>759892073</t>
  </si>
  <si>
    <t>09400960</t>
  </si>
  <si>
    <t>756548682</t>
  </si>
  <si>
    <t>53600300</t>
  </si>
  <si>
    <t>879308893</t>
  </si>
  <si>
    <t>310000R0</t>
  </si>
  <si>
    <t>790169115</t>
  </si>
  <si>
    <t>14408950</t>
  </si>
  <si>
    <t>355550927</t>
  </si>
  <si>
    <t>09400950</t>
  </si>
  <si>
    <t>712237448</t>
  </si>
  <si>
    <t>a5200000</t>
  </si>
  <si>
    <t>785821928</t>
  </si>
  <si>
    <t>a52 Брюки летние для девочек</t>
  </si>
  <si>
    <t>10908240</t>
  </si>
  <si>
    <t>373110971</t>
  </si>
  <si>
    <t>20100290</t>
  </si>
  <si>
    <t>820479768</t>
  </si>
  <si>
    <t>y9508010</t>
  </si>
  <si>
    <t>360618265</t>
  </si>
  <si>
    <t>a6000540</t>
  </si>
  <si>
    <t>884287695</t>
  </si>
  <si>
    <t>094001A0</t>
  </si>
  <si>
    <t>710372961</t>
  </si>
  <si>
    <t>h7700100</t>
  </si>
  <si>
    <t>776192660</t>
  </si>
  <si>
    <t>h7700090</t>
  </si>
  <si>
    <t>806627272</t>
  </si>
  <si>
    <t>29100220</t>
  </si>
  <si>
    <t>879308763</t>
  </si>
  <si>
    <t>h7700120</t>
  </si>
  <si>
    <t>806627305</t>
  </si>
  <si>
    <t>09400940</t>
  </si>
  <si>
    <t>712237394</t>
  </si>
  <si>
    <t>094001V0</t>
  </si>
  <si>
    <t>710462861</t>
  </si>
  <si>
    <t>310001I0</t>
  </si>
  <si>
    <t>884287684</t>
  </si>
  <si>
    <t>a7700050</t>
  </si>
  <si>
    <t>879308860</t>
  </si>
  <si>
    <t>y9808050</t>
  </si>
  <si>
    <t>378959513</t>
  </si>
  <si>
    <t>30400040</t>
  </si>
  <si>
    <t>734171277</t>
  </si>
  <si>
    <t>094000Y0</t>
  </si>
  <si>
    <t>710347957</t>
  </si>
  <si>
    <t>310002G0</t>
  </si>
  <si>
    <t>884287733</t>
  </si>
  <si>
    <t>094000I0</t>
  </si>
  <si>
    <t>822827096</t>
  </si>
  <si>
    <t>19800050</t>
  </si>
  <si>
    <t>770830710</t>
  </si>
  <si>
    <t>30900050</t>
  </si>
  <si>
    <t>732910136</t>
  </si>
  <si>
    <t>h7700110</t>
  </si>
  <si>
    <t>776192673</t>
  </si>
  <si>
    <t>30400130</t>
  </si>
  <si>
    <t>768031870</t>
  </si>
  <si>
    <t>19600020</t>
  </si>
  <si>
    <t>799656542</t>
  </si>
  <si>
    <t>53000120</t>
  </si>
  <si>
    <t>820657733</t>
  </si>
  <si>
    <t>12406260</t>
  </si>
  <si>
    <t>395972192</t>
  </si>
  <si>
    <t>124 Подследники женские</t>
  </si>
  <si>
    <t>43600080</t>
  </si>
  <si>
    <t>879308728</t>
  </si>
  <si>
    <t>436 Брюки спортивные утепленные для маленьких мальчиков</t>
  </si>
  <si>
    <t>094000M0</t>
  </si>
  <si>
    <t>710279292</t>
  </si>
  <si>
    <t>094000R0</t>
  </si>
  <si>
    <t>710326729</t>
  </si>
  <si>
    <t>09400380</t>
  </si>
  <si>
    <t>711825044</t>
  </si>
  <si>
    <t>094000G0</t>
  </si>
  <si>
    <t>710226111</t>
  </si>
  <si>
    <t>e4008020</t>
  </si>
  <si>
    <t>371244692</t>
  </si>
  <si>
    <t>094000K0</t>
  </si>
  <si>
    <t>710249045</t>
  </si>
  <si>
    <t>310001T0</t>
  </si>
  <si>
    <t>884287731</t>
  </si>
  <si>
    <t>09400370</t>
  </si>
  <si>
    <t>822827137</t>
  </si>
  <si>
    <t>30900060</t>
  </si>
  <si>
    <t>732910141</t>
  </si>
  <si>
    <t>09400930</t>
  </si>
  <si>
    <t>756548696</t>
  </si>
  <si>
    <t>h7700140</t>
  </si>
  <si>
    <t>835902586</t>
  </si>
  <si>
    <t>09400920</t>
  </si>
  <si>
    <t>712237391</t>
  </si>
  <si>
    <t>30900040</t>
  </si>
  <si>
    <t>732910131</t>
  </si>
  <si>
    <t>y9708250</t>
  </si>
  <si>
    <t>321683719</t>
  </si>
  <si>
    <t>a6000580</t>
  </si>
  <si>
    <t>884287685</t>
  </si>
  <si>
    <t>18700080</t>
  </si>
  <si>
    <t>797255051</t>
  </si>
  <si>
    <t>h7700230</t>
  </si>
  <si>
    <t>788918762</t>
  </si>
  <si>
    <t>094000U0</t>
  </si>
  <si>
    <t>756548616</t>
  </si>
  <si>
    <t>094001J0</t>
  </si>
  <si>
    <t>756547990</t>
  </si>
  <si>
    <t>19800020</t>
  </si>
  <si>
    <t>701479505</t>
  </si>
  <si>
    <t>310000T0</t>
  </si>
  <si>
    <t>785625146</t>
  </si>
  <si>
    <t>10900000</t>
  </si>
  <si>
    <t>692729295</t>
  </si>
  <si>
    <t>19800130</t>
  </si>
  <si>
    <t>755027398</t>
  </si>
  <si>
    <t>094001K0</t>
  </si>
  <si>
    <t>756548744</t>
  </si>
  <si>
    <t>310000U0</t>
  </si>
  <si>
    <t>879308798</t>
  </si>
  <si>
    <t>c1508040</t>
  </si>
  <si>
    <t>332505089</t>
  </si>
  <si>
    <t>c15 Бейсболка</t>
  </si>
  <si>
    <t>a7800010</t>
  </si>
  <si>
    <t>879308774</t>
  </si>
  <si>
    <t>094001Z0</t>
  </si>
  <si>
    <t>756548668</t>
  </si>
  <si>
    <t>094000O0</t>
  </si>
  <si>
    <t>710300656</t>
  </si>
  <si>
    <t>h7700130</t>
  </si>
  <si>
    <t>806627324</t>
  </si>
  <si>
    <t>h7700060</t>
  </si>
  <si>
    <t>806627269</t>
  </si>
  <si>
    <t>094002D0</t>
  </si>
  <si>
    <t>756548870</t>
  </si>
  <si>
    <t>19800120</t>
  </si>
  <si>
    <t>755027397</t>
  </si>
  <si>
    <t>18700090</t>
  </si>
  <si>
    <t>797255068</t>
  </si>
  <si>
    <t>30500090</t>
  </si>
  <si>
    <t>879308842</t>
  </si>
  <si>
    <t>305 Комбинезон летний детский для девочек</t>
  </si>
  <si>
    <t>h7700290</t>
  </si>
  <si>
    <t>817624478</t>
  </si>
  <si>
    <t>96200110</t>
  </si>
  <si>
    <t>899023003</t>
  </si>
  <si>
    <t>962 Комплект летней одежды для маленького мальчика</t>
  </si>
  <si>
    <t>96100130</t>
  </si>
  <si>
    <t>899022981</t>
  </si>
  <si>
    <t>961 Комплект летней одежды для маленькой девочки</t>
  </si>
  <si>
    <t>95500240</t>
  </si>
  <si>
    <t>879308799</t>
  </si>
  <si>
    <t>18700100</t>
  </si>
  <si>
    <t>797255086</t>
  </si>
  <si>
    <t>h1300000</t>
  </si>
  <si>
    <t>732579233</t>
  </si>
  <si>
    <t>16806050</t>
  </si>
  <si>
    <t>211431664</t>
  </si>
  <si>
    <t>310000S0</t>
  </si>
  <si>
    <t>790169153</t>
  </si>
  <si>
    <t>a6000600</t>
  </si>
  <si>
    <t>884287745</t>
  </si>
  <si>
    <t>95500250</t>
  </si>
  <si>
    <t>879308795</t>
  </si>
  <si>
    <t>95500270</t>
  </si>
  <si>
    <t>895568509</t>
  </si>
  <si>
    <t>11000080</t>
  </si>
  <si>
    <t>707522646</t>
  </si>
  <si>
    <t>094001Y0</t>
  </si>
  <si>
    <t>756548866</t>
  </si>
  <si>
    <t>95500310</t>
  </si>
  <si>
    <t>879308825</t>
  </si>
  <si>
    <t>h7700070</t>
  </si>
  <si>
    <t>806627306</t>
  </si>
  <si>
    <t>h7700250</t>
  </si>
  <si>
    <t>817624470</t>
  </si>
  <si>
    <t>95500280</t>
  </si>
  <si>
    <t>895568533</t>
  </si>
  <si>
    <t>094001I0</t>
  </si>
  <si>
    <t>756546277</t>
  </si>
  <si>
    <t>094000X0</t>
  </si>
  <si>
    <t>831959618</t>
  </si>
  <si>
    <t>10908230</t>
  </si>
  <si>
    <t>378959463</t>
  </si>
  <si>
    <t>h1300090</t>
  </si>
  <si>
    <t>732579203</t>
  </si>
  <si>
    <t>y9708260</t>
  </si>
  <si>
    <t>321683802</t>
  </si>
  <si>
    <t>094000A0</t>
  </si>
  <si>
    <t>756548664</t>
  </si>
  <si>
    <t>20200420</t>
  </si>
  <si>
    <t>881339144</t>
  </si>
  <si>
    <t>10900010</t>
  </si>
  <si>
    <t>692819864</t>
  </si>
  <si>
    <t>h7700270</t>
  </si>
  <si>
    <t>788918776</t>
  </si>
  <si>
    <t>16800040</t>
  </si>
  <si>
    <t>732955478</t>
  </si>
  <si>
    <t>20100300</t>
  </si>
  <si>
    <t>820479777</t>
  </si>
  <si>
    <t>11008170</t>
  </si>
  <si>
    <t>373110974</t>
  </si>
  <si>
    <t>h1000280</t>
  </si>
  <si>
    <t>879308737</t>
  </si>
  <si>
    <t>10900050</t>
  </si>
  <si>
    <t>692729287</t>
  </si>
  <si>
    <t>a8900140</t>
  </si>
  <si>
    <t>762346881</t>
  </si>
  <si>
    <t>h7700280</t>
  </si>
  <si>
    <t>788918778</t>
  </si>
  <si>
    <t>88100140</t>
  </si>
  <si>
    <t>724821005</t>
  </si>
  <si>
    <t>h7700260</t>
  </si>
  <si>
    <t>788918773</t>
  </si>
  <si>
    <t>20100160</t>
  </si>
  <si>
    <t>211431680</t>
  </si>
  <si>
    <t>a6000760</t>
  </si>
  <si>
    <t>884287678</t>
  </si>
  <si>
    <t>h1000260</t>
  </si>
  <si>
    <t>879308780</t>
  </si>
  <si>
    <t>20200410</t>
  </si>
  <si>
    <t>881337270</t>
  </si>
  <si>
    <t>h1300070</t>
  </si>
  <si>
    <t>732579197</t>
  </si>
  <si>
    <t>88300340</t>
  </si>
  <si>
    <t>879308858</t>
  </si>
  <si>
    <t>10908250</t>
  </si>
  <si>
    <t>378959549</t>
  </si>
  <si>
    <t>10900040</t>
  </si>
  <si>
    <t>692729296</t>
  </si>
  <si>
    <t>93900260</t>
  </si>
  <si>
    <t>790695440</t>
  </si>
  <si>
    <t>h1300010</t>
  </si>
  <si>
    <t>732579216</t>
  </si>
  <si>
    <t>a6000130</t>
  </si>
  <si>
    <t>806662785</t>
  </si>
  <si>
    <t>16800180</t>
  </si>
  <si>
    <t>766703823</t>
  </si>
  <si>
    <t>07200850</t>
  </si>
  <si>
    <t>770843367</t>
  </si>
  <si>
    <t>Нижнее белье женское</t>
  </si>
  <si>
    <t>072 Трусы женские</t>
  </si>
  <si>
    <t>16806040</t>
  </si>
  <si>
    <t>211431701</t>
  </si>
  <si>
    <t>h1000300</t>
  </si>
  <si>
    <t>879308778</t>
  </si>
  <si>
    <t>20100310</t>
  </si>
  <si>
    <t>820479788</t>
  </si>
  <si>
    <t>11000020</t>
  </si>
  <si>
    <t>707522603</t>
  </si>
  <si>
    <t>10900020</t>
  </si>
  <si>
    <t>692729256</t>
  </si>
  <si>
    <t>07200860</t>
  </si>
  <si>
    <t>770843374</t>
  </si>
  <si>
    <t>c1508060</t>
  </si>
  <si>
    <t>332505083</t>
  </si>
  <si>
    <t>c1508050</t>
  </si>
  <si>
    <t>332505084</t>
  </si>
  <si>
    <t>h1000230</t>
  </si>
  <si>
    <t>879308847</t>
  </si>
  <si>
    <t>c1508080</t>
  </si>
  <si>
    <t>332505091</t>
  </si>
  <si>
    <t>07200870</t>
  </si>
  <si>
    <t>770843381</t>
  </si>
  <si>
    <t>07200800</t>
  </si>
  <si>
    <t>770843412</t>
  </si>
  <si>
    <t>10900030</t>
  </si>
  <si>
    <t>692729246</t>
  </si>
  <si>
    <t>310080R0</t>
  </si>
  <si>
    <t>325157025</t>
  </si>
  <si>
    <t>e4008010</t>
  </si>
  <si>
    <t>371244651</t>
  </si>
  <si>
    <t>16800170</t>
  </si>
  <si>
    <t>732955479</t>
  </si>
  <si>
    <t>h1000100</t>
  </si>
  <si>
    <t>797520147</t>
  </si>
  <si>
    <t>88100210</t>
  </si>
  <si>
    <t>833908085</t>
  </si>
  <si>
    <t>39208110</t>
  </si>
  <si>
    <t>372164356</t>
  </si>
  <si>
    <t>392 Детская летняя шляпа для девочек</t>
  </si>
  <si>
    <t>h1000110</t>
  </si>
  <si>
    <t>797520148</t>
  </si>
  <si>
    <t>h1300080</t>
  </si>
  <si>
    <t>732579201</t>
  </si>
  <si>
    <t>h1000080</t>
  </si>
  <si>
    <t>797520145</t>
  </si>
  <si>
    <t>h1000090</t>
  </si>
  <si>
    <t>797520146</t>
  </si>
  <si>
    <t>c1508000</t>
  </si>
  <si>
    <t>332505087</t>
  </si>
  <si>
    <t>87708070</t>
  </si>
  <si>
    <t>316075920</t>
  </si>
  <si>
    <t>92500020</t>
  </si>
  <si>
    <t>25940151</t>
  </si>
  <si>
    <t>56809010</t>
  </si>
  <si>
    <t>13766300</t>
  </si>
  <si>
    <t>56806170</t>
  </si>
  <si>
    <t>216453918</t>
  </si>
  <si>
    <t>18200140</t>
  </si>
  <si>
    <t>762057069</t>
  </si>
  <si>
    <t>19308630</t>
  </si>
  <si>
    <t>341720415</t>
  </si>
  <si>
    <t>193 Шорты детские для мальчиков</t>
  </si>
  <si>
    <t>56801030</t>
  </si>
  <si>
    <t>40020179</t>
  </si>
  <si>
    <t>85900050</t>
  </si>
  <si>
    <t>800593901</t>
  </si>
  <si>
    <t>859 Шорты для маленькой девочки</t>
  </si>
  <si>
    <t>c1508100</t>
  </si>
  <si>
    <t>332505106</t>
  </si>
  <si>
    <t>56706110</t>
  </si>
  <si>
    <t>216453917</t>
  </si>
  <si>
    <t>12408040</t>
  </si>
  <si>
    <t>378965484</t>
  </si>
  <si>
    <t>17304310</t>
  </si>
  <si>
    <t>395973042</t>
  </si>
  <si>
    <t>173 Носки детские для девочек</t>
  </si>
  <si>
    <t>92600020</t>
  </si>
  <si>
    <t>800126650</t>
  </si>
  <si>
    <t>926 Полукомбинезон для маленькой девочки</t>
  </si>
  <si>
    <t>56800120</t>
  </si>
  <si>
    <t>790515614</t>
  </si>
  <si>
    <t>18200200</t>
  </si>
  <si>
    <t>762057051</t>
  </si>
  <si>
    <t>19400380</t>
  </si>
  <si>
    <t>837332376</t>
  </si>
  <si>
    <t>57300180</t>
  </si>
  <si>
    <t>791200246</t>
  </si>
  <si>
    <t>17302190</t>
  </si>
  <si>
    <t>395973039</t>
  </si>
  <si>
    <t>88600040</t>
  </si>
  <si>
    <t>790337428</t>
  </si>
  <si>
    <t>92500090</t>
  </si>
  <si>
    <t>790515608</t>
  </si>
  <si>
    <t>93701050</t>
  </si>
  <si>
    <t>134332571</t>
  </si>
  <si>
    <t>20200190</t>
  </si>
  <si>
    <t>211431607</t>
  </si>
  <si>
    <t>19400390</t>
  </si>
  <si>
    <t>837332434</t>
  </si>
  <si>
    <t>42400130</t>
  </si>
  <si>
    <t>790046362</t>
  </si>
  <si>
    <t>20200180</t>
  </si>
  <si>
    <t>211431712</t>
  </si>
  <si>
    <t>96800050</t>
  </si>
  <si>
    <t>786710057</t>
  </si>
  <si>
    <t>96100070</t>
  </si>
  <si>
    <t>727087106</t>
  </si>
  <si>
    <t>h1100000</t>
  </si>
  <si>
    <t>879308899</t>
  </si>
  <si>
    <t>h11 Шорты мужские</t>
  </si>
  <si>
    <t>30200330</t>
  </si>
  <si>
    <t>788608489</t>
  </si>
  <si>
    <t>y4900040</t>
  </si>
  <si>
    <t>800772221</t>
  </si>
  <si>
    <t>23800110</t>
  </si>
  <si>
    <t>797255013</t>
  </si>
  <si>
    <t>16508080</t>
  </si>
  <si>
    <t>316075957</t>
  </si>
  <si>
    <t>93900330</t>
  </si>
  <si>
    <t>839629628</t>
  </si>
  <si>
    <t>h0508000</t>
  </si>
  <si>
    <t>316544890</t>
  </si>
  <si>
    <t>39206050</t>
  </si>
  <si>
    <t>211431620</t>
  </si>
  <si>
    <t>93900210</t>
  </si>
  <si>
    <t>766736620</t>
  </si>
  <si>
    <t>09508060</t>
  </si>
  <si>
    <t>396206789</t>
  </si>
  <si>
    <t>Плавки мужские</t>
  </si>
  <si>
    <t>095 Плавки</t>
  </si>
  <si>
    <t>94400080</t>
  </si>
  <si>
    <t>773138725</t>
  </si>
  <si>
    <t>91100070</t>
  </si>
  <si>
    <t>772793624</t>
  </si>
  <si>
    <t>20200170</t>
  </si>
  <si>
    <t>211431633</t>
  </si>
  <si>
    <t>09508090</t>
  </si>
  <si>
    <t>396206792</t>
  </si>
  <si>
    <t>17406810</t>
  </si>
  <si>
    <t>399231299</t>
  </si>
  <si>
    <t>Чулочные и носочные детские изделия для мальчиков</t>
  </si>
  <si>
    <t>174 Носки детские для мальчиков</t>
  </si>
  <si>
    <t>h0108010</t>
  </si>
  <si>
    <t>360618192</t>
  </si>
  <si>
    <t>57300160</t>
  </si>
  <si>
    <t>776072607</t>
  </si>
  <si>
    <t>05608280</t>
  </si>
  <si>
    <t>378959563</t>
  </si>
  <si>
    <t>056 Носки женские</t>
  </si>
  <si>
    <t>31906120</t>
  </si>
  <si>
    <t>395973139</t>
  </si>
  <si>
    <t>319 Гольфы детские для девочек</t>
  </si>
  <si>
    <t>17306850</t>
  </si>
  <si>
    <t>395973170</t>
  </si>
  <si>
    <t>y9708290</t>
  </si>
  <si>
    <t>321683812</t>
  </si>
  <si>
    <t>94400070</t>
  </si>
  <si>
    <t>773138663</t>
  </si>
  <si>
    <t>93900220</t>
  </si>
  <si>
    <t>766736537</t>
  </si>
  <si>
    <t>12408080</t>
  </si>
  <si>
    <t>378959396</t>
  </si>
  <si>
    <t>29600050</t>
  </si>
  <si>
    <t>732841083</t>
  </si>
  <si>
    <t>12406110</t>
  </si>
  <si>
    <t>372164805</t>
  </si>
  <si>
    <t>17402190</t>
  </si>
  <si>
    <t>399231334</t>
  </si>
  <si>
    <t>93900390</t>
  </si>
  <si>
    <t>839629673</t>
  </si>
  <si>
    <t>93900200</t>
  </si>
  <si>
    <t>766736609</t>
  </si>
  <si>
    <t>93900400</t>
  </si>
  <si>
    <t>839629783</t>
  </si>
  <si>
    <t>39208090</t>
  </si>
  <si>
    <t>372164374</t>
  </si>
  <si>
    <t>18200190</t>
  </si>
  <si>
    <t>762057048</t>
  </si>
  <si>
    <t>93900230</t>
  </si>
  <si>
    <t>766736576</t>
  </si>
  <si>
    <t>45500030</t>
  </si>
  <si>
    <t>768370838</t>
  </si>
  <si>
    <t>95500360</t>
  </si>
  <si>
    <t>799656590</t>
  </si>
  <si>
    <t>17402150</t>
  </si>
  <si>
    <t>395973063</t>
  </si>
  <si>
    <t>17302260</t>
  </si>
  <si>
    <t>395973040</t>
  </si>
  <si>
    <t>29200240</t>
  </si>
  <si>
    <t>788748506</t>
  </si>
  <si>
    <t>292 Сарафан детский для девочек</t>
  </si>
  <si>
    <t>a5700010</t>
  </si>
  <si>
    <t>722704823</t>
  </si>
  <si>
    <t>31908060</t>
  </si>
  <si>
    <t>378959510</t>
  </si>
  <si>
    <t>12408070</t>
  </si>
  <si>
    <t>378959448</t>
  </si>
  <si>
    <t>18200250</t>
  </si>
  <si>
    <t>859381310</t>
  </si>
  <si>
    <t>31908090</t>
  </si>
  <si>
    <t>378959464</t>
  </si>
  <si>
    <t>31906070</t>
  </si>
  <si>
    <t>395973136</t>
  </si>
  <si>
    <t>19300440</t>
  </si>
  <si>
    <t>837332157</t>
  </si>
  <si>
    <t>12408020</t>
  </si>
  <si>
    <t>378959489</t>
  </si>
  <si>
    <t>a5700020</t>
  </si>
  <si>
    <t>770505936</t>
  </si>
  <si>
    <t>b4306000</t>
  </si>
  <si>
    <t>395973190</t>
  </si>
  <si>
    <t>Чулочные и носочные изделия для мужчин</t>
  </si>
  <si>
    <t>b43 Носки мужские (укороченные)</t>
  </si>
  <si>
    <t>88100260</t>
  </si>
  <si>
    <t>817515795</t>
  </si>
  <si>
    <t>05704170</t>
  </si>
  <si>
    <t>395973036</t>
  </si>
  <si>
    <t>057 Носки мужские</t>
  </si>
  <si>
    <t>05608230</t>
  </si>
  <si>
    <t>378959423</t>
  </si>
  <si>
    <t>a5200030</t>
  </si>
  <si>
    <t>788948153</t>
  </si>
  <si>
    <t>94400090</t>
  </si>
  <si>
    <t>773138752</t>
  </si>
  <si>
    <t>31906090</t>
  </si>
  <si>
    <t>395973137</t>
  </si>
  <si>
    <t>19400220</t>
  </si>
  <si>
    <t>879308854</t>
  </si>
  <si>
    <t>19400250</t>
  </si>
  <si>
    <t>837332234</t>
  </si>
  <si>
    <t>19300450</t>
  </si>
  <si>
    <t>837332181</t>
  </si>
  <si>
    <t>17406870</t>
  </si>
  <si>
    <t>399231331</t>
  </si>
  <si>
    <t>094002G0</t>
  </si>
  <si>
    <t>804097418</t>
  </si>
  <si>
    <t>05606280</t>
  </si>
  <si>
    <t>399231319</t>
  </si>
  <si>
    <t>12408090</t>
  </si>
  <si>
    <t>378959517</t>
  </si>
  <si>
    <t>92500060</t>
  </si>
  <si>
    <t>766639181</t>
  </si>
  <si>
    <t>19600080</t>
  </si>
  <si>
    <t>799656557</t>
  </si>
  <si>
    <t>310002I0</t>
  </si>
  <si>
    <t>815191795</t>
  </si>
  <si>
    <t>29100230</t>
  </si>
  <si>
    <t>807111536</t>
  </si>
  <si>
    <t>310004I0</t>
  </si>
  <si>
    <t>806662779</t>
  </si>
  <si>
    <t>17406920</t>
  </si>
  <si>
    <t>372164334</t>
  </si>
  <si>
    <t>12407020</t>
  </si>
  <si>
    <t>378959379</t>
  </si>
  <si>
    <t>a9100080</t>
  </si>
  <si>
    <t>808387962</t>
  </si>
  <si>
    <t>93700250</t>
  </si>
  <si>
    <t>848722559</t>
  </si>
  <si>
    <t>31906100</t>
  </si>
  <si>
    <t>395973138</t>
  </si>
  <si>
    <t>310002J0</t>
  </si>
  <si>
    <t>822217591</t>
  </si>
  <si>
    <t>23400120</t>
  </si>
  <si>
    <t>833379597</t>
  </si>
  <si>
    <t>23400110</t>
  </si>
  <si>
    <t>833379582</t>
  </si>
  <si>
    <t>19400260</t>
  </si>
  <si>
    <t>837332414</t>
  </si>
  <si>
    <t>19300420</t>
  </si>
  <si>
    <t>837332239</t>
  </si>
  <si>
    <t>19400440</t>
  </si>
  <si>
    <t>837332299</t>
  </si>
  <si>
    <t>19300610</t>
  </si>
  <si>
    <t>837332179</t>
  </si>
  <si>
    <t>19900000</t>
  </si>
  <si>
    <t>799453820</t>
  </si>
  <si>
    <t>12406380</t>
  </si>
  <si>
    <t>395972193</t>
  </si>
  <si>
    <t>05606000</t>
  </si>
  <si>
    <t>395973224</t>
  </si>
  <si>
    <t>05708070</t>
  </si>
  <si>
    <t>399231306</t>
  </si>
  <si>
    <t>h1000250</t>
  </si>
  <si>
    <t>879308884</t>
  </si>
  <si>
    <t>h1000380</t>
  </si>
  <si>
    <t>851029629</t>
  </si>
  <si>
    <t>h1000150</t>
  </si>
  <si>
    <t>859016011</t>
  </si>
  <si>
    <t>a60000G0</t>
  </si>
  <si>
    <t>847884176</t>
  </si>
  <si>
    <t>h1000210</t>
  </si>
  <si>
    <t>879308833</t>
  </si>
  <si>
    <t>y5600010</t>
  </si>
  <si>
    <t>879308722</t>
  </si>
  <si>
    <t>h1000360</t>
  </si>
  <si>
    <t>859016030</t>
  </si>
  <si>
    <t>a8900130</t>
  </si>
  <si>
    <t>762346842</t>
  </si>
  <si>
    <t>h1000400</t>
  </si>
  <si>
    <t>851029663</t>
  </si>
  <si>
    <t>a5000220</t>
  </si>
  <si>
    <t>852780326</t>
  </si>
  <si>
    <t>a50 Капри и велосипедки для девочек</t>
  </si>
  <si>
    <t>a60001F0</t>
  </si>
  <si>
    <t>901240952</t>
  </si>
  <si>
    <t>h1000160</t>
  </si>
  <si>
    <t>879308752</t>
  </si>
  <si>
    <t>a60000J0</t>
  </si>
  <si>
    <t>901241002</t>
  </si>
  <si>
    <t>a60000K0</t>
  </si>
  <si>
    <t>901241047</t>
  </si>
  <si>
    <t>a8800050</t>
  </si>
  <si>
    <t>772435677</t>
  </si>
  <si>
    <t>a6000980</t>
  </si>
  <si>
    <t>847884237</t>
  </si>
  <si>
    <t>h1000330</t>
  </si>
  <si>
    <t>879308792</t>
  </si>
  <si>
    <t>h1000050</t>
  </si>
  <si>
    <t>851029700</t>
  </si>
  <si>
    <t>h1000370</t>
  </si>
  <si>
    <t>851029607</t>
  </si>
  <si>
    <t>h1000060</t>
  </si>
  <si>
    <t>851029597</t>
  </si>
  <si>
    <t>h1000390</t>
  </si>
  <si>
    <t>851029646</t>
  </si>
  <si>
    <t>h1000070</t>
  </si>
  <si>
    <t>851029717</t>
  </si>
  <si>
    <t>a7800080</t>
  </si>
  <si>
    <t>807177085</t>
  </si>
  <si>
    <t>a6000950</t>
  </si>
  <si>
    <t>847884024</t>
  </si>
  <si>
    <t>a6000960</t>
  </si>
  <si>
    <t>847884154</t>
  </si>
  <si>
    <t>a9100070</t>
  </si>
  <si>
    <t>824484002</t>
  </si>
  <si>
    <t>h1000120</t>
  </si>
  <si>
    <t>859016034</t>
  </si>
  <si>
    <t>h1000130</t>
  </si>
  <si>
    <t>859016043</t>
  </si>
  <si>
    <t>h1000140</t>
  </si>
  <si>
    <t>859016003</t>
  </si>
  <si>
    <t>94300000</t>
  </si>
  <si>
    <t>776242304</t>
  </si>
  <si>
    <t>943 Джинсы для маленькой девочки</t>
  </si>
  <si>
    <t>53600360</t>
  </si>
  <si>
    <t>879308791</t>
  </si>
  <si>
    <t>96700070</t>
  </si>
  <si>
    <t>879308729</t>
  </si>
  <si>
    <t>93700090</t>
  </si>
  <si>
    <t>848722539</t>
  </si>
  <si>
    <t>94000190</t>
  </si>
  <si>
    <t>839629692</t>
  </si>
  <si>
    <t>94600060</t>
  </si>
  <si>
    <t>860855833</t>
  </si>
  <si>
    <t>a5000150</t>
  </si>
  <si>
    <t>898547230</t>
  </si>
  <si>
    <t>56800180</t>
  </si>
  <si>
    <t>848722517</t>
  </si>
  <si>
    <t>94700080</t>
  </si>
  <si>
    <t>860855855</t>
  </si>
  <si>
    <t>94000310</t>
  </si>
  <si>
    <t>839629762</t>
  </si>
  <si>
    <t>94000360</t>
  </si>
  <si>
    <t>839629840</t>
  </si>
  <si>
    <t>94600100</t>
  </si>
  <si>
    <t>860855848</t>
  </si>
  <si>
    <t>56800100</t>
  </si>
  <si>
    <t>766639203</t>
  </si>
  <si>
    <t>56100210</t>
  </si>
  <si>
    <t>796998984</t>
  </si>
  <si>
    <t>92500080</t>
  </si>
  <si>
    <t>766639188</t>
  </si>
  <si>
    <t>92500070</t>
  </si>
  <si>
    <t>766639219</t>
  </si>
  <si>
    <t>93700100</t>
  </si>
  <si>
    <t>848722550</t>
  </si>
  <si>
    <t>a5000080</t>
  </si>
  <si>
    <t>879308832</t>
  </si>
  <si>
    <t>93600060</t>
  </si>
  <si>
    <t>848722531</t>
  </si>
  <si>
    <t>56800170</t>
  </si>
  <si>
    <t>848722563</t>
  </si>
  <si>
    <t>94600080</t>
  </si>
  <si>
    <t>860855841</t>
  </si>
  <si>
    <t>94000200</t>
  </si>
  <si>
    <t>839629716</t>
  </si>
  <si>
    <t>94000210</t>
  </si>
  <si>
    <t>839629745</t>
  </si>
  <si>
    <t>a5000070</t>
  </si>
  <si>
    <t>790994316</t>
  </si>
  <si>
    <t>96300030</t>
  </si>
  <si>
    <t>770505686</t>
  </si>
  <si>
    <t>963 Сарафан для маленькой девочки</t>
  </si>
  <si>
    <t>a5000110</t>
  </si>
  <si>
    <t>879342922</t>
  </si>
  <si>
    <t>94000220</t>
  </si>
  <si>
    <t>839629792</t>
  </si>
  <si>
    <t>57300170</t>
  </si>
  <si>
    <t>768370817</t>
  </si>
  <si>
    <t>19300410</t>
  </si>
  <si>
    <t>837332435</t>
  </si>
  <si>
    <t>19400400</t>
  </si>
  <si>
    <t>837332412</t>
  </si>
  <si>
    <t>310003M0</t>
  </si>
  <si>
    <t>788334176</t>
  </si>
  <si>
    <t>19300480</t>
  </si>
  <si>
    <t>837332307</t>
  </si>
  <si>
    <t>19900060</t>
  </si>
  <si>
    <t>755313433</t>
  </si>
  <si>
    <t>310002U0</t>
  </si>
  <si>
    <t>847884215</t>
  </si>
  <si>
    <t>310003Q0</t>
  </si>
  <si>
    <t>790169175</t>
  </si>
  <si>
    <t>19400290</t>
  </si>
  <si>
    <t>837332355</t>
  </si>
  <si>
    <t>19300430</t>
  </si>
  <si>
    <t>796555388</t>
  </si>
  <si>
    <t>19600100</t>
  </si>
  <si>
    <t>768083128</t>
  </si>
  <si>
    <t>19300300</t>
  </si>
  <si>
    <t>837332437</t>
  </si>
  <si>
    <t>310003S0</t>
  </si>
  <si>
    <t>788315548</t>
  </si>
  <si>
    <t>310003U0</t>
  </si>
  <si>
    <t>847884189</t>
  </si>
  <si>
    <t>310003K0</t>
  </si>
  <si>
    <t>788320451</t>
  </si>
  <si>
    <t>310003O0</t>
  </si>
  <si>
    <t>788315523</t>
  </si>
  <si>
    <t>19900020</t>
  </si>
  <si>
    <t>799453789</t>
  </si>
  <si>
    <t>310003V0</t>
  </si>
  <si>
    <t>847884204</t>
  </si>
  <si>
    <t>19600110</t>
  </si>
  <si>
    <t>768078878</t>
  </si>
  <si>
    <t>23100070</t>
  </si>
  <si>
    <t>879308879</t>
  </si>
  <si>
    <t>19400300</t>
  </si>
  <si>
    <t>837332235</t>
  </si>
  <si>
    <t>19400410</t>
  </si>
  <si>
    <t>837332375</t>
  </si>
  <si>
    <t>23100080</t>
  </si>
  <si>
    <t>879308849</t>
  </si>
  <si>
    <t>12408370</t>
  </si>
  <si>
    <t>372164802</t>
  </si>
  <si>
    <t>043 Шапка детская демисезонная для девочек</t>
  </si>
  <si>
    <t>12406360</t>
  </si>
  <si>
    <t>378959541</t>
  </si>
  <si>
    <t>12402000</t>
  </si>
  <si>
    <t>395972189</t>
  </si>
  <si>
    <t>12406400</t>
  </si>
  <si>
    <t>395972195</t>
  </si>
  <si>
    <t>07200840</t>
  </si>
  <si>
    <t>770843361</t>
  </si>
  <si>
    <t>04300000</t>
  </si>
  <si>
    <t>820441036</t>
  </si>
  <si>
    <t>07200750</t>
  </si>
  <si>
    <t>895955627</t>
  </si>
  <si>
    <t>07200720</t>
  </si>
  <si>
    <t>895955626</t>
  </si>
  <si>
    <t>07200770</t>
  </si>
  <si>
    <t>901030051</t>
  </si>
  <si>
    <t>07200740</t>
  </si>
  <si>
    <t>901030050</t>
  </si>
  <si>
    <t>07200790</t>
  </si>
  <si>
    <t>895955628</t>
  </si>
  <si>
    <t>Дистрибуция по размерам</t>
  </si>
  <si>
    <t>Отбор для поиска</t>
  </si>
  <si>
    <t>Мало показов</t>
  </si>
  <si>
    <t>Показы</t>
  </si>
  <si>
    <t>Клики</t>
  </si>
  <si>
    <t>Заказы</t>
  </si>
  <si>
    <t>Отбор по CTR</t>
  </si>
  <si>
    <t>Отбор по CR</t>
  </si>
  <si>
    <t>Мало остатка</t>
  </si>
  <si>
    <t>Отбор для поиска (внутри группы)</t>
  </si>
  <si>
    <t>Отбор по CTR (внутри группы)</t>
  </si>
  <si>
    <t>Отбор по CR (внутри группы)</t>
  </si>
  <si>
    <t>Техничка</t>
  </si>
  <si>
    <t>Количество фото (-2 от скрипта)</t>
  </si>
  <si>
    <t>18400210</t>
  </si>
  <si>
    <t>800441839</t>
  </si>
  <si>
    <t>12200010</t>
  </si>
  <si>
    <t>879023476</t>
  </si>
  <si>
    <t>122 Носки эластичные женские</t>
  </si>
  <si>
    <t>12200000</t>
  </si>
  <si>
    <t>879023475</t>
  </si>
  <si>
    <t>19900040</t>
  </si>
  <si>
    <t>755313404</t>
  </si>
  <si>
    <t>19900050</t>
  </si>
  <si>
    <t>755313418</t>
  </si>
  <si>
    <t>93900270</t>
  </si>
  <si>
    <t>907850052</t>
  </si>
  <si>
    <t>18200240</t>
  </si>
  <si>
    <t>859381308</t>
  </si>
  <si>
    <t>93900280</t>
  </si>
  <si>
    <t>907849925</t>
  </si>
  <si>
    <t>18100150</t>
  </si>
  <si>
    <t>907696398</t>
  </si>
  <si>
    <t>30900100</t>
  </si>
  <si>
    <t>879308788</t>
  </si>
  <si>
    <t>309 Брюки женские</t>
  </si>
  <si>
    <t>h4100010</t>
  </si>
  <si>
    <t>879308821</t>
  </si>
  <si>
    <t>h41 Лонгслив женский</t>
  </si>
  <si>
    <t>a5000050</t>
  </si>
  <si>
    <t>852780341</t>
  </si>
  <si>
    <t>55300120</t>
  </si>
  <si>
    <t>907723264</t>
  </si>
  <si>
    <t>h4100000</t>
  </si>
  <si>
    <t>879308719</t>
  </si>
  <si>
    <t>23200120</t>
  </si>
  <si>
    <t>907776042</t>
  </si>
  <si>
    <t>h1300120</t>
  </si>
  <si>
    <t>879344464</t>
  </si>
  <si>
    <t>53600320</t>
  </si>
  <si>
    <t>879308840</t>
  </si>
  <si>
    <t>18400200</t>
  </si>
  <si>
    <t>879308841</t>
  </si>
  <si>
    <t>310003H0</t>
  </si>
  <si>
    <t>847884080</t>
  </si>
  <si>
    <t>56900150</t>
  </si>
  <si>
    <t>866256921</t>
  </si>
  <si>
    <t>a6000940</t>
  </si>
  <si>
    <t>879308873</t>
  </si>
  <si>
    <t>29000090</t>
  </si>
  <si>
    <t>769002330</t>
  </si>
  <si>
    <t>31400010</t>
  </si>
  <si>
    <t>858780609</t>
  </si>
  <si>
    <t>314 Рубашка короткий рукав мужская</t>
  </si>
  <si>
    <t>31400000</t>
  </si>
  <si>
    <t>858780605</t>
  </si>
  <si>
    <t>31400030</t>
  </si>
  <si>
    <t>858780622</t>
  </si>
  <si>
    <t>31400020</t>
  </si>
  <si>
    <t>858780618</t>
  </si>
  <si>
    <t>310003P0</t>
  </si>
  <si>
    <t>851029687</t>
  </si>
  <si>
    <t>23200080</t>
  </si>
  <si>
    <t>879308734</t>
  </si>
  <si>
    <t>310003G0</t>
  </si>
  <si>
    <t>901657760</t>
  </si>
  <si>
    <t>19300390</t>
  </si>
  <si>
    <t>837332136</t>
  </si>
  <si>
    <t>19300400</t>
  </si>
  <si>
    <t>901505646</t>
  </si>
  <si>
    <t>u0100020</t>
  </si>
  <si>
    <t>759752236</t>
  </si>
  <si>
    <t>u01 Бюстгальтер женский</t>
  </si>
  <si>
    <t>55300160</t>
  </si>
  <si>
    <t>850546600</t>
  </si>
  <si>
    <t>18400190</t>
  </si>
  <si>
    <t>800441836</t>
  </si>
  <si>
    <t>u0100000</t>
  </si>
  <si>
    <t>759752232</t>
  </si>
  <si>
    <t>23200090</t>
  </si>
  <si>
    <t>879318918</t>
  </si>
  <si>
    <t>u0100010</t>
  </si>
  <si>
    <t>759752234</t>
  </si>
  <si>
    <t>23200110</t>
  </si>
  <si>
    <t>879308837</t>
  </si>
  <si>
    <t>12406100</t>
  </si>
  <si>
    <t>372164804</t>
  </si>
  <si>
    <t>17308680</t>
  </si>
  <si>
    <t>372164262</t>
  </si>
  <si>
    <t>31400060</t>
  </si>
  <si>
    <t>889709097</t>
  </si>
  <si>
    <t>29000100</t>
  </si>
  <si>
    <t>769002352</t>
  </si>
  <si>
    <t>965 Шорты для маленького мальчика</t>
  </si>
  <si>
    <t>90000060</t>
  </si>
  <si>
    <t>879308888</t>
  </si>
  <si>
    <t>900 Штанишки для маленького мальчика</t>
  </si>
  <si>
    <t>31400050</t>
  </si>
  <si>
    <t>889709095</t>
  </si>
  <si>
    <t>94000180</t>
  </si>
  <si>
    <t>879308753</t>
  </si>
  <si>
    <t>55300150</t>
  </si>
  <si>
    <t>850546574</t>
  </si>
  <si>
    <t>96500100</t>
  </si>
  <si>
    <t>863950550</t>
  </si>
  <si>
    <t>96500120</t>
  </si>
  <si>
    <t>863950543</t>
  </si>
  <si>
    <t>31400040</t>
  </si>
  <si>
    <t>889709091</t>
  </si>
  <si>
    <t>31400070</t>
  </si>
  <si>
    <t>889709103</t>
  </si>
  <si>
    <t>91100060</t>
  </si>
  <si>
    <t>775472395</t>
  </si>
  <si>
    <t>90000050</t>
  </si>
  <si>
    <t>879308852</t>
  </si>
  <si>
    <t>310002L0</t>
  </si>
  <si>
    <t>847884079</t>
  </si>
  <si>
    <t>310003T0</t>
  </si>
  <si>
    <t>847892204</t>
  </si>
  <si>
    <t>310004J0</t>
  </si>
  <si>
    <t>847884135</t>
  </si>
  <si>
    <t>310002V0</t>
  </si>
  <si>
    <t>847884166</t>
  </si>
  <si>
    <t>310000W0</t>
  </si>
  <si>
    <t>879308865</t>
  </si>
  <si>
    <t>310003R0</t>
  </si>
  <si>
    <t>847892186</t>
  </si>
  <si>
    <t>Остаток на 12.04</t>
  </si>
  <si>
    <t>96100100</t>
  </si>
  <si>
    <t>913192708</t>
  </si>
  <si>
    <t>h1300060</t>
  </si>
  <si>
    <t>928508606</t>
  </si>
  <si>
    <t>93700260</t>
  </si>
  <si>
    <t>913217593</t>
  </si>
  <si>
    <t>96100080</t>
  </si>
  <si>
    <t>913192706</t>
  </si>
  <si>
    <t>30300010</t>
  </si>
  <si>
    <t>926145685</t>
  </si>
  <si>
    <t>a6000560</t>
  </si>
  <si>
    <t>914676221</t>
  </si>
  <si>
    <t>95500400</t>
  </si>
  <si>
    <t>927140875</t>
  </si>
  <si>
    <t>95500410</t>
  </si>
  <si>
    <t>927140887</t>
  </si>
  <si>
    <t>96100090</t>
  </si>
  <si>
    <t>913192707</t>
  </si>
  <si>
    <t>96100110</t>
  </si>
  <si>
    <t>913192709</t>
  </si>
  <si>
    <t>a5200130</t>
  </si>
  <si>
    <t>850546457</t>
  </si>
  <si>
    <t>094001L0</t>
  </si>
  <si>
    <t>915175650</t>
  </si>
  <si>
    <t>69100010</t>
  </si>
  <si>
    <t>775639265</t>
  </si>
  <si>
    <t>691 Юбка для маленькой девочки</t>
  </si>
  <si>
    <t>a6000650</t>
  </si>
  <si>
    <t>914676210</t>
  </si>
  <si>
    <t>94600130</t>
  </si>
  <si>
    <t>925975021</t>
  </si>
  <si>
    <t>96300040</t>
  </si>
  <si>
    <t>770505703</t>
  </si>
  <si>
    <t>094001B0</t>
  </si>
  <si>
    <t>915099004</t>
  </si>
  <si>
    <t>94000330</t>
  </si>
  <si>
    <t>918239109</t>
  </si>
  <si>
    <t>92500100</t>
  </si>
  <si>
    <t>924301516</t>
  </si>
  <si>
    <t>20100250</t>
  </si>
  <si>
    <t>926355455</t>
  </si>
  <si>
    <t>96300050</t>
  </si>
  <si>
    <t>770505704</t>
  </si>
  <si>
    <t>17900050</t>
  </si>
  <si>
    <t>929518402</t>
  </si>
  <si>
    <t>18100170</t>
  </si>
  <si>
    <t>929518367</t>
  </si>
  <si>
    <t>94600110</t>
  </si>
  <si>
    <t>925975094</t>
  </si>
  <si>
    <t>a5200120</t>
  </si>
  <si>
    <t>788948149</t>
  </si>
  <si>
    <t>94500090</t>
  </si>
  <si>
    <t>915625078</t>
  </si>
  <si>
    <t>945 Комплект одежды для маленького мальчика</t>
  </si>
  <si>
    <t>53600330</t>
  </si>
  <si>
    <t>879308806</t>
  </si>
  <si>
    <t>310002S0</t>
  </si>
  <si>
    <t>847892173</t>
  </si>
  <si>
    <t>17900090</t>
  </si>
  <si>
    <t>929518451</t>
  </si>
  <si>
    <t>310002X0</t>
  </si>
  <si>
    <t>847884252</t>
  </si>
  <si>
    <t>y5000060</t>
  </si>
  <si>
    <t>913194187</t>
  </si>
  <si>
    <t>95500390</t>
  </si>
  <si>
    <t>852386807</t>
  </si>
  <si>
    <t>17900100</t>
  </si>
  <si>
    <t>929518526</t>
  </si>
  <si>
    <t>96200070</t>
  </si>
  <si>
    <t>915625071</t>
  </si>
  <si>
    <t>94600120</t>
  </si>
  <si>
    <t>925974809</t>
  </si>
  <si>
    <t>94700090</t>
  </si>
  <si>
    <t>925974867</t>
  </si>
  <si>
    <t>310003I0</t>
  </si>
  <si>
    <t>913192749</t>
  </si>
  <si>
    <t>a6000720</t>
  </si>
  <si>
    <t>932503695</t>
  </si>
  <si>
    <t>h7700200</t>
  </si>
  <si>
    <t>933664643</t>
  </si>
  <si>
    <t>a8900120</t>
  </si>
  <si>
    <t>762346831</t>
  </si>
  <si>
    <t>19300470</t>
  </si>
  <si>
    <t>837332278</t>
  </si>
  <si>
    <t>30400080</t>
  </si>
  <si>
    <t>734171230</t>
  </si>
  <si>
    <t>94700100</t>
  </si>
  <si>
    <t>925974925</t>
  </si>
  <si>
    <t>95500380</t>
  </si>
  <si>
    <t>852386805</t>
  </si>
  <si>
    <t>95500370</t>
  </si>
  <si>
    <t>852386801</t>
  </si>
  <si>
    <t>19400230</t>
  </si>
  <si>
    <t>901505490</t>
  </si>
  <si>
    <t>h7700300</t>
  </si>
  <si>
    <t>924611680</t>
  </si>
  <si>
    <t>310001X0</t>
  </si>
  <si>
    <t>932503762</t>
  </si>
  <si>
    <t>30400020</t>
  </si>
  <si>
    <t>803292929</t>
  </si>
  <si>
    <t>94400060</t>
  </si>
  <si>
    <t>936625611</t>
  </si>
  <si>
    <t>92600040</t>
  </si>
  <si>
    <t>913192754</t>
  </si>
  <si>
    <t>94700110</t>
  </si>
  <si>
    <t>925974974</t>
  </si>
  <si>
    <t>310002D0</t>
  </si>
  <si>
    <t>932503544</t>
  </si>
  <si>
    <t>310001W0</t>
  </si>
  <si>
    <t>932503596</t>
  </si>
  <si>
    <t>93800150</t>
  </si>
  <si>
    <t>866258015</t>
  </si>
  <si>
    <t>938 Комбинезон для маленького мальчика</t>
  </si>
  <si>
    <t>a6000970</t>
  </si>
  <si>
    <t>847892180</t>
  </si>
  <si>
    <t>b5000010</t>
  </si>
  <si>
    <t>932503750</t>
  </si>
  <si>
    <t>53600350</t>
  </si>
  <si>
    <t>879308739</t>
  </si>
  <si>
    <t>19400210</t>
  </si>
  <si>
    <t>901505655</t>
  </si>
  <si>
    <t>96200090</t>
  </si>
  <si>
    <t>915625074</t>
  </si>
  <si>
    <t>19200060</t>
  </si>
  <si>
    <t>858780591</t>
  </si>
  <si>
    <t>192 Рубашка детская для мальчиков</t>
  </si>
  <si>
    <t>29200250</t>
  </si>
  <si>
    <t>879308868</t>
  </si>
  <si>
    <t>b5000030</t>
  </si>
  <si>
    <t>932503674</t>
  </si>
  <si>
    <t>a5200140</t>
  </si>
  <si>
    <t>850546480</t>
  </si>
  <si>
    <t>b5000050</t>
  </si>
  <si>
    <t>932503760</t>
  </si>
  <si>
    <t>y5000070</t>
  </si>
  <si>
    <t>913194188</t>
  </si>
  <si>
    <t>53600340</t>
  </si>
  <si>
    <t>879308777</t>
  </si>
  <si>
    <t>b5000020</t>
  </si>
  <si>
    <t>932503528</t>
  </si>
  <si>
    <t>b5000040</t>
  </si>
  <si>
    <t>932503529</t>
  </si>
  <si>
    <t>310003W0</t>
  </si>
  <si>
    <t>861413699</t>
  </si>
  <si>
    <t>b5000070</t>
  </si>
  <si>
    <t>932503647</t>
  </si>
  <si>
    <t>b5000080</t>
  </si>
  <si>
    <t>932503552</t>
  </si>
  <si>
    <t>b5000060</t>
  </si>
  <si>
    <t>932503486</t>
  </si>
  <si>
    <t>b5000090</t>
  </si>
  <si>
    <t>932503585</t>
  </si>
  <si>
    <t>a5200040</t>
  </si>
  <si>
    <t>788948161</t>
  </si>
  <si>
    <t>57400090</t>
  </si>
  <si>
    <t>936314540</t>
  </si>
  <si>
    <t>30400070</t>
  </si>
  <si>
    <t>734171226</t>
  </si>
  <si>
    <t>19200070</t>
  </si>
  <si>
    <t>858784033</t>
  </si>
  <si>
    <t>h0500060</t>
  </si>
  <si>
    <t>898427347</t>
  </si>
  <si>
    <t>19400350</t>
  </si>
  <si>
    <t>901505639</t>
  </si>
  <si>
    <t>55300170</t>
  </si>
  <si>
    <t>850546404</t>
  </si>
  <si>
    <t>29200210</t>
  </si>
  <si>
    <t>848482152</t>
  </si>
  <si>
    <t>94000340</t>
  </si>
  <si>
    <t>918239097</t>
  </si>
  <si>
    <t>18400130</t>
  </si>
  <si>
    <t>932503568</t>
  </si>
  <si>
    <t>19300460</t>
  </si>
  <si>
    <t>837332380</t>
  </si>
  <si>
    <t>a60000B0</t>
  </si>
  <si>
    <t>847883958</t>
  </si>
  <si>
    <t>h1000190</t>
  </si>
  <si>
    <t>932503684</t>
  </si>
  <si>
    <t>56100240</t>
  </si>
  <si>
    <t>918261426</t>
  </si>
  <si>
    <t>b5000000</t>
  </si>
  <si>
    <t>932503545</t>
  </si>
  <si>
    <t>57300220</t>
  </si>
  <si>
    <t>936629580</t>
  </si>
  <si>
    <t>19400340</t>
  </si>
  <si>
    <t>901505596</t>
  </si>
  <si>
    <t>h0500050</t>
  </si>
  <si>
    <t>898427367</t>
  </si>
  <si>
    <t>h1300050</t>
  </si>
  <si>
    <t>732579226</t>
  </si>
  <si>
    <t>310003X0</t>
  </si>
  <si>
    <t>847884100</t>
  </si>
  <si>
    <t>h1000270</t>
  </si>
  <si>
    <t>932503572</t>
  </si>
  <si>
    <t>h1000320</t>
  </si>
  <si>
    <t>932503643</t>
  </si>
  <si>
    <t>h2100000</t>
  </si>
  <si>
    <t>879308862</t>
  </si>
  <si>
    <t>h21 Рубашка мужская с длинным рукавом</t>
  </si>
  <si>
    <t>19300520</t>
  </si>
  <si>
    <t>917869434</t>
  </si>
  <si>
    <t>18000030</t>
  </si>
  <si>
    <t>929518639</t>
  </si>
  <si>
    <t>Джинсы мужские</t>
  </si>
  <si>
    <t>180 Джинсы мужские</t>
  </si>
  <si>
    <t>h2100020</t>
  </si>
  <si>
    <t>879308783</t>
  </si>
  <si>
    <t>h1000220</t>
  </si>
  <si>
    <t>932503506</t>
  </si>
  <si>
    <t>h2100010</t>
  </si>
  <si>
    <t>879308764</t>
  </si>
  <si>
    <t>h1000310</t>
  </si>
  <si>
    <t>932503612</t>
  </si>
  <si>
    <t>h2100030</t>
  </si>
  <si>
    <t>879308877</t>
  </si>
  <si>
    <t>h1300100</t>
  </si>
  <si>
    <t>928508615</t>
  </si>
  <si>
    <t>95500320</t>
  </si>
  <si>
    <t>852386795</t>
  </si>
  <si>
    <t>19300630</t>
  </si>
  <si>
    <t>910240408</t>
  </si>
  <si>
    <t>18000000</t>
  </si>
  <si>
    <t>859381301</t>
  </si>
  <si>
    <t>a60000C0</t>
  </si>
  <si>
    <t>847884006</t>
  </si>
  <si>
    <t>h1000040</t>
  </si>
  <si>
    <t>879308882</t>
  </si>
  <si>
    <t>19200050</t>
  </si>
  <si>
    <t>858780597</t>
  </si>
  <si>
    <t>18000020</t>
  </si>
  <si>
    <t>929518619</t>
  </si>
  <si>
    <t>19300510</t>
  </si>
  <si>
    <t>917869437</t>
  </si>
  <si>
    <t>y5000040</t>
  </si>
  <si>
    <t>929006418</t>
  </si>
  <si>
    <t>h1000030</t>
  </si>
  <si>
    <t>879308883</t>
  </si>
  <si>
    <t>h1300020</t>
  </si>
  <si>
    <t>732579177</t>
  </si>
  <si>
    <t>h1300040</t>
  </si>
  <si>
    <t>732579219</t>
  </si>
  <si>
    <t>a6000610</t>
  </si>
  <si>
    <t>914676225</t>
  </si>
  <si>
    <t>h1300030</t>
  </si>
  <si>
    <t>732579183</t>
  </si>
  <si>
    <t>310002P0</t>
  </si>
  <si>
    <t>847884106</t>
  </si>
  <si>
    <t>19300500</t>
  </si>
  <si>
    <t>917869430</t>
  </si>
  <si>
    <t>310002R0</t>
  </si>
  <si>
    <t>861413704</t>
  </si>
  <si>
    <t>a8300050</t>
  </si>
  <si>
    <t>914955430</t>
  </si>
  <si>
    <t>310002N0</t>
  </si>
  <si>
    <t>879308808</t>
  </si>
  <si>
    <t>310002M0</t>
  </si>
  <si>
    <t>879308765</t>
  </si>
  <si>
    <t>19200100</t>
  </si>
  <si>
    <t>926906711</t>
  </si>
  <si>
    <t>a8900110</t>
  </si>
  <si>
    <t>762346869</t>
  </si>
  <si>
    <t>94500130</t>
  </si>
  <si>
    <t>915625083</t>
  </si>
  <si>
    <t>96200080</t>
  </si>
  <si>
    <t>923939428</t>
  </si>
  <si>
    <t>19300380</t>
  </si>
  <si>
    <t>796555423</t>
  </si>
  <si>
    <t>310001Q0</t>
  </si>
  <si>
    <t>932503715</t>
  </si>
  <si>
    <t>310002H0</t>
  </si>
  <si>
    <t>932503588</t>
  </si>
  <si>
    <t>310003L0</t>
  </si>
  <si>
    <t>847884045</t>
  </si>
  <si>
    <t>20200400</t>
  </si>
  <si>
    <t>932995619</t>
  </si>
  <si>
    <t>56100220</t>
  </si>
  <si>
    <t>918261408</t>
  </si>
  <si>
    <t>56100230</t>
  </si>
  <si>
    <t>918261417</t>
  </si>
  <si>
    <t>310002Q0</t>
  </si>
  <si>
    <t>879308807</t>
  </si>
  <si>
    <t>a6000660</t>
  </si>
  <si>
    <t>932503597</t>
  </si>
  <si>
    <t>30300000</t>
  </si>
  <si>
    <t>926145651</t>
  </si>
  <si>
    <t>y5000080</t>
  </si>
  <si>
    <t>913194189</t>
  </si>
  <si>
    <t>a60000D0</t>
  </si>
  <si>
    <t>847884069</t>
  </si>
  <si>
    <t>a6000670</t>
  </si>
  <si>
    <t>932503629</t>
  </si>
  <si>
    <t>19400270</t>
  </si>
  <si>
    <t>863205302</t>
  </si>
  <si>
    <t>23200100</t>
  </si>
  <si>
    <t>913192742</t>
  </si>
  <si>
    <t>310004D0</t>
  </si>
  <si>
    <t>917592391</t>
  </si>
  <si>
    <t>a6000710</t>
  </si>
  <si>
    <t>932503522</t>
  </si>
  <si>
    <t>a6000520</t>
  </si>
  <si>
    <t>914676207</t>
  </si>
  <si>
    <t>a6000500</t>
  </si>
  <si>
    <t>914676205</t>
  </si>
  <si>
    <t>23100110</t>
  </si>
  <si>
    <t>917283116</t>
  </si>
  <si>
    <t>a6000700</t>
  </si>
  <si>
    <t>932503665</t>
  </si>
  <si>
    <t>h0500040</t>
  </si>
  <si>
    <t>850546543</t>
  </si>
  <si>
    <t>19300490</t>
  </si>
  <si>
    <t>837333723</t>
  </si>
  <si>
    <t>20200300</t>
  </si>
  <si>
    <t>926108704</t>
  </si>
  <si>
    <t>93600070</t>
  </si>
  <si>
    <t>924182366</t>
  </si>
  <si>
    <t>93800100</t>
  </si>
  <si>
    <t>933463205</t>
  </si>
  <si>
    <t>93800110</t>
  </si>
  <si>
    <t>933463222</t>
  </si>
  <si>
    <t>a6000780</t>
  </si>
  <si>
    <t>852386841</t>
  </si>
  <si>
    <t>310003N0</t>
  </si>
  <si>
    <t>851029675</t>
  </si>
  <si>
    <t>95500340</t>
  </si>
  <si>
    <t>852386846</t>
  </si>
  <si>
    <t>h0500010</t>
  </si>
  <si>
    <t>850546531</t>
  </si>
  <si>
    <t>95500350</t>
  </si>
  <si>
    <t>852386790</t>
  </si>
  <si>
    <t>95500330</t>
  </si>
  <si>
    <t>852386797</t>
  </si>
  <si>
    <t>19300280</t>
  </si>
  <si>
    <t>910240403</t>
  </si>
  <si>
    <t>90000070</t>
  </si>
  <si>
    <t>915513264</t>
  </si>
  <si>
    <t>a6000510</t>
  </si>
  <si>
    <t>914676219</t>
  </si>
  <si>
    <t>a7800060</t>
  </si>
  <si>
    <t>914955425</t>
  </si>
  <si>
    <t>a6000800</t>
  </si>
  <si>
    <t>914676211</t>
  </si>
  <si>
    <t>310001A0</t>
  </si>
  <si>
    <t>932503667</t>
  </si>
  <si>
    <t>a8300060</t>
  </si>
  <si>
    <t>914955446</t>
  </si>
  <si>
    <t>94500140</t>
  </si>
  <si>
    <t>915625092</t>
  </si>
  <si>
    <t>23100120</t>
  </si>
  <si>
    <t>927139326</t>
  </si>
  <si>
    <t>07300610</t>
  </si>
  <si>
    <t>917331579</t>
  </si>
  <si>
    <t>Нижнее белье мужское</t>
  </si>
  <si>
    <t>073 Трусы мужские</t>
  </si>
  <si>
    <t>07300600</t>
  </si>
  <si>
    <t>917331570</t>
  </si>
  <si>
    <t>h1100020</t>
  </si>
  <si>
    <t>898039383</t>
  </si>
  <si>
    <t>96800070</t>
  </si>
  <si>
    <t>879308814</t>
  </si>
  <si>
    <t>96200120</t>
  </si>
  <si>
    <t>899023010</t>
  </si>
  <si>
    <t>94500120</t>
  </si>
  <si>
    <t>915625079</t>
  </si>
  <si>
    <t>19400240</t>
  </si>
  <si>
    <t>837332199</t>
  </si>
  <si>
    <t>a6000530</t>
  </si>
  <si>
    <t>932503906</t>
  </si>
  <si>
    <t>94700070</t>
  </si>
  <si>
    <t>925964663</t>
  </si>
  <si>
    <t>h1000200</t>
  </si>
  <si>
    <t>932503488</t>
  </si>
  <si>
    <t>94600170</t>
  </si>
  <si>
    <t>925964219</t>
  </si>
  <si>
    <t>94500150</t>
  </si>
  <si>
    <t>915625061</t>
  </si>
  <si>
    <t>19400430</t>
  </si>
  <si>
    <t>863590630</t>
  </si>
  <si>
    <t>07200810</t>
  </si>
  <si>
    <t>936940692</t>
  </si>
  <si>
    <t>07300580</t>
  </si>
  <si>
    <t>917331631</t>
  </si>
  <si>
    <t>310002O0</t>
  </si>
  <si>
    <t>847884087</t>
  </si>
  <si>
    <t>19300320</t>
  </si>
  <si>
    <t>837332135</t>
  </si>
  <si>
    <t>94500110</t>
  </si>
  <si>
    <t>923939440</t>
  </si>
  <si>
    <t>93900420</t>
  </si>
  <si>
    <t>879308838</t>
  </si>
  <si>
    <t>07300570</t>
  </si>
  <si>
    <t>917331619</t>
  </si>
  <si>
    <t>94600070</t>
  </si>
  <si>
    <t>925964498</t>
  </si>
  <si>
    <t>93800170</t>
  </si>
  <si>
    <t>933463246</t>
  </si>
  <si>
    <t>h0500000</t>
  </si>
  <si>
    <t>850546555</t>
  </si>
  <si>
    <t>h1100080</t>
  </si>
  <si>
    <t>917880905</t>
  </si>
  <si>
    <t>94600090</t>
  </si>
  <si>
    <t>925964264</t>
  </si>
  <si>
    <t>h1100040</t>
  </si>
  <si>
    <t>837332329</t>
  </si>
  <si>
    <t>07300590</t>
  </si>
  <si>
    <t>917331544</t>
  </si>
  <si>
    <t>h1100060</t>
  </si>
  <si>
    <t>837332286</t>
  </si>
  <si>
    <t>56800200</t>
  </si>
  <si>
    <t>924182341</t>
  </si>
  <si>
    <t>h1100100</t>
  </si>
  <si>
    <t>917880911</t>
  </si>
  <si>
    <t>07300550</t>
  </si>
  <si>
    <t>917331586</t>
  </si>
  <si>
    <t>19300270</t>
  </si>
  <si>
    <t>837332385</t>
  </si>
  <si>
    <t>h1100070</t>
  </si>
  <si>
    <t>917880904</t>
  </si>
  <si>
    <t>56800190</t>
  </si>
  <si>
    <t>924163563</t>
  </si>
  <si>
    <t>23100100</t>
  </si>
  <si>
    <t>879308856</t>
  </si>
  <si>
    <t>h1100050</t>
  </si>
  <si>
    <t>837332386</t>
  </si>
  <si>
    <t>19300290</t>
  </si>
  <si>
    <t>837332124</t>
  </si>
  <si>
    <t>h1100030</t>
  </si>
  <si>
    <t>837332455</t>
  </si>
  <si>
    <t>h1000010</t>
  </si>
  <si>
    <t>879308767</t>
  </si>
  <si>
    <t>h1000020</t>
  </si>
  <si>
    <t>879308740</t>
  </si>
  <si>
    <t>94500160</t>
  </si>
  <si>
    <t>923939444</t>
  </si>
  <si>
    <t>29200180</t>
  </si>
  <si>
    <t>936309626</t>
  </si>
  <si>
    <t>h1100110</t>
  </si>
  <si>
    <t>917880895</t>
  </si>
  <si>
    <t>93700120</t>
  </si>
  <si>
    <t>924163602</t>
  </si>
  <si>
    <t>07300560</t>
  </si>
  <si>
    <t>917331608</t>
  </si>
  <si>
    <t>19200040</t>
  </si>
  <si>
    <t>858780626</t>
  </si>
  <si>
    <t>93700130</t>
  </si>
  <si>
    <t>924163572</t>
  </si>
  <si>
    <t>56800220</t>
  </si>
  <si>
    <t>924182328</t>
  </si>
  <si>
    <t>94500170</t>
  </si>
  <si>
    <t>923939448</t>
  </si>
  <si>
    <t>h0500020</t>
  </si>
  <si>
    <t>850546506</t>
  </si>
  <si>
    <t>h1100090</t>
  </si>
  <si>
    <t>917880907</t>
  </si>
  <si>
    <t>93700140</t>
  </si>
  <si>
    <t>924163616</t>
  </si>
  <si>
    <t>a60000R0</t>
  </si>
  <si>
    <t>914676208</t>
  </si>
  <si>
    <t>29200260</t>
  </si>
  <si>
    <t>848482192</t>
  </si>
  <si>
    <t>93800120</t>
  </si>
  <si>
    <t>933463232</t>
  </si>
  <si>
    <t>56900170</t>
  </si>
  <si>
    <t>933463162</t>
  </si>
  <si>
    <t>y5000050</t>
  </si>
  <si>
    <t>879308843</t>
  </si>
  <si>
    <t>93800180</t>
  </si>
  <si>
    <t>866258025</t>
  </si>
  <si>
    <t>94500100</t>
  </si>
  <si>
    <t>923939437</t>
  </si>
  <si>
    <t>h0500030</t>
  </si>
  <si>
    <t>850546548</t>
  </si>
  <si>
    <t>56100200</t>
  </si>
  <si>
    <t>853127648</t>
  </si>
  <si>
    <t>310004Y0</t>
  </si>
  <si>
    <t>926920533</t>
  </si>
  <si>
    <t>07200760</t>
  </si>
  <si>
    <t>936940644</t>
  </si>
  <si>
    <t>h1100010</t>
  </si>
  <si>
    <t>879308789</t>
  </si>
  <si>
    <t>23200070</t>
  </si>
  <si>
    <t>917283076</t>
  </si>
  <si>
    <t>310003C0</t>
  </si>
  <si>
    <t>847884167</t>
  </si>
  <si>
    <t>57200060</t>
  </si>
  <si>
    <t>933544897</t>
  </si>
  <si>
    <t>94100010</t>
  </si>
  <si>
    <t>933544914</t>
  </si>
  <si>
    <t>941 Ползунки для мальчика</t>
  </si>
  <si>
    <t>19400310</t>
  </si>
  <si>
    <t>837332274</t>
  </si>
  <si>
    <t>a6000790</t>
  </si>
  <si>
    <t>914676200</t>
  </si>
  <si>
    <t>a6000820</t>
  </si>
  <si>
    <t>914676214</t>
  </si>
  <si>
    <t>07200730</t>
  </si>
  <si>
    <t>936940604</t>
  </si>
  <si>
    <t>19400320</t>
  </si>
  <si>
    <t>863205298</t>
  </si>
  <si>
    <t>07200820</t>
  </si>
  <si>
    <t>936940706</t>
  </si>
  <si>
    <t>310002Y0</t>
  </si>
  <si>
    <t>847884056</t>
  </si>
  <si>
    <t>19300330</t>
  </si>
  <si>
    <t>837332186</t>
  </si>
  <si>
    <t>07200780</t>
  </si>
  <si>
    <t>936996464</t>
  </si>
  <si>
    <t>19400280</t>
  </si>
  <si>
    <t>863205297</t>
  </si>
  <si>
    <t>18000010</t>
  </si>
  <si>
    <t>859381304</t>
  </si>
  <si>
    <t>96200130</t>
  </si>
  <si>
    <t>923979876</t>
  </si>
  <si>
    <t>19300260</t>
  </si>
  <si>
    <t>837332416</t>
  </si>
  <si>
    <t>07200830</t>
  </si>
  <si>
    <t>936940723</t>
  </si>
  <si>
    <t>310003A0</t>
  </si>
  <si>
    <t>879308902</t>
  </si>
  <si>
    <t>a6000810</t>
  </si>
  <si>
    <t>914676228</t>
  </si>
  <si>
    <t>310002K0</t>
  </si>
  <si>
    <t>851029591</t>
  </si>
  <si>
    <t>310002Z0</t>
  </si>
  <si>
    <t>918323200</t>
  </si>
  <si>
    <t>310002W0</t>
  </si>
  <si>
    <t>861413718</t>
  </si>
  <si>
    <t>56700100</t>
  </si>
  <si>
    <t>924182383</t>
  </si>
  <si>
    <t>93600100</t>
  </si>
  <si>
    <t>924182333</t>
  </si>
  <si>
    <t>310002T0</t>
  </si>
  <si>
    <t>861414636</t>
  </si>
  <si>
    <t>12406310</t>
  </si>
  <si>
    <t>372164801</t>
  </si>
  <si>
    <t>95500420</t>
  </si>
  <si>
    <t>912731118</t>
  </si>
  <si>
    <t>a5000060</t>
  </si>
  <si>
    <t>852780274</t>
  </si>
  <si>
    <t>a60001U0</t>
  </si>
  <si>
    <t>914766151</t>
  </si>
  <si>
    <t>a60002B0</t>
  </si>
  <si>
    <t>932503610</t>
  </si>
  <si>
    <t>19400580</t>
  </si>
  <si>
    <t>910240412</t>
  </si>
  <si>
    <t>07200710</t>
  </si>
  <si>
    <t>936940523</t>
  </si>
  <si>
    <t>a5000040</t>
  </si>
  <si>
    <t>852780332</t>
  </si>
  <si>
    <t>a60001G0</t>
  </si>
  <si>
    <t>884287740</t>
  </si>
  <si>
    <t>a5000120</t>
  </si>
  <si>
    <t>879308759</t>
  </si>
  <si>
    <t>a60000Y0</t>
  </si>
  <si>
    <t>932503648</t>
  </si>
  <si>
    <t>310001M0</t>
  </si>
  <si>
    <t>917592353</t>
  </si>
  <si>
    <t>310001L0</t>
  </si>
  <si>
    <t>917592348</t>
  </si>
  <si>
    <t>05604140</t>
  </si>
  <si>
    <t>399231314</t>
  </si>
  <si>
    <t>05608240</t>
  </si>
  <si>
    <t>378959398</t>
  </si>
  <si>
    <t>y5000090</t>
  </si>
  <si>
    <t>929006456</t>
  </si>
  <si>
    <t>y4900060</t>
  </si>
  <si>
    <t>879308794</t>
  </si>
  <si>
    <t>a60000W0</t>
  </si>
  <si>
    <t>932503507</t>
  </si>
  <si>
    <t>93700110</t>
  </si>
  <si>
    <t>924163593</t>
  </si>
  <si>
    <t>92500110</t>
  </si>
  <si>
    <t>924163583</t>
  </si>
  <si>
    <t>94700130</t>
  </si>
  <si>
    <t>925964429</t>
  </si>
  <si>
    <t>a5000160</t>
  </si>
  <si>
    <t>852785170</t>
  </si>
  <si>
    <t>a5000140</t>
  </si>
  <si>
    <t>879308853</t>
  </si>
  <si>
    <t>a5000200</t>
  </si>
  <si>
    <t>879308762</t>
  </si>
  <si>
    <t>94600180</t>
  </si>
  <si>
    <t>925964345</t>
  </si>
  <si>
    <t>a5000130</t>
  </si>
  <si>
    <t>879308756</t>
  </si>
  <si>
    <t>310005A0</t>
  </si>
  <si>
    <t>917592372</t>
  </si>
  <si>
    <t>310004W0</t>
  </si>
  <si>
    <t>917592376</t>
  </si>
  <si>
    <t>310004Q0</t>
  </si>
  <si>
    <t>879308889</t>
  </si>
  <si>
    <t>310004P0</t>
  </si>
  <si>
    <t>879308816</t>
  </si>
  <si>
    <t>56800210</t>
  </si>
  <si>
    <t>924182379</t>
  </si>
  <si>
    <t>31800060</t>
  </si>
  <si>
    <t>804188275</t>
  </si>
  <si>
    <t>318 Набор лиф и трусики детский для девочек</t>
  </si>
  <si>
    <t>19400490</t>
  </si>
  <si>
    <t>911791798</t>
  </si>
  <si>
    <t>19300360</t>
  </si>
  <si>
    <t>837332321</t>
  </si>
  <si>
    <t>19400540</t>
  </si>
  <si>
    <t>910240364</t>
  </si>
  <si>
    <t>19400420</t>
  </si>
  <si>
    <t>910240415</t>
  </si>
  <si>
    <t>19400570</t>
  </si>
  <si>
    <t>910240368</t>
  </si>
  <si>
    <t>19400450</t>
  </si>
  <si>
    <t>898036427</t>
  </si>
  <si>
    <t>23100140</t>
  </si>
  <si>
    <t>879308731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</si>
</sst>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164" fontId="0" fillId="0" borderId="0" xfId="2" applyNumberFormat="1" applyFont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2" fillId="2" borderId="0" xfId="1" applyNumberFormat="1" applyFont="1" applyFill="1" applyBorder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BAA9-5187-4132-B969-4D791B9D7155}">
  <dimension ref="A1:X1430"/>
  <sheetViews>
    <sheetView tabSelected="1" zoomScale="70" zoomScaleNormal="70" workbookViewId="0">
      <selection activeCell="J5" sqref="J5"/>
    </sheetView>
  </sheetViews>
  <sheetFormatPr defaultRowHeight="14.5" x14ac:dyDescent="0.35"/>
  <cols>
    <col min="10" max="10" width="12.453125" bestFit="1" customWidth="1"/>
    <col min="11" max="11" width="11" bestFit="1" customWidth="1"/>
    <col min="12" max="12" width="10" bestFit="1" customWidth="1"/>
    <col min="15" max="15" width="11.1796875" bestFit="1" customWidth="1"/>
    <col min="17" max="17" width="8.7265625" style="7" customWidth="1"/>
    <col min="18" max="18" width="16.1796875" bestFit="1" customWidth="1"/>
    <col min="19" max="20" width="16.6328125" bestFit="1" customWidth="1"/>
    <col min="21" max="21" width="16.54296875" bestFit="1" customWidth="1"/>
    <col min="22" max="23" width="16.90625" bestFit="1" customWidth="1"/>
  </cols>
  <sheetData>
    <row r="1" spans="1:24" x14ac:dyDescent="0.35">
      <c r="J1" s="7">
        <f>SUBTOTAL(9,J3:J1430)</f>
        <v>24217322</v>
      </c>
      <c r="K1" s="7">
        <f>SUBTOTAL(9,K3:K1430)</f>
        <v>2304381</v>
      </c>
      <c r="L1" s="7">
        <f>SUBTOTAL(9,L3:L1430)</f>
        <v>46790</v>
      </c>
      <c r="M1" s="6">
        <f>K1/J1</f>
        <v>9.5154245378576544E-2</v>
      </c>
      <c r="N1" s="6">
        <f>L1/K1</f>
        <v>2.0304802027095347E-2</v>
      </c>
      <c r="S1" s="8">
        <f>SUMIF(Q:Q,1,K:K)/SUMIF(Q:Q,1,J:J)</f>
        <v>9.4727099939622847E-2</v>
      </c>
      <c r="T1" s="8">
        <f>SUMIF(Q:Q,1,L:L)/SUMIF(Q:Q,1,K:K)</f>
        <v>2.0235803518649339E-2</v>
      </c>
    </row>
    <row r="2" spans="1:24" s="11" customFormat="1" ht="31.5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2345</v>
      </c>
      <c r="K2" s="9" t="s">
        <v>2346</v>
      </c>
      <c r="L2" s="9" t="s">
        <v>2347</v>
      </c>
      <c r="M2" s="9" t="s">
        <v>9</v>
      </c>
      <c r="N2" s="9" t="s">
        <v>10</v>
      </c>
      <c r="O2" s="10" t="s">
        <v>2479</v>
      </c>
      <c r="P2" s="10" t="s">
        <v>2342</v>
      </c>
      <c r="Q2" s="12" t="s">
        <v>2354</v>
      </c>
      <c r="R2" s="10" t="s">
        <v>2343</v>
      </c>
      <c r="S2" s="10" t="s">
        <v>2348</v>
      </c>
      <c r="T2" s="10" t="s">
        <v>2349</v>
      </c>
      <c r="U2" s="10" t="s">
        <v>2351</v>
      </c>
      <c r="V2" s="10" t="s">
        <v>2352</v>
      </c>
      <c r="W2" s="10" t="s">
        <v>2353</v>
      </c>
      <c r="X2" s="10" t="s">
        <v>2355</v>
      </c>
    </row>
    <row r="3" spans="1:24" x14ac:dyDescent="0.35">
      <c r="A3" s="1" t="s">
        <v>517</v>
      </c>
      <c r="B3" s="2" t="s">
        <v>518</v>
      </c>
      <c r="C3" s="3" t="s">
        <v>55</v>
      </c>
      <c r="D3" s="2" t="s">
        <v>94</v>
      </c>
      <c r="E3" s="3" t="s">
        <v>95</v>
      </c>
      <c r="F3" s="2" t="s">
        <v>96</v>
      </c>
      <c r="G3" s="3" t="s">
        <v>17</v>
      </c>
      <c r="H3" s="2" t="s">
        <v>97</v>
      </c>
      <c r="I3" s="3" t="s">
        <v>19</v>
      </c>
      <c r="J3" s="3">
        <v>653479</v>
      </c>
      <c r="K3" s="3">
        <v>20864</v>
      </c>
      <c r="L3" s="3">
        <v>452</v>
      </c>
      <c r="M3" s="4">
        <f>IFERROR(K3/J3,0)</f>
        <v>3.1927575331418455E-2</v>
      </c>
      <c r="N3" s="4">
        <f>IFERROR(L3/K3,0)</f>
        <v>2.1664110429447853E-2</v>
      </c>
      <c r="O3">
        <v>7323</v>
      </c>
      <c r="P3" s="5">
        <v>0.66666666666666663</v>
      </c>
      <c r="Q3" s="7">
        <v>1</v>
      </c>
      <c r="R3" t="str">
        <f>IF(OR(M3&lt;$S$1*0.5,N3&lt;$T$1*0.5),"код для проверки","нормальный код")</f>
        <v>код для проверки</v>
      </c>
      <c r="S3" t="str">
        <f>IF(M3&lt;$S$1*0.5,"Низшая четверть",IF(M3&lt;$S$1,"Вторая четверть","Больше половины"))</f>
        <v>Низшая четверть</v>
      </c>
      <c r="T3" t="str">
        <f>IF(N3&lt;$T$1*0.5,"Низшая четверть",IF(N3&lt;$T$1,"Вторая четверть","Больше половины"))</f>
        <v>Больше половины</v>
      </c>
      <c r="U3" t="str">
        <f>IF(OR(M3&lt;SUMIFS(K:K,Q:Q,1,E:E,E3)/SUMIFS(J:J,Q:Q,1,E:E,E3)*0.5,N3&lt;SUMIFS(L:L,Q:Q,1,E:E,E3)/SUMIFS(K:K,Q:Q,1,E:E,E3)*0.5),"код для проверки","нормальный код")</f>
        <v>код для проверки</v>
      </c>
      <c r="V3" t="str">
        <f>IF(M3&lt;SUMIFS(K:K,Q:Q,1,E:E,E3)/SUMIFS(J:J,Q:Q,1,E:E,E3)*0.5,"Низшая четверть",IF(M3&lt;SUMIFS(K:K,Q:Q,1,E:E,E3)/SUMIFS(J:J,Q:Q,1,E:E,E3),"Вторая четверть","Больше половины"))</f>
        <v>Низшая четверть</v>
      </c>
      <c r="W3" t="str">
        <f>IF(N3&lt;SUMIFS(L:L,Q:Q,1,E:E,E3)/SUMIFS(K:K,Q:Q,1,E:E,E3)*0.5,"Низшая четверть",IF(N3&lt;SUMIFS(L:L,Q:Q,1,E:E,E3)/SUMIFS(K:K,Q:Q,1,E:E,E3),"Вторая четверть","Больше половины"))</f>
        <v>Больше половины</v>
      </c>
      <c r="X3">
        <v>22</v>
      </c>
    </row>
    <row r="4" spans="1:24" x14ac:dyDescent="0.35">
      <c r="A4" s="1" t="s">
        <v>549</v>
      </c>
      <c r="B4" s="2" t="s">
        <v>550</v>
      </c>
      <c r="C4" s="3" t="s">
        <v>55</v>
      </c>
      <c r="D4" s="2" t="s">
        <v>94</v>
      </c>
      <c r="E4" s="3" t="s">
        <v>95</v>
      </c>
      <c r="F4" s="2" t="s">
        <v>96</v>
      </c>
      <c r="G4" s="3" t="s">
        <v>17</v>
      </c>
      <c r="H4" s="2" t="s">
        <v>97</v>
      </c>
      <c r="I4" s="3" t="s">
        <v>19</v>
      </c>
      <c r="J4" s="3">
        <v>622386</v>
      </c>
      <c r="K4" s="3">
        <v>36726</v>
      </c>
      <c r="L4" s="3">
        <v>464</v>
      </c>
      <c r="M4" s="4">
        <f t="shared" ref="M4:M67" si="0">IFERROR(K4/J4,0)</f>
        <v>5.9008396718435184E-2</v>
      </c>
      <c r="N4" s="4">
        <f t="shared" ref="N4:N67" si="1">IFERROR(L4/K4,0)</f>
        <v>1.2634101181724118E-2</v>
      </c>
      <c r="O4">
        <v>3509</v>
      </c>
      <c r="P4" s="5">
        <v>0.66666666666666663</v>
      </c>
      <c r="Q4" s="7">
        <v>1</v>
      </c>
      <c r="R4" t="str">
        <f t="shared" ref="R4:R42" si="2">IF(OR(M4&lt;$S$1*0.5,N4&lt;$T$1*0.5),"код для проверки","нормальный код")</f>
        <v>нормальный код</v>
      </c>
      <c r="S4" t="str">
        <f t="shared" ref="S4:S67" si="3">IF(M4&lt;$S$1*0.5,"Низшая четверть",IF(M4&lt;$S$1,"Вторая четверть","Больше половины"))</f>
        <v>Вторая четверть</v>
      </c>
      <c r="T4" t="str">
        <f t="shared" ref="T4:T67" si="4">IF(N4&lt;$T$1*0.5,"Низшая четверть",IF(N4&lt;$T$1,"Вторая четверть","Больше половины"))</f>
        <v>Вторая четверть</v>
      </c>
      <c r="U4" t="str">
        <f t="shared" ref="U4:U67" si="5">IF(OR(M4&lt;SUMIFS(K:K,Q:Q,1,E:E,E4)/SUMIFS(J:J,Q:Q,1,E:E,E4)*0.5,N4&lt;SUMIFS(L:L,Q:Q,1,E:E,E4)/SUMIFS(K:K,Q:Q,1,E:E,E4)*0.5),"код для проверки","нормальный код")</f>
        <v>нормальный код</v>
      </c>
      <c r="V4" t="str">
        <f t="shared" ref="V4:V67" si="6">IF(M4&lt;SUMIFS(K:K,Q:Q,1,E:E,E4)/SUMIFS(J:J,Q:Q,1,E:E,E4)*0.5,"Низшая четверть",IF(M4&lt;SUMIFS(K:K,Q:Q,1,E:E,E4)/SUMIFS(J:J,Q:Q,1,E:E,E4),"Вторая четверть","Больше половины"))</f>
        <v>Вторая четверть</v>
      </c>
      <c r="W4" t="str">
        <f t="shared" ref="W4:W67" si="7">IF(N4&lt;SUMIFS(L:L,Q:Q,1,E:E,E4)/SUMIFS(K:K,Q:Q,1,E:E,E4)*0.5,"Низшая четверть",IF(N4&lt;SUMIFS(L:L,Q:Q,1,E:E,E4)/SUMIFS(K:K,Q:Q,1,E:E,E4),"Вторая четверть","Больше половины"))</f>
        <v>Больше половины</v>
      </c>
      <c r="X4">
        <v>15</v>
      </c>
    </row>
    <row r="5" spans="1:24" x14ac:dyDescent="0.35">
      <c r="A5" s="1" t="s">
        <v>555</v>
      </c>
      <c r="B5" s="2" t="s">
        <v>556</v>
      </c>
      <c r="C5" s="3" t="s">
        <v>55</v>
      </c>
      <c r="D5" s="2" t="s">
        <v>94</v>
      </c>
      <c r="E5" s="3" t="s">
        <v>95</v>
      </c>
      <c r="F5" s="2" t="s">
        <v>96</v>
      </c>
      <c r="G5" s="3" t="s">
        <v>17</v>
      </c>
      <c r="H5" s="2" t="s">
        <v>97</v>
      </c>
      <c r="I5" s="3" t="s">
        <v>19</v>
      </c>
      <c r="J5" s="3">
        <v>472642</v>
      </c>
      <c r="K5" s="3">
        <v>16220</v>
      </c>
      <c r="L5" s="3">
        <v>373</v>
      </c>
      <c r="M5" s="4">
        <f t="shared" si="0"/>
        <v>3.4317728851858277E-2</v>
      </c>
      <c r="N5" s="4">
        <f t="shared" si="1"/>
        <v>2.2996300863131935E-2</v>
      </c>
      <c r="O5">
        <v>3253</v>
      </c>
      <c r="P5" s="5">
        <v>0.66666666666666663</v>
      </c>
      <c r="Q5" s="7">
        <v>1</v>
      </c>
      <c r="R5" t="str">
        <f t="shared" si="2"/>
        <v>код для проверки</v>
      </c>
      <c r="S5" t="str">
        <f t="shared" si="3"/>
        <v>Низшая четверть</v>
      </c>
      <c r="T5" t="str">
        <f t="shared" si="4"/>
        <v>Больше половины</v>
      </c>
      <c r="U5" t="str">
        <f t="shared" si="5"/>
        <v>код для проверки</v>
      </c>
      <c r="V5" t="str">
        <f t="shared" si="6"/>
        <v>Низшая четверть</v>
      </c>
      <c r="W5" t="str">
        <f t="shared" si="7"/>
        <v>Больше половины</v>
      </c>
      <c r="X5">
        <v>17</v>
      </c>
    </row>
    <row r="6" spans="1:24" x14ac:dyDescent="0.35">
      <c r="A6" s="1" t="s">
        <v>620</v>
      </c>
      <c r="B6" s="2" t="s">
        <v>621</v>
      </c>
      <c r="C6" s="3" t="s">
        <v>55</v>
      </c>
      <c r="D6" s="2" t="s">
        <v>94</v>
      </c>
      <c r="E6" s="3" t="s">
        <v>95</v>
      </c>
      <c r="F6" s="2" t="s">
        <v>96</v>
      </c>
      <c r="G6" s="3" t="s">
        <v>17</v>
      </c>
      <c r="H6" s="2" t="s">
        <v>97</v>
      </c>
      <c r="I6" s="3" t="s">
        <v>19</v>
      </c>
      <c r="J6" s="3">
        <v>441103</v>
      </c>
      <c r="K6" s="3">
        <v>34871</v>
      </c>
      <c r="L6" s="3">
        <v>482</v>
      </c>
      <c r="M6" s="4">
        <f t="shared" si="0"/>
        <v>7.9054098475866183E-2</v>
      </c>
      <c r="N6" s="4">
        <f t="shared" si="1"/>
        <v>1.3822373892346076E-2</v>
      </c>
      <c r="O6">
        <v>2364</v>
      </c>
      <c r="P6" s="5">
        <v>0.66666666666666663</v>
      </c>
      <c r="Q6" s="7">
        <v>1</v>
      </c>
      <c r="R6" t="str">
        <f t="shared" si="2"/>
        <v>нормальный код</v>
      </c>
      <c r="S6" t="str">
        <f t="shared" si="3"/>
        <v>Вторая четверть</v>
      </c>
      <c r="T6" t="str">
        <f t="shared" si="4"/>
        <v>Вторая четверть</v>
      </c>
      <c r="U6" t="str">
        <f t="shared" si="5"/>
        <v>нормальный код</v>
      </c>
      <c r="V6" t="str">
        <f t="shared" si="6"/>
        <v>Вторая четверть</v>
      </c>
      <c r="W6" t="str">
        <f t="shared" si="7"/>
        <v>Больше половины</v>
      </c>
      <c r="X6">
        <v>15</v>
      </c>
    </row>
    <row r="7" spans="1:24" x14ac:dyDescent="0.35">
      <c r="A7" s="1" t="s">
        <v>117</v>
      </c>
      <c r="B7" s="2" t="s">
        <v>118</v>
      </c>
      <c r="C7" s="3" t="s">
        <v>55</v>
      </c>
      <c r="D7" s="2" t="s">
        <v>94</v>
      </c>
      <c r="E7" s="3" t="s">
        <v>95</v>
      </c>
      <c r="F7" s="2" t="s">
        <v>96</v>
      </c>
      <c r="G7" s="3" t="s">
        <v>17</v>
      </c>
      <c r="H7" s="2" t="s">
        <v>97</v>
      </c>
      <c r="I7" s="3" t="s">
        <v>19</v>
      </c>
      <c r="J7" s="3">
        <v>436856</v>
      </c>
      <c r="K7" s="3">
        <v>21228</v>
      </c>
      <c r="L7" s="3">
        <v>344</v>
      </c>
      <c r="M7" s="4">
        <f t="shared" si="0"/>
        <v>4.8592671269251195E-2</v>
      </c>
      <c r="N7" s="4">
        <f t="shared" si="1"/>
        <v>1.6205012247974375E-2</v>
      </c>
      <c r="O7">
        <v>3896</v>
      </c>
      <c r="P7" s="5">
        <v>0.77777777777777779</v>
      </c>
      <c r="Q7" s="7">
        <v>1</v>
      </c>
      <c r="R7" t="str">
        <f t="shared" si="2"/>
        <v>нормальный код</v>
      </c>
      <c r="S7" t="str">
        <f t="shared" si="3"/>
        <v>Вторая четверть</v>
      </c>
      <c r="T7" t="str">
        <f t="shared" si="4"/>
        <v>Вторая четверть</v>
      </c>
      <c r="U7" t="str">
        <f t="shared" si="5"/>
        <v>код для проверки</v>
      </c>
      <c r="V7" t="str">
        <f t="shared" si="6"/>
        <v>Низшая четверть</v>
      </c>
      <c r="W7" t="str">
        <f t="shared" si="7"/>
        <v>Больше половины</v>
      </c>
      <c r="X7">
        <v>21</v>
      </c>
    </row>
    <row r="8" spans="1:24" x14ac:dyDescent="0.35">
      <c r="A8" s="1" t="s">
        <v>636</v>
      </c>
      <c r="B8" s="2" t="s">
        <v>637</v>
      </c>
      <c r="C8" s="3" t="s">
        <v>55</v>
      </c>
      <c r="D8" s="2" t="s">
        <v>94</v>
      </c>
      <c r="E8" s="3" t="s">
        <v>95</v>
      </c>
      <c r="F8" s="2" t="s">
        <v>96</v>
      </c>
      <c r="G8" s="3" t="s">
        <v>17</v>
      </c>
      <c r="H8" s="2" t="s">
        <v>97</v>
      </c>
      <c r="I8" s="3" t="s">
        <v>19</v>
      </c>
      <c r="J8" s="3">
        <v>397857</v>
      </c>
      <c r="K8" s="3">
        <v>13933</v>
      </c>
      <c r="L8" s="3">
        <v>338</v>
      </c>
      <c r="M8" s="4">
        <f t="shared" si="0"/>
        <v>3.5020120294477666E-2</v>
      </c>
      <c r="N8" s="4">
        <f t="shared" si="1"/>
        <v>2.4258953563482379E-2</v>
      </c>
      <c r="O8">
        <v>7610</v>
      </c>
      <c r="P8" s="5">
        <v>0.66666666666666663</v>
      </c>
      <c r="Q8" s="7">
        <v>1</v>
      </c>
      <c r="R8" t="str">
        <f t="shared" si="2"/>
        <v>код для проверки</v>
      </c>
      <c r="S8" t="str">
        <f t="shared" si="3"/>
        <v>Низшая четверть</v>
      </c>
      <c r="T8" t="str">
        <f t="shared" si="4"/>
        <v>Больше половины</v>
      </c>
      <c r="U8" t="str">
        <f t="shared" si="5"/>
        <v>код для проверки</v>
      </c>
      <c r="V8" t="str">
        <f t="shared" si="6"/>
        <v>Низшая четверть</v>
      </c>
      <c r="W8" t="str">
        <f t="shared" si="7"/>
        <v>Больше половины</v>
      </c>
      <c r="X8">
        <v>22</v>
      </c>
    </row>
    <row r="9" spans="1:24" x14ac:dyDescent="0.35">
      <c r="A9" s="1" t="s">
        <v>732</v>
      </c>
      <c r="B9" s="2" t="s">
        <v>733</v>
      </c>
      <c r="C9" s="3" t="s">
        <v>55</v>
      </c>
      <c r="D9" s="2" t="s">
        <v>94</v>
      </c>
      <c r="E9" s="3" t="s">
        <v>95</v>
      </c>
      <c r="F9" s="2" t="s">
        <v>96</v>
      </c>
      <c r="G9" s="3" t="s">
        <v>17</v>
      </c>
      <c r="H9" s="2" t="s">
        <v>97</v>
      </c>
      <c r="I9" s="3" t="s">
        <v>19</v>
      </c>
      <c r="J9" s="3">
        <v>368368</v>
      </c>
      <c r="K9" s="3">
        <v>10188</v>
      </c>
      <c r="L9" s="3">
        <v>265</v>
      </c>
      <c r="M9" s="4">
        <f t="shared" si="0"/>
        <v>2.765712548321244E-2</v>
      </c>
      <c r="N9" s="4">
        <f t="shared" si="1"/>
        <v>2.6010993325480958E-2</v>
      </c>
      <c r="O9">
        <v>6614</v>
      </c>
      <c r="P9" s="5">
        <v>0.66666666666666663</v>
      </c>
      <c r="Q9" s="7">
        <v>1</v>
      </c>
      <c r="R9" t="str">
        <f t="shared" si="2"/>
        <v>код для проверки</v>
      </c>
      <c r="S9" t="str">
        <f t="shared" si="3"/>
        <v>Низшая четверть</v>
      </c>
      <c r="T9" t="str">
        <f t="shared" si="4"/>
        <v>Больше половины</v>
      </c>
      <c r="U9" t="str">
        <f t="shared" si="5"/>
        <v>код для проверки</v>
      </c>
      <c r="V9" t="str">
        <f t="shared" si="6"/>
        <v>Низшая четверть</v>
      </c>
      <c r="W9" t="str">
        <f t="shared" si="7"/>
        <v>Больше половины</v>
      </c>
      <c r="X9">
        <v>19</v>
      </c>
    </row>
    <row r="10" spans="1:24" x14ac:dyDescent="0.35">
      <c r="A10" s="1" t="s">
        <v>293</v>
      </c>
      <c r="B10" s="2" t="s">
        <v>294</v>
      </c>
      <c r="C10" s="3" t="s">
        <v>55</v>
      </c>
      <c r="D10" s="2" t="s">
        <v>295</v>
      </c>
      <c r="E10" s="3" t="s">
        <v>296</v>
      </c>
      <c r="F10" s="2" t="s">
        <v>61</v>
      </c>
      <c r="G10" s="3" t="s">
        <v>17</v>
      </c>
      <c r="H10" s="2" t="s">
        <v>97</v>
      </c>
      <c r="I10" s="3" t="s">
        <v>19</v>
      </c>
      <c r="J10" s="3">
        <v>338406</v>
      </c>
      <c r="K10" s="3">
        <v>27069</v>
      </c>
      <c r="L10" s="3">
        <v>259</v>
      </c>
      <c r="M10" s="4">
        <f t="shared" si="0"/>
        <v>7.9989716494388394E-2</v>
      </c>
      <c r="N10" s="4">
        <f t="shared" si="1"/>
        <v>9.5681406775277988E-3</v>
      </c>
      <c r="O10">
        <v>656</v>
      </c>
      <c r="P10" s="5">
        <v>1</v>
      </c>
      <c r="Q10" s="7">
        <v>1</v>
      </c>
      <c r="R10" t="str">
        <f t="shared" si="2"/>
        <v>код для проверки</v>
      </c>
      <c r="S10" t="str">
        <f t="shared" si="3"/>
        <v>Вторая четверть</v>
      </c>
      <c r="T10" t="str">
        <f t="shared" si="4"/>
        <v>Низшая четверть</v>
      </c>
      <c r="U10" t="str">
        <f t="shared" si="5"/>
        <v>код для проверки</v>
      </c>
      <c r="V10" t="str">
        <f t="shared" si="6"/>
        <v>Низшая четверть</v>
      </c>
      <c r="W10" t="str">
        <f t="shared" si="7"/>
        <v>Вторая четверть</v>
      </c>
      <c r="X10">
        <v>14</v>
      </c>
    </row>
    <row r="11" spans="1:24" x14ac:dyDescent="0.35">
      <c r="A11" s="1" t="s">
        <v>420</v>
      </c>
      <c r="B11" s="2" t="s">
        <v>421</v>
      </c>
      <c r="C11" s="3" t="s">
        <v>13</v>
      </c>
      <c r="D11" s="2" t="s">
        <v>77</v>
      </c>
      <c r="E11" s="3" t="s">
        <v>89</v>
      </c>
      <c r="F11" s="2" t="s">
        <v>34</v>
      </c>
      <c r="G11" s="3" t="s">
        <v>35</v>
      </c>
      <c r="H11" s="2" t="s">
        <v>18</v>
      </c>
      <c r="I11" s="3" t="s">
        <v>19</v>
      </c>
      <c r="J11" s="3">
        <v>290144</v>
      </c>
      <c r="K11" s="3">
        <v>24801</v>
      </c>
      <c r="L11" s="3">
        <v>938</v>
      </c>
      <c r="M11" s="4">
        <f t="shared" si="0"/>
        <v>8.5478245285099813E-2</v>
      </c>
      <c r="N11" s="4">
        <f t="shared" si="1"/>
        <v>3.7821055602596666E-2</v>
      </c>
      <c r="O11">
        <v>3284</v>
      </c>
      <c r="P11" s="5">
        <v>1</v>
      </c>
      <c r="Q11" s="7">
        <v>1</v>
      </c>
      <c r="R11" t="str">
        <f t="shared" si="2"/>
        <v>нормальный код</v>
      </c>
      <c r="S11" t="str">
        <f t="shared" si="3"/>
        <v>Вторая четверть</v>
      </c>
      <c r="T11" t="str">
        <f t="shared" si="4"/>
        <v>Больше половины</v>
      </c>
      <c r="U11" t="str">
        <f t="shared" si="5"/>
        <v>нормальный код</v>
      </c>
      <c r="V11" t="str">
        <f t="shared" si="6"/>
        <v>Вторая четверть</v>
      </c>
      <c r="W11" t="str">
        <f t="shared" si="7"/>
        <v>Больше половины</v>
      </c>
      <c r="X11">
        <v>8</v>
      </c>
    </row>
    <row r="12" spans="1:24" x14ac:dyDescent="0.35">
      <c r="A12" s="1" t="s">
        <v>1335</v>
      </c>
      <c r="B12" s="2" t="s">
        <v>1336</v>
      </c>
      <c r="C12" s="3" t="s">
        <v>55</v>
      </c>
      <c r="D12" s="2" t="s">
        <v>295</v>
      </c>
      <c r="E12" s="3" t="s">
        <v>296</v>
      </c>
      <c r="F12" s="2" t="s">
        <v>61</v>
      </c>
      <c r="G12" s="3" t="s">
        <v>17</v>
      </c>
      <c r="H12" s="2" t="s">
        <v>97</v>
      </c>
      <c r="I12" s="3" t="s">
        <v>19</v>
      </c>
      <c r="J12" s="3">
        <v>271586</v>
      </c>
      <c r="K12" s="3">
        <v>20571</v>
      </c>
      <c r="L12" s="3">
        <v>262</v>
      </c>
      <c r="M12" s="4">
        <f t="shared" si="0"/>
        <v>7.5743963238163972E-2</v>
      </c>
      <c r="N12" s="4">
        <f t="shared" si="1"/>
        <v>1.27363764522872E-2</v>
      </c>
      <c r="O12">
        <v>668</v>
      </c>
      <c r="P12" s="5">
        <v>1</v>
      </c>
      <c r="Q12" s="7">
        <v>1</v>
      </c>
      <c r="R12" t="str">
        <f t="shared" si="2"/>
        <v>нормальный код</v>
      </c>
      <c r="S12" t="str">
        <f t="shared" si="3"/>
        <v>Вторая четверть</v>
      </c>
      <c r="T12" t="str">
        <f t="shared" si="4"/>
        <v>Вторая четверть</v>
      </c>
      <c r="U12" t="str">
        <f t="shared" si="5"/>
        <v>код для проверки</v>
      </c>
      <c r="V12" t="str">
        <f t="shared" si="6"/>
        <v>Низшая четверть</v>
      </c>
      <c r="W12" t="str">
        <f t="shared" si="7"/>
        <v>Вторая четверть</v>
      </c>
      <c r="X12">
        <v>14</v>
      </c>
    </row>
    <row r="13" spans="1:24" x14ac:dyDescent="0.35">
      <c r="A13" s="1" t="s">
        <v>1414</v>
      </c>
      <c r="B13" s="2" t="s">
        <v>1415</v>
      </c>
      <c r="C13" s="3" t="s">
        <v>13</v>
      </c>
      <c r="D13" s="2" t="s">
        <v>38</v>
      </c>
      <c r="E13" s="3" t="s">
        <v>39</v>
      </c>
      <c r="F13" s="2" t="s">
        <v>34</v>
      </c>
      <c r="G13" s="3" t="s">
        <v>17</v>
      </c>
      <c r="H13" s="2" t="s">
        <v>18</v>
      </c>
      <c r="I13" s="3" t="s">
        <v>19</v>
      </c>
      <c r="J13" s="3">
        <v>243730</v>
      </c>
      <c r="K13" s="3">
        <v>15635</v>
      </c>
      <c r="L13" s="3">
        <v>761</v>
      </c>
      <c r="M13" s="4">
        <f t="shared" si="0"/>
        <v>6.4148853239240147E-2</v>
      </c>
      <c r="N13" s="4">
        <f t="shared" si="1"/>
        <v>4.8672849376399104E-2</v>
      </c>
      <c r="O13">
        <v>1255</v>
      </c>
      <c r="P13" s="5">
        <v>1</v>
      </c>
      <c r="Q13" s="7">
        <v>1</v>
      </c>
      <c r="R13" t="str">
        <f t="shared" si="2"/>
        <v>нормальный код</v>
      </c>
      <c r="S13" t="str">
        <f t="shared" si="3"/>
        <v>Вторая четверть</v>
      </c>
      <c r="T13" t="str">
        <f t="shared" si="4"/>
        <v>Больше половины</v>
      </c>
      <c r="U13" t="str">
        <f t="shared" si="5"/>
        <v>нормальный код</v>
      </c>
      <c r="V13" t="str">
        <f t="shared" si="6"/>
        <v>Вторая четверть</v>
      </c>
      <c r="W13" t="str">
        <f t="shared" si="7"/>
        <v>Больше половины</v>
      </c>
      <c r="X13">
        <v>15</v>
      </c>
    </row>
    <row r="14" spans="1:24" x14ac:dyDescent="0.35">
      <c r="A14" s="1" t="s">
        <v>73</v>
      </c>
      <c r="B14" s="2" t="s">
        <v>74</v>
      </c>
      <c r="C14" s="3" t="s">
        <v>13</v>
      </c>
      <c r="D14" s="2" t="s">
        <v>49</v>
      </c>
      <c r="E14" s="3" t="s">
        <v>50</v>
      </c>
      <c r="F14" s="2" t="s">
        <v>34</v>
      </c>
      <c r="G14" s="3" t="s">
        <v>35</v>
      </c>
      <c r="H14" s="2" t="s">
        <v>18</v>
      </c>
      <c r="I14" s="3" t="s">
        <v>19</v>
      </c>
      <c r="J14" s="3">
        <v>243544</v>
      </c>
      <c r="K14" s="3">
        <v>5415</v>
      </c>
      <c r="L14" s="3">
        <v>163</v>
      </c>
      <c r="M14" s="4">
        <f t="shared" si="0"/>
        <v>2.2234175344085668E-2</v>
      </c>
      <c r="N14" s="4">
        <f t="shared" si="1"/>
        <v>3.0101569713758079E-2</v>
      </c>
      <c r="O14">
        <v>1521</v>
      </c>
      <c r="P14" s="5">
        <v>1</v>
      </c>
      <c r="Q14" s="7">
        <v>1</v>
      </c>
      <c r="R14" t="str">
        <f t="shared" si="2"/>
        <v>код для проверки</v>
      </c>
      <c r="S14" t="str">
        <f t="shared" si="3"/>
        <v>Низшая четверть</v>
      </c>
      <c r="T14" t="str">
        <f t="shared" si="4"/>
        <v>Больше половины</v>
      </c>
      <c r="U14" t="str">
        <f t="shared" si="5"/>
        <v>код для проверки</v>
      </c>
      <c r="V14" t="str">
        <f t="shared" si="6"/>
        <v>Низшая четверть</v>
      </c>
      <c r="W14" t="str">
        <f t="shared" si="7"/>
        <v>Вторая четверть</v>
      </c>
      <c r="X14">
        <v>20</v>
      </c>
    </row>
    <row r="15" spans="1:24" x14ac:dyDescent="0.35">
      <c r="A15" s="1" t="s">
        <v>182</v>
      </c>
      <c r="B15" s="2" t="s">
        <v>183</v>
      </c>
      <c r="C15" s="3" t="s">
        <v>13</v>
      </c>
      <c r="D15" s="2" t="s">
        <v>38</v>
      </c>
      <c r="E15" s="3" t="s">
        <v>39</v>
      </c>
      <c r="F15" s="2" t="s">
        <v>34</v>
      </c>
      <c r="G15" s="3" t="s">
        <v>17</v>
      </c>
      <c r="H15" s="2" t="s">
        <v>18</v>
      </c>
      <c r="I15" s="3" t="s">
        <v>19</v>
      </c>
      <c r="J15" s="3">
        <v>215282</v>
      </c>
      <c r="K15" s="3">
        <v>9299</v>
      </c>
      <c r="L15" s="3">
        <v>387</v>
      </c>
      <c r="M15" s="4">
        <f t="shared" si="0"/>
        <v>4.3194507669010881E-2</v>
      </c>
      <c r="N15" s="4">
        <f t="shared" si="1"/>
        <v>4.1617378212711047E-2</v>
      </c>
      <c r="O15">
        <v>1132</v>
      </c>
      <c r="P15" s="5">
        <v>1</v>
      </c>
      <c r="Q15" s="7">
        <v>1</v>
      </c>
      <c r="R15" t="str">
        <f t="shared" si="2"/>
        <v>код для проверки</v>
      </c>
      <c r="S15" t="str">
        <f t="shared" si="3"/>
        <v>Низшая четверть</v>
      </c>
      <c r="T15" t="str">
        <f t="shared" si="4"/>
        <v>Больше половины</v>
      </c>
      <c r="U15" t="str">
        <f t="shared" si="5"/>
        <v>нормальный код</v>
      </c>
      <c r="V15" t="str">
        <f t="shared" si="6"/>
        <v>Вторая четверть</v>
      </c>
      <c r="W15" t="str">
        <f t="shared" si="7"/>
        <v>Больше половины</v>
      </c>
      <c r="X15">
        <v>20</v>
      </c>
    </row>
    <row r="16" spans="1:24" x14ac:dyDescent="0.35">
      <c r="A16" s="1" t="s">
        <v>488</v>
      </c>
      <c r="B16" s="2" t="s">
        <v>489</v>
      </c>
      <c r="C16" s="3" t="s">
        <v>13</v>
      </c>
      <c r="D16" s="2" t="s">
        <v>38</v>
      </c>
      <c r="E16" s="3" t="s">
        <v>39</v>
      </c>
      <c r="F16" s="2" t="s">
        <v>34</v>
      </c>
      <c r="G16" s="3" t="s">
        <v>17</v>
      </c>
      <c r="H16" s="2" t="s">
        <v>18</v>
      </c>
      <c r="I16" s="3" t="s">
        <v>19</v>
      </c>
      <c r="J16" s="3">
        <v>213537</v>
      </c>
      <c r="K16" s="3">
        <v>11449</v>
      </c>
      <c r="L16" s="3">
        <v>467</v>
      </c>
      <c r="M16" s="4">
        <f t="shared" si="0"/>
        <v>5.3616000974070065E-2</v>
      </c>
      <c r="N16" s="4">
        <f t="shared" si="1"/>
        <v>4.078958861035898E-2</v>
      </c>
      <c r="O16">
        <v>1564</v>
      </c>
      <c r="P16" s="5">
        <v>1</v>
      </c>
      <c r="Q16" s="7">
        <v>1</v>
      </c>
      <c r="R16" t="str">
        <f t="shared" si="2"/>
        <v>нормальный код</v>
      </c>
      <c r="S16" t="str">
        <f t="shared" si="3"/>
        <v>Вторая четверть</v>
      </c>
      <c r="T16" t="str">
        <f t="shared" si="4"/>
        <v>Больше половины</v>
      </c>
      <c r="U16" t="str">
        <f t="shared" si="5"/>
        <v>нормальный код</v>
      </c>
      <c r="V16" t="str">
        <f t="shared" si="6"/>
        <v>Вторая четверть</v>
      </c>
      <c r="W16" t="str">
        <f t="shared" si="7"/>
        <v>Больше половины</v>
      </c>
      <c r="X16">
        <v>22</v>
      </c>
    </row>
    <row r="17" spans="1:24" x14ac:dyDescent="0.35">
      <c r="A17" s="1" t="s">
        <v>600</v>
      </c>
      <c r="B17" s="2" t="s">
        <v>601</v>
      </c>
      <c r="C17" s="3" t="s">
        <v>13</v>
      </c>
      <c r="D17" s="2" t="s">
        <v>38</v>
      </c>
      <c r="E17" s="3" t="s">
        <v>39</v>
      </c>
      <c r="F17" s="2" t="s">
        <v>34</v>
      </c>
      <c r="G17" s="3" t="s">
        <v>17</v>
      </c>
      <c r="H17" s="2" t="s">
        <v>18</v>
      </c>
      <c r="I17" s="3" t="s">
        <v>19</v>
      </c>
      <c r="J17" s="3">
        <v>194777</v>
      </c>
      <c r="K17" s="3">
        <v>13656</v>
      </c>
      <c r="L17" s="3">
        <v>623</v>
      </c>
      <c r="M17" s="4">
        <f t="shared" si="0"/>
        <v>7.0110947391119074E-2</v>
      </c>
      <c r="N17" s="4">
        <f t="shared" si="1"/>
        <v>4.562097246631517E-2</v>
      </c>
      <c r="O17">
        <v>1258</v>
      </c>
      <c r="P17" s="5">
        <v>1</v>
      </c>
      <c r="Q17" s="7">
        <v>1</v>
      </c>
      <c r="R17" t="str">
        <f t="shared" si="2"/>
        <v>нормальный код</v>
      </c>
      <c r="S17" t="str">
        <f t="shared" si="3"/>
        <v>Вторая четверть</v>
      </c>
      <c r="T17" t="str">
        <f t="shared" si="4"/>
        <v>Больше половины</v>
      </c>
      <c r="U17" t="str">
        <f t="shared" si="5"/>
        <v>нормальный код</v>
      </c>
      <c r="V17" t="str">
        <f t="shared" si="6"/>
        <v>Больше половины</v>
      </c>
      <c r="W17" t="str">
        <f t="shared" si="7"/>
        <v>Больше половины</v>
      </c>
      <c r="X17">
        <v>22</v>
      </c>
    </row>
    <row r="18" spans="1:24" x14ac:dyDescent="0.35">
      <c r="A18" s="1" t="s">
        <v>92</v>
      </c>
      <c r="B18" s="2" t="s">
        <v>93</v>
      </c>
      <c r="C18" s="3" t="s">
        <v>55</v>
      </c>
      <c r="D18" s="2" t="s">
        <v>94</v>
      </c>
      <c r="E18" s="3" t="s">
        <v>95</v>
      </c>
      <c r="F18" s="2" t="s">
        <v>96</v>
      </c>
      <c r="G18" s="3" t="s">
        <v>17</v>
      </c>
      <c r="H18" s="2" t="s">
        <v>97</v>
      </c>
      <c r="I18" s="3" t="s">
        <v>19</v>
      </c>
      <c r="J18" s="3">
        <v>188598</v>
      </c>
      <c r="K18" s="3">
        <v>9908</v>
      </c>
      <c r="L18" s="3">
        <v>118</v>
      </c>
      <c r="M18" s="4">
        <f t="shared" si="0"/>
        <v>5.2535021580292475E-2</v>
      </c>
      <c r="N18" s="4">
        <f t="shared" si="1"/>
        <v>1.1909568025837708E-2</v>
      </c>
      <c r="O18">
        <v>3205</v>
      </c>
      <c r="P18" s="5">
        <v>0.77777777777777779</v>
      </c>
      <c r="Q18" s="7">
        <v>1</v>
      </c>
      <c r="R18" t="str">
        <f t="shared" si="2"/>
        <v>нормальный код</v>
      </c>
      <c r="S18" t="str">
        <f t="shared" si="3"/>
        <v>Вторая четверть</v>
      </c>
      <c r="T18" t="str">
        <f t="shared" si="4"/>
        <v>Вторая четверть</v>
      </c>
      <c r="U18" t="str">
        <f t="shared" si="5"/>
        <v>код для проверки</v>
      </c>
      <c r="V18" t="str">
        <f t="shared" si="6"/>
        <v>Низшая четверть</v>
      </c>
      <c r="W18" t="str">
        <f t="shared" si="7"/>
        <v>Больше половины</v>
      </c>
      <c r="X18">
        <v>25</v>
      </c>
    </row>
    <row r="19" spans="1:24" x14ac:dyDescent="0.35">
      <c r="A19" s="1" t="s">
        <v>1781</v>
      </c>
      <c r="B19" s="2" t="s">
        <v>1782</v>
      </c>
      <c r="C19" s="3" t="s">
        <v>13</v>
      </c>
      <c r="D19" s="2" t="s">
        <v>69</v>
      </c>
      <c r="E19" s="3" t="s">
        <v>1783</v>
      </c>
      <c r="F19" s="2" t="s">
        <v>61</v>
      </c>
      <c r="G19" s="3" t="s">
        <v>72</v>
      </c>
      <c r="H19" s="2" t="s">
        <v>18</v>
      </c>
      <c r="I19" s="3" t="s">
        <v>19</v>
      </c>
      <c r="J19" s="3">
        <v>184887</v>
      </c>
      <c r="K19" s="3">
        <v>10889</v>
      </c>
      <c r="L19" s="3">
        <v>236</v>
      </c>
      <c r="M19" s="4">
        <f t="shared" si="0"/>
        <v>5.8895433426904002E-2</v>
      </c>
      <c r="N19" s="4">
        <f t="shared" si="1"/>
        <v>2.1673248232160897E-2</v>
      </c>
      <c r="O19">
        <v>720</v>
      </c>
      <c r="P19" s="5">
        <v>1</v>
      </c>
      <c r="Q19" s="7">
        <v>1</v>
      </c>
      <c r="R19" t="str">
        <f t="shared" si="2"/>
        <v>нормальный код</v>
      </c>
      <c r="S19" t="str">
        <f t="shared" si="3"/>
        <v>Вторая четверть</v>
      </c>
      <c r="T19" t="str">
        <f t="shared" si="4"/>
        <v>Больше половины</v>
      </c>
      <c r="U19" t="str">
        <f t="shared" si="5"/>
        <v>нормальный код</v>
      </c>
      <c r="V19" t="str">
        <f t="shared" si="6"/>
        <v>Вторая четверть</v>
      </c>
      <c r="W19" t="str">
        <f t="shared" si="7"/>
        <v>Больше половины</v>
      </c>
      <c r="X19">
        <v>21</v>
      </c>
    </row>
    <row r="20" spans="1:24" x14ac:dyDescent="0.35">
      <c r="A20" s="1" t="s">
        <v>20</v>
      </c>
      <c r="B20" s="2" t="s">
        <v>21</v>
      </c>
      <c r="C20" s="3" t="s">
        <v>13</v>
      </c>
      <c r="D20" s="2" t="s">
        <v>22</v>
      </c>
      <c r="E20" s="3" t="s">
        <v>23</v>
      </c>
      <c r="F20" s="2" t="s">
        <v>16</v>
      </c>
      <c r="G20" s="3" t="s">
        <v>17</v>
      </c>
      <c r="H20" s="2" t="s">
        <v>18</v>
      </c>
      <c r="I20" s="3" t="s">
        <v>19</v>
      </c>
      <c r="J20" s="3">
        <v>184775</v>
      </c>
      <c r="K20" s="3">
        <v>7080</v>
      </c>
      <c r="L20" s="3">
        <v>130</v>
      </c>
      <c r="M20" s="4">
        <f t="shared" si="0"/>
        <v>3.8316871871194695E-2</v>
      </c>
      <c r="N20" s="4">
        <f t="shared" si="1"/>
        <v>1.8361581920903956E-2</v>
      </c>
      <c r="O20">
        <v>690</v>
      </c>
      <c r="P20" s="5">
        <v>1</v>
      </c>
      <c r="Q20" s="7">
        <v>1</v>
      </c>
      <c r="R20" t="str">
        <f t="shared" si="2"/>
        <v>код для проверки</v>
      </c>
      <c r="S20" t="str">
        <f t="shared" si="3"/>
        <v>Низшая четверть</v>
      </c>
      <c r="T20" t="str">
        <f t="shared" si="4"/>
        <v>Вторая четверть</v>
      </c>
      <c r="U20" t="str">
        <f t="shared" si="5"/>
        <v>код для проверки</v>
      </c>
      <c r="V20" t="str">
        <f t="shared" si="6"/>
        <v>Низшая четверть</v>
      </c>
      <c r="W20" t="str">
        <f t="shared" si="7"/>
        <v>Больше половины</v>
      </c>
      <c r="X20">
        <v>8</v>
      </c>
    </row>
    <row r="21" spans="1:24" x14ac:dyDescent="0.35">
      <c r="A21" s="1" t="s">
        <v>81</v>
      </c>
      <c r="B21" s="2" t="s">
        <v>82</v>
      </c>
      <c r="C21" s="3" t="s">
        <v>13</v>
      </c>
      <c r="D21" s="2" t="s">
        <v>49</v>
      </c>
      <c r="E21" s="3" t="s">
        <v>50</v>
      </c>
      <c r="F21" s="2" t="s">
        <v>34</v>
      </c>
      <c r="G21" s="3" t="s">
        <v>17</v>
      </c>
      <c r="H21" s="2" t="s">
        <v>18</v>
      </c>
      <c r="I21" s="3" t="s">
        <v>19</v>
      </c>
      <c r="J21" s="3">
        <v>182483</v>
      </c>
      <c r="K21" s="3">
        <v>6367</v>
      </c>
      <c r="L21" s="3">
        <v>218</v>
      </c>
      <c r="M21" s="4">
        <f t="shared" si="0"/>
        <v>3.4890921346097996E-2</v>
      </c>
      <c r="N21" s="4">
        <f t="shared" si="1"/>
        <v>3.4239045076174021E-2</v>
      </c>
      <c r="O21">
        <v>177</v>
      </c>
      <c r="P21" s="5">
        <v>1</v>
      </c>
      <c r="Q21" s="7">
        <v>1</v>
      </c>
      <c r="R21" t="str">
        <f t="shared" si="2"/>
        <v>код для проверки</v>
      </c>
      <c r="S21" t="str">
        <f t="shared" si="3"/>
        <v>Низшая четверть</v>
      </c>
      <c r="T21" t="str">
        <f t="shared" si="4"/>
        <v>Больше половины</v>
      </c>
      <c r="U21" t="str">
        <f t="shared" si="5"/>
        <v>нормальный код</v>
      </c>
      <c r="V21" t="str">
        <f t="shared" si="6"/>
        <v>Вторая четверть</v>
      </c>
      <c r="W21" t="str">
        <f t="shared" si="7"/>
        <v>Вторая четверть</v>
      </c>
      <c r="X21">
        <v>27</v>
      </c>
    </row>
    <row r="22" spans="1:24" x14ac:dyDescent="0.35">
      <c r="A22" s="1" t="s">
        <v>128</v>
      </c>
      <c r="B22" s="2" t="s">
        <v>129</v>
      </c>
      <c r="C22" s="3" t="s">
        <v>55</v>
      </c>
      <c r="D22" s="2" t="s">
        <v>94</v>
      </c>
      <c r="E22" s="3" t="s">
        <v>95</v>
      </c>
      <c r="F22" s="2" t="s">
        <v>96</v>
      </c>
      <c r="G22" s="3" t="s">
        <v>17</v>
      </c>
      <c r="H22" s="2" t="s">
        <v>97</v>
      </c>
      <c r="I22" s="3" t="s">
        <v>19</v>
      </c>
      <c r="J22" s="3">
        <v>182226</v>
      </c>
      <c r="K22" s="3">
        <v>10534</v>
      </c>
      <c r="L22" s="3">
        <v>134</v>
      </c>
      <c r="M22" s="4">
        <f t="shared" si="0"/>
        <v>5.7807338140550744E-2</v>
      </c>
      <c r="N22" s="4">
        <f t="shared" si="1"/>
        <v>1.2720713878868426E-2</v>
      </c>
      <c r="O22">
        <v>2584</v>
      </c>
      <c r="P22" s="5">
        <v>0.55555555555555558</v>
      </c>
      <c r="Q22" s="7">
        <v>1</v>
      </c>
      <c r="R22" t="str">
        <f t="shared" si="2"/>
        <v>нормальный код</v>
      </c>
      <c r="S22" t="str">
        <f t="shared" si="3"/>
        <v>Вторая четверть</v>
      </c>
      <c r="T22" t="str">
        <f t="shared" si="4"/>
        <v>Вторая четверть</v>
      </c>
      <c r="U22" t="str">
        <f t="shared" si="5"/>
        <v>нормальный код</v>
      </c>
      <c r="V22" t="str">
        <f t="shared" si="6"/>
        <v>Вторая четверть</v>
      </c>
      <c r="W22" t="str">
        <f t="shared" si="7"/>
        <v>Больше половины</v>
      </c>
      <c r="X22">
        <v>19</v>
      </c>
    </row>
    <row r="23" spans="1:24" x14ac:dyDescent="0.35">
      <c r="A23" s="1" t="s">
        <v>179</v>
      </c>
      <c r="B23" s="2" t="s">
        <v>180</v>
      </c>
      <c r="C23" s="3" t="s">
        <v>13</v>
      </c>
      <c r="D23" s="2" t="s">
        <v>14</v>
      </c>
      <c r="E23" s="3" t="s">
        <v>181</v>
      </c>
      <c r="F23" s="2" t="s">
        <v>16</v>
      </c>
      <c r="G23" s="3" t="s">
        <v>17</v>
      </c>
      <c r="H23" s="2" t="s">
        <v>18</v>
      </c>
      <c r="I23" s="3" t="s">
        <v>19</v>
      </c>
      <c r="J23" s="3">
        <v>176297</v>
      </c>
      <c r="K23" s="3">
        <v>7972</v>
      </c>
      <c r="L23" s="3">
        <v>278</v>
      </c>
      <c r="M23" s="4">
        <f t="shared" si="0"/>
        <v>4.5219147234496333E-2</v>
      </c>
      <c r="N23" s="4">
        <f t="shared" si="1"/>
        <v>3.4872052182639238E-2</v>
      </c>
      <c r="O23">
        <v>880</v>
      </c>
      <c r="P23" s="5">
        <v>1</v>
      </c>
      <c r="Q23" s="7">
        <v>1</v>
      </c>
      <c r="R23" t="str">
        <f t="shared" si="2"/>
        <v>код для проверки</v>
      </c>
      <c r="S23" t="str">
        <f t="shared" si="3"/>
        <v>Низшая четверть</v>
      </c>
      <c r="T23" t="str">
        <f t="shared" si="4"/>
        <v>Больше половины</v>
      </c>
      <c r="U23" t="str">
        <f t="shared" si="5"/>
        <v>нормальный код</v>
      </c>
      <c r="V23" t="str">
        <f t="shared" si="6"/>
        <v>Вторая четверть</v>
      </c>
      <c r="W23" t="str">
        <f t="shared" si="7"/>
        <v>Больше половины</v>
      </c>
      <c r="X23">
        <v>13</v>
      </c>
    </row>
    <row r="24" spans="1:24" x14ac:dyDescent="0.35">
      <c r="A24" s="1" t="s">
        <v>221</v>
      </c>
      <c r="B24" s="2" t="s">
        <v>222</v>
      </c>
      <c r="C24" s="3" t="s">
        <v>55</v>
      </c>
      <c r="D24" s="2" t="s">
        <v>56</v>
      </c>
      <c r="E24" s="3" t="s">
        <v>57</v>
      </c>
      <c r="F24" s="2" t="s">
        <v>34</v>
      </c>
      <c r="G24" s="3" t="s">
        <v>17</v>
      </c>
      <c r="H24" s="2" t="s">
        <v>18</v>
      </c>
      <c r="I24" s="3" t="s">
        <v>19</v>
      </c>
      <c r="J24" s="3">
        <v>165841</v>
      </c>
      <c r="K24" s="3">
        <v>9215</v>
      </c>
      <c r="L24" s="3">
        <v>133</v>
      </c>
      <c r="M24" s="4">
        <f t="shared" si="0"/>
        <v>5.5565270349310483E-2</v>
      </c>
      <c r="N24" s="4">
        <f t="shared" si="1"/>
        <v>1.443298969072165E-2</v>
      </c>
      <c r="O24">
        <v>498</v>
      </c>
      <c r="P24" s="5">
        <v>1</v>
      </c>
      <c r="Q24" s="7">
        <v>1</v>
      </c>
      <c r="R24" t="str">
        <f t="shared" si="2"/>
        <v>нормальный код</v>
      </c>
      <c r="S24" t="str">
        <f t="shared" si="3"/>
        <v>Вторая четверть</v>
      </c>
      <c r="T24" t="str">
        <f t="shared" si="4"/>
        <v>Вторая четверть</v>
      </c>
      <c r="U24" t="str">
        <f t="shared" si="5"/>
        <v>нормальный код</v>
      </c>
      <c r="V24" t="str">
        <f t="shared" si="6"/>
        <v>Вторая четверть</v>
      </c>
      <c r="W24" t="str">
        <f t="shared" si="7"/>
        <v>Вторая четверть</v>
      </c>
      <c r="X24">
        <v>16</v>
      </c>
    </row>
    <row r="25" spans="1:24" x14ac:dyDescent="0.35">
      <c r="A25" s="1" t="s">
        <v>565</v>
      </c>
      <c r="B25" s="2" t="s">
        <v>566</v>
      </c>
      <c r="C25" s="3" t="s">
        <v>13</v>
      </c>
      <c r="D25" s="2" t="s">
        <v>567</v>
      </c>
      <c r="E25" s="3" t="s">
        <v>568</v>
      </c>
      <c r="F25" s="2" t="s">
        <v>34</v>
      </c>
      <c r="G25" s="3" t="s">
        <v>17</v>
      </c>
      <c r="H25" s="2" t="s">
        <v>18</v>
      </c>
      <c r="I25" s="3" t="s">
        <v>19</v>
      </c>
      <c r="J25" s="3">
        <v>161562</v>
      </c>
      <c r="K25" s="3">
        <v>13761</v>
      </c>
      <c r="L25" s="3">
        <v>342</v>
      </c>
      <c r="M25" s="4">
        <f t="shared" si="0"/>
        <v>8.5174731681954913E-2</v>
      </c>
      <c r="N25" s="4">
        <f t="shared" si="1"/>
        <v>2.4852844996729889E-2</v>
      </c>
      <c r="O25">
        <v>1177</v>
      </c>
      <c r="P25" s="5">
        <v>1</v>
      </c>
      <c r="Q25" s="7">
        <v>1</v>
      </c>
      <c r="R25" t="str">
        <f t="shared" si="2"/>
        <v>нормальный код</v>
      </c>
      <c r="S25" t="str">
        <f t="shared" si="3"/>
        <v>Вторая четверть</v>
      </c>
      <c r="T25" t="str">
        <f t="shared" si="4"/>
        <v>Больше половины</v>
      </c>
      <c r="U25" t="str">
        <f t="shared" si="5"/>
        <v>нормальный код</v>
      </c>
      <c r="V25" t="str">
        <f t="shared" si="6"/>
        <v>Вторая четверть</v>
      </c>
      <c r="W25" t="str">
        <f t="shared" si="7"/>
        <v>Больше половины</v>
      </c>
      <c r="X25">
        <v>7</v>
      </c>
    </row>
    <row r="26" spans="1:24" x14ac:dyDescent="0.35">
      <c r="A26" s="1" t="s">
        <v>1933</v>
      </c>
      <c r="B26" s="2" t="s">
        <v>1934</v>
      </c>
      <c r="C26" s="3" t="s">
        <v>13</v>
      </c>
      <c r="D26" s="2" t="s">
        <v>49</v>
      </c>
      <c r="E26" s="3" t="s">
        <v>50</v>
      </c>
      <c r="F26" s="2" t="s">
        <v>34</v>
      </c>
      <c r="G26" s="3" t="s">
        <v>35</v>
      </c>
      <c r="H26" s="2" t="s">
        <v>18</v>
      </c>
      <c r="I26" s="3" t="s">
        <v>19</v>
      </c>
      <c r="J26" s="3">
        <v>157792</v>
      </c>
      <c r="K26" s="3">
        <v>8844</v>
      </c>
      <c r="L26" s="3">
        <v>566</v>
      </c>
      <c r="M26" s="4">
        <f t="shared" si="0"/>
        <v>5.6048468870411684E-2</v>
      </c>
      <c r="N26" s="4">
        <f t="shared" si="1"/>
        <v>6.3998190863862506E-2</v>
      </c>
      <c r="O26">
        <v>473</v>
      </c>
      <c r="P26" s="5">
        <v>1</v>
      </c>
      <c r="Q26" s="7">
        <v>1</v>
      </c>
      <c r="R26" t="str">
        <f t="shared" si="2"/>
        <v>нормальный код</v>
      </c>
      <c r="S26" t="str">
        <f t="shared" si="3"/>
        <v>Вторая четверть</v>
      </c>
      <c r="T26" t="str">
        <f t="shared" si="4"/>
        <v>Больше половины</v>
      </c>
      <c r="U26" t="str">
        <f t="shared" si="5"/>
        <v>нормальный код</v>
      </c>
      <c r="V26" t="str">
        <f t="shared" si="6"/>
        <v>Больше половины</v>
      </c>
      <c r="W26" t="str">
        <f t="shared" si="7"/>
        <v>Больше половины</v>
      </c>
      <c r="X26">
        <v>17</v>
      </c>
    </row>
    <row r="27" spans="1:24" x14ac:dyDescent="0.35">
      <c r="A27" s="1" t="s">
        <v>539</v>
      </c>
      <c r="B27" s="2" t="s">
        <v>540</v>
      </c>
      <c r="C27" s="3" t="s">
        <v>55</v>
      </c>
      <c r="D27" s="2" t="s">
        <v>94</v>
      </c>
      <c r="E27" s="3" t="s">
        <v>95</v>
      </c>
      <c r="F27" s="2" t="s">
        <v>96</v>
      </c>
      <c r="G27" s="3" t="s">
        <v>17</v>
      </c>
      <c r="H27" s="2" t="s">
        <v>97</v>
      </c>
      <c r="I27" s="3" t="s">
        <v>19</v>
      </c>
      <c r="J27" s="3">
        <v>154955</v>
      </c>
      <c r="K27" s="3">
        <v>7386</v>
      </c>
      <c r="L27" s="3">
        <v>124</v>
      </c>
      <c r="M27" s="4">
        <f t="shared" si="0"/>
        <v>4.7665451260043241E-2</v>
      </c>
      <c r="N27" s="4">
        <f t="shared" si="1"/>
        <v>1.6788518819388032E-2</v>
      </c>
      <c r="O27">
        <v>3761</v>
      </c>
      <c r="P27" s="5">
        <v>0.66666666666666663</v>
      </c>
      <c r="Q27" s="7">
        <v>1</v>
      </c>
      <c r="R27" t="str">
        <f t="shared" si="2"/>
        <v>нормальный код</v>
      </c>
      <c r="S27" t="str">
        <f t="shared" si="3"/>
        <v>Вторая четверть</v>
      </c>
      <c r="T27" t="str">
        <f t="shared" si="4"/>
        <v>Вторая четверть</v>
      </c>
      <c r="U27" t="str">
        <f t="shared" si="5"/>
        <v>код для проверки</v>
      </c>
      <c r="V27" t="str">
        <f t="shared" si="6"/>
        <v>Низшая четверть</v>
      </c>
      <c r="W27" t="str">
        <f t="shared" si="7"/>
        <v>Больше половины</v>
      </c>
      <c r="X27">
        <v>17</v>
      </c>
    </row>
    <row r="28" spans="1:24" x14ac:dyDescent="0.35">
      <c r="A28" s="1" t="s">
        <v>954</v>
      </c>
      <c r="B28" s="2" t="s">
        <v>955</v>
      </c>
      <c r="C28" s="3" t="s">
        <v>13</v>
      </c>
      <c r="D28" s="2" t="s">
        <v>38</v>
      </c>
      <c r="E28" s="3" t="s">
        <v>39</v>
      </c>
      <c r="F28" s="2" t="s">
        <v>34</v>
      </c>
      <c r="G28" s="3" t="s">
        <v>17</v>
      </c>
      <c r="H28" s="2" t="s">
        <v>18</v>
      </c>
      <c r="I28" s="3" t="s">
        <v>19</v>
      </c>
      <c r="J28" s="3">
        <v>153824</v>
      </c>
      <c r="K28" s="3">
        <v>8574</v>
      </c>
      <c r="L28" s="3">
        <v>403</v>
      </c>
      <c r="M28" s="4">
        <f t="shared" si="0"/>
        <v>5.5739026419804452E-2</v>
      </c>
      <c r="N28" s="4">
        <f t="shared" si="1"/>
        <v>4.7002565896897594E-2</v>
      </c>
      <c r="O28">
        <v>947</v>
      </c>
      <c r="P28" s="5">
        <v>1</v>
      </c>
      <c r="Q28" s="7">
        <v>1</v>
      </c>
      <c r="R28" t="str">
        <f t="shared" si="2"/>
        <v>нормальный код</v>
      </c>
      <c r="S28" t="str">
        <f t="shared" si="3"/>
        <v>Вторая четверть</v>
      </c>
      <c r="T28" t="str">
        <f t="shared" si="4"/>
        <v>Больше половины</v>
      </c>
      <c r="U28" t="str">
        <f t="shared" si="5"/>
        <v>нормальный код</v>
      </c>
      <c r="V28" t="str">
        <f t="shared" si="6"/>
        <v>Вторая четверть</v>
      </c>
      <c r="W28" t="str">
        <f t="shared" si="7"/>
        <v>Больше половины</v>
      </c>
      <c r="X28">
        <v>22</v>
      </c>
    </row>
    <row r="29" spans="1:24" x14ac:dyDescent="0.35">
      <c r="A29" s="1" t="s">
        <v>90</v>
      </c>
      <c r="B29" s="2" t="s">
        <v>91</v>
      </c>
      <c r="C29" s="3" t="s">
        <v>13</v>
      </c>
      <c r="D29" s="2" t="s">
        <v>77</v>
      </c>
      <c r="E29" s="3" t="s">
        <v>89</v>
      </c>
      <c r="F29" s="2" t="s">
        <v>34</v>
      </c>
      <c r="G29" s="3" t="s">
        <v>35</v>
      </c>
      <c r="H29" s="2" t="s">
        <v>18</v>
      </c>
      <c r="I29" s="3" t="s">
        <v>19</v>
      </c>
      <c r="J29" s="3">
        <v>149834</v>
      </c>
      <c r="K29" s="3">
        <v>13339</v>
      </c>
      <c r="L29" s="3">
        <v>384</v>
      </c>
      <c r="M29" s="4">
        <f t="shared" si="0"/>
        <v>8.9025187874581205E-2</v>
      </c>
      <c r="N29" s="4">
        <f t="shared" si="1"/>
        <v>2.8787765199790091E-2</v>
      </c>
      <c r="O29">
        <v>1844</v>
      </c>
      <c r="P29" s="5">
        <v>1</v>
      </c>
      <c r="Q29" s="7">
        <v>1</v>
      </c>
      <c r="R29" t="str">
        <f t="shared" si="2"/>
        <v>нормальный код</v>
      </c>
      <c r="S29" t="str">
        <f t="shared" si="3"/>
        <v>Вторая четверть</v>
      </c>
      <c r="T29" t="str">
        <f t="shared" si="4"/>
        <v>Больше половины</v>
      </c>
      <c r="U29" t="str">
        <f t="shared" si="5"/>
        <v>нормальный код</v>
      </c>
      <c r="V29" t="str">
        <f t="shared" si="6"/>
        <v>Вторая четверть</v>
      </c>
      <c r="W29" t="str">
        <f t="shared" si="7"/>
        <v>Больше половины</v>
      </c>
      <c r="X29">
        <v>14</v>
      </c>
    </row>
    <row r="30" spans="1:24" x14ac:dyDescent="0.35">
      <c r="A30" s="1" t="s">
        <v>1440</v>
      </c>
      <c r="B30" s="2" t="s">
        <v>1441</v>
      </c>
      <c r="C30" s="3" t="s">
        <v>55</v>
      </c>
      <c r="D30" s="2" t="s">
        <v>295</v>
      </c>
      <c r="E30" s="3" t="s">
        <v>674</v>
      </c>
      <c r="F30" s="2" t="s">
        <v>16</v>
      </c>
      <c r="G30" s="3" t="s">
        <v>17</v>
      </c>
      <c r="H30" s="2" t="s">
        <v>97</v>
      </c>
      <c r="I30" s="3" t="s">
        <v>19</v>
      </c>
      <c r="J30" s="3">
        <v>149609</v>
      </c>
      <c r="K30" s="3">
        <v>11256</v>
      </c>
      <c r="L30" s="3">
        <v>284</v>
      </c>
      <c r="M30" s="4">
        <f t="shared" si="0"/>
        <v>7.5236115474336437E-2</v>
      </c>
      <c r="N30" s="4">
        <f t="shared" si="1"/>
        <v>2.523098791755508E-2</v>
      </c>
      <c r="O30">
        <v>490</v>
      </c>
      <c r="P30" s="5">
        <v>1</v>
      </c>
      <c r="Q30" s="7">
        <v>1</v>
      </c>
      <c r="R30" t="str">
        <f t="shared" si="2"/>
        <v>нормальный код</v>
      </c>
      <c r="S30" t="str">
        <f t="shared" si="3"/>
        <v>Вторая четверть</v>
      </c>
      <c r="T30" t="str">
        <f t="shared" si="4"/>
        <v>Больше половины</v>
      </c>
      <c r="U30" t="str">
        <f t="shared" si="5"/>
        <v>код для проверки</v>
      </c>
      <c r="V30" t="str">
        <f t="shared" si="6"/>
        <v>Низшая четверть</v>
      </c>
      <c r="W30" t="str">
        <f t="shared" si="7"/>
        <v>Больше половины</v>
      </c>
      <c r="X30">
        <v>12</v>
      </c>
    </row>
    <row r="31" spans="1:24" x14ac:dyDescent="0.35">
      <c r="A31" s="1" t="s">
        <v>1952</v>
      </c>
      <c r="B31" s="2" t="s">
        <v>1953</v>
      </c>
      <c r="C31" s="3" t="s">
        <v>13</v>
      </c>
      <c r="D31" s="2" t="s">
        <v>69</v>
      </c>
      <c r="E31" s="3" t="s">
        <v>1954</v>
      </c>
      <c r="F31" s="2" t="s">
        <v>61</v>
      </c>
      <c r="G31" s="3" t="s">
        <v>72</v>
      </c>
      <c r="H31" s="2" t="s">
        <v>18</v>
      </c>
      <c r="I31" s="3" t="s">
        <v>19</v>
      </c>
      <c r="J31" s="3">
        <v>148494</v>
      </c>
      <c r="K31" s="3">
        <v>12864</v>
      </c>
      <c r="L31" s="3">
        <v>207</v>
      </c>
      <c r="M31" s="4">
        <f t="shared" si="0"/>
        <v>8.6629762818699746E-2</v>
      </c>
      <c r="N31" s="4">
        <f t="shared" si="1"/>
        <v>1.6091417910447763E-2</v>
      </c>
      <c r="O31">
        <v>371</v>
      </c>
      <c r="P31" s="5">
        <v>1</v>
      </c>
      <c r="Q31" s="7">
        <v>1</v>
      </c>
      <c r="R31" t="str">
        <f t="shared" si="2"/>
        <v>нормальный код</v>
      </c>
      <c r="S31" t="str">
        <f t="shared" si="3"/>
        <v>Вторая четверть</v>
      </c>
      <c r="T31" t="str">
        <f t="shared" si="4"/>
        <v>Вторая четверть</v>
      </c>
      <c r="U31" t="str">
        <f t="shared" si="5"/>
        <v>нормальный код</v>
      </c>
      <c r="V31" t="str">
        <f t="shared" si="6"/>
        <v>Больше половины</v>
      </c>
      <c r="W31" t="str">
        <f t="shared" si="7"/>
        <v>Больше половины</v>
      </c>
      <c r="X31">
        <v>19</v>
      </c>
    </row>
    <row r="32" spans="1:24" x14ac:dyDescent="0.35">
      <c r="A32" s="1" t="s">
        <v>47</v>
      </c>
      <c r="B32" s="2" t="s">
        <v>48</v>
      </c>
      <c r="C32" s="3" t="s">
        <v>13</v>
      </c>
      <c r="D32" s="2" t="s">
        <v>49</v>
      </c>
      <c r="E32" s="3" t="s">
        <v>50</v>
      </c>
      <c r="F32" s="2" t="s">
        <v>34</v>
      </c>
      <c r="G32" s="3" t="s">
        <v>17</v>
      </c>
      <c r="H32" s="2" t="s">
        <v>18</v>
      </c>
      <c r="I32" s="3" t="s">
        <v>19</v>
      </c>
      <c r="J32" s="3">
        <v>146885</v>
      </c>
      <c r="K32" s="3">
        <v>3720</v>
      </c>
      <c r="L32" s="3">
        <v>158</v>
      </c>
      <c r="M32" s="4">
        <f t="shared" si="0"/>
        <v>2.5325935255471967E-2</v>
      </c>
      <c r="N32" s="4">
        <f t="shared" si="1"/>
        <v>4.2473118279569892E-2</v>
      </c>
      <c r="O32">
        <v>1433</v>
      </c>
      <c r="P32" s="5">
        <v>1</v>
      </c>
      <c r="Q32" s="7">
        <v>1</v>
      </c>
      <c r="R32" t="str">
        <f t="shared" si="2"/>
        <v>код для проверки</v>
      </c>
      <c r="S32" t="str">
        <f t="shared" si="3"/>
        <v>Низшая четверть</v>
      </c>
      <c r="T32" t="str">
        <f t="shared" si="4"/>
        <v>Больше половины</v>
      </c>
      <c r="U32" t="str">
        <f t="shared" si="5"/>
        <v>нормальный код</v>
      </c>
      <c r="V32" t="str">
        <f t="shared" si="6"/>
        <v>Вторая четверть</v>
      </c>
      <c r="W32" t="str">
        <f t="shared" si="7"/>
        <v>Больше половины</v>
      </c>
      <c r="X32">
        <v>23</v>
      </c>
    </row>
    <row r="33" spans="1:24" x14ac:dyDescent="0.35">
      <c r="A33" s="1" t="s">
        <v>1057</v>
      </c>
      <c r="B33" s="2" t="s">
        <v>1058</v>
      </c>
      <c r="C33" s="3" t="s">
        <v>55</v>
      </c>
      <c r="D33" s="2" t="s">
        <v>295</v>
      </c>
      <c r="E33" s="3" t="s">
        <v>296</v>
      </c>
      <c r="F33" s="2" t="s">
        <v>61</v>
      </c>
      <c r="G33" s="3" t="s">
        <v>17</v>
      </c>
      <c r="H33" s="2" t="s">
        <v>97</v>
      </c>
      <c r="I33" s="3" t="s">
        <v>19</v>
      </c>
      <c r="J33" s="3">
        <v>145972</v>
      </c>
      <c r="K33" s="3">
        <v>14034</v>
      </c>
      <c r="L33" s="3">
        <v>397</v>
      </c>
      <c r="M33" s="4">
        <f t="shared" si="0"/>
        <v>9.6141725810429401E-2</v>
      </c>
      <c r="N33" s="4">
        <f t="shared" si="1"/>
        <v>2.8288442354282458E-2</v>
      </c>
      <c r="O33">
        <v>401</v>
      </c>
      <c r="P33" s="5">
        <v>1</v>
      </c>
      <c r="Q33" s="7">
        <v>1</v>
      </c>
      <c r="R33" t="str">
        <f t="shared" si="2"/>
        <v>нормальный код</v>
      </c>
      <c r="S33" t="str">
        <f t="shared" si="3"/>
        <v>Больше половины</v>
      </c>
      <c r="T33" t="str">
        <f t="shared" si="4"/>
        <v>Больше половины</v>
      </c>
      <c r="U33" t="str">
        <f t="shared" si="5"/>
        <v>нормальный код</v>
      </c>
      <c r="V33" t="str">
        <f t="shared" si="6"/>
        <v>Вторая четверть</v>
      </c>
      <c r="W33" t="str">
        <f t="shared" si="7"/>
        <v>Больше половины</v>
      </c>
      <c r="X33">
        <v>16</v>
      </c>
    </row>
    <row r="34" spans="1:24" x14ac:dyDescent="0.35">
      <c r="A34" s="1" t="s">
        <v>26</v>
      </c>
      <c r="B34" s="2" t="s">
        <v>27</v>
      </c>
      <c r="C34" s="3" t="s">
        <v>13</v>
      </c>
      <c r="D34" s="2" t="s">
        <v>14</v>
      </c>
      <c r="E34" s="3" t="s">
        <v>15</v>
      </c>
      <c r="F34" s="2" t="s">
        <v>16</v>
      </c>
      <c r="G34" s="3" t="s">
        <v>17</v>
      </c>
      <c r="H34" s="2" t="s">
        <v>18</v>
      </c>
      <c r="I34" s="3" t="s">
        <v>19</v>
      </c>
      <c r="J34" s="3">
        <v>131067</v>
      </c>
      <c r="K34" s="3">
        <v>6107</v>
      </c>
      <c r="L34" s="3">
        <v>85</v>
      </c>
      <c r="M34" s="4">
        <f t="shared" si="0"/>
        <v>4.6594489841073651E-2</v>
      </c>
      <c r="N34" s="4">
        <f t="shared" si="1"/>
        <v>1.3918454232847552E-2</v>
      </c>
      <c r="O34">
        <v>1112</v>
      </c>
      <c r="P34" s="5">
        <v>1</v>
      </c>
      <c r="Q34" s="7">
        <v>1</v>
      </c>
      <c r="R34" t="str">
        <f t="shared" si="2"/>
        <v>код для проверки</v>
      </c>
      <c r="S34" t="str">
        <f t="shared" si="3"/>
        <v>Низшая четверть</v>
      </c>
      <c r="T34" t="str">
        <f t="shared" si="4"/>
        <v>Вторая четверть</v>
      </c>
      <c r="U34" t="str">
        <f t="shared" si="5"/>
        <v>нормальный код</v>
      </c>
      <c r="V34" t="str">
        <f t="shared" si="6"/>
        <v>Вторая четверть</v>
      </c>
      <c r="W34" t="str">
        <f t="shared" si="7"/>
        <v>Вторая четверть</v>
      </c>
      <c r="X34">
        <v>7</v>
      </c>
    </row>
    <row r="35" spans="1:24" x14ac:dyDescent="0.35">
      <c r="A35" s="1" t="s">
        <v>329</v>
      </c>
      <c r="B35" s="2" t="s">
        <v>330</v>
      </c>
      <c r="C35" s="3" t="s">
        <v>13</v>
      </c>
      <c r="D35" s="2" t="s">
        <v>155</v>
      </c>
      <c r="E35" s="3" t="s">
        <v>156</v>
      </c>
      <c r="F35" s="2" t="s">
        <v>34</v>
      </c>
      <c r="G35" s="3" t="s">
        <v>35</v>
      </c>
      <c r="H35" s="2" t="s">
        <v>18</v>
      </c>
      <c r="I35" s="3" t="s">
        <v>19</v>
      </c>
      <c r="J35" s="3">
        <v>130015</v>
      </c>
      <c r="K35" s="3">
        <v>14489</v>
      </c>
      <c r="L35" s="3">
        <v>286</v>
      </c>
      <c r="M35" s="4">
        <f t="shared" si="0"/>
        <v>0.11144098757835634</v>
      </c>
      <c r="N35" s="4">
        <f t="shared" si="1"/>
        <v>1.9739112430119402E-2</v>
      </c>
      <c r="O35">
        <v>709</v>
      </c>
      <c r="P35" s="5">
        <v>1</v>
      </c>
      <c r="Q35" s="7">
        <v>1</v>
      </c>
      <c r="R35" t="str">
        <f t="shared" si="2"/>
        <v>нормальный код</v>
      </c>
      <c r="S35" t="str">
        <f t="shared" si="3"/>
        <v>Больше половины</v>
      </c>
      <c r="T35" t="str">
        <f t="shared" si="4"/>
        <v>Вторая четверть</v>
      </c>
      <c r="U35" t="str">
        <f t="shared" si="5"/>
        <v>нормальный код</v>
      </c>
      <c r="V35" t="str">
        <f t="shared" si="6"/>
        <v>Больше половины</v>
      </c>
      <c r="W35" t="str">
        <f t="shared" si="7"/>
        <v>Больше половины</v>
      </c>
      <c r="X35">
        <v>19</v>
      </c>
    </row>
    <row r="36" spans="1:24" x14ac:dyDescent="0.35">
      <c r="A36" s="1" t="s">
        <v>930</v>
      </c>
      <c r="B36" s="2" t="s">
        <v>931</v>
      </c>
      <c r="C36" s="3" t="s">
        <v>13</v>
      </c>
      <c r="D36" s="2" t="s">
        <v>77</v>
      </c>
      <c r="E36" s="3" t="s">
        <v>78</v>
      </c>
      <c r="F36" s="2" t="s">
        <v>34</v>
      </c>
      <c r="G36" s="3" t="s">
        <v>17</v>
      </c>
      <c r="H36" s="2" t="s">
        <v>18</v>
      </c>
      <c r="I36" s="3" t="s">
        <v>19</v>
      </c>
      <c r="J36" s="3">
        <v>127757</v>
      </c>
      <c r="K36" s="3">
        <v>12266</v>
      </c>
      <c r="L36" s="3">
        <v>401</v>
      </c>
      <c r="M36" s="4">
        <f t="shared" si="0"/>
        <v>9.6010394733752363E-2</v>
      </c>
      <c r="N36" s="4">
        <f t="shared" si="1"/>
        <v>3.2691994130115767E-2</v>
      </c>
      <c r="O36">
        <v>290</v>
      </c>
      <c r="P36" s="5">
        <v>1</v>
      </c>
      <c r="Q36" s="7">
        <v>1</v>
      </c>
      <c r="R36" t="str">
        <f t="shared" si="2"/>
        <v>нормальный код</v>
      </c>
      <c r="S36" t="str">
        <f t="shared" si="3"/>
        <v>Больше половины</v>
      </c>
      <c r="T36" t="str">
        <f t="shared" si="4"/>
        <v>Больше половины</v>
      </c>
      <c r="U36" t="str">
        <f t="shared" si="5"/>
        <v>нормальный код</v>
      </c>
      <c r="V36" t="str">
        <f t="shared" si="6"/>
        <v>Больше половины</v>
      </c>
      <c r="W36" t="str">
        <f t="shared" si="7"/>
        <v>Больше половины</v>
      </c>
      <c r="X36">
        <v>18</v>
      </c>
    </row>
    <row r="37" spans="1:24" x14ac:dyDescent="0.35">
      <c r="A37" s="1" t="s">
        <v>151</v>
      </c>
      <c r="B37" s="2" t="s">
        <v>152</v>
      </c>
      <c r="C37" s="3" t="s">
        <v>13</v>
      </c>
      <c r="D37" s="2" t="s">
        <v>49</v>
      </c>
      <c r="E37" s="3" t="s">
        <v>50</v>
      </c>
      <c r="F37" s="2" t="s">
        <v>34</v>
      </c>
      <c r="G37" s="3" t="s">
        <v>35</v>
      </c>
      <c r="H37" s="2" t="s">
        <v>18</v>
      </c>
      <c r="I37" s="3" t="s">
        <v>19</v>
      </c>
      <c r="J37" s="3">
        <v>127675</v>
      </c>
      <c r="K37" s="3">
        <v>8349</v>
      </c>
      <c r="L37" s="3">
        <v>362</v>
      </c>
      <c r="M37" s="4">
        <f t="shared" si="0"/>
        <v>6.5392598394360679E-2</v>
      </c>
      <c r="N37" s="4">
        <f t="shared" si="1"/>
        <v>4.3358486046233082E-2</v>
      </c>
      <c r="O37">
        <v>320</v>
      </c>
      <c r="P37" s="5">
        <v>1</v>
      </c>
      <c r="Q37" s="7">
        <v>1</v>
      </c>
      <c r="R37" t="str">
        <f t="shared" si="2"/>
        <v>нормальный код</v>
      </c>
      <c r="S37" t="str">
        <f t="shared" si="3"/>
        <v>Вторая четверть</v>
      </c>
      <c r="T37" t="str">
        <f t="shared" si="4"/>
        <v>Больше половины</v>
      </c>
      <c r="U37" t="str">
        <f t="shared" si="5"/>
        <v>нормальный код</v>
      </c>
      <c r="V37" t="str">
        <f t="shared" si="6"/>
        <v>Больше половины</v>
      </c>
      <c r="W37" t="str">
        <f t="shared" si="7"/>
        <v>Больше половины</v>
      </c>
      <c r="X37">
        <v>23</v>
      </c>
    </row>
    <row r="38" spans="1:24" x14ac:dyDescent="0.35">
      <c r="A38" s="1" t="s">
        <v>473</v>
      </c>
      <c r="B38" s="2" t="s">
        <v>474</v>
      </c>
      <c r="C38" s="3" t="s">
        <v>13</v>
      </c>
      <c r="D38" s="2" t="s">
        <v>38</v>
      </c>
      <c r="E38" s="3" t="s">
        <v>39</v>
      </c>
      <c r="F38" s="2" t="s">
        <v>34</v>
      </c>
      <c r="G38" s="3" t="s">
        <v>35</v>
      </c>
      <c r="H38" s="2" t="s">
        <v>18</v>
      </c>
      <c r="I38" s="3" t="s">
        <v>19</v>
      </c>
      <c r="J38" s="3">
        <v>127539</v>
      </c>
      <c r="K38" s="3">
        <v>9847</v>
      </c>
      <c r="L38" s="3">
        <v>216</v>
      </c>
      <c r="M38" s="4">
        <f t="shared" si="0"/>
        <v>7.7207756058930987E-2</v>
      </c>
      <c r="N38" s="4">
        <f t="shared" si="1"/>
        <v>2.1935614908093835E-2</v>
      </c>
      <c r="O38">
        <v>671</v>
      </c>
      <c r="P38" s="5">
        <v>1</v>
      </c>
      <c r="Q38" s="7">
        <v>1</v>
      </c>
      <c r="R38" t="str">
        <f t="shared" si="2"/>
        <v>нормальный код</v>
      </c>
      <c r="S38" t="str">
        <f t="shared" si="3"/>
        <v>Вторая четверть</v>
      </c>
      <c r="T38" t="str">
        <f t="shared" si="4"/>
        <v>Больше половины</v>
      </c>
      <c r="U38" t="str">
        <f t="shared" si="5"/>
        <v>нормальный код</v>
      </c>
      <c r="V38" t="str">
        <f t="shared" si="6"/>
        <v>Больше половины</v>
      </c>
      <c r="W38" t="str">
        <f t="shared" si="7"/>
        <v>Вторая четверть</v>
      </c>
      <c r="X38">
        <v>9</v>
      </c>
    </row>
    <row r="39" spans="1:24" x14ac:dyDescent="0.35">
      <c r="A39" s="1" t="s">
        <v>24</v>
      </c>
      <c r="B39" s="2" t="s">
        <v>25</v>
      </c>
      <c r="C39" s="3" t="s">
        <v>13</v>
      </c>
      <c r="D39" s="2" t="s">
        <v>22</v>
      </c>
      <c r="E39" s="3" t="s">
        <v>23</v>
      </c>
      <c r="F39" s="2" t="s">
        <v>16</v>
      </c>
      <c r="G39" s="3" t="s">
        <v>17</v>
      </c>
      <c r="H39" s="2" t="s">
        <v>18</v>
      </c>
      <c r="I39" s="3" t="s">
        <v>19</v>
      </c>
      <c r="J39" s="3">
        <v>127272</v>
      </c>
      <c r="K39" s="3">
        <v>6556</v>
      </c>
      <c r="L39" s="3">
        <v>71</v>
      </c>
      <c r="M39" s="4">
        <f t="shared" si="0"/>
        <v>5.1511722924130997E-2</v>
      </c>
      <c r="N39" s="4">
        <f t="shared" si="1"/>
        <v>1.0829774252593044E-2</v>
      </c>
      <c r="O39">
        <v>928</v>
      </c>
      <c r="P39" s="5">
        <v>1</v>
      </c>
      <c r="Q39" s="7">
        <v>1</v>
      </c>
      <c r="R39" t="str">
        <f t="shared" si="2"/>
        <v>нормальный код</v>
      </c>
      <c r="S39" t="str">
        <f t="shared" si="3"/>
        <v>Вторая четверть</v>
      </c>
      <c r="T39" t="str">
        <f t="shared" si="4"/>
        <v>Вторая четверть</v>
      </c>
      <c r="U39" t="str">
        <f t="shared" si="5"/>
        <v>нормальный код</v>
      </c>
      <c r="V39" t="str">
        <f t="shared" si="6"/>
        <v>Вторая четверть</v>
      </c>
      <c r="W39" t="str">
        <f t="shared" si="7"/>
        <v>Вторая четверть</v>
      </c>
      <c r="X39">
        <v>8</v>
      </c>
    </row>
    <row r="40" spans="1:24" x14ac:dyDescent="0.35">
      <c r="A40" s="1" t="s">
        <v>1965</v>
      </c>
      <c r="B40" s="2" t="s">
        <v>1966</v>
      </c>
      <c r="C40" s="3" t="s">
        <v>13</v>
      </c>
      <c r="D40" s="2" t="s">
        <v>22</v>
      </c>
      <c r="E40" s="3" t="s">
        <v>66</v>
      </c>
      <c r="F40" s="2" t="s">
        <v>16</v>
      </c>
      <c r="G40" s="3" t="s">
        <v>17</v>
      </c>
      <c r="H40" s="2" t="s">
        <v>18</v>
      </c>
      <c r="I40" s="3" t="s">
        <v>19</v>
      </c>
      <c r="J40" s="3">
        <v>126328</v>
      </c>
      <c r="K40" s="3">
        <v>9800</v>
      </c>
      <c r="L40" s="3">
        <v>196</v>
      </c>
      <c r="M40" s="4">
        <f t="shared" si="0"/>
        <v>7.7575834336014185E-2</v>
      </c>
      <c r="N40" s="4">
        <f t="shared" si="1"/>
        <v>0.02</v>
      </c>
      <c r="O40">
        <v>280</v>
      </c>
      <c r="P40" s="5">
        <v>1</v>
      </c>
      <c r="Q40" s="7">
        <v>1</v>
      </c>
      <c r="R40" t="str">
        <f t="shared" si="2"/>
        <v>нормальный код</v>
      </c>
      <c r="S40" t="str">
        <f t="shared" si="3"/>
        <v>Вторая четверть</v>
      </c>
      <c r="T40" t="str">
        <f t="shared" si="4"/>
        <v>Вторая четверть</v>
      </c>
      <c r="U40" t="str">
        <f t="shared" si="5"/>
        <v>нормальный код</v>
      </c>
      <c r="V40" t="str">
        <f t="shared" si="6"/>
        <v>Больше половины</v>
      </c>
      <c r="W40" t="str">
        <f t="shared" si="7"/>
        <v>Больше половины</v>
      </c>
      <c r="X40">
        <v>23</v>
      </c>
    </row>
    <row r="41" spans="1:24" x14ac:dyDescent="0.35">
      <c r="A41" s="1" t="s">
        <v>115</v>
      </c>
      <c r="B41" s="2" t="s">
        <v>116</v>
      </c>
      <c r="C41" s="3" t="s">
        <v>13</v>
      </c>
      <c r="D41" s="2" t="s">
        <v>49</v>
      </c>
      <c r="E41" s="3" t="s">
        <v>50</v>
      </c>
      <c r="F41" s="2" t="s">
        <v>34</v>
      </c>
      <c r="G41" s="3" t="s">
        <v>17</v>
      </c>
      <c r="H41" s="2" t="s">
        <v>18</v>
      </c>
      <c r="I41" s="3" t="s">
        <v>19</v>
      </c>
      <c r="J41" s="3">
        <v>125258</v>
      </c>
      <c r="K41" s="3">
        <v>4551</v>
      </c>
      <c r="L41" s="3">
        <v>187</v>
      </c>
      <c r="M41" s="4">
        <f t="shared" si="0"/>
        <v>3.6333008670104902E-2</v>
      </c>
      <c r="N41" s="4">
        <f t="shared" si="1"/>
        <v>4.1089870358163041E-2</v>
      </c>
      <c r="O41">
        <v>953</v>
      </c>
      <c r="P41" s="5">
        <v>1</v>
      </c>
      <c r="Q41" s="7">
        <v>1</v>
      </c>
      <c r="R41" t="str">
        <f t="shared" si="2"/>
        <v>код для проверки</v>
      </c>
      <c r="S41" t="str">
        <f t="shared" si="3"/>
        <v>Низшая четверть</v>
      </c>
      <c r="T41" t="str">
        <f t="shared" si="4"/>
        <v>Больше половины</v>
      </c>
      <c r="U41" t="str">
        <f t="shared" si="5"/>
        <v>нормальный код</v>
      </c>
      <c r="V41" t="str">
        <f t="shared" si="6"/>
        <v>Вторая четверть</v>
      </c>
      <c r="W41" t="str">
        <f t="shared" si="7"/>
        <v>Больше половины</v>
      </c>
      <c r="X41">
        <v>24</v>
      </c>
    </row>
    <row r="42" spans="1:24" x14ac:dyDescent="0.35">
      <c r="A42" s="1" t="s">
        <v>100</v>
      </c>
      <c r="B42" s="2" t="s">
        <v>101</v>
      </c>
      <c r="C42" s="3" t="s">
        <v>13</v>
      </c>
      <c r="D42" s="2" t="s">
        <v>49</v>
      </c>
      <c r="E42" s="3" t="s">
        <v>50</v>
      </c>
      <c r="F42" s="2" t="s">
        <v>34</v>
      </c>
      <c r="G42" s="3" t="s">
        <v>17</v>
      </c>
      <c r="H42" s="2" t="s">
        <v>18</v>
      </c>
      <c r="I42" s="3" t="s">
        <v>19</v>
      </c>
      <c r="J42" s="3">
        <v>124650</v>
      </c>
      <c r="K42" s="3">
        <v>4745</v>
      </c>
      <c r="L42" s="3">
        <v>147</v>
      </c>
      <c r="M42" s="4">
        <f t="shared" si="0"/>
        <v>3.8066586442037705E-2</v>
      </c>
      <c r="N42" s="4">
        <f t="shared" si="1"/>
        <v>3.0979978925184403E-2</v>
      </c>
      <c r="O42">
        <v>1521</v>
      </c>
      <c r="P42" s="5">
        <v>1</v>
      </c>
      <c r="Q42" s="7">
        <v>1</v>
      </c>
      <c r="R42" t="str">
        <f t="shared" si="2"/>
        <v>код для проверки</v>
      </c>
      <c r="S42" t="str">
        <f t="shared" si="3"/>
        <v>Низшая четверть</v>
      </c>
      <c r="T42" t="str">
        <f t="shared" si="4"/>
        <v>Больше половины</v>
      </c>
      <c r="U42" t="str">
        <f t="shared" si="5"/>
        <v>нормальный код</v>
      </c>
      <c r="V42" t="str">
        <f t="shared" si="6"/>
        <v>Вторая четверть</v>
      </c>
      <c r="W42" t="str">
        <f t="shared" si="7"/>
        <v>Вторая четверть</v>
      </c>
      <c r="X42">
        <v>22</v>
      </c>
    </row>
    <row r="43" spans="1:24" x14ac:dyDescent="0.35">
      <c r="A43" s="1" t="s">
        <v>40</v>
      </c>
      <c r="B43" s="2" t="s">
        <v>41</v>
      </c>
      <c r="C43" s="3" t="s">
        <v>13</v>
      </c>
      <c r="D43" s="2" t="s">
        <v>42</v>
      </c>
      <c r="E43" s="3" t="s">
        <v>43</v>
      </c>
      <c r="F43" s="2" t="s">
        <v>44</v>
      </c>
      <c r="G43" s="3" t="s">
        <v>35</v>
      </c>
      <c r="H43" s="2" t="s">
        <v>18</v>
      </c>
      <c r="I43" s="3" t="s">
        <v>19</v>
      </c>
      <c r="J43" s="3">
        <v>120839</v>
      </c>
      <c r="K43" s="3">
        <v>7144</v>
      </c>
      <c r="L43" s="3">
        <v>103</v>
      </c>
      <c r="M43" s="4">
        <f t="shared" si="0"/>
        <v>5.9119986097203717E-2</v>
      </c>
      <c r="N43" s="4">
        <f t="shared" si="1"/>
        <v>1.4417693169092945E-2</v>
      </c>
      <c r="O43">
        <v>2</v>
      </c>
      <c r="P43" s="5">
        <v>0.8</v>
      </c>
      <c r="Q43" s="7">
        <v>0</v>
      </c>
      <c r="R43" t="s">
        <v>2350</v>
      </c>
      <c r="S43" t="str">
        <f t="shared" si="3"/>
        <v>Вторая четверть</v>
      </c>
      <c r="T43" t="str">
        <f t="shared" si="4"/>
        <v>Вторая четверть</v>
      </c>
      <c r="U43" t="str">
        <f t="shared" si="5"/>
        <v>нормальный код</v>
      </c>
      <c r="V43" t="str">
        <f t="shared" si="6"/>
        <v>Вторая четверть</v>
      </c>
      <c r="W43" t="str">
        <f t="shared" si="7"/>
        <v>Больше половины</v>
      </c>
      <c r="X43">
        <v>16</v>
      </c>
    </row>
    <row r="44" spans="1:24" x14ac:dyDescent="0.35">
      <c r="A44" s="1" t="s">
        <v>211</v>
      </c>
      <c r="B44" s="2" t="s">
        <v>212</v>
      </c>
      <c r="C44" s="3" t="s">
        <v>13</v>
      </c>
      <c r="D44" s="2" t="s">
        <v>77</v>
      </c>
      <c r="E44" s="3" t="s">
        <v>89</v>
      </c>
      <c r="F44" s="2" t="s">
        <v>34</v>
      </c>
      <c r="G44" s="3" t="s">
        <v>35</v>
      </c>
      <c r="H44" s="2" t="s">
        <v>18</v>
      </c>
      <c r="I44" s="3" t="s">
        <v>19</v>
      </c>
      <c r="J44" s="3">
        <v>120777</v>
      </c>
      <c r="K44" s="3">
        <v>8716</v>
      </c>
      <c r="L44" s="3">
        <v>189</v>
      </c>
      <c r="M44" s="4">
        <f t="shared" si="0"/>
        <v>7.2166058107089925E-2</v>
      </c>
      <c r="N44" s="4">
        <f t="shared" si="1"/>
        <v>2.1684258834327674E-2</v>
      </c>
      <c r="O44">
        <v>688</v>
      </c>
      <c r="P44" s="5">
        <v>1</v>
      </c>
      <c r="Q44" s="7">
        <v>1</v>
      </c>
      <c r="R44" t="str">
        <f t="shared" ref="R44:R107" si="8">IF(OR(M44&lt;$S$1*0.5,N44&lt;$T$1*0.5),"код для проверки","нормальный код")</f>
        <v>нормальный код</v>
      </c>
      <c r="S44" t="str">
        <f t="shared" si="3"/>
        <v>Вторая четверть</v>
      </c>
      <c r="T44" t="str">
        <f t="shared" si="4"/>
        <v>Больше половины</v>
      </c>
      <c r="U44" t="str">
        <f t="shared" si="5"/>
        <v>нормальный код</v>
      </c>
      <c r="V44" t="str">
        <f t="shared" si="6"/>
        <v>Вторая четверть</v>
      </c>
      <c r="W44" t="str">
        <f t="shared" si="7"/>
        <v>Вторая четверть</v>
      </c>
      <c r="X44">
        <v>14</v>
      </c>
    </row>
    <row r="45" spans="1:24" x14ac:dyDescent="0.35">
      <c r="A45" s="1" t="s">
        <v>523</v>
      </c>
      <c r="B45" s="2" t="s">
        <v>524</v>
      </c>
      <c r="C45" s="3" t="s">
        <v>13</v>
      </c>
      <c r="D45" s="2" t="s">
        <v>38</v>
      </c>
      <c r="E45" s="3" t="s">
        <v>39</v>
      </c>
      <c r="F45" s="2" t="s">
        <v>34</v>
      </c>
      <c r="G45" s="3" t="s">
        <v>35</v>
      </c>
      <c r="H45" s="2" t="s">
        <v>18</v>
      </c>
      <c r="I45" s="3" t="s">
        <v>19</v>
      </c>
      <c r="J45" s="3">
        <v>120085</v>
      </c>
      <c r="K45" s="3">
        <v>11691</v>
      </c>
      <c r="L45" s="3">
        <v>246</v>
      </c>
      <c r="M45" s="4">
        <f t="shared" si="0"/>
        <v>9.7356039472040634E-2</v>
      </c>
      <c r="N45" s="4">
        <f t="shared" si="1"/>
        <v>2.1041827046445985E-2</v>
      </c>
      <c r="O45">
        <v>321</v>
      </c>
      <c r="P45" s="5">
        <v>1</v>
      </c>
      <c r="Q45" s="7">
        <v>1</v>
      </c>
      <c r="R45" t="str">
        <f t="shared" si="8"/>
        <v>нормальный код</v>
      </c>
      <c r="S45" t="str">
        <f t="shared" si="3"/>
        <v>Больше половины</v>
      </c>
      <c r="T45" t="str">
        <f t="shared" si="4"/>
        <v>Больше половины</v>
      </c>
      <c r="U45" t="str">
        <f t="shared" si="5"/>
        <v>нормальный код</v>
      </c>
      <c r="V45" t="str">
        <f t="shared" si="6"/>
        <v>Больше половины</v>
      </c>
      <c r="W45" t="str">
        <f t="shared" si="7"/>
        <v>Вторая четверть</v>
      </c>
      <c r="X45">
        <v>22</v>
      </c>
    </row>
    <row r="46" spans="1:24" x14ac:dyDescent="0.35">
      <c r="A46" s="1" t="s">
        <v>458</v>
      </c>
      <c r="B46" s="2" t="s">
        <v>459</v>
      </c>
      <c r="C46" s="3" t="s">
        <v>13</v>
      </c>
      <c r="D46" s="2" t="s">
        <v>14</v>
      </c>
      <c r="E46" s="3" t="s">
        <v>15</v>
      </c>
      <c r="F46" s="2" t="s">
        <v>16</v>
      </c>
      <c r="G46" s="3" t="s">
        <v>17</v>
      </c>
      <c r="H46" s="2" t="s">
        <v>18</v>
      </c>
      <c r="I46" s="3" t="s">
        <v>19</v>
      </c>
      <c r="J46" s="3">
        <v>118681</v>
      </c>
      <c r="K46" s="3">
        <v>11125</v>
      </c>
      <c r="L46" s="3">
        <v>279</v>
      </c>
      <c r="M46" s="4">
        <f t="shared" si="0"/>
        <v>9.3738677631634376E-2</v>
      </c>
      <c r="N46" s="4">
        <f t="shared" si="1"/>
        <v>2.507865168539326E-2</v>
      </c>
      <c r="O46">
        <v>114</v>
      </c>
      <c r="P46" s="5">
        <v>1</v>
      </c>
      <c r="Q46" s="7">
        <v>1</v>
      </c>
      <c r="R46" t="str">
        <f t="shared" si="8"/>
        <v>нормальный код</v>
      </c>
      <c r="S46" t="str">
        <f t="shared" si="3"/>
        <v>Вторая четверть</v>
      </c>
      <c r="T46" t="str">
        <f t="shared" si="4"/>
        <v>Больше половины</v>
      </c>
      <c r="U46" t="str">
        <f t="shared" si="5"/>
        <v>нормальный код</v>
      </c>
      <c r="V46" t="str">
        <f t="shared" si="6"/>
        <v>Больше половины</v>
      </c>
      <c r="W46" t="str">
        <f t="shared" si="7"/>
        <v>Больше половины</v>
      </c>
      <c r="X46">
        <v>5</v>
      </c>
    </row>
    <row r="47" spans="1:24" x14ac:dyDescent="0.35">
      <c r="A47" s="1" t="s">
        <v>177</v>
      </c>
      <c r="B47" s="2" t="s">
        <v>178</v>
      </c>
      <c r="C47" s="3" t="s">
        <v>13</v>
      </c>
      <c r="D47" s="2" t="s">
        <v>155</v>
      </c>
      <c r="E47" s="3" t="s">
        <v>156</v>
      </c>
      <c r="F47" s="2" t="s">
        <v>34</v>
      </c>
      <c r="G47" s="3" t="s">
        <v>35</v>
      </c>
      <c r="H47" s="2" t="s">
        <v>18</v>
      </c>
      <c r="I47" s="3" t="s">
        <v>19</v>
      </c>
      <c r="J47" s="3">
        <v>113099</v>
      </c>
      <c r="K47" s="3">
        <v>9674</v>
      </c>
      <c r="L47" s="3">
        <v>218</v>
      </c>
      <c r="M47" s="4">
        <f t="shared" si="0"/>
        <v>8.5535681128922444E-2</v>
      </c>
      <c r="N47" s="4">
        <f t="shared" si="1"/>
        <v>2.2534628902212115E-2</v>
      </c>
      <c r="O47">
        <v>1453</v>
      </c>
      <c r="P47" s="5">
        <v>1</v>
      </c>
      <c r="Q47" s="7">
        <v>1</v>
      </c>
      <c r="R47" t="str">
        <f t="shared" si="8"/>
        <v>нормальный код</v>
      </c>
      <c r="S47" t="str">
        <f t="shared" si="3"/>
        <v>Вторая четверть</v>
      </c>
      <c r="T47" t="str">
        <f t="shared" si="4"/>
        <v>Больше половины</v>
      </c>
      <c r="U47" t="str">
        <f t="shared" si="5"/>
        <v>нормальный код</v>
      </c>
      <c r="V47" t="str">
        <f t="shared" si="6"/>
        <v>Вторая четверть</v>
      </c>
      <c r="W47" t="str">
        <f t="shared" si="7"/>
        <v>Больше половины</v>
      </c>
      <c r="X47">
        <v>18</v>
      </c>
    </row>
    <row r="48" spans="1:24" x14ac:dyDescent="0.35">
      <c r="A48" s="1" t="s">
        <v>1086</v>
      </c>
      <c r="B48" s="2" t="s">
        <v>1087</v>
      </c>
      <c r="C48" s="3" t="s">
        <v>13</v>
      </c>
      <c r="D48" s="2" t="s">
        <v>14</v>
      </c>
      <c r="E48" s="3" t="s">
        <v>181</v>
      </c>
      <c r="F48" s="2" t="s">
        <v>16</v>
      </c>
      <c r="G48" s="3" t="s">
        <v>35</v>
      </c>
      <c r="H48" s="2" t="s">
        <v>18</v>
      </c>
      <c r="I48" s="3" t="s">
        <v>19</v>
      </c>
      <c r="J48" s="3">
        <v>112998</v>
      </c>
      <c r="K48" s="3">
        <v>5708</v>
      </c>
      <c r="L48" s="3">
        <v>182</v>
      </c>
      <c r="M48" s="4">
        <f t="shared" si="0"/>
        <v>5.0514168392360927E-2</v>
      </c>
      <c r="N48" s="4">
        <f t="shared" si="1"/>
        <v>3.1885073580939033E-2</v>
      </c>
      <c r="O48">
        <v>540</v>
      </c>
      <c r="P48" s="5">
        <v>1</v>
      </c>
      <c r="Q48" s="7">
        <v>1</v>
      </c>
      <c r="R48" t="str">
        <f t="shared" si="8"/>
        <v>нормальный код</v>
      </c>
      <c r="S48" t="str">
        <f t="shared" si="3"/>
        <v>Вторая четверть</v>
      </c>
      <c r="T48" t="str">
        <f t="shared" si="4"/>
        <v>Больше половины</v>
      </c>
      <c r="U48" t="str">
        <f t="shared" si="5"/>
        <v>нормальный код</v>
      </c>
      <c r="V48" t="str">
        <f t="shared" si="6"/>
        <v>Вторая четверть</v>
      </c>
      <c r="W48" t="str">
        <f t="shared" si="7"/>
        <v>Больше половины</v>
      </c>
      <c r="X48">
        <v>24</v>
      </c>
    </row>
    <row r="49" spans="1:24" x14ac:dyDescent="0.35">
      <c r="A49" s="1" t="s">
        <v>961</v>
      </c>
      <c r="B49" s="2" t="s">
        <v>962</v>
      </c>
      <c r="C49" s="3" t="s">
        <v>13</v>
      </c>
      <c r="D49" s="2" t="s">
        <v>38</v>
      </c>
      <c r="E49" s="3" t="s">
        <v>39</v>
      </c>
      <c r="F49" s="2" t="s">
        <v>34</v>
      </c>
      <c r="G49" s="3" t="s">
        <v>35</v>
      </c>
      <c r="H49" s="2" t="s">
        <v>18</v>
      </c>
      <c r="I49" s="3" t="s">
        <v>19</v>
      </c>
      <c r="J49" s="3">
        <v>111701</v>
      </c>
      <c r="K49" s="3">
        <v>9348</v>
      </c>
      <c r="L49" s="3">
        <v>236</v>
      </c>
      <c r="M49" s="4">
        <f t="shared" si="0"/>
        <v>8.368770199013438E-2</v>
      </c>
      <c r="N49" s="4">
        <f t="shared" si="1"/>
        <v>2.5246041934103552E-2</v>
      </c>
      <c r="O49">
        <v>158</v>
      </c>
      <c r="P49" s="5">
        <v>1</v>
      </c>
      <c r="Q49" s="7">
        <v>1</v>
      </c>
      <c r="R49" t="str">
        <f t="shared" si="8"/>
        <v>нормальный код</v>
      </c>
      <c r="S49" t="str">
        <f t="shared" si="3"/>
        <v>Вторая четверть</v>
      </c>
      <c r="T49" t="str">
        <f t="shared" si="4"/>
        <v>Больше половины</v>
      </c>
      <c r="U49" t="str">
        <f t="shared" si="5"/>
        <v>нормальный код</v>
      </c>
      <c r="V49" t="str">
        <f t="shared" si="6"/>
        <v>Больше половины</v>
      </c>
      <c r="W49" t="str">
        <f t="shared" si="7"/>
        <v>Вторая четверть</v>
      </c>
      <c r="X49">
        <v>12</v>
      </c>
    </row>
    <row r="50" spans="1:24" x14ac:dyDescent="0.35">
      <c r="A50" s="1" t="s">
        <v>108</v>
      </c>
      <c r="B50" s="2" t="s">
        <v>109</v>
      </c>
      <c r="C50" s="3" t="s">
        <v>13</v>
      </c>
      <c r="D50" s="2" t="s">
        <v>77</v>
      </c>
      <c r="E50" s="3" t="s">
        <v>89</v>
      </c>
      <c r="F50" s="2" t="s">
        <v>34</v>
      </c>
      <c r="G50" s="3" t="s">
        <v>35</v>
      </c>
      <c r="H50" s="2" t="s">
        <v>18</v>
      </c>
      <c r="I50" s="3" t="s">
        <v>19</v>
      </c>
      <c r="J50" s="3">
        <v>110450</v>
      </c>
      <c r="K50" s="3">
        <v>10307</v>
      </c>
      <c r="L50" s="3">
        <v>372</v>
      </c>
      <c r="M50" s="4">
        <f t="shared" si="0"/>
        <v>9.3318243549117247E-2</v>
      </c>
      <c r="N50" s="4">
        <f t="shared" si="1"/>
        <v>3.6091976326768214E-2</v>
      </c>
      <c r="O50">
        <v>1277</v>
      </c>
      <c r="P50" s="5">
        <v>1</v>
      </c>
      <c r="Q50" s="7">
        <v>1</v>
      </c>
      <c r="R50" t="str">
        <f t="shared" si="8"/>
        <v>нормальный код</v>
      </c>
      <c r="S50" t="str">
        <f t="shared" si="3"/>
        <v>Вторая четверть</v>
      </c>
      <c r="T50" t="str">
        <f t="shared" si="4"/>
        <v>Больше половины</v>
      </c>
      <c r="U50" t="str">
        <f t="shared" si="5"/>
        <v>нормальный код</v>
      </c>
      <c r="V50" t="str">
        <f t="shared" si="6"/>
        <v>Вторая четверть</v>
      </c>
      <c r="W50" t="str">
        <f t="shared" si="7"/>
        <v>Больше половины</v>
      </c>
      <c r="X50">
        <v>5</v>
      </c>
    </row>
    <row r="51" spans="1:24" x14ac:dyDescent="0.35">
      <c r="A51" s="1" t="s">
        <v>317</v>
      </c>
      <c r="B51" s="2" t="s">
        <v>318</v>
      </c>
      <c r="C51" s="3" t="s">
        <v>13</v>
      </c>
      <c r="D51" s="2" t="s">
        <v>14</v>
      </c>
      <c r="E51" s="3" t="s">
        <v>181</v>
      </c>
      <c r="F51" s="2" t="s">
        <v>16</v>
      </c>
      <c r="G51" s="3" t="s">
        <v>17</v>
      </c>
      <c r="H51" s="2" t="s">
        <v>18</v>
      </c>
      <c r="I51" s="3" t="s">
        <v>19</v>
      </c>
      <c r="J51" s="3">
        <v>109678</v>
      </c>
      <c r="K51" s="3">
        <v>6284</v>
      </c>
      <c r="L51" s="3">
        <v>238</v>
      </c>
      <c r="M51" s="4">
        <f t="shared" si="0"/>
        <v>5.7294990791225221E-2</v>
      </c>
      <c r="N51" s="4">
        <f t="shared" si="1"/>
        <v>3.7873965626989178E-2</v>
      </c>
      <c r="O51">
        <v>579</v>
      </c>
      <c r="P51" s="5">
        <v>1</v>
      </c>
      <c r="Q51" s="7">
        <v>1</v>
      </c>
      <c r="R51" t="str">
        <f t="shared" si="8"/>
        <v>нормальный код</v>
      </c>
      <c r="S51" t="str">
        <f t="shared" si="3"/>
        <v>Вторая четверть</v>
      </c>
      <c r="T51" t="str">
        <f t="shared" si="4"/>
        <v>Больше половины</v>
      </c>
      <c r="U51" t="str">
        <f t="shared" si="5"/>
        <v>нормальный код</v>
      </c>
      <c r="V51" t="str">
        <f t="shared" si="6"/>
        <v>Больше половины</v>
      </c>
      <c r="W51" t="str">
        <f t="shared" si="7"/>
        <v>Больше половины</v>
      </c>
      <c r="X51">
        <v>9</v>
      </c>
    </row>
    <row r="52" spans="1:24" x14ac:dyDescent="0.35">
      <c r="A52" s="1" t="s">
        <v>261</v>
      </c>
      <c r="B52" s="2" t="s">
        <v>262</v>
      </c>
      <c r="C52" s="3" t="s">
        <v>55</v>
      </c>
      <c r="D52" s="2" t="s">
        <v>56</v>
      </c>
      <c r="E52" s="3" t="s">
        <v>57</v>
      </c>
      <c r="F52" s="2" t="s">
        <v>34</v>
      </c>
      <c r="G52" s="3" t="s">
        <v>17</v>
      </c>
      <c r="H52" s="2" t="s">
        <v>18</v>
      </c>
      <c r="I52" s="3" t="s">
        <v>19</v>
      </c>
      <c r="J52" s="3">
        <v>108571</v>
      </c>
      <c r="K52" s="3">
        <v>8606</v>
      </c>
      <c r="L52" s="3">
        <v>105</v>
      </c>
      <c r="M52" s="4">
        <f t="shared" si="0"/>
        <v>7.9266102366193553E-2</v>
      </c>
      <c r="N52" s="4">
        <f t="shared" si="1"/>
        <v>1.2200790146409481E-2</v>
      </c>
      <c r="O52">
        <v>302</v>
      </c>
      <c r="P52" s="5">
        <v>1</v>
      </c>
      <c r="Q52" s="7">
        <v>1</v>
      </c>
      <c r="R52" t="str">
        <f t="shared" si="8"/>
        <v>нормальный код</v>
      </c>
      <c r="S52" t="str">
        <f t="shared" si="3"/>
        <v>Вторая четверть</v>
      </c>
      <c r="T52" t="str">
        <f t="shared" si="4"/>
        <v>Вторая четверть</v>
      </c>
      <c r="U52" t="str">
        <f t="shared" si="5"/>
        <v>нормальный код</v>
      </c>
      <c r="V52" t="str">
        <f t="shared" si="6"/>
        <v>Больше половины</v>
      </c>
      <c r="W52" t="str">
        <f t="shared" si="7"/>
        <v>Вторая четверть</v>
      </c>
      <c r="X52">
        <v>11</v>
      </c>
    </row>
    <row r="53" spans="1:24" x14ac:dyDescent="0.35">
      <c r="A53" s="1" t="s">
        <v>331</v>
      </c>
      <c r="B53" s="2" t="s">
        <v>332</v>
      </c>
      <c r="C53" s="3" t="s">
        <v>13</v>
      </c>
      <c r="D53" s="2" t="s">
        <v>14</v>
      </c>
      <c r="E53" s="3" t="s">
        <v>333</v>
      </c>
      <c r="F53" s="2" t="s">
        <v>16</v>
      </c>
      <c r="G53" s="3" t="s">
        <v>17</v>
      </c>
      <c r="H53" s="2" t="s">
        <v>18</v>
      </c>
      <c r="I53" s="3" t="s">
        <v>19</v>
      </c>
      <c r="J53" s="3">
        <v>105271</v>
      </c>
      <c r="K53" s="3">
        <v>7357</v>
      </c>
      <c r="L53" s="3">
        <v>197</v>
      </c>
      <c r="M53" s="4">
        <f t="shared" si="0"/>
        <v>6.9886293471136396E-2</v>
      </c>
      <c r="N53" s="4">
        <f t="shared" si="1"/>
        <v>2.6777218975125732E-2</v>
      </c>
      <c r="O53">
        <v>144</v>
      </c>
      <c r="P53" s="5">
        <v>1</v>
      </c>
      <c r="Q53" s="7">
        <v>1</v>
      </c>
      <c r="R53" t="str">
        <f t="shared" si="8"/>
        <v>нормальный код</v>
      </c>
      <c r="S53" t="str">
        <f t="shared" si="3"/>
        <v>Вторая четверть</v>
      </c>
      <c r="T53" t="str">
        <f t="shared" si="4"/>
        <v>Больше половины</v>
      </c>
      <c r="U53" t="str">
        <f t="shared" si="5"/>
        <v>нормальный код</v>
      </c>
      <c r="V53" t="str">
        <f t="shared" si="6"/>
        <v>Больше половины</v>
      </c>
      <c r="W53" t="str">
        <f t="shared" si="7"/>
        <v>Больше половины</v>
      </c>
      <c r="X53">
        <v>20</v>
      </c>
    </row>
    <row r="54" spans="1:24" x14ac:dyDescent="0.35">
      <c r="A54" s="1" t="s">
        <v>1321</v>
      </c>
      <c r="B54" s="2" t="s">
        <v>1322</v>
      </c>
      <c r="C54" s="3" t="s">
        <v>13</v>
      </c>
      <c r="D54" s="2" t="s">
        <v>38</v>
      </c>
      <c r="E54" s="3" t="s">
        <v>39</v>
      </c>
      <c r="F54" s="2" t="s">
        <v>34</v>
      </c>
      <c r="G54" s="3" t="s">
        <v>17</v>
      </c>
      <c r="H54" s="2" t="s">
        <v>18</v>
      </c>
      <c r="I54" s="3" t="s">
        <v>19</v>
      </c>
      <c r="J54" s="3">
        <v>103441</v>
      </c>
      <c r="K54" s="3">
        <v>5179</v>
      </c>
      <c r="L54" s="3">
        <v>183</v>
      </c>
      <c r="M54" s="4">
        <f t="shared" si="0"/>
        <v>5.0067188058893479E-2</v>
      </c>
      <c r="N54" s="4">
        <f t="shared" si="1"/>
        <v>3.5335006758061401E-2</v>
      </c>
      <c r="O54">
        <v>245</v>
      </c>
      <c r="P54" s="5">
        <v>1</v>
      </c>
      <c r="Q54" s="7">
        <v>1</v>
      </c>
      <c r="R54" t="str">
        <f t="shared" si="8"/>
        <v>нормальный код</v>
      </c>
      <c r="S54" t="str">
        <f t="shared" si="3"/>
        <v>Вторая четверть</v>
      </c>
      <c r="T54" t="str">
        <f t="shared" si="4"/>
        <v>Больше половины</v>
      </c>
      <c r="U54" t="str">
        <f t="shared" si="5"/>
        <v>нормальный код</v>
      </c>
      <c r="V54" t="str">
        <f t="shared" si="6"/>
        <v>Вторая четверть</v>
      </c>
      <c r="W54" t="str">
        <f t="shared" si="7"/>
        <v>Больше половины</v>
      </c>
      <c r="X54">
        <v>26</v>
      </c>
    </row>
    <row r="55" spans="1:24" x14ac:dyDescent="0.35">
      <c r="A55" s="1" t="s">
        <v>642</v>
      </c>
      <c r="B55" s="2" t="s">
        <v>643</v>
      </c>
      <c r="C55" s="3" t="s">
        <v>55</v>
      </c>
      <c r="D55" s="2" t="s">
        <v>295</v>
      </c>
      <c r="E55" s="3" t="s">
        <v>296</v>
      </c>
      <c r="F55" s="2" t="s">
        <v>61</v>
      </c>
      <c r="G55" s="3" t="s">
        <v>17</v>
      </c>
      <c r="H55" s="2" t="s">
        <v>97</v>
      </c>
      <c r="I55" s="3" t="s">
        <v>19</v>
      </c>
      <c r="J55" s="3">
        <v>101771</v>
      </c>
      <c r="K55" s="3">
        <v>15750</v>
      </c>
      <c r="L55" s="3">
        <v>296</v>
      </c>
      <c r="M55" s="4">
        <f t="shared" si="0"/>
        <v>0.15475921431449038</v>
      </c>
      <c r="N55" s="4">
        <f t="shared" si="1"/>
        <v>1.8793650793650793E-2</v>
      </c>
      <c r="O55">
        <v>673</v>
      </c>
      <c r="P55" s="5">
        <v>1</v>
      </c>
      <c r="Q55" s="7">
        <v>1</v>
      </c>
      <c r="R55" t="str">
        <f t="shared" si="8"/>
        <v>нормальный код</v>
      </c>
      <c r="S55" t="str">
        <f t="shared" si="3"/>
        <v>Больше половины</v>
      </c>
      <c r="T55" t="str">
        <f t="shared" si="4"/>
        <v>Вторая четверть</v>
      </c>
      <c r="U55" t="str">
        <f t="shared" si="5"/>
        <v>нормальный код</v>
      </c>
      <c r="V55" t="str">
        <f t="shared" si="6"/>
        <v>Вторая четверть</v>
      </c>
      <c r="W55" t="str">
        <f t="shared" si="7"/>
        <v>Больше половины</v>
      </c>
      <c r="X55">
        <v>8</v>
      </c>
    </row>
    <row r="56" spans="1:24" x14ac:dyDescent="0.35">
      <c r="A56" s="1" t="s">
        <v>1266</v>
      </c>
      <c r="B56" s="2" t="s">
        <v>1267</v>
      </c>
      <c r="C56" s="3" t="s">
        <v>13</v>
      </c>
      <c r="D56" s="2" t="s">
        <v>22</v>
      </c>
      <c r="E56" s="3" t="s">
        <v>23</v>
      </c>
      <c r="F56" s="2" t="s">
        <v>16</v>
      </c>
      <c r="G56" s="3" t="s">
        <v>35</v>
      </c>
      <c r="H56" s="2" t="s">
        <v>18</v>
      </c>
      <c r="I56" s="3" t="s">
        <v>19</v>
      </c>
      <c r="J56" s="3">
        <v>100045</v>
      </c>
      <c r="K56" s="3">
        <v>11919</v>
      </c>
      <c r="L56" s="3">
        <v>206</v>
      </c>
      <c r="M56" s="4">
        <f t="shared" si="0"/>
        <v>0.1191363886251187</v>
      </c>
      <c r="N56" s="4">
        <f t="shared" si="1"/>
        <v>1.7283329138350532E-2</v>
      </c>
      <c r="O56">
        <v>354</v>
      </c>
      <c r="P56" s="5">
        <v>1</v>
      </c>
      <c r="Q56" s="7">
        <v>1</v>
      </c>
      <c r="R56" t="str">
        <f t="shared" si="8"/>
        <v>нормальный код</v>
      </c>
      <c r="S56" t="str">
        <f t="shared" si="3"/>
        <v>Больше половины</v>
      </c>
      <c r="T56" t="str">
        <f t="shared" si="4"/>
        <v>Вторая четверть</v>
      </c>
      <c r="U56" t="str">
        <f t="shared" si="5"/>
        <v>нормальный код</v>
      </c>
      <c r="V56" t="str">
        <f t="shared" si="6"/>
        <v>Больше половины</v>
      </c>
      <c r="W56" t="str">
        <f t="shared" si="7"/>
        <v>Больше половины</v>
      </c>
      <c r="X56">
        <v>7</v>
      </c>
    </row>
    <row r="57" spans="1:24" x14ac:dyDescent="0.35">
      <c r="A57" s="1" t="s">
        <v>726</v>
      </c>
      <c r="B57" s="2" t="s">
        <v>727</v>
      </c>
      <c r="C57" s="3" t="s">
        <v>13</v>
      </c>
      <c r="D57" s="2" t="s">
        <v>77</v>
      </c>
      <c r="E57" s="3" t="s">
        <v>78</v>
      </c>
      <c r="F57" s="2" t="s">
        <v>34</v>
      </c>
      <c r="G57" s="3" t="s">
        <v>35</v>
      </c>
      <c r="H57" s="2" t="s">
        <v>18</v>
      </c>
      <c r="I57" s="3" t="s">
        <v>19</v>
      </c>
      <c r="J57" s="3">
        <v>98200</v>
      </c>
      <c r="K57" s="3">
        <v>6333</v>
      </c>
      <c r="L57" s="3">
        <v>268</v>
      </c>
      <c r="M57" s="4">
        <f t="shared" si="0"/>
        <v>6.4490835030549892E-2</v>
      </c>
      <c r="N57" s="4">
        <f t="shared" si="1"/>
        <v>4.2318016737723035E-2</v>
      </c>
      <c r="O57">
        <v>180</v>
      </c>
      <c r="P57" s="5">
        <v>1</v>
      </c>
      <c r="Q57" s="7">
        <v>1</v>
      </c>
      <c r="R57" t="str">
        <f t="shared" si="8"/>
        <v>нормальный код</v>
      </c>
      <c r="S57" t="str">
        <f t="shared" si="3"/>
        <v>Вторая четверть</v>
      </c>
      <c r="T57" t="str">
        <f t="shared" si="4"/>
        <v>Больше половины</v>
      </c>
      <c r="U57" t="str">
        <f t="shared" si="5"/>
        <v>нормальный код</v>
      </c>
      <c r="V57" t="str">
        <f t="shared" si="6"/>
        <v>Вторая четверть</v>
      </c>
      <c r="W57" t="str">
        <f t="shared" si="7"/>
        <v>Больше половины</v>
      </c>
      <c r="X57">
        <v>11</v>
      </c>
    </row>
    <row r="58" spans="1:24" x14ac:dyDescent="0.35">
      <c r="A58" s="1" t="s">
        <v>403</v>
      </c>
      <c r="B58" s="2" t="s">
        <v>404</v>
      </c>
      <c r="C58" s="3" t="s">
        <v>13</v>
      </c>
      <c r="D58" s="2" t="s">
        <v>405</v>
      </c>
      <c r="E58" s="3" t="s">
        <v>406</v>
      </c>
      <c r="F58" s="2" t="s">
        <v>34</v>
      </c>
      <c r="G58" s="3" t="s">
        <v>17</v>
      </c>
      <c r="H58" s="2" t="s">
        <v>18</v>
      </c>
      <c r="I58" s="3" t="s">
        <v>19</v>
      </c>
      <c r="J58" s="3">
        <v>96926</v>
      </c>
      <c r="K58" s="3">
        <v>6166</v>
      </c>
      <c r="L58" s="3">
        <v>113</v>
      </c>
      <c r="M58" s="4">
        <f t="shared" si="0"/>
        <v>6.3615541753502675E-2</v>
      </c>
      <c r="N58" s="4">
        <f t="shared" si="1"/>
        <v>1.8326305546545574E-2</v>
      </c>
      <c r="O58">
        <v>584</v>
      </c>
      <c r="P58" s="5">
        <v>0.9</v>
      </c>
      <c r="Q58" s="7">
        <v>1</v>
      </c>
      <c r="R58" t="str">
        <f t="shared" si="8"/>
        <v>нормальный код</v>
      </c>
      <c r="S58" t="str">
        <f t="shared" si="3"/>
        <v>Вторая четверть</v>
      </c>
      <c r="T58" t="str">
        <f t="shared" si="4"/>
        <v>Вторая четверть</v>
      </c>
      <c r="U58" t="str">
        <f t="shared" si="5"/>
        <v>нормальный код</v>
      </c>
      <c r="V58" t="str">
        <f t="shared" si="6"/>
        <v>Вторая четверть</v>
      </c>
      <c r="W58" t="str">
        <f t="shared" si="7"/>
        <v>Вторая четверть</v>
      </c>
      <c r="X58">
        <v>14</v>
      </c>
    </row>
    <row r="59" spans="1:24" x14ac:dyDescent="0.35">
      <c r="A59" s="1" t="s">
        <v>1730</v>
      </c>
      <c r="B59" s="2" t="s">
        <v>1731</v>
      </c>
      <c r="C59" s="3" t="s">
        <v>55</v>
      </c>
      <c r="D59" s="2" t="s">
        <v>1049</v>
      </c>
      <c r="E59" s="3" t="s">
        <v>1050</v>
      </c>
      <c r="F59" s="2" t="s">
        <v>34</v>
      </c>
      <c r="G59" s="3" t="s">
        <v>17</v>
      </c>
      <c r="H59" s="2" t="s">
        <v>18</v>
      </c>
      <c r="I59" s="3" t="s">
        <v>19</v>
      </c>
      <c r="J59" s="3">
        <v>94403</v>
      </c>
      <c r="K59" s="3">
        <v>7240</v>
      </c>
      <c r="L59" s="3">
        <v>238</v>
      </c>
      <c r="M59" s="4">
        <f t="shared" si="0"/>
        <v>7.6692477993284117E-2</v>
      </c>
      <c r="N59" s="4">
        <f t="shared" si="1"/>
        <v>3.2872928176795581E-2</v>
      </c>
      <c r="O59">
        <v>313</v>
      </c>
      <c r="P59" s="5">
        <v>1</v>
      </c>
      <c r="Q59" s="7">
        <v>1</v>
      </c>
      <c r="R59" t="str">
        <f t="shared" si="8"/>
        <v>нормальный код</v>
      </c>
      <c r="S59" t="str">
        <f t="shared" si="3"/>
        <v>Вторая четверть</v>
      </c>
      <c r="T59" t="str">
        <f t="shared" si="4"/>
        <v>Больше половины</v>
      </c>
      <c r="U59" t="str">
        <f t="shared" si="5"/>
        <v>нормальный код</v>
      </c>
      <c r="V59" t="str">
        <f t="shared" si="6"/>
        <v>Вторая четверть</v>
      </c>
      <c r="W59" t="str">
        <f t="shared" si="7"/>
        <v>Вторая четверть</v>
      </c>
      <c r="X59">
        <v>16</v>
      </c>
    </row>
    <row r="60" spans="1:24" x14ac:dyDescent="0.35">
      <c r="A60" s="1" t="s">
        <v>79</v>
      </c>
      <c r="B60" s="2" t="s">
        <v>80</v>
      </c>
      <c r="C60" s="3" t="s">
        <v>13</v>
      </c>
      <c r="D60" s="2" t="s">
        <v>49</v>
      </c>
      <c r="E60" s="3" t="s">
        <v>50</v>
      </c>
      <c r="F60" s="2" t="s">
        <v>34</v>
      </c>
      <c r="G60" s="3" t="s">
        <v>17</v>
      </c>
      <c r="H60" s="2" t="s">
        <v>18</v>
      </c>
      <c r="I60" s="3" t="s">
        <v>19</v>
      </c>
      <c r="J60" s="3">
        <v>94128</v>
      </c>
      <c r="K60" s="3">
        <v>3582</v>
      </c>
      <c r="L60" s="3">
        <v>116</v>
      </c>
      <c r="M60" s="4">
        <f t="shared" si="0"/>
        <v>3.8054563997960221E-2</v>
      </c>
      <c r="N60" s="4">
        <f t="shared" si="1"/>
        <v>3.2384142936906758E-2</v>
      </c>
      <c r="O60">
        <v>1998</v>
      </c>
      <c r="P60" s="5">
        <v>0.875</v>
      </c>
      <c r="Q60" s="7">
        <v>1</v>
      </c>
      <c r="R60" t="str">
        <f t="shared" si="8"/>
        <v>код для проверки</v>
      </c>
      <c r="S60" t="str">
        <f t="shared" si="3"/>
        <v>Низшая четверть</v>
      </c>
      <c r="T60" t="str">
        <f t="shared" si="4"/>
        <v>Больше половины</v>
      </c>
      <c r="U60" t="str">
        <f t="shared" si="5"/>
        <v>нормальный код</v>
      </c>
      <c r="V60" t="str">
        <f t="shared" si="6"/>
        <v>Вторая четверть</v>
      </c>
      <c r="W60" t="str">
        <f t="shared" si="7"/>
        <v>Вторая четверть</v>
      </c>
      <c r="X60">
        <v>17</v>
      </c>
    </row>
    <row r="61" spans="1:24" x14ac:dyDescent="0.35">
      <c r="A61" s="1" t="s">
        <v>2369</v>
      </c>
      <c r="B61" s="2" t="s">
        <v>2370</v>
      </c>
      <c r="C61" s="3" t="s">
        <v>13</v>
      </c>
      <c r="D61" s="2" t="s">
        <v>49</v>
      </c>
      <c r="E61" s="3" t="s">
        <v>50</v>
      </c>
      <c r="F61" s="2" t="s">
        <v>34</v>
      </c>
      <c r="G61" s="3" t="s">
        <v>17</v>
      </c>
      <c r="H61" s="2" t="s">
        <v>18</v>
      </c>
      <c r="I61" s="3" t="s">
        <v>19</v>
      </c>
      <c r="J61" s="3">
        <v>91092</v>
      </c>
      <c r="K61" s="3">
        <v>3464</v>
      </c>
      <c r="L61" s="3">
        <v>286</v>
      </c>
      <c r="M61" s="4">
        <f t="shared" si="0"/>
        <v>3.8027488692750189E-2</v>
      </c>
      <c r="N61" s="4">
        <f t="shared" si="1"/>
        <v>8.2563510392609701E-2</v>
      </c>
      <c r="O61">
        <v>540</v>
      </c>
      <c r="P61" s="5">
        <v>1</v>
      </c>
      <c r="Q61" s="7">
        <v>1</v>
      </c>
      <c r="R61" t="str">
        <f t="shared" si="8"/>
        <v>код для проверки</v>
      </c>
      <c r="S61" t="str">
        <f t="shared" si="3"/>
        <v>Низшая четверть</v>
      </c>
      <c r="T61" t="str">
        <f t="shared" si="4"/>
        <v>Больше половины</v>
      </c>
      <c r="U61" t="str">
        <f t="shared" si="5"/>
        <v>нормальный код</v>
      </c>
      <c r="V61" t="str">
        <f t="shared" si="6"/>
        <v>Вторая четверть</v>
      </c>
      <c r="W61" t="str">
        <f t="shared" si="7"/>
        <v>Больше половины</v>
      </c>
      <c r="X61">
        <v>12</v>
      </c>
    </row>
    <row r="62" spans="1:24" x14ac:dyDescent="0.35">
      <c r="A62" s="1" t="s">
        <v>1643</v>
      </c>
      <c r="B62" s="2" t="s">
        <v>1644</v>
      </c>
      <c r="C62" s="3" t="s">
        <v>55</v>
      </c>
      <c r="D62" s="2" t="s">
        <v>295</v>
      </c>
      <c r="E62" s="3" t="s">
        <v>296</v>
      </c>
      <c r="F62" s="2" t="s">
        <v>61</v>
      </c>
      <c r="G62" s="3" t="s">
        <v>17</v>
      </c>
      <c r="H62" s="2" t="s">
        <v>97</v>
      </c>
      <c r="I62" s="3" t="s">
        <v>19</v>
      </c>
      <c r="J62" s="3">
        <v>90128</v>
      </c>
      <c r="K62" s="3">
        <v>11278</v>
      </c>
      <c r="L62" s="3">
        <v>94</v>
      </c>
      <c r="M62" s="4">
        <f t="shared" si="0"/>
        <v>0.12513314397301614</v>
      </c>
      <c r="N62" s="4">
        <f t="shared" si="1"/>
        <v>8.3348111367263691E-3</v>
      </c>
      <c r="O62">
        <v>543</v>
      </c>
      <c r="P62" s="5">
        <v>1</v>
      </c>
      <c r="Q62" s="7">
        <v>1</v>
      </c>
      <c r="R62" t="str">
        <f t="shared" si="8"/>
        <v>код для проверки</v>
      </c>
      <c r="S62" t="str">
        <f t="shared" si="3"/>
        <v>Больше половины</v>
      </c>
      <c r="T62" t="str">
        <f t="shared" si="4"/>
        <v>Низшая четверть</v>
      </c>
      <c r="U62" t="str">
        <f t="shared" si="5"/>
        <v>нормальный код</v>
      </c>
      <c r="V62" t="str">
        <f t="shared" si="6"/>
        <v>Вторая четверть</v>
      </c>
      <c r="W62" t="str">
        <f t="shared" si="7"/>
        <v>Вторая четверть</v>
      </c>
      <c r="X62">
        <v>13</v>
      </c>
    </row>
    <row r="63" spans="1:24" x14ac:dyDescent="0.35">
      <c r="A63" s="1" t="s">
        <v>1491</v>
      </c>
      <c r="B63" s="2" t="s">
        <v>1492</v>
      </c>
      <c r="C63" s="3" t="s">
        <v>55</v>
      </c>
      <c r="D63" s="2" t="s">
        <v>295</v>
      </c>
      <c r="E63" s="3" t="s">
        <v>296</v>
      </c>
      <c r="F63" s="2" t="s">
        <v>61</v>
      </c>
      <c r="G63" s="3" t="s">
        <v>17</v>
      </c>
      <c r="H63" s="2" t="s">
        <v>97</v>
      </c>
      <c r="I63" s="3" t="s">
        <v>19</v>
      </c>
      <c r="J63" s="3">
        <v>89501</v>
      </c>
      <c r="K63" s="3">
        <v>15312</v>
      </c>
      <c r="L63" s="3">
        <v>325</v>
      </c>
      <c r="M63" s="4">
        <f t="shared" si="0"/>
        <v>0.17108188735321392</v>
      </c>
      <c r="N63" s="4">
        <f t="shared" si="1"/>
        <v>2.1225182863113898E-2</v>
      </c>
      <c r="O63">
        <v>355</v>
      </c>
      <c r="P63" s="5">
        <v>1</v>
      </c>
      <c r="Q63" s="7">
        <v>1</v>
      </c>
      <c r="R63" t="str">
        <f t="shared" si="8"/>
        <v>нормальный код</v>
      </c>
      <c r="S63" t="str">
        <f t="shared" si="3"/>
        <v>Больше половины</v>
      </c>
      <c r="T63" t="str">
        <f t="shared" si="4"/>
        <v>Больше половины</v>
      </c>
      <c r="U63" t="str">
        <f t="shared" si="5"/>
        <v>нормальный код</v>
      </c>
      <c r="V63" t="str">
        <f t="shared" si="6"/>
        <v>Вторая четверть</v>
      </c>
      <c r="W63" t="str">
        <f t="shared" si="7"/>
        <v>Больше половины</v>
      </c>
      <c r="X63">
        <v>12</v>
      </c>
    </row>
    <row r="64" spans="1:24" x14ac:dyDescent="0.35">
      <c r="A64" s="1" t="s">
        <v>186</v>
      </c>
      <c r="B64" s="2" t="s">
        <v>187</v>
      </c>
      <c r="C64" s="3" t="s">
        <v>13</v>
      </c>
      <c r="D64" s="2" t="s">
        <v>143</v>
      </c>
      <c r="E64" s="3" t="s">
        <v>144</v>
      </c>
      <c r="F64" s="2" t="s">
        <v>34</v>
      </c>
      <c r="G64" s="3" t="s">
        <v>35</v>
      </c>
      <c r="H64" s="2" t="s">
        <v>18</v>
      </c>
      <c r="I64" s="3" t="s">
        <v>19</v>
      </c>
      <c r="J64" s="3">
        <v>89229</v>
      </c>
      <c r="K64" s="3">
        <v>4148</v>
      </c>
      <c r="L64" s="3">
        <v>22</v>
      </c>
      <c r="M64" s="4">
        <f t="shared" si="0"/>
        <v>4.648712862410203E-2</v>
      </c>
      <c r="N64" s="4">
        <f t="shared" si="1"/>
        <v>5.303760848601736E-3</v>
      </c>
      <c r="O64">
        <v>179</v>
      </c>
      <c r="P64" s="5">
        <v>0.8</v>
      </c>
      <c r="Q64" s="7">
        <v>1</v>
      </c>
      <c r="R64" t="str">
        <f t="shared" si="8"/>
        <v>код для проверки</v>
      </c>
      <c r="S64" t="str">
        <f t="shared" si="3"/>
        <v>Низшая четверть</v>
      </c>
      <c r="T64" t="str">
        <f t="shared" si="4"/>
        <v>Низшая четверть</v>
      </c>
      <c r="U64" t="str">
        <f t="shared" si="5"/>
        <v>код для проверки</v>
      </c>
      <c r="V64" t="str">
        <f t="shared" si="6"/>
        <v>Вторая четверть</v>
      </c>
      <c r="W64" t="str">
        <f t="shared" si="7"/>
        <v>Низшая четверть</v>
      </c>
      <c r="X64">
        <v>27</v>
      </c>
    </row>
    <row r="65" spans="1:24" x14ac:dyDescent="0.35">
      <c r="A65" s="1" t="s">
        <v>173</v>
      </c>
      <c r="B65" s="2" t="s">
        <v>174</v>
      </c>
      <c r="C65" s="3" t="s">
        <v>13</v>
      </c>
      <c r="D65" s="2" t="s">
        <v>14</v>
      </c>
      <c r="E65" s="3" t="s">
        <v>15</v>
      </c>
      <c r="F65" s="2" t="s">
        <v>16</v>
      </c>
      <c r="G65" s="3" t="s">
        <v>35</v>
      </c>
      <c r="H65" s="2" t="s">
        <v>18</v>
      </c>
      <c r="I65" s="3" t="s">
        <v>19</v>
      </c>
      <c r="J65" s="3">
        <v>89027</v>
      </c>
      <c r="K65" s="3">
        <v>6553</v>
      </c>
      <c r="L65" s="3">
        <v>103</v>
      </c>
      <c r="M65" s="4">
        <f t="shared" si="0"/>
        <v>7.3606883305064749E-2</v>
      </c>
      <c r="N65" s="4">
        <f t="shared" si="1"/>
        <v>1.5717991759499467E-2</v>
      </c>
      <c r="O65">
        <v>776</v>
      </c>
      <c r="P65" s="5">
        <v>1</v>
      </c>
      <c r="Q65" s="7">
        <v>1</v>
      </c>
      <c r="R65" t="str">
        <f t="shared" si="8"/>
        <v>нормальный код</v>
      </c>
      <c r="S65" t="str">
        <f t="shared" si="3"/>
        <v>Вторая четверть</v>
      </c>
      <c r="T65" t="str">
        <f t="shared" si="4"/>
        <v>Вторая четверть</v>
      </c>
      <c r="U65" t="str">
        <f t="shared" si="5"/>
        <v>нормальный код</v>
      </c>
      <c r="V65" t="str">
        <f t="shared" si="6"/>
        <v>Вторая четверть</v>
      </c>
      <c r="W65" t="str">
        <f t="shared" si="7"/>
        <v>Больше половины</v>
      </c>
      <c r="X65">
        <v>18</v>
      </c>
    </row>
    <row r="66" spans="1:24" x14ac:dyDescent="0.35">
      <c r="A66" s="1" t="s">
        <v>319</v>
      </c>
      <c r="B66" s="2" t="s">
        <v>320</v>
      </c>
      <c r="C66" s="3" t="s">
        <v>13</v>
      </c>
      <c r="D66" s="2" t="s">
        <v>22</v>
      </c>
      <c r="E66" s="3" t="s">
        <v>23</v>
      </c>
      <c r="F66" s="2" t="s">
        <v>16</v>
      </c>
      <c r="G66" s="3" t="s">
        <v>35</v>
      </c>
      <c r="H66" s="2" t="s">
        <v>18</v>
      </c>
      <c r="I66" s="3" t="s">
        <v>19</v>
      </c>
      <c r="J66" s="3">
        <v>86961</v>
      </c>
      <c r="K66" s="3">
        <v>6896</v>
      </c>
      <c r="L66" s="3">
        <v>89</v>
      </c>
      <c r="M66" s="4">
        <f t="shared" si="0"/>
        <v>7.9299916054323197E-2</v>
      </c>
      <c r="N66" s="4">
        <f t="shared" si="1"/>
        <v>1.2906032482598608E-2</v>
      </c>
      <c r="O66">
        <v>808</v>
      </c>
      <c r="P66" s="5">
        <v>1</v>
      </c>
      <c r="Q66" s="7">
        <v>1</v>
      </c>
      <c r="R66" t="str">
        <f t="shared" si="8"/>
        <v>нормальный код</v>
      </c>
      <c r="S66" t="str">
        <f t="shared" si="3"/>
        <v>Вторая четверть</v>
      </c>
      <c r="T66" t="str">
        <f t="shared" si="4"/>
        <v>Вторая четверть</v>
      </c>
      <c r="U66" t="str">
        <f t="shared" si="5"/>
        <v>нормальный код</v>
      </c>
      <c r="V66" t="str">
        <f t="shared" si="6"/>
        <v>Больше половины</v>
      </c>
      <c r="W66" t="str">
        <f t="shared" si="7"/>
        <v>Вторая четверть</v>
      </c>
      <c r="X66">
        <v>7</v>
      </c>
    </row>
    <row r="67" spans="1:24" x14ac:dyDescent="0.35">
      <c r="A67" s="1" t="s">
        <v>1304</v>
      </c>
      <c r="B67" s="2" t="s">
        <v>1305</v>
      </c>
      <c r="C67" s="3" t="s">
        <v>13</v>
      </c>
      <c r="D67" s="2" t="s">
        <v>155</v>
      </c>
      <c r="E67" s="3" t="s">
        <v>156</v>
      </c>
      <c r="F67" s="2" t="s">
        <v>34</v>
      </c>
      <c r="G67" s="3" t="s">
        <v>35</v>
      </c>
      <c r="H67" s="2" t="s">
        <v>18</v>
      </c>
      <c r="I67" s="3" t="s">
        <v>19</v>
      </c>
      <c r="J67" s="3">
        <v>86810</v>
      </c>
      <c r="K67" s="3">
        <v>4747</v>
      </c>
      <c r="L67" s="3">
        <v>169</v>
      </c>
      <c r="M67" s="4">
        <f t="shared" si="0"/>
        <v>5.4682640248819261E-2</v>
      </c>
      <c r="N67" s="4">
        <f t="shared" si="1"/>
        <v>3.5601432483673902E-2</v>
      </c>
      <c r="O67">
        <v>1389</v>
      </c>
      <c r="P67" s="5">
        <v>1</v>
      </c>
      <c r="Q67" s="7">
        <v>1</v>
      </c>
      <c r="R67" t="str">
        <f t="shared" si="8"/>
        <v>нормальный код</v>
      </c>
      <c r="S67" t="str">
        <f t="shared" si="3"/>
        <v>Вторая четверть</v>
      </c>
      <c r="T67" t="str">
        <f t="shared" si="4"/>
        <v>Больше половины</v>
      </c>
      <c r="U67" t="str">
        <f t="shared" si="5"/>
        <v>нормальный код</v>
      </c>
      <c r="V67" t="str">
        <f t="shared" si="6"/>
        <v>Вторая четверть</v>
      </c>
      <c r="W67" t="str">
        <f t="shared" si="7"/>
        <v>Больше половины</v>
      </c>
      <c r="X67">
        <v>12</v>
      </c>
    </row>
    <row r="68" spans="1:24" x14ac:dyDescent="0.35">
      <c r="A68" s="1" t="s">
        <v>707</v>
      </c>
      <c r="B68" s="2" t="s">
        <v>708</v>
      </c>
      <c r="C68" s="3" t="s">
        <v>13</v>
      </c>
      <c r="D68" s="2" t="s">
        <v>155</v>
      </c>
      <c r="E68" s="3" t="s">
        <v>156</v>
      </c>
      <c r="F68" s="2" t="s">
        <v>34</v>
      </c>
      <c r="G68" s="3" t="s">
        <v>17</v>
      </c>
      <c r="H68" s="2" t="s">
        <v>18</v>
      </c>
      <c r="I68" s="3" t="s">
        <v>19</v>
      </c>
      <c r="J68" s="3">
        <v>85891</v>
      </c>
      <c r="K68" s="3">
        <v>4767</v>
      </c>
      <c r="L68" s="3">
        <v>94</v>
      </c>
      <c r="M68" s="4">
        <f t="shared" ref="M68:M131" si="9">IFERROR(K68/J68,0)</f>
        <v>5.5500576311837094E-2</v>
      </c>
      <c r="N68" s="4">
        <f t="shared" ref="N68:N131" si="10">IFERROR(L68/K68,0)</f>
        <v>1.9718900776169498E-2</v>
      </c>
      <c r="O68">
        <v>679</v>
      </c>
      <c r="P68" s="5">
        <v>1</v>
      </c>
      <c r="Q68" s="7">
        <v>1</v>
      </c>
      <c r="R68" t="str">
        <f t="shared" si="8"/>
        <v>нормальный код</v>
      </c>
      <c r="S68" t="str">
        <f t="shared" ref="S68:S131" si="11">IF(M68&lt;$S$1*0.5,"Низшая четверть",IF(M68&lt;$S$1,"Вторая четверть","Больше половины"))</f>
        <v>Вторая четверть</v>
      </c>
      <c r="T68" t="str">
        <f t="shared" ref="T68:T131" si="12">IF(N68&lt;$T$1*0.5,"Низшая четверть",IF(N68&lt;$T$1,"Вторая четверть","Больше половины"))</f>
        <v>Вторая четверть</v>
      </c>
      <c r="U68" t="str">
        <f t="shared" ref="U68:U131" si="13">IF(OR(M68&lt;SUMIFS(K:K,Q:Q,1,E:E,E68)/SUMIFS(J:J,Q:Q,1,E:E,E68)*0.5,N68&lt;SUMIFS(L:L,Q:Q,1,E:E,E68)/SUMIFS(K:K,Q:Q,1,E:E,E68)*0.5),"код для проверки","нормальный код")</f>
        <v>нормальный код</v>
      </c>
      <c r="V68" t="str">
        <f t="shared" ref="V68:V131" si="14">IF(M68&lt;SUMIFS(K:K,Q:Q,1,E:E,E68)/SUMIFS(J:J,Q:Q,1,E:E,E68)*0.5,"Низшая четверть",IF(M68&lt;SUMIFS(K:K,Q:Q,1,E:E,E68)/SUMIFS(J:J,Q:Q,1,E:E,E68),"Вторая четверть","Больше половины"))</f>
        <v>Вторая четверть</v>
      </c>
      <c r="W68" t="str">
        <f t="shared" ref="W68:W131" si="15">IF(N68&lt;SUMIFS(L:L,Q:Q,1,E:E,E68)/SUMIFS(K:K,Q:Q,1,E:E,E68)*0.5,"Низшая четверть",IF(N68&lt;SUMIFS(L:L,Q:Q,1,E:E,E68)/SUMIFS(K:K,Q:Q,1,E:E,E68),"Вторая четверть","Больше половины"))</f>
        <v>Больше половины</v>
      </c>
      <c r="X68">
        <v>16</v>
      </c>
    </row>
    <row r="69" spans="1:24" x14ac:dyDescent="0.35">
      <c r="A69" s="1" t="s">
        <v>503</v>
      </c>
      <c r="B69" s="2" t="s">
        <v>504</v>
      </c>
      <c r="C69" s="3" t="s">
        <v>55</v>
      </c>
      <c r="D69" s="2" t="s">
        <v>340</v>
      </c>
      <c r="E69" s="3" t="s">
        <v>341</v>
      </c>
      <c r="F69" s="2" t="s">
        <v>96</v>
      </c>
      <c r="G69" s="3" t="s">
        <v>17</v>
      </c>
      <c r="H69" s="2" t="s">
        <v>97</v>
      </c>
      <c r="I69" s="3" t="s">
        <v>19</v>
      </c>
      <c r="J69" s="3">
        <v>85766</v>
      </c>
      <c r="K69" s="3">
        <v>6813</v>
      </c>
      <c r="L69" s="3">
        <v>135</v>
      </c>
      <c r="M69" s="4">
        <f t="shared" si="9"/>
        <v>7.9437072965977198E-2</v>
      </c>
      <c r="N69" s="4">
        <f t="shared" si="10"/>
        <v>1.9815059445178335E-2</v>
      </c>
      <c r="O69">
        <v>529</v>
      </c>
      <c r="P69" s="5">
        <v>1</v>
      </c>
      <c r="Q69" s="7">
        <v>1</v>
      </c>
      <c r="R69" t="str">
        <f t="shared" si="8"/>
        <v>нормальный код</v>
      </c>
      <c r="S69" t="str">
        <f t="shared" si="11"/>
        <v>Вторая четверть</v>
      </c>
      <c r="T69" t="str">
        <f t="shared" si="12"/>
        <v>Вторая четверть</v>
      </c>
      <c r="U69" t="str">
        <f t="shared" si="13"/>
        <v>нормальный код</v>
      </c>
      <c r="V69" t="str">
        <f t="shared" si="14"/>
        <v>Вторая четверть</v>
      </c>
      <c r="W69" t="str">
        <f t="shared" si="15"/>
        <v>Больше половины</v>
      </c>
      <c r="X69">
        <v>15</v>
      </c>
    </row>
    <row r="70" spans="1:24" x14ac:dyDescent="0.35">
      <c r="A70" s="1" t="s">
        <v>1329</v>
      </c>
      <c r="B70" s="2" t="s">
        <v>1330</v>
      </c>
      <c r="C70" s="3" t="s">
        <v>13</v>
      </c>
      <c r="D70" s="2" t="s">
        <v>38</v>
      </c>
      <c r="E70" s="3" t="s">
        <v>39</v>
      </c>
      <c r="F70" s="2" t="s">
        <v>34</v>
      </c>
      <c r="G70" s="3" t="s">
        <v>17</v>
      </c>
      <c r="H70" s="2" t="s">
        <v>18</v>
      </c>
      <c r="I70" s="3" t="s">
        <v>19</v>
      </c>
      <c r="J70" s="3">
        <v>85191</v>
      </c>
      <c r="K70" s="3">
        <v>5172</v>
      </c>
      <c r="L70" s="3">
        <v>118</v>
      </c>
      <c r="M70" s="4">
        <f t="shared" si="9"/>
        <v>6.0710638447723349E-2</v>
      </c>
      <c r="N70" s="4">
        <f t="shared" si="10"/>
        <v>2.2815158546017015E-2</v>
      </c>
      <c r="O70">
        <v>217</v>
      </c>
      <c r="P70" s="5">
        <v>1</v>
      </c>
      <c r="Q70" s="7">
        <v>1</v>
      </c>
      <c r="R70" t="str">
        <f t="shared" si="8"/>
        <v>нормальный код</v>
      </c>
      <c r="S70" t="str">
        <f t="shared" si="11"/>
        <v>Вторая четверть</v>
      </c>
      <c r="T70" t="str">
        <f t="shared" si="12"/>
        <v>Больше половины</v>
      </c>
      <c r="U70" t="str">
        <f t="shared" si="13"/>
        <v>нормальный код</v>
      </c>
      <c r="V70" t="str">
        <f t="shared" si="14"/>
        <v>Вторая четверть</v>
      </c>
      <c r="W70" t="str">
        <f t="shared" si="15"/>
        <v>Вторая четверть</v>
      </c>
      <c r="X70">
        <v>26</v>
      </c>
    </row>
    <row r="71" spans="1:24" x14ac:dyDescent="0.35">
      <c r="A71" s="1" t="s">
        <v>1988</v>
      </c>
      <c r="B71" s="2" t="s">
        <v>1989</v>
      </c>
      <c r="C71" s="3" t="s">
        <v>13</v>
      </c>
      <c r="D71" s="2" t="s">
        <v>405</v>
      </c>
      <c r="E71" s="3" t="s">
        <v>1581</v>
      </c>
      <c r="F71" s="2" t="s">
        <v>61</v>
      </c>
      <c r="G71" s="3" t="s">
        <v>35</v>
      </c>
      <c r="H71" s="2" t="s">
        <v>18</v>
      </c>
      <c r="I71" s="3" t="s">
        <v>19</v>
      </c>
      <c r="J71" s="3">
        <v>84474</v>
      </c>
      <c r="K71" s="3">
        <v>9178</v>
      </c>
      <c r="L71" s="3">
        <v>149</v>
      </c>
      <c r="M71" s="4">
        <f t="shared" si="9"/>
        <v>0.10864881502000616</v>
      </c>
      <c r="N71" s="4">
        <f t="shared" si="10"/>
        <v>1.6234473741555896E-2</v>
      </c>
      <c r="O71">
        <v>444</v>
      </c>
      <c r="P71" s="5">
        <v>1</v>
      </c>
      <c r="Q71" s="7">
        <v>1</v>
      </c>
      <c r="R71" t="str">
        <f t="shared" si="8"/>
        <v>нормальный код</v>
      </c>
      <c r="S71" t="str">
        <f t="shared" si="11"/>
        <v>Больше половины</v>
      </c>
      <c r="T71" t="str">
        <f t="shared" si="12"/>
        <v>Вторая четверть</v>
      </c>
      <c r="U71" t="str">
        <f t="shared" si="13"/>
        <v>нормальный код</v>
      </c>
      <c r="V71" t="str">
        <f t="shared" si="14"/>
        <v>Вторая четверть</v>
      </c>
      <c r="W71" t="str">
        <f t="shared" si="15"/>
        <v>Больше половины</v>
      </c>
      <c r="X71">
        <v>25</v>
      </c>
    </row>
    <row r="72" spans="1:24" x14ac:dyDescent="0.35">
      <c r="A72" s="1" t="s">
        <v>130</v>
      </c>
      <c r="B72" s="2" t="s">
        <v>131</v>
      </c>
      <c r="C72" s="3" t="s">
        <v>13</v>
      </c>
      <c r="D72" s="2" t="s">
        <v>77</v>
      </c>
      <c r="E72" s="3" t="s">
        <v>89</v>
      </c>
      <c r="F72" s="2" t="s">
        <v>34</v>
      </c>
      <c r="G72" s="3" t="s">
        <v>35</v>
      </c>
      <c r="H72" s="2" t="s">
        <v>18</v>
      </c>
      <c r="I72" s="3" t="s">
        <v>19</v>
      </c>
      <c r="J72" s="3">
        <v>83021</v>
      </c>
      <c r="K72" s="3">
        <v>8575</v>
      </c>
      <c r="L72" s="3">
        <v>116</v>
      </c>
      <c r="M72" s="4">
        <f t="shared" si="9"/>
        <v>0.10328712012623312</v>
      </c>
      <c r="N72" s="4">
        <f t="shared" si="10"/>
        <v>1.3527696793002916E-2</v>
      </c>
      <c r="O72">
        <v>1338</v>
      </c>
      <c r="P72" s="5">
        <v>1</v>
      </c>
      <c r="Q72" s="7">
        <v>1</v>
      </c>
      <c r="R72" t="str">
        <f t="shared" si="8"/>
        <v>нормальный код</v>
      </c>
      <c r="S72" t="str">
        <f t="shared" si="11"/>
        <v>Больше половины</v>
      </c>
      <c r="T72" t="str">
        <f t="shared" si="12"/>
        <v>Вторая четверть</v>
      </c>
      <c r="U72" t="str">
        <f t="shared" si="13"/>
        <v>нормальный код</v>
      </c>
      <c r="V72" t="str">
        <f t="shared" si="14"/>
        <v>Вторая четверть</v>
      </c>
      <c r="W72" t="str">
        <f t="shared" si="15"/>
        <v>Вторая четверть</v>
      </c>
      <c r="X72">
        <v>6</v>
      </c>
    </row>
    <row r="73" spans="1:24" x14ac:dyDescent="0.35">
      <c r="A73" s="1" t="s">
        <v>507</v>
      </c>
      <c r="B73" s="2" t="s">
        <v>508</v>
      </c>
      <c r="C73" s="3" t="s">
        <v>13</v>
      </c>
      <c r="D73" s="2" t="s">
        <v>14</v>
      </c>
      <c r="E73" s="3" t="s">
        <v>181</v>
      </c>
      <c r="F73" s="2" t="s">
        <v>16</v>
      </c>
      <c r="G73" s="3" t="s">
        <v>35</v>
      </c>
      <c r="H73" s="2" t="s">
        <v>18</v>
      </c>
      <c r="I73" s="3" t="s">
        <v>19</v>
      </c>
      <c r="J73" s="3">
        <v>81548</v>
      </c>
      <c r="K73" s="3">
        <v>4489</v>
      </c>
      <c r="L73" s="3">
        <v>67</v>
      </c>
      <c r="M73" s="4">
        <f t="shared" si="9"/>
        <v>5.5047334085446611E-2</v>
      </c>
      <c r="N73" s="4">
        <f t="shared" si="10"/>
        <v>1.4925373134328358E-2</v>
      </c>
      <c r="O73">
        <v>460</v>
      </c>
      <c r="P73" s="5">
        <v>1</v>
      </c>
      <c r="Q73" s="7">
        <v>1</v>
      </c>
      <c r="R73" t="str">
        <f t="shared" si="8"/>
        <v>нормальный код</v>
      </c>
      <c r="S73" t="str">
        <f t="shared" si="11"/>
        <v>Вторая четверть</v>
      </c>
      <c r="T73" t="str">
        <f t="shared" si="12"/>
        <v>Вторая четверть</v>
      </c>
      <c r="U73" t="str">
        <f t="shared" si="13"/>
        <v>код для проверки</v>
      </c>
      <c r="V73" t="str">
        <f t="shared" si="14"/>
        <v>Больше половины</v>
      </c>
      <c r="W73" t="str">
        <f t="shared" si="15"/>
        <v>Низшая четверть</v>
      </c>
      <c r="X73">
        <v>24</v>
      </c>
    </row>
    <row r="74" spans="1:24" x14ac:dyDescent="0.35">
      <c r="A74" s="1" t="s">
        <v>521</v>
      </c>
      <c r="B74" s="2" t="s">
        <v>522</v>
      </c>
      <c r="C74" s="3" t="s">
        <v>13</v>
      </c>
      <c r="D74" s="2" t="s">
        <v>22</v>
      </c>
      <c r="E74" s="3" t="s">
        <v>66</v>
      </c>
      <c r="F74" s="2" t="s">
        <v>16</v>
      </c>
      <c r="G74" s="3" t="s">
        <v>17</v>
      </c>
      <c r="H74" s="2" t="s">
        <v>18</v>
      </c>
      <c r="I74" s="3" t="s">
        <v>19</v>
      </c>
      <c r="J74" s="3">
        <v>81026</v>
      </c>
      <c r="K74" s="3">
        <v>8066</v>
      </c>
      <c r="L74" s="3">
        <v>123</v>
      </c>
      <c r="M74" s="4">
        <f t="shared" si="9"/>
        <v>9.9548293140473434E-2</v>
      </c>
      <c r="N74" s="4">
        <f t="shared" si="10"/>
        <v>1.5249194148276718E-2</v>
      </c>
      <c r="O74">
        <v>232</v>
      </c>
      <c r="P74" s="5">
        <v>1</v>
      </c>
      <c r="Q74" s="7">
        <v>1</v>
      </c>
      <c r="R74" t="str">
        <f t="shared" si="8"/>
        <v>нормальный код</v>
      </c>
      <c r="S74" t="str">
        <f t="shared" si="11"/>
        <v>Больше половины</v>
      </c>
      <c r="T74" t="str">
        <f t="shared" si="12"/>
        <v>Вторая четверть</v>
      </c>
      <c r="U74" t="str">
        <f t="shared" si="13"/>
        <v>нормальный код</v>
      </c>
      <c r="V74" t="str">
        <f t="shared" si="14"/>
        <v>Больше половины</v>
      </c>
      <c r="W74" t="str">
        <f t="shared" si="15"/>
        <v>Вторая четверть</v>
      </c>
      <c r="X74">
        <v>24</v>
      </c>
    </row>
    <row r="75" spans="1:24" x14ac:dyDescent="0.35">
      <c r="A75" s="1" t="s">
        <v>1573</v>
      </c>
      <c r="B75" s="2" t="s">
        <v>1574</v>
      </c>
      <c r="C75" s="3" t="s">
        <v>13</v>
      </c>
      <c r="D75" s="2" t="s">
        <v>77</v>
      </c>
      <c r="E75" s="3" t="s">
        <v>78</v>
      </c>
      <c r="F75" s="2" t="s">
        <v>34</v>
      </c>
      <c r="G75" s="3" t="s">
        <v>17</v>
      </c>
      <c r="H75" s="2" t="s">
        <v>18</v>
      </c>
      <c r="I75" s="3" t="s">
        <v>19</v>
      </c>
      <c r="J75" s="3">
        <v>80101</v>
      </c>
      <c r="K75" s="3">
        <v>7035</v>
      </c>
      <c r="L75" s="3">
        <v>246</v>
      </c>
      <c r="M75" s="4">
        <f t="shared" si="9"/>
        <v>8.7826618893646777E-2</v>
      </c>
      <c r="N75" s="4">
        <f t="shared" si="10"/>
        <v>3.4968017057569294E-2</v>
      </c>
      <c r="O75">
        <v>260</v>
      </c>
      <c r="P75" s="5">
        <v>1</v>
      </c>
      <c r="Q75" s="7">
        <v>1</v>
      </c>
      <c r="R75" t="str">
        <f t="shared" si="8"/>
        <v>нормальный код</v>
      </c>
      <c r="S75" t="str">
        <f t="shared" si="11"/>
        <v>Вторая четверть</v>
      </c>
      <c r="T75" t="str">
        <f t="shared" si="12"/>
        <v>Больше половины</v>
      </c>
      <c r="U75" t="str">
        <f t="shared" si="13"/>
        <v>нормальный код</v>
      </c>
      <c r="V75" t="str">
        <f t="shared" si="14"/>
        <v>Больше половины</v>
      </c>
      <c r="W75" t="str">
        <f t="shared" si="15"/>
        <v>Больше половины</v>
      </c>
      <c r="X75">
        <v>17</v>
      </c>
    </row>
    <row r="76" spans="1:24" x14ac:dyDescent="0.35">
      <c r="A76" s="1" t="s">
        <v>1561</v>
      </c>
      <c r="B76" s="2" t="s">
        <v>1562</v>
      </c>
      <c r="C76" s="3" t="s">
        <v>13</v>
      </c>
      <c r="D76" s="2" t="s">
        <v>49</v>
      </c>
      <c r="E76" s="3" t="s">
        <v>50</v>
      </c>
      <c r="F76" s="2" t="s">
        <v>34</v>
      </c>
      <c r="G76" s="3" t="s">
        <v>35</v>
      </c>
      <c r="H76" s="2" t="s">
        <v>18</v>
      </c>
      <c r="I76" s="3" t="s">
        <v>19</v>
      </c>
      <c r="J76" s="3">
        <v>79310</v>
      </c>
      <c r="K76" s="3">
        <v>6352</v>
      </c>
      <c r="L76" s="3">
        <v>197</v>
      </c>
      <c r="M76" s="4">
        <f t="shared" si="9"/>
        <v>8.0090783003404359E-2</v>
      </c>
      <c r="N76" s="4">
        <f t="shared" si="10"/>
        <v>3.1013853904282115E-2</v>
      </c>
      <c r="O76">
        <v>520</v>
      </c>
      <c r="P76" s="5">
        <v>1</v>
      </c>
      <c r="Q76" s="7">
        <v>1</v>
      </c>
      <c r="R76" t="str">
        <f t="shared" si="8"/>
        <v>нормальный код</v>
      </c>
      <c r="S76" t="str">
        <f t="shared" si="11"/>
        <v>Вторая четверть</v>
      </c>
      <c r="T76" t="str">
        <f t="shared" si="12"/>
        <v>Больше половины</v>
      </c>
      <c r="U76" t="str">
        <f t="shared" si="13"/>
        <v>нормальный код</v>
      </c>
      <c r="V76" t="str">
        <f t="shared" si="14"/>
        <v>Больше половины</v>
      </c>
      <c r="W76" t="str">
        <f t="shared" si="15"/>
        <v>Вторая четверть</v>
      </c>
      <c r="X76">
        <v>13</v>
      </c>
    </row>
    <row r="77" spans="1:24" x14ac:dyDescent="0.35">
      <c r="A77" s="1" t="s">
        <v>219</v>
      </c>
      <c r="B77" s="2" t="s">
        <v>220</v>
      </c>
      <c r="C77" s="3" t="s">
        <v>13</v>
      </c>
      <c r="D77" s="2" t="s">
        <v>77</v>
      </c>
      <c r="E77" s="3" t="s">
        <v>78</v>
      </c>
      <c r="F77" s="2" t="s">
        <v>34</v>
      </c>
      <c r="G77" s="3" t="s">
        <v>35</v>
      </c>
      <c r="H77" s="2" t="s">
        <v>18</v>
      </c>
      <c r="I77" s="3" t="s">
        <v>19</v>
      </c>
      <c r="J77" s="3">
        <v>77808</v>
      </c>
      <c r="K77" s="3">
        <v>4493</v>
      </c>
      <c r="L77" s="3">
        <v>132</v>
      </c>
      <c r="M77" s="4">
        <f t="shared" si="9"/>
        <v>5.7744704914661729E-2</v>
      </c>
      <c r="N77" s="4">
        <f t="shared" si="10"/>
        <v>2.9379034052971289E-2</v>
      </c>
      <c r="O77">
        <v>561</v>
      </c>
      <c r="P77" s="5">
        <v>1</v>
      </c>
      <c r="Q77" s="7">
        <v>1</v>
      </c>
      <c r="R77" t="str">
        <f t="shared" si="8"/>
        <v>нормальный код</v>
      </c>
      <c r="S77" t="str">
        <f t="shared" si="11"/>
        <v>Вторая четверть</v>
      </c>
      <c r="T77" t="str">
        <f t="shared" si="12"/>
        <v>Больше половины</v>
      </c>
      <c r="U77" t="str">
        <f t="shared" si="13"/>
        <v>нормальный код</v>
      </c>
      <c r="V77" t="str">
        <f t="shared" si="14"/>
        <v>Вторая четверть</v>
      </c>
      <c r="W77" t="str">
        <f t="shared" si="15"/>
        <v>Вторая четверть</v>
      </c>
      <c r="X77">
        <v>19</v>
      </c>
    </row>
    <row r="78" spans="1:24" x14ac:dyDescent="0.35">
      <c r="A78" s="1" t="s">
        <v>1288</v>
      </c>
      <c r="B78" s="2" t="s">
        <v>1289</v>
      </c>
      <c r="C78" s="3" t="s">
        <v>55</v>
      </c>
      <c r="D78" s="2" t="s">
        <v>295</v>
      </c>
      <c r="E78" s="3" t="s">
        <v>296</v>
      </c>
      <c r="F78" s="2" t="s">
        <v>61</v>
      </c>
      <c r="G78" s="3" t="s">
        <v>17</v>
      </c>
      <c r="H78" s="2" t="s">
        <v>97</v>
      </c>
      <c r="I78" s="3" t="s">
        <v>19</v>
      </c>
      <c r="J78" s="3">
        <v>77411</v>
      </c>
      <c r="K78" s="3">
        <v>13094</v>
      </c>
      <c r="L78" s="3">
        <v>178</v>
      </c>
      <c r="M78" s="4">
        <f t="shared" si="9"/>
        <v>0.16914908733900866</v>
      </c>
      <c r="N78" s="4">
        <f t="shared" si="10"/>
        <v>1.3594012524820528E-2</v>
      </c>
      <c r="O78">
        <v>527</v>
      </c>
      <c r="P78" s="5">
        <v>1</v>
      </c>
      <c r="Q78" s="7">
        <v>1</v>
      </c>
      <c r="R78" t="str">
        <f t="shared" si="8"/>
        <v>нормальный код</v>
      </c>
      <c r="S78" t="str">
        <f t="shared" si="11"/>
        <v>Больше половины</v>
      </c>
      <c r="T78" t="str">
        <f t="shared" si="12"/>
        <v>Вторая четверть</v>
      </c>
      <c r="U78" t="str">
        <f t="shared" si="13"/>
        <v>нормальный код</v>
      </c>
      <c r="V78" t="str">
        <f t="shared" si="14"/>
        <v>Вторая четверть</v>
      </c>
      <c r="W78" t="str">
        <f t="shared" si="15"/>
        <v>Больше половины</v>
      </c>
      <c r="X78">
        <v>9</v>
      </c>
    </row>
    <row r="79" spans="1:24" x14ac:dyDescent="0.35">
      <c r="A79" s="1" t="s">
        <v>995</v>
      </c>
      <c r="B79" s="2" t="s">
        <v>996</v>
      </c>
      <c r="C79" s="3" t="s">
        <v>55</v>
      </c>
      <c r="D79" s="2" t="s">
        <v>56</v>
      </c>
      <c r="E79" s="3" t="s">
        <v>700</v>
      </c>
      <c r="F79" s="2" t="s">
        <v>96</v>
      </c>
      <c r="G79" s="3" t="s">
        <v>17</v>
      </c>
      <c r="H79" s="2" t="s">
        <v>18</v>
      </c>
      <c r="I79" s="3" t="s">
        <v>19</v>
      </c>
      <c r="J79" s="3">
        <v>75976</v>
      </c>
      <c r="K79" s="3">
        <v>4987</v>
      </c>
      <c r="L79" s="3">
        <v>492</v>
      </c>
      <c r="M79" s="4">
        <f t="shared" si="9"/>
        <v>6.5639149205012112E-2</v>
      </c>
      <c r="N79" s="4">
        <f t="shared" si="10"/>
        <v>9.8656506917986761E-2</v>
      </c>
      <c r="O79">
        <v>2793</v>
      </c>
      <c r="P79" s="5">
        <v>1</v>
      </c>
      <c r="Q79" s="7">
        <v>1</v>
      </c>
      <c r="R79" t="str">
        <f t="shared" si="8"/>
        <v>нормальный код</v>
      </c>
      <c r="S79" t="str">
        <f t="shared" si="11"/>
        <v>Вторая четверть</v>
      </c>
      <c r="T79" t="str">
        <f t="shared" si="12"/>
        <v>Больше половины</v>
      </c>
      <c r="U79" t="str">
        <f t="shared" si="13"/>
        <v>нормальный код</v>
      </c>
      <c r="V79" t="str">
        <f t="shared" si="14"/>
        <v>Вторая четверть</v>
      </c>
      <c r="W79" t="str">
        <f t="shared" si="15"/>
        <v>Больше половины</v>
      </c>
      <c r="X79">
        <v>18</v>
      </c>
    </row>
    <row r="80" spans="1:24" x14ac:dyDescent="0.35">
      <c r="A80" s="1" t="s">
        <v>251</v>
      </c>
      <c r="B80" s="2" t="s">
        <v>252</v>
      </c>
      <c r="C80" s="3" t="s">
        <v>55</v>
      </c>
      <c r="D80" s="2" t="s">
        <v>56</v>
      </c>
      <c r="E80" s="3" t="s">
        <v>253</v>
      </c>
      <c r="F80" s="2" t="s">
        <v>34</v>
      </c>
      <c r="G80" s="3" t="s">
        <v>17</v>
      </c>
      <c r="H80" s="2" t="s">
        <v>18</v>
      </c>
      <c r="I80" s="3" t="s">
        <v>19</v>
      </c>
      <c r="J80" s="3">
        <v>75882</v>
      </c>
      <c r="K80" s="3">
        <v>3437</v>
      </c>
      <c r="L80" s="3">
        <v>201</v>
      </c>
      <c r="M80" s="4">
        <f t="shared" si="9"/>
        <v>4.529400911942226E-2</v>
      </c>
      <c r="N80" s="4">
        <f t="shared" si="10"/>
        <v>5.8481233633983123E-2</v>
      </c>
      <c r="O80">
        <v>443</v>
      </c>
      <c r="P80" s="5">
        <v>1</v>
      </c>
      <c r="Q80" s="7">
        <v>1</v>
      </c>
      <c r="R80" t="str">
        <f t="shared" si="8"/>
        <v>код для проверки</v>
      </c>
      <c r="S80" t="str">
        <f t="shared" si="11"/>
        <v>Низшая четверть</v>
      </c>
      <c r="T80" t="str">
        <f t="shared" si="12"/>
        <v>Больше половины</v>
      </c>
      <c r="U80" t="str">
        <f t="shared" si="13"/>
        <v>нормальный код</v>
      </c>
      <c r="V80" t="str">
        <f t="shared" si="14"/>
        <v>Вторая четверть</v>
      </c>
      <c r="W80" t="str">
        <f t="shared" si="15"/>
        <v>Больше половины</v>
      </c>
      <c r="X80">
        <v>25</v>
      </c>
    </row>
    <row r="81" spans="1:24" x14ac:dyDescent="0.35">
      <c r="A81" s="1" t="s">
        <v>378</v>
      </c>
      <c r="B81" s="2" t="s">
        <v>379</v>
      </c>
      <c r="C81" s="3" t="s">
        <v>13</v>
      </c>
      <c r="D81" s="2" t="s">
        <v>77</v>
      </c>
      <c r="E81" s="3" t="s">
        <v>380</v>
      </c>
      <c r="F81" s="2" t="s">
        <v>61</v>
      </c>
      <c r="G81" s="3" t="s">
        <v>35</v>
      </c>
      <c r="H81" s="2" t="s">
        <v>18</v>
      </c>
      <c r="I81" s="3" t="s">
        <v>19</v>
      </c>
      <c r="J81" s="3">
        <v>75432</v>
      </c>
      <c r="K81" s="3">
        <v>3849</v>
      </c>
      <c r="L81" s="3">
        <v>72</v>
      </c>
      <c r="M81" s="4">
        <f t="shared" si="9"/>
        <v>5.1026089723194397E-2</v>
      </c>
      <c r="N81" s="4">
        <f t="shared" si="10"/>
        <v>1.8706157443491817E-2</v>
      </c>
      <c r="O81">
        <v>767</v>
      </c>
      <c r="P81" s="5">
        <v>1</v>
      </c>
      <c r="Q81" s="7">
        <v>1</v>
      </c>
      <c r="R81" t="str">
        <f t="shared" si="8"/>
        <v>нормальный код</v>
      </c>
      <c r="S81" t="str">
        <f t="shared" si="11"/>
        <v>Вторая четверть</v>
      </c>
      <c r="T81" t="str">
        <f t="shared" si="12"/>
        <v>Вторая четверть</v>
      </c>
      <c r="U81" t="str">
        <f t="shared" si="13"/>
        <v>нормальный код</v>
      </c>
      <c r="V81" t="str">
        <f t="shared" si="14"/>
        <v>Вторая четверть</v>
      </c>
      <c r="W81" t="str">
        <f t="shared" si="15"/>
        <v>Больше половины</v>
      </c>
      <c r="X81">
        <v>16</v>
      </c>
    </row>
    <row r="82" spans="1:24" x14ac:dyDescent="0.35">
      <c r="A82" s="1" t="s">
        <v>1055</v>
      </c>
      <c r="B82" s="2" t="s">
        <v>1056</v>
      </c>
      <c r="C82" s="3" t="s">
        <v>55</v>
      </c>
      <c r="D82" s="2" t="s">
        <v>295</v>
      </c>
      <c r="E82" s="3" t="s">
        <v>296</v>
      </c>
      <c r="F82" s="2" t="s">
        <v>61</v>
      </c>
      <c r="G82" s="3" t="s">
        <v>17</v>
      </c>
      <c r="H82" s="2" t="s">
        <v>97</v>
      </c>
      <c r="I82" s="3" t="s">
        <v>19</v>
      </c>
      <c r="J82" s="3">
        <v>75212</v>
      </c>
      <c r="K82" s="3">
        <v>11297</v>
      </c>
      <c r="L82" s="3">
        <v>59</v>
      </c>
      <c r="M82" s="4">
        <f t="shared" si="9"/>
        <v>0.15020209541030688</v>
      </c>
      <c r="N82" s="4">
        <f t="shared" si="10"/>
        <v>5.2226254757900331E-3</v>
      </c>
      <c r="O82">
        <v>499</v>
      </c>
      <c r="P82" s="5">
        <v>1</v>
      </c>
      <c r="Q82" s="7">
        <v>1</v>
      </c>
      <c r="R82" t="str">
        <f t="shared" si="8"/>
        <v>код для проверки</v>
      </c>
      <c r="S82" t="str">
        <f t="shared" si="11"/>
        <v>Больше половины</v>
      </c>
      <c r="T82" t="str">
        <f t="shared" si="12"/>
        <v>Низшая четверть</v>
      </c>
      <c r="U82" t="str">
        <f t="shared" si="13"/>
        <v>код для проверки</v>
      </c>
      <c r="V82" t="str">
        <f t="shared" si="14"/>
        <v>Вторая четверть</v>
      </c>
      <c r="W82" t="str">
        <f t="shared" si="15"/>
        <v>Низшая четверть</v>
      </c>
      <c r="X82">
        <v>11</v>
      </c>
    </row>
    <row r="83" spans="1:24" x14ac:dyDescent="0.35">
      <c r="A83" s="1" t="s">
        <v>651</v>
      </c>
      <c r="B83" s="2" t="s">
        <v>652</v>
      </c>
      <c r="C83" s="3" t="s">
        <v>55</v>
      </c>
      <c r="D83" s="2" t="s">
        <v>94</v>
      </c>
      <c r="E83" s="3" t="s">
        <v>95</v>
      </c>
      <c r="F83" s="2" t="s">
        <v>96</v>
      </c>
      <c r="G83" s="3" t="s">
        <v>17</v>
      </c>
      <c r="H83" s="2" t="s">
        <v>97</v>
      </c>
      <c r="I83" s="3" t="s">
        <v>19</v>
      </c>
      <c r="J83" s="3">
        <v>73990</v>
      </c>
      <c r="K83" s="3">
        <v>9488</v>
      </c>
      <c r="L83" s="3">
        <v>256</v>
      </c>
      <c r="M83" s="4">
        <f t="shared" si="9"/>
        <v>0.12823354507365861</v>
      </c>
      <c r="N83" s="4">
        <f t="shared" si="10"/>
        <v>2.6981450252951095E-2</v>
      </c>
      <c r="O83">
        <v>3945</v>
      </c>
      <c r="P83" s="5">
        <v>0.77777777777777779</v>
      </c>
      <c r="Q83" s="7">
        <v>1</v>
      </c>
      <c r="R83" t="str">
        <f t="shared" si="8"/>
        <v>нормальный код</v>
      </c>
      <c r="S83" t="str">
        <f t="shared" si="11"/>
        <v>Больше половины</v>
      </c>
      <c r="T83" t="str">
        <f t="shared" si="12"/>
        <v>Больше половины</v>
      </c>
      <c r="U83" t="str">
        <f t="shared" si="13"/>
        <v>нормальный код</v>
      </c>
      <c r="V83" t="str">
        <f t="shared" si="14"/>
        <v>Больше половины</v>
      </c>
      <c r="W83" t="str">
        <f t="shared" si="15"/>
        <v>Больше половины</v>
      </c>
      <c r="X83">
        <v>22</v>
      </c>
    </row>
    <row r="84" spans="1:24" x14ac:dyDescent="0.35">
      <c r="A84" s="1" t="s">
        <v>350</v>
      </c>
      <c r="B84" s="2" t="s">
        <v>351</v>
      </c>
      <c r="C84" s="3" t="s">
        <v>13</v>
      </c>
      <c r="D84" s="2" t="s">
        <v>38</v>
      </c>
      <c r="E84" s="3" t="s">
        <v>39</v>
      </c>
      <c r="F84" s="2" t="s">
        <v>34</v>
      </c>
      <c r="G84" s="3" t="s">
        <v>35</v>
      </c>
      <c r="H84" s="2" t="s">
        <v>18</v>
      </c>
      <c r="I84" s="3" t="s">
        <v>19</v>
      </c>
      <c r="J84" s="3">
        <v>73073</v>
      </c>
      <c r="K84" s="3">
        <v>7750</v>
      </c>
      <c r="L84" s="3">
        <v>185</v>
      </c>
      <c r="M84" s="4">
        <f t="shared" si="9"/>
        <v>0.10605832523640743</v>
      </c>
      <c r="N84" s="4">
        <f t="shared" si="10"/>
        <v>2.3870967741935485E-2</v>
      </c>
      <c r="O84">
        <v>486</v>
      </c>
      <c r="P84" s="5">
        <v>1</v>
      </c>
      <c r="Q84" s="7">
        <v>1</v>
      </c>
      <c r="R84" t="str">
        <f t="shared" si="8"/>
        <v>нормальный код</v>
      </c>
      <c r="S84" t="str">
        <f t="shared" si="11"/>
        <v>Больше половины</v>
      </c>
      <c r="T84" t="str">
        <f t="shared" si="12"/>
        <v>Больше половины</v>
      </c>
      <c r="U84" t="str">
        <f t="shared" si="13"/>
        <v>нормальный код</v>
      </c>
      <c r="V84" t="str">
        <f t="shared" si="14"/>
        <v>Больше половины</v>
      </c>
      <c r="W84" t="str">
        <f t="shared" si="15"/>
        <v>Вторая четверть</v>
      </c>
      <c r="X84">
        <v>11</v>
      </c>
    </row>
    <row r="85" spans="1:24" x14ac:dyDescent="0.35">
      <c r="A85" s="1" t="s">
        <v>312</v>
      </c>
      <c r="B85" s="2" t="s">
        <v>313</v>
      </c>
      <c r="C85" s="3" t="s">
        <v>55</v>
      </c>
      <c r="D85" s="2" t="s">
        <v>56</v>
      </c>
      <c r="E85" s="3" t="s">
        <v>57</v>
      </c>
      <c r="F85" s="2" t="s">
        <v>34</v>
      </c>
      <c r="G85" s="3" t="s">
        <v>17</v>
      </c>
      <c r="H85" s="2" t="s">
        <v>18</v>
      </c>
      <c r="I85" s="3" t="s">
        <v>19</v>
      </c>
      <c r="J85" s="3">
        <v>72707</v>
      </c>
      <c r="K85" s="3">
        <v>4568</v>
      </c>
      <c r="L85" s="3">
        <v>118</v>
      </c>
      <c r="M85" s="4">
        <f t="shared" si="9"/>
        <v>6.282751316929594E-2</v>
      </c>
      <c r="N85" s="4">
        <f t="shared" si="10"/>
        <v>2.583187390542907E-2</v>
      </c>
      <c r="O85">
        <v>340</v>
      </c>
      <c r="P85" s="5">
        <v>1</v>
      </c>
      <c r="Q85" s="7">
        <v>1</v>
      </c>
      <c r="R85" t="str">
        <f t="shared" si="8"/>
        <v>нормальный код</v>
      </c>
      <c r="S85" t="str">
        <f t="shared" si="11"/>
        <v>Вторая четверть</v>
      </c>
      <c r="T85" t="str">
        <f t="shared" si="12"/>
        <v>Больше половины</v>
      </c>
      <c r="U85" t="str">
        <f t="shared" si="13"/>
        <v>нормальный код</v>
      </c>
      <c r="V85" t="str">
        <f t="shared" si="14"/>
        <v>Вторая четверть</v>
      </c>
      <c r="W85" t="str">
        <f t="shared" si="15"/>
        <v>Больше половины</v>
      </c>
      <c r="X85">
        <v>12</v>
      </c>
    </row>
    <row r="86" spans="1:24" x14ac:dyDescent="0.35">
      <c r="A86" s="1" t="s">
        <v>1206</v>
      </c>
      <c r="B86" s="2" t="s">
        <v>1207</v>
      </c>
      <c r="C86" s="3" t="s">
        <v>13</v>
      </c>
      <c r="D86" s="2" t="s">
        <v>104</v>
      </c>
      <c r="E86" s="3" t="s">
        <v>105</v>
      </c>
      <c r="F86" s="2" t="s">
        <v>71</v>
      </c>
      <c r="G86" s="3" t="s">
        <v>35</v>
      </c>
      <c r="H86" s="2" t="s">
        <v>18</v>
      </c>
      <c r="I86" s="3" t="s">
        <v>19</v>
      </c>
      <c r="J86" s="3">
        <v>72578</v>
      </c>
      <c r="K86" s="3">
        <v>4145</v>
      </c>
      <c r="L86" s="3">
        <v>92</v>
      </c>
      <c r="M86" s="4">
        <f t="shared" si="9"/>
        <v>5.7110970266471932E-2</v>
      </c>
      <c r="N86" s="4">
        <f t="shared" si="10"/>
        <v>2.2195416164053076E-2</v>
      </c>
      <c r="O86">
        <v>627</v>
      </c>
      <c r="P86" s="5">
        <v>1</v>
      </c>
      <c r="Q86" s="7">
        <v>1</v>
      </c>
      <c r="R86" t="str">
        <f t="shared" si="8"/>
        <v>нормальный код</v>
      </c>
      <c r="S86" t="str">
        <f t="shared" si="11"/>
        <v>Вторая четверть</v>
      </c>
      <c r="T86" t="str">
        <f t="shared" si="12"/>
        <v>Больше половины</v>
      </c>
      <c r="U86" t="str">
        <f t="shared" si="13"/>
        <v>нормальный код</v>
      </c>
      <c r="V86" t="str">
        <f t="shared" si="14"/>
        <v>Вторая четверть</v>
      </c>
      <c r="W86" t="str">
        <f t="shared" si="15"/>
        <v>Больше половины</v>
      </c>
      <c r="X86">
        <v>10</v>
      </c>
    </row>
    <row r="87" spans="1:24" x14ac:dyDescent="0.35">
      <c r="A87" s="1" t="s">
        <v>387</v>
      </c>
      <c r="B87" s="2" t="s">
        <v>388</v>
      </c>
      <c r="C87" s="3" t="s">
        <v>13</v>
      </c>
      <c r="D87" s="2" t="s">
        <v>104</v>
      </c>
      <c r="E87" s="3" t="s">
        <v>105</v>
      </c>
      <c r="F87" s="2" t="s">
        <v>71</v>
      </c>
      <c r="G87" s="3" t="s">
        <v>35</v>
      </c>
      <c r="H87" s="2" t="s">
        <v>18</v>
      </c>
      <c r="I87" s="3" t="s">
        <v>19</v>
      </c>
      <c r="J87" s="3">
        <v>71731</v>
      </c>
      <c r="K87" s="3">
        <v>4519</v>
      </c>
      <c r="L87" s="3">
        <v>60</v>
      </c>
      <c r="M87" s="4">
        <f t="shared" si="9"/>
        <v>6.2999261128382431E-2</v>
      </c>
      <c r="N87" s="4">
        <f t="shared" si="10"/>
        <v>1.3277273733126798E-2</v>
      </c>
      <c r="O87">
        <v>688</v>
      </c>
      <c r="P87" s="5">
        <v>1</v>
      </c>
      <c r="Q87" s="7">
        <v>1</v>
      </c>
      <c r="R87" t="str">
        <f t="shared" si="8"/>
        <v>нормальный код</v>
      </c>
      <c r="S87" t="str">
        <f t="shared" si="11"/>
        <v>Вторая четверть</v>
      </c>
      <c r="T87" t="str">
        <f t="shared" si="12"/>
        <v>Вторая четверть</v>
      </c>
      <c r="U87" t="str">
        <f t="shared" si="13"/>
        <v>нормальный код</v>
      </c>
      <c r="V87" t="str">
        <f t="shared" si="14"/>
        <v>Вторая четверть</v>
      </c>
      <c r="W87" t="str">
        <f t="shared" si="15"/>
        <v>Вторая четверть</v>
      </c>
      <c r="X87">
        <v>18</v>
      </c>
    </row>
    <row r="88" spans="1:24" x14ac:dyDescent="0.35">
      <c r="A88" s="1" t="s">
        <v>1633</v>
      </c>
      <c r="B88" s="2" t="s">
        <v>1634</v>
      </c>
      <c r="C88" s="3" t="s">
        <v>13</v>
      </c>
      <c r="D88" s="2" t="s">
        <v>38</v>
      </c>
      <c r="E88" s="3" t="s">
        <v>39</v>
      </c>
      <c r="F88" s="2" t="s">
        <v>34</v>
      </c>
      <c r="G88" s="3" t="s">
        <v>17</v>
      </c>
      <c r="H88" s="2" t="s">
        <v>18</v>
      </c>
      <c r="I88" s="3" t="s">
        <v>19</v>
      </c>
      <c r="J88" s="3">
        <v>71339</v>
      </c>
      <c r="K88" s="3">
        <v>3987</v>
      </c>
      <c r="L88" s="3">
        <v>199</v>
      </c>
      <c r="M88" s="4">
        <f t="shared" si="9"/>
        <v>5.5888083656905757E-2</v>
      </c>
      <c r="N88" s="4">
        <f t="shared" si="10"/>
        <v>4.9912214697767743E-2</v>
      </c>
      <c r="O88">
        <v>607</v>
      </c>
      <c r="P88" s="5">
        <v>0.875</v>
      </c>
      <c r="Q88" s="7">
        <v>1</v>
      </c>
      <c r="R88" t="str">
        <f t="shared" si="8"/>
        <v>нормальный код</v>
      </c>
      <c r="S88" t="str">
        <f t="shared" si="11"/>
        <v>Вторая четверть</v>
      </c>
      <c r="T88" t="str">
        <f t="shared" si="12"/>
        <v>Больше половины</v>
      </c>
      <c r="U88" t="str">
        <f t="shared" si="13"/>
        <v>нормальный код</v>
      </c>
      <c r="V88" t="str">
        <f t="shared" si="14"/>
        <v>Вторая четверть</v>
      </c>
      <c r="W88" t="str">
        <f t="shared" si="15"/>
        <v>Больше половины</v>
      </c>
      <c r="X88">
        <v>16</v>
      </c>
    </row>
    <row r="89" spans="1:24" x14ac:dyDescent="0.35">
      <c r="A89" s="1" t="s">
        <v>819</v>
      </c>
      <c r="B89" s="2" t="s">
        <v>820</v>
      </c>
      <c r="C89" s="3" t="s">
        <v>13</v>
      </c>
      <c r="D89" s="2" t="s">
        <v>22</v>
      </c>
      <c r="E89" s="3" t="s">
        <v>23</v>
      </c>
      <c r="F89" s="2" t="s">
        <v>16</v>
      </c>
      <c r="G89" s="3" t="s">
        <v>35</v>
      </c>
      <c r="H89" s="2" t="s">
        <v>18</v>
      </c>
      <c r="I89" s="3" t="s">
        <v>19</v>
      </c>
      <c r="J89" s="3">
        <v>71006</v>
      </c>
      <c r="K89" s="3">
        <v>7775</v>
      </c>
      <c r="L89" s="3">
        <v>119</v>
      </c>
      <c r="M89" s="4">
        <f t="shared" si="9"/>
        <v>0.10949778891924626</v>
      </c>
      <c r="N89" s="4">
        <f t="shared" si="10"/>
        <v>1.5305466237942123E-2</v>
      </c>
      <c r="O89">
        <v>444</v>
      </c>
      <c r="P89" s="5">
        <v>1</v>
      </c>
      <c r="Q89" s="7">
        <v>1</v>
      </c>
      <c r="R89" t="str">
        <f t="shared" si="8"/>
        <v>нормальный код</v>
      </c>
      <c r="S89" t="str">
        <f t="shared" si="11"/>
        <v>Больше половины</v>
      </c>
      <c r="T89" t="str">
        <f t="shared" si="12"/>
        <v>Вторая четверть</v>
      </c>
      <c r="U89" t="str">
        <f t="shared" si="13"/>
        <v>нормальный код</v>
      </c>
      <c r="V89" t="str">
        <f t="shared" si="14"/>
        <v>Больше половины</v>
      </c>
      <c r="W89" t="str">
        <f t="shared" si="15"/>
        <v>Больше половины</v>
      </c>
      <c r="X89">
        <v>7</v>
      </c>
    </row>
    <row r="90" spans="1:24" x14ac:dyDescent="0.35">
      <c r="A90" s="1" t="s">
        <v>808</v>
      </c>
      <c r="B90" s="2" t="s">
        <v>809</v>
      </c>
      <c r="C90" s="3" t="s">
        <v>55</v>
      </c>
      <c r="D90" s="2" t="s">
        <v>56</v>
      </c>
      <c r="E90" s="3" t="s">
        <v>700</v>
      </c>
      <c r="F90" s="2" t="s">
        <v>96</v>
      </c>
      <c r="G90" s="3" t="s">
        <v>17</v>
      </c>
      <c r="H90" s="2" t="s">
        <v>18</v>
      </c>
      <c r="I90" s="3" t="s">
        <v>19</v>
      </c>
      <c r="J90" s="3">
        <v>70425</v>
      </c>
      <c r="K90" s="3">
        <v>4274</v>
      </c>
      <c r="L90" s="3">
        <v>314</v>
      </c>
      <c r="M90" s="4">
        <f t="shared" si="9"/>
        <v>6.0688675896343629E-2</v>
      </c>
      <c r="N90" s="4">
        <f t="shared" si="10"/>
        <v>7.346747777257838E-2</v>
      </c>
      <c r="O90">
        <v>1884</v>
      </c>
      <c r="P90" s="5">
        <v>1</v>
      </c>
      <c r="Q90" s="7">
        <v>1</v>
      </c>
      <c r="R90" t="str">
        <f t="shared" si="8"/>
        <v>нормальный код</v>
      </c>
      <c r="S90" t="str">
        <f t="shared" si="11"/>
        <v>Вторая четверть</v>
      </c>
      <c r="T90" t="str">
        <f t="shared" si="12"/>
        <v>Больше половины</v>
      </c>
      <c r="U90" t="str">
        <f t="shared" si="13"/>
        <v>нормальный код</v>
      </c>
      <c r="V90" t="str">
        <f t="shared" si="14"/>
        <v>Вторая четверть</v>
      </c>
      <c r="W90" t="str">
        <f t="shared" si="15"/>
        <v>Больше половины</v>
      </c>
      <c r="X90">
        <v>14</v>
      </c>
    </row>
    <row r="91" spans="1:24" x14ac:dyDescent="0.35">
      <c r="A91" s="1" t="s">
        <v>2052</v>
      </c>
      <c r="B91" s="2" t="s">
        <v>2053</v>
      </c>
      <c r="C91" s="3" t="s">
        <v>13</v>
      </c>
      <c r="D91" s="2" t="s">
        <v>49</v>
      </c>
      <c r="E91" s="3" t="s">
        <v>50</v>
      </c>
      <c r="F91" s="2" t="s">
        <v>34</v>
      </c>
      <c r="G91" s="3" t="s">
        <v>35</v>
      </c>
      <c r="H91" s="2" t="s">
        <v>18</v>
      </c>
      <c r="I91" s="3" t="s">
        <v>19</v>
      </c>
      <c r="J91" s="3">
        <v>70220</v>
      </c>
      <c r="K91" s="3">
        <v>6221</v>
      </c>
      <c r="L91" s="3">
        <v>212</v>
      </c>
      <c r="M91" s="4">
        <f t="shared" si="9"/>
        <v>8.8592993449159788E-2</v>
      </c>
      <c r="N91" s="4">
        <f t="shared" si="10"/>
        <v>3.4078122488345929E-2</v>
      </c>
      <c r="O91">
        <v>401</v>
      </c>
      <c r="P91" s="5">
        <v>1</v>
      </c>
      <c r="Q91" s="7">
        <v>1</v>
      </c>
      <c r="R91" t="str">
        <f t="shared" si="8"/>
        <v>нормальный код</v>
      </c>
      <c r="S91" t="str">
        <f t="shared" si="11"/>
        <v>Вторая четверть</v>
      </c>
      <c r="T91" t="str">
        <f t="shared" si="12"/>
        <v>Больше половины</v>
      </c>
      <c r="U91" t="str">
        <f t="shared" si="13"/>
        <v>нормальный код</v>
      </c>
      <c r="V91" t="str">
        <f t="shared" si="14"/>
        <v>Больше половины</v>
      </c>
      <c r="W91" t="str">
        <f t="shared" si="15"/>
        <v>Вторая четверть</v>
      </c>
      <c r="X91">
        <v>25</v>
      </c>
    </row>
    <row r="92" spans="1:24" x14ac:dyDescent="0.35">
      <c r="A92" s="1" t="s">
        <v>1029</v>
      </c>
      <c r="B92" s="2" t="s">
        <v>1030</v>
      </c>
      <c r="C92" s="3" t="s">
        <v>55</v>
      </c>
      <c r="D92" s="2" t="s">
        <v>295</v>
      </c>
      <c r="E92" s="3" t="s">
        <v>296</v>
      </c>
      <c r="F92" s="2" t="s">
        <v>61</v>
      </c>
      <c r="G92" s="3" t="s">
        <v>17</v>
      </c>
      <c r="H92" s="2" t="s">
        <v>97</v>
      </c>
      <c r="I92" s="3" t="s">
        <v>19</v>
      </c>
      <c r="J92" s="3">
        <v>69227</v>
      </c>
      <c r="K92" s="3">
        <v>10472</v>
      </c>
      <c r="L92" s="3">
        <v>62</v>
      </c>
      <c r="M92" s="4">
        <f t="shared" si="9"/>
        <v>0.15127045805827205</v>
      </c>
      <c r="N92" s="4">
        <f t="shared" si="10"/>
        <v>5.9205500381970966E-3</v>
      </c>
      <c r="O92">
        <v>560</v>
      </c>
      <c r="P92" s="5">
        <v>1</v>
      </c>
      <c r="Q92" s="7">
        <v>1</v>
      </c>
      <c r="R92" t="str">
        <f t="shared" si="8"/>
        <v>код для проверки</v>
      </c>
      <c r="S92" t="str">
        <f t="shared" si="11"/>
        <v>Больше половины</v>
      </c>
      <c r="T92" t="str">
        <f t="shared" si="12"/>
        <v>Низшая четверть</v>
      </c>
      <c r="U92" t="str">
        <f t="shared" si="13"/>
        <v>код для проверки</v>
      </c>
      <c r="V92" t="str">
        <f t="shared" si="14"/>
        <v>Вторая четверть</v>
      </c>
      <c r="W92" t="str">
        <f t="shared" si="15"/>
        <v>Низшая четверть</v>
      </c>
      <c r="X92">
        <v>12</v>
      </c>
    </row>
    <row r="93" spans="1:24" x14ac:dyDescent="0.35">
      <c r="A93" s="1" t="s">
        <v>1095</v>
      </c>
      <c r="B93" s="2" t="s">
        <v>1096</v>
      </c>
      <c r="C93" s="3" t="s">
        <v>55</v>
      </c>
      <c r="D93" s="2" t="s">
        <v>295</v>
      </c>
      <c r="E93" s="3" t="s">
        <v>296</v>
      </c>
      <c r="F93" s="2" t="s">
        <v>61</v>
      </c>
      <c r="G93" s="3" t="s">
        <v>17</v>
      </c>
      <c r="H93" s="2" t="s">
        <v>97</v>
      </c>
      <c r="I93" s="3" t="s">
        <v>19</v>
      </c>
      <c r="J93" s="3">
        <v>67939</v>
      </c>
      <c r="K93" s="3">
        <v>13269</v>
      </c>
      <c r="L93" s="3">
        <v>51</v>
      </c>
      <c r="M93" s="4">
        <f t="shared" si="9"/>
        <v>0.19530755530696656</v>
      </c>
      <c r="N93" s="4">
        <f t="shared" si="10"/>
        <v>3.843545105132263E-3</v>
      </c>
      <c r="O93">
        <v>553</v>
      </c>
      <c r="P93" s="5">
        <v>1</v>
      </c>
      <c r="Q93" s="7">
        <v>1</v>
      </c>
      <c r="R93" t="str">
        <f t="shared" si="8"/>
        <v>код для проверки</v>
      </c>
      <c r="S93" t="str">
        <f t="shared" si="11"/>
        <v>Больше половины</v>
      </c>
      <c r="T93" t="str">
        <f t="shared" si="12"/>
        <v>Низшая четверть</v>
      </c>
      <c r="U93" t="str">
        <f t="shared" si="13"/>
        <v>код для проверки</v>
      </c>
      <c r="V93" t="str">
        <f t="shared" si="14"/>
        <v>Больше половины</v>
      </c>
      <c r="W93" t="str">
        <f t="shared" si="15"/>
        <v>Низшая четверть</v>
      </c>
      <c r="X93">
        <v>11</v>
      </c>
    </row>
    <row r="94" spans="1:24" x14ac:dyDescent="0.35">
      <c r="A94" s="1" t="s">
        <v>1537</v>
      </c>
      <c r="B94" s="2" t="s">
        <v>1538</v>
      </c>
      <c r="C94" s="3" t="s">
        <v>55</v>
      </c>
      <c r="D94" s="2" t="s">
        <v>295</v>
      </c>
      <c r="E94" s="3" t="s">
        <v>296</v>
      </c>
      <c r="F94" s="2" t="s">
        <v>61</v>
      </c>
      <c r="G94" s="3" t="s">
        <v>17</v>
      </c>
      <c r="H94" s="2" t="s">
        <v>97</v>
      </c>
      <c r="I94" s="3" t="s">
        <v>19</v>
      </c>
      <c r="J94" s="3">
        <v>67446</v>
      </c>
      <c r="K94" s="3">
        <v>13138</v>
      </c>
      <c r="L94" s="3">
        <v>219</v>
      </c>
      <c r="M94" s="4">
        <f t="shared" si="9"/>
        <v>0.19479287133410433</v>
      </c>
      <c r="N94" s="4">
        <f t="shared" si="10"/>
        <v>1.6669203836200335E-2</v>
      </c>
      <c r="O94">
        <v>336</v>
      </c>
      <c r="P94" s="5">
        <v>1</v>
      </c>
      <c r="Q94" s="7">
        <v>1</v>
      </c>
      <c r="R94" t="str">
        <f t="shared" si="8"/>
        <v>нормальный код</v>
      </c>
      <c r="S94" t="str">
        <f t="shared" si="11"/>
        <v>Больше половины</v>
      </c>
      <c r="T94" t="str">
        <f t="shared" si="12"/>
        <v>Вторая четверть</v>
      </c>
      <c r="U94" t="str">
        <f t="shared" si="13"/>
        <v>нормальный код</v>
      </c>
      <c r="V94" t="str">
        <f t="shared" si="14"/>
        <v>Больше половины</v>
      </c>
      <c r="W94" t="str">
        <f t="shared" si="15"/>
        <v>Больше половины</v>
      </c>
      <c r="X94">
        <v>13</v>
      </c>
    </row>
    <row r="95" spans="1:24" x14ac:dyDescent="0.35">
      <c r="A95" s="1" t="s">
        <v>394</v>
      </c>
      <c r="B95" s="2" t="s">
        <v>395</v>
      </c>
      <c r="C95" s="3" t="s">
        <v>13</v>
      </c>
      <c r="D95" s="2" t="s">
        <v>22</v>
      </c>
      <c r="E95" s="3" t="s">
        <v>396</v>
      </c>
      <c r="F95" s="2" t="s">
        <v>16</v>
      </c>
      <c r="G95" s="3" t="s">
        <v>35</v>
      </c>
      <c r="H95" s="2" t="s">
        <v>18</v>
      </c>
      <c r="I95" s="3" t="s">
        <v>19</v>
      </c>
      <c r="J95" s="3">
        <v>66819</v>
      </c>
      <c r="K95" s="3">
        <v>4415</v>
      </c>
      <c r="L95" s="3">
        <v>53</v>
      </c>
      <c r="M95" s="4">
        <f t="shared" si="9"/>
        <v>6.607402086232958E-2</v>
      </c>
      <c r="N95" s="4">
        <f t="shared" si="10"/>
        <v>1.2004530011325029E-2</v>
      </c>
      <c r="O95">
        <v>243</v>
      </c>
      <c r="P95" s="5">
        <v>1</v>
      </c>
      <c r="Q95" s="7">
        <v>1</v>
      </c>
      <c r="R95" t="str">
        <f t="shared" si="8"/>
        <v>нормальный код</v>
      </c>
      <c r="S95" t="str">
        <f t="shared" si="11"/>
        <v>Вторая четверть</v>
      </c>
      <c r="T95" t="str">
        <f t="shared" si="12"/>
        <v>Вторая четверть</v>
      </c>
      <c r="U95" t="str">
        <f t="shared" si="13"/>
        <v>нормальный код</v>
      </c>
      <c r="V95" t="str">
        <f t="shared" si="14"/>
        <v>Больше половины</v>
      </c>
      <c r="W95" t="str">
        <f t="shared" si="15"/>
        <v>Больше половины</v>
      </c>
      <c r="X95">
        <v>14</v>
      </c>
    </row>
    <row r="96" spans="1:24" x14ac:dyDescent="0.35">
      <c r="A96" s="1" t="s">
        <v>1349</v>
      </c>
      <c r="B96" s="2" t="s">
        <v>1350</v>
      </c>
      <c r="C96" s="3" t="s">
        <v>55</v>
      </c>
      <c r="D96" s="2" t="s">
        <v>56</v>
      </c>
      <c r="E96" s="3" t="s">
        <v>700</v>
      </c>
      <c r="F96" s="2" t="s">
        <v>96</v>
      </c>
      <c r="G96" s="3" t="s">
        <v>17</v>
      </c>
      <c r="H96" s="2" t="s">
        <v>18</v>
      </c>
      <c r="I96" s="3" t="s">
        <v>19</v>
      </c>
      <c r="J96" s="3">
        <v>63011</v>
      </c>
      <c r="K96" s="3">
        <v>2311</v>
      </c>
      <c r="L96" s="3">
        <v>42</v>
      </c>
      <c r="M96" s="4">
        <f t="shared" si="9"/>
        <v>3.6676135912777137E-2</v>
      </c>
      <c r="N96" s="4">
        <f t="shared" si="10"/>
        <v>1.8173950670705322E-2</v>
      </c>
      <c r="O96">
        <v>256</v>
      </c>
      <c r="P96" s="5">
        <v>1</v>
      </c>
      <c r="Q96" s="7">
        <v>1</v>
      </c>
      <c r="R96" t="str">
        <f t="shared" si="8"/>
        <v>код для проверки</v>
      </c>
      <c r="S96" t="str">
        <f t="shared" si="11"/>
        <v>Низшая четверть</v>
      </c>
      <c r="T96" t="str">
        <f t="shared" si="12"/>
        <v>Вторая четверть</v>
      </c>
      <c r="U96" t="str">
        <f t="shared" si="13"/>
        <v>код для проверки</v>
      </c>
      <c r="V96" t="str">
        <f t="shared" si="14"/>
        <v>Вторая четверть</v>
      </c>
      <c r="W96" t="str">
        <f t="shared" si="15"/>
        <v>Низшая четверть</v>
      </c>
      <c r="X96">
        <v>12</v>
      </c>
    </row>
    <row r="97" spans="1:24" x14ac:dyDescent="0.35">
      <c r="A97" s="1" t="s">
        <v>188</v>
      </c>
      <c r="B97" s="2" t="s">
        <v>189</v>
      </c>
      <c r="C97" s="3" t="s">
        <v>13</v>
      </c>
      <c r="D97" s="2" t="s">
        <v>69</v>
      </c>
      <c r="E97" s="3" t="s">
        <v>190</v>
      </c>
      <c r="F97" s="2" t="s">
        <v>34</v>
      </c>
      <c r="G97" s="3" t="s">
        <v>72</v>
      </c>
      <c r="H97" s="2" t="s">
        <v>18</v>
      </c>
      <c r="I97" s="3" t="s">
        <v>19</v>
      </c>
      <c r="J97" s="3">
        <v>62104</v>
      </c>
      <c r="K97" s="3">
        <v>4287</v>
      </c>
      <c r="L97" s="3">
        <v>59</v>
      </c>
      <c r="M97" s="4">
        <f t="shared" si="9"/>
        <v>6.9029370088883157E-2</v>
      </c>
      <c r="N97" s="4">
        <f t="shared" si="10"/>
        <v>1.3762537905295079E-2</v>
      </c>
      <c r="O97">
        <v>388</v>
      </c>
      <c r="P97" s="5">
        <v>1</v>
      </c>
      <c r="Q97" s="7">
        <v>1</v>
      </c>
      <c r="R97" t="str">
        <f t="shared" si="8"/>
        <v>нормальный код</v>
      </c>
      <c r="S97" t="str">
        <f t="shared" si="11"/>
        <v>Вторая четверть</v>
      </c>
      <c r="T97" t="str">
        <f t="shared" si="12"/>
        <v>Вторая четверть</v>
      </c>
      <c r="U97" t="str">
        <f t="shared" si="13"/>
        <v>нормальный код</v>
      </c>
      <c r="V97" t="str">
        <f t="shared" si="14"/>
        <v>Вторая четверть</v>
      </c>
      <c r="W97" t="str">
        <f t="shared" si="15"/>
        <v>Больше половины</v>
      </c>
      <c r="X97">
        <v>21</v>
      </c>
    </row>
    <row r="98" spans="1:24" x14ac:dyDescent="0.35">
      <c r="A98" s="1" t="s">
        <v>668</v>
      </c>
      <c r="B98" s="2" t="s">
        <v>669</v>
      </c>
      <c r="C98" s="3" t="s">
        <v>13</v>
      </c>
      <c r="D98" s="2" t="s">
        <v>22</v>
      </c>
      <c r="E98" s="3" t="s">
        <v>66</v>
      </c>
      <c r="F98" s="2" t="s">
        <v>16</v>
      </c>
      <c r="G98" s="3" t="s">
        <v>35</v>
      </c>
      <c r="H98" s="2" t="s">
        <v>18</v>
      </c>
      <c r="I98" s="3" t="s">
        <v>19</v>
      </c>
      <c r="J98" s="3">
        <v>60685</v>
      </c>
      <c r="K98" s="3">
        <v>2266</v>
      </c>
      <c r="L98" s="3">
        <v>55</v>
      </c>
      <c r="M98" s="4">
        <f t="shared" si="9"/>
        <v>3.7340364175661202E-2</v>
      </c>
      <c r="N98" s="4">
        <f t="shared" si="10"/>
        <v>2.4271844660194174E-2</v>
      </c>
      <c r="O98">
        <v>686</v>
      </c>
      <c r="P98" s="5">
        <v>1</v>
      </c>
      <c r="Q98" s="7">
        <v>1</v>
      </c>
      <c r="R98" t="str">
        <f t="shared" si="8"/>
        <v>код для проверки</v>
      </c>
      <c r="S98" t="str">
        <f t="shared" si="11"/>
        <v>Низшая четверть</v>
      </c>
      <c r="T98" t="str">
        <f t="shared" si="12"/>
        <v>Больше половины</v>
      </c>
      <c r="U98" t="str">
        <f t="shared" si="13"/>
        <v>нормальный код</v>
      </c>
      <c r="V98" t="str">
        <f t="shared" si="14"/>
        <v>Вторая четверть</v>
      </c>
      <c r="W98" t="str">
        <f t="shared" si="15"/>
        <v>Больше половины</v>
      </c>
      <c r="X98">
        <v>20</v>
      </c>
    </row>
    <row r="99" spans="1:24" x14ac:dyDescent="0.35">
      <c r="A99" s="1" t="s">
        <v>1420</v>
      </c>
      <c r="B99" s="2" t="s">
        <v>1421</v>
      </c>
      <c r="C99" s="3" t="s">
        <v>55</v>
      </c>
      <c r="D99" s="2" t="s">
        <v>295</v>
      </c>
      <c r="E99" s="3" t="s">
        <v>296</v>
      </c>
      <c r="F99" s="2" t="s">
        <v>61</v>
      </c>
      <c r="G99" s="3" t="s">
        <v>17</v>
      </c>
      <c r="H99" s="2" t="s">
        <v>97</v>
      </c>
      <c r="I99" s="3" t="s">
        <v>19</v>
      </c>
      <c r="J99" s="3">
        <v>60083</v>
      </c>
      <c r="K99" s="3">
        <v>12053</v>
      </c>
      <c r="L99" s="3">
        <v>243</v>
      </c>
      <c r="M99" s="4">
        <f t="shared" si="9"/>
        <v>0.2006058286037648</v>
      </c>
      <c r="N99" s="4">
        <f t="shared" si="10"/>
        <v>2.016095577864432E-2</v>
      </c>
      <c r="O99">
        <v>342</v>
      </c>
      <c r="P99" s="5">
        <v>1</v>
      </c>
      <c r="Q99" s="7">
        <v>1</v>
      </c>
      <c r="R99" t="str">
        <f t="shared" si="8"/>
        <v>нормальный код</v>
      </c>
      <c r="S99" t="str">
        <f t="shared" si="11"/>
        <v>Больше половины</v>
      </c>
      <c r="T99" t="str">
        <f t="shared" si="12"/>
        <v>Вторая четверть</v>
      </c>
      <c r="U99" t="str">
        <f t="shared" si="13"/>
        <v>нормальный код</v>
      </c>
      <c r="V99" t="str">
        <f t="shared" si="14"/>
        <v>Больше половины</v>
      </c>
      <c r="W99" t="str">
        <f t="shared" si="15"/>
        <v>Больше половины</v>
      </c>
      <c r="X99">
        <v>15</v>
      </c>
    </row>
    <row r="100" spans="1:24" x14ac:dyDescent="0.35">
      <c r="A100" s="1" t="s">
        <v>213</v>
      </c>
      <c r="B100" s="2" t="s">
        <v>214</v>
      </c>
      <c r="C100" s="3" t="s">
        <v>13</v>
      </c>
      <c r="D100" s="2" t="s">
        <v>77</v>
      </c>
      <c r="E100" s="3" t="s">
        <v>78</v>
      </c>
      <c r="F100" s="2" t="s">
        <v>34</v>
      </c>
      <c r="G100" s="3" t="s">
        <v>35</v>
      </c>
      <c r="H100" s="2" t="s">
        <v>18</v>
      </c>
      <c r="I100" s="3" t="s">
        <v>19</v>
      </c>
      <c r="J100" s="3">
        <v>59787</v>
      </c>
      <c r="K100" s="3">
        <v>3660</v>
      </c>
      <c r="L100" s="3">
        <v>89</v>
      </c>
      <c r="M100" s="4">
        <f t="shared" si="9"/>
        <v>6.1217321491294094E-2</v>
      </c>
      <c r="N100" s="4">
        <f t="shared" si="10"/>
        <v>2.4316939890710383E-2</v>
      </c>
      <c r="O100">
        <v>440</v>
      </c>
      <c r="P100" s="5">
        <v>1</v>
      </c>
      <c r="Q100" s="7">
        <v>1</v>
      </c>
      <c r="R100" t="str">
        <f t="shared" si="8"/>
        <v>нормальный код</v>
      </c>
      <c r="S100" t="str">
        <f t="shared" si="11"/>
        <v>Вторая четверть</v>
      </c>
      <c r="T100" t="str">
        <f t="shared" si="12"/>
        <v>Больше половины</v>
      </c>
      <c r="U100" t="str">
        <f t="shared" si="13"/>
        <v>нормальный код</v>
      </c>
      <c r="V100" t="str">
        <f t="shared" si="14"/>
        <v>Вторая четверть</v>
      </c>
      <c r="W100" t="str">
        <f t="shared" si="15"/>
        <v>Вторая четверть</v>
      </c>
      <c r="X100">
        <v>19</v>
      </c>
    </row>
    <row r="101" spans="1:24" x14ac:dyDescent="0.35">
      <c r="A101" s="1" t="s">
        <v>1188</v>
      </c>
      <c r="B101" s="2" t="s">
        <v>1189</v>
      </c>
      <c r="C101" s="3" t="s">
        <v>55</v>
      </c>
      <c r="D101" s="2" t="s">
        <v>295</v>
      </c>
      <c r="E101" s="3" t="s">
        <v>296</v>
      </c>
      <c r="F101" s="2" t="s">
        <v>61</v>
      </c>
      <c r="G101" s="3" t="s">
        <v>17</v>
      </c>
      <c r="H101" s="2" t="s">
        <v>97</v>
      </c>
      <c r="I101" s="3" t="s">
        <v>19</v>
      </c>
      <c r="J101" s="3">
        <v>59698</v>
      </c>
      <c r="K101" s="3">
        <v>12161</v>
      </c>
      <c r="L101" s="3">
        <v>46</v>
      </c>
      <c r="M101" s="4">
        <f t="shared" si="9"/>
        <v>0.20370866695701698</v>
      </c>
      <c r="N101" s="4">
        <f t="shared" si="10"/>
        <v>3.7825836691061589E-3</v>
      </c>
      <c r="O101">
        <v>461</v>
      </c>
      <c r="P101" s="5">
        <v>1</v>
      </c>
      <c r="Q101" s="7">
        <v>1</v>
      </c>
      <c r="R101" t="str">
        <f t="shared" si="8"/>
        <v>код для проверки</v>
      </c>
      <c r="S101" t="str">
        <f t="shared" si="11"/>
        <v>Больше половины</v>
      </c>
      <c r="T101" t="str">
        <f t="shared" si="12"/>
        <v>Низшая четверть</v>
      </c>
      <c r="U101" t="str">
        <f t="shared" si="13"/>
        <v>код для проверки</v>
      </c>
      <c r="V101" t="str">
        <f t="shared" si="14"/>
        <v>Больше половины</v>
      </c>
      <c r="W101" t="str">
        <f t="shared" si="15"/>
        <v>Низшая четверть</v>
      </c>
      <c r="X101">
        <v>14</v>
      </c>
    </row>
    <row r="102" spans="1:24" x14ac:dyDescent="0.35">
      <c r="A102" s="1" t="s">
        <v>1981</v>
      </c>
      <c r="B102" s="2" t="s">
        <v>1982</v>
      </c>
      <c r="C102" s="3" t="s">
        <v>13</v>
      </c>
      <c r="D102" s="2" t="s">
        <v>69</v>
      </c>
      <c r="E102" s="3" t="s">
        <v>1783</v>
      </c>
      <c r="F102" s="2" t="s">
        <v>61</v>
      </c>
      <c r="G102" s="3" t="s">
        <v>72</v>
      </c>
      <c r="H102" s="2" t="s">
        <v>18</v>
      </c>
      <c r="I102" s="3" t="s">
        <v>19</v>
      </c>
      <c r="J102" s="3">
        <v>59647</v>
      </c>
      <c r="K102" s="3">
        <v>5847</v>
      </c>
      <c r="L102" s="3">
        <v>75</v>
      </c>
      <c r="M102" s="4">
        <f t="shared" si="9"/>
        <v>9.8026723892232631E-2</v>
      </c>
      <c r="N102" s="4">
        <f t="shared" si="10"/>
        <v>1.2827090815802977E-2</v>
      </c>
      <c r="O102">
        <v>690</v>
      </c>
      <c r="P102" s="5">
        <v>1</v>
      </c>
      <c r="Q102" s="7">
        <v>1</v>
      </c>
      <c r="R102" t="str">
        <f t="shared" si="8"/>
        <v>нормальный код</v>
      </c>
      <c r="S102" t="str">
        <f t="shared" si="11"/>
        <v>Больше половины</v>
      </c>
      <c r="T102" t="str">
        <f t="shared" si="12"/>
        <v>Вторая четверть</v>
      </c>
      <c r="U102" t="str">
        <f t="shared" si="13"/>
        <v>нормальный код</v>
      </c>
      <c r="V102" t="str">
        <f t="shared" si="14"/>
        <v>Больше половины</v>
      </c>
      <c r="W102" t="str">
        <f t="shared" si="15"/>
        <v>Вторая четверть</v>
      </c>
      <c r="X102">
        <v>23</v>
      </c>
    </row>
    <row r="103" spans="1:24" x14ac:dyDescent="0.35">
      <c r="A103" s="1" t="s">
        <v>1037</v>
      </c>
      <c r="B103" s="2" t="s">
        <v>1038</v>
      </c>
      <c r="C103" s="3" t="s">
        <v>13</v>
      </c>
      <c r="D103" s="2" t="s">
        <v>49</v>
      </c>
      <c r="E103" s="3" t="s">
        <v>50</v>
      </c>
      <c r="F103" s="2" t="s">
        <v>34</v>
      </c>
      <c r="G103" s="3" t="s">
        <v>35</v>
      </c>
      <c r="H103" s="2" t="s">
        <v>18</v>
      </c>
      <c r="I103" s="3" t="s">
        <v>19</v>
      </c>
      <c r="J103" s="3">
        <v>57941</v>
      </c>
      <c r="K103" s="3">
        <v>4708</v>
      </c>
      <c r="L103" s="3">
        <v>150</v>
      </c>
      <c r="M103" s="4">
        <f t="shared" si="9"/>
        <v>8.1255069812395372E-2</v>
      </c>
      <c r="N103" s="4">
        <f t="shared" si="10"/>
        <v>3.1860662701784198E-2</v>
      </c>
      <c r="O103">
        <v>138</v>
      </c>
      <c r="P103" s="5">
        <v>1</v>
      </c>
      <c r="Q103" s="7">
        <v>1</v>
      </c>
      <c r="R103" t="str">
        <f t="shared" si="8"/>
        <v>нормальный код</v>
      </c>
      <c r="S103" t="str">
        <f t="shared" si="11"/>
        <v>Вторая четверть</v>
      </c>
      <c r="T103" t="str">
        <f t="shared" si="12"/>
        <v>Больше половины</v>
      </c>
      <c r="U103" t="str">
        <f t="shared" si="13"/>
        <v>нормальный код</v>
      </c>
      <c r="V103" t="str">
        <f t="shared" si="14"/>
        <v>Больше половины</v>
      </c>
      <c r="W103" t="str">
        <f t="shared" si="15"/>
        <v>Вторая четверть</v>
      </c>
      <c r="X103">
        <v>17</v>
      </c>
    </row>
    <row r="104" spans="1:24" x14ac:dyDescent="0.35">
      <c r="A104" s="1" t="s">
        <v>124</v>
      </c>
      <c r="B104" s="2" t="s">
        <v>125</v>
      </c>
      <c r="C104" s="3" t="s">
        <v>13</v>
      </c>
      <c r="D104" s="2" t="s">
        <v>38</v>
      </c>
      <c r="E104" s="3" t="s">
        <v>39</v>
      </c>
      <c r="F104" s="2" t="s">
        <v>34</v>
      </c>
      <c r="G104" s="3" t="s">
        <v>17</v>
      </c>
      <c r="H104" s="2" t="s">
        <v>18</v>
      </c>
      <c r="I104" s="3" t="s">
        <v>19</v>
      </c>
      <c r="J104" s="3">
        <v>57603</v>
      </c>
      <c r="K104" s="3">
        <v>4123</v>
      </c>
      <c r="L104" s="3">
        <v>75</v>
      </c>
      <c r="M104" s="4">
        <f t="shared" si="9"/>
        <v>7.1576133187507593E-2</v>
      </c>
      <c r="N104" s="4">
        <f t="shared" si="10"/>
        <v>1.8190637885035169E-2</v>
      </c>
      <c r="O104">
        <v>401</v>
      </c>
      <c r="P104" s="5">
        <v>1</v>
      </c>
      <c r="Q104" s="7">
        <v>1</v>
      </c>
      <c r="R104" t="str">
        <f t="shared" si="8"/>
        <v>нормальный код</v>
      </c>
      <c r="S104" t="str">
        <f t="shared" si="11"/>
        <v>Вторая четверть</v>
      </c>
      <c r="T104" t="str">
        <f t="shared" si="12"/>
        <v>Вторая четверть</v>
      </c>
      <c r="U104" t="str">
        <f t="shared" si="13"/>
        <v>нормальный код</v>
      </c>
      <c r="V104" t="str">
        <f t="shared" si="14"/>
        <v>Больше половины</v>
      </c>
      <c r="W104" t="str">
        <f t="shared" si="15"/>
        <v>Вторая четверть</v>
      </c>
      <c r="X104">
        <v>22</v>
      </c>
    </row>
    <row r="105" spans="1:24" x14ac:dyDescent="0.35">
      <c r="A105" s="1" t="s">
        <v>785</v>
      </c>
      <c r="B105" s="2" t="s">
        <v>786</v>
      </c>
      <c r="C105" s="3" t="s">
        <v>55</v>
      </c>
      <c r="D105" s="2" t="s">
        <v>94</v>
      </c>
      <c r="E105" s="3" t="s">
        <v>95</v>
      </c>
      <c r="F105" s="2" t="s">
        <v>96</v>
      </c>
      <c r="G105" s="3" t="s">
        <v>17</v>
      </c>
      <c r="H105" s="2" t="s">
        <v>97</v>
      </c>
      <c r="I105" s="3" t="s">
        <v>19</v>
      </c>
      <c r="J105" s="3">
        <v>57232</v>
      </c>
      <c r="K105" s="3">
        <v>4997</v>
      </c>
      <c r="L105" s="3">
        <v>59</v>
      </c>
      <c r="M105" s="4">
        <f t="shared" si="9"/>
        <v>8.7311294380766E-2</v>
      </c>
      <c r="N105" s="4">
        <f t="shared" si="10"/>
        <v>1.1807084250550329E-2</v>
      </c>
      <c r="O105">
        <v>5706</v>
      </c>
      <c r="P105" s="5">
        <v>0.55555555555555558</v>
      </c>
      <c r="Q105" s="7">
        <v>1</v>
      </c>
      <c r="R105" t="str">
        <f t="shared" si="8"/>
        <v>нормальный код</v>
      </c>
      <c r="S105" t="str">
        <f t="shared" si="11"/>
        <v>Вторая четверть</v>
      </c>
      <c r="T105" t="str">
        <f t="shared" si="12"/>
        <v>Вторая четверть</v>
      </c>
      <c r="U105" t="str">
        <f t="shared" si="13"/>
        <v>нормальный код</v>
      </c>
      <c r="V105" t="str">
        <f t="shared" si="14"/>
        <v>Вторая четверть</v>
      </c>
      <c r="W105" t="str">
        <f t="shared" si="15"/>
        <v>Больше половины</v>
      </c>
      <c r="X105">
        <v>17</v>
      </c>
    </row>
    <row r="106" spans="1:24" x14ac:dyDescent="0.35">
      <c r="A106" s="1" t="s">
        <v>1353</v>
      </c>
      <c r="B106" s="2" t="s">
        <v>1354</v>
      </c>
      <c r="C106" s="3" t="s">
        <v>55</v>
      </c>
      <c r="D106" s="2" t="s">
        <v>56</v>
      </c>
      <c r="E106" s="3" t="s">
        <v>472</v>
      </c>
      <c r="F106" s="2" t="s">
        <v>34</v>
      </c>
      <c r="G106" s="3" t="s">
        <v>17</v>
      </c>
      <c r="H106" s="2" t="s">
        <v>18</v>
      </c>
      <c r="I106" s="3" t="s">
        <v>19</v>
      </c>
      <c r="J106" s="3">
        <v>57193</v>
      </c>
      <c r="K106" s="3">
        <v>1437</v>
      </c>
      <c r="L106" s="3">
        <v>110</v>
      </c>
      <c r="M106" s="4">
        <f t="shared" si="9"/>
        <v>2.5125452415505393E-2</v>
      </c>
      <c r="N106" s="4">
        <f t="shared" si="10"/>
        <v>7.6548364648573411E-2</v>
      </c>
      <c r="O106">
        <v>1017</v>
      </c>
      <c r="P106" s="5">
        <v>1</v>
      </c>
      <c r="Q106" s="7">
        <v>1</v>
      </c>
      <c r="R106" t="str">
        <f t="shared" si="8"/>
        <v>код для проверки</v>
      </c>
      <c r="S106" t="str">
        <f t="shared" si="11"/>
        <v>Низшая четверть</v>
      </c>
      <c r="T106" t="str">
        <f t="shared" si="12"/>
        <v>Больше половины</v>
      </c>
      <c r="U106" t="str">
        <f t="shared" si="13"/>
        <v>нормальный код</v>
      </c>
      <c r="V106" t="str">
        <f t="shared" si="14"/>
        <v>Вторая четверть</v>
      </c>
      <c r="W106" t="str">
        <f t="shared" si="15"/>
        <v>Больше половины</v>
      </c>
      <c r="X106">
        <v>19</v>
      </c>
    </row>
    <row r="107" spans="1:24" x14ac:dyDescent="0.35">
      <c r="A107" s="1" t="s">
        <v>655</v>
      </c>
      <c r="B107" s="2" t="s">
        <v>656</v>
      </c>
      <c r="C107" s="3" t="s">
        <v>13</v>
      </c>
      <c r="D107" s="2" t="s">
        <v>77</v>
      </c>
      <c r="E107" s="3" t="s">
        <v>89</v>
      </c>
      <c r="F107" s="2" t="s">
        <v>34</v>
      </c>
      <c r="G107" s="3" t="s">
        <v>35</v>
      </c>
      <c r="H107" s="2" t="s">
        <v>18</v>
      </c>
      <c r="I107" s="3" t="s">
        <v>19</v>
      </c>
      <c r="J107" s="3">
        <v>55633</v>
      </c>
      <c r="K107" s="3">
        <v>2629</v>
      </c>
      <c r="L107" s="3">
        <v>41</v>
      </c>
      <c r="M107" s="4">
        <f t="shared" si="9"/>
        <v>4.7256124961803245E-2</v>
      </c>
      <c r="N107" s="4">
        <f t="shared" si="10"/>
        <v>1.5595283377710156E-2</v>
      </c>
      <c r="O107">
        <v>487</v>
      </c>
      <c r="P107" s="5">
        <v>1</v>
      </c>
      <c r="Q107" s="7">
        <v>1</v>
      </c>
      <c r="R107" t="str">
        <f t="shared" si="8"/>
        <v>код для проверки</v>
      </c>
      <c r="S107" t="str">
        <f t="shared" si="11"/>
        <v>Низшая четверть</v>
      </c>
      <c r="T107" t="str">
        <f t="shared" si="12"/>
        <v>Вторая четверть</v>
      </c>
      <c r="U107" t="str">
        <f t="shared" si="13"/>
        <v>код для проверки</v>
      </c>
      <c r="V107" t="str">
        <f t="shared" si="14"/>
        <v>Низшая четверть</v>
      </c>
      <c r="W107" t="str">
        <f t="shared" si="15"/>
        <v>Вторая четверть</v>
      </c>
      <c r="X107">
        <v>13</v>
      </c>
    </row>
    <row r="108" spans="1:24" x14ac:dyDescent="0.35">
      <c r="A108" s="1" t="s">
        <v>1635</v>
      </c>
      <c r="B108" s="2" t="s">
        <v>1636</v>
      </c>
      <c r="C108" s="3" t="s">
        <v>55</v>
      </c>
      <c r="D108" s="2" t="s">
        <v>295</v>
      </c>
      <c r="E108" s="3" t="s">
        <v>296</v>
      </c>
      <c r="F108" s="2" t="s">
        <v>61</v>
      </c>
      <c r="G108" s="3" t="s">
        <v>17</v>
      </c>
      <c r="H108" s="2" t="s">
        <v>97</v>
      </c>
      <c r="I108" s="3" t="s">
        <v>19</v>
      </c>
      <c r="J108" s="3">
        <v>55267</v>
      </c>
      <c r="K108" s="3">
        <v>12661</v>
      </c>
      <c r="L108" s="3">
        <v>205</v>
      </c>
      <c r="M108" s="4">
        <f t="shared" si="9"/>
        <v>0.22908788246150505</v>
      </c>
      <c r="N108" s="4">
        <f t="shared" si="10"/>
        <v>1.619145407155833E-2</v>
      </c>
      <c r="O108">
        <v>487</v>
      </c>
      <c r="P108" s="5">
        <v>1</v>
      </c>
      <c r="Q108" s="7">
        <v>1</v>
      </c>
      <c r="R108" t="str">
        <f t="shared" ref="R108:R171" si="16">IF(OR(M108&lt;$S$1*0.5,N108&lt;$T$1*0.5),"код для проверки","нормальный код")</f>
        <v>нормальный код</v>
      </c>
      <c r="S108" t="str">
        <f t="shared" si="11"/>
        <v>Больше половины</v>
      </c>
      <c r="T108" t="str">
        <f t="shared" si="12"/>
        <v>Вторая четверть</v>
      </c>
      <c r="U108" t="str">
        <f t="shared" si="13"/>
        <v>нормальный код</v>
      </c>
      <c r="V108" t="str">
        <f t="shared" si="14"/>
        <v>Больше половины</v>
      </c>
      <c r="W108" t="str">
        <f t="shared" si="15"/>
        <v>Больше половины</v>
      </c>
      <c r="X108">
        <v>13</v>
      </c>
    </row>
    <row r="109" spans="1:24" x14ac:dyDescent="0.35">
      <c r="A109" s="1" t="s">
        <v>709</v>
      </c>
      <c r="B109" s="2" t="s">
        <v>710</v>
      </c>
      <c r="C109" s="3" t="s">
        <v>13</v>
      </c>
      <c r="D109" s="2" t="s">
        <v>104</v>
      </c>
      <c r="E109" s="3" t="s">
        <v>711</v>
      </c>
      <c r="F109" s="2" t="s">
        <v>96</v>
      </c>
      <c r="G109" s="3" t="s">
        <v>17</v>
      </c>
      <c r="H109" s="2" t="s">
        <v>18</v>
      </c>
      <c r="I109" s="3" t="s">
        <v>19</v>
      </c>
      <c r="J109" s="3">
        <v>55197</v>
      </c>
      <c r="K109" s="3">
        <v>3157</v>
      </c>
      <c r="L109" s="3">
        <v>121</v>
      </c>
      <c r="M109" s="4">
        <f t="shared" si="9"/>
        <v>5.71951374168886E-2</v>
      </c>
      <c r="N109" s="4">
        <f t="shared" si="10"/>
        <v>3.8327526132404179E-2</v>
      </c>
      <c r="O109">
        <v>1950</v>
      </c>
      <c r="P109" s="5">
        <v>1</v>
      </c>
      <c r="Q109" s="7">
        <v>1</v>
      </c>
      <c r="R109" t="str">
        <f t="shared" si="16"/>
        <v>нормальный код</v>
      </c>
      <c r="S109" t="str">
        <f t="shared" si="11"/>
        <v>Вторая четверть</v>
      </c>
      <c r="T109" t="str">
        <f t="shared" si="12"/>
        <v>Больше половины</v>
      </c>
      <c r="U109" t="str">
        <f t="shared" si="13"/>
        <v>нормальный код</v>
      </c>
      <c r="V109" t="str">
        <f t="shared" si="14"/>
        <v>Вторая четверть</v>
      </c>
      <c r="W109" t="str">
        <f t="shared" si="15"/>
        <v>Вторая четверть</v>
      </c>
      <c r="X109">
        <v>19</v>
      </c>
    </row>
    <row r="110" spans="1:24" x14ac:dyDescent="0.35">
      <c r="A110" s="1" t="s">
        <v>793</v>
      </c>
      <c r="B110" s="2" t="s">
        <v>794</v>
      </c>
      <c r="C110" s="3" t="s">
        <v>55</v>
      </c>
      <c r="D110" s="2" t="s">
        <v>56</v>
      </c>
      <c r="E110" s="3" t="s">
        <v>472</v>
      </c>
      <c r="F110" s="2" t="s">
        <v>34</v>
      </c>
      <c r="G110" s="3" t="s">
        <v>17</v>
      </c>
      <c r="H110" s="2" t="s">
        <v>18</v>
      </c>
      <c r="I110" s="3" t="s">
        <v>19</v>
      </c>
      <c r="J110" s="3">
        <v>54991</v>
      </c>
      <c r="K110" s="3">
        <v>3465</v>
      </c>
      <c r="L110" s="3">
        <v>217</v>
      </c>
      <c r="M110" s="4">
        <f t="shared" si="9"/>
        <v>6.3010310778127326E-2</v>
      </c>
      <c r="N110" s="4">
        <f t="shared" si="10"/>
        <v>6.2626262626262627E-2</v>
      </c>
      <c r="O110">
        <v>591</v>
      </c>
      <c r="P110" s="5">
        <v>1</v>
      </c>
      <c r="Q110" s="7">
        <v>1</v>
      </c>
      <c r="R110" t="str">
        <f t="shared" si="16"/>
        <v>нормальный код</v>
      </c>
      <c r="S110" t="str">
        <f t="shared" si="11"/>
        <v>Вторая четверть</v>
      </c>
      <c r="T110" t="str">
        <f t="shared" si="12"/>
        <v>Больше половины</v>
      </c>
      <c r="U110" t="str">
        <f t="shared" si="13"/>
        <v>нормальный код</v>
      </c>
      <c r="V110" t="str">
        <f t="shared" si="14"/>
        <v>Больше половины</v>
      </c>
      <c r="W110" t="str">
        <f t="shared" si="15"/>
        <v>Больше половины</v>
      </c>
      <c r="X110">
        <v>23</v>
      </c>
    </row>
    <row r="111" spans="1:24" x14ac:dyDescent="0.35">
      <c r="A111" s="1" t="s">
        <v>64</v>
      </c>
      <c r="B111" s="2" t="s">
        <v>65</v>
      </c>
      <c r="C111" s="3" t="s">
        <v>13</v>
      </c>
      <c r="D111" s="2" t="s">
        <v>22</v>
      </c>
      <c r="E111" s="3" t="s">
        <v>66</v>
      </c>
      <c r="F111" s="2" t="s">
        <v>16</v>
      </c>
      <c r="G111" s="3" t="s">
        <v>17</v>
      </c>
      <c r="H111" s="2" t="s">
        <v>18</v>
      </c>
      <c r="I111" s="3" t="s">
        <v>19</v>
      </c>
      <c r="J111" s="3">
        <v>54741</v>
      </c>
      <c r="K111" s="3">
        <v>3614</v>
      </c>
      <c r="L111" s="3">
        <v>51</v>
      </c>
      <c r="M111" s="4">
        <f t="shared" si="9"/>
        <v>6.6019985020368641E-2</v>
      </c>
      <c r="N111" s="4">
        <f t="shared" si="10"/>
        <v>1.4111787493082457E-2</v>
      </c>
      <c r="O111">
        <v>633</v>
      </c>
      <c r="P111" s="5">
        <v>1</v>
      </c>
      <c r="Q111" s="7">
        <v>1</v>
      </c>
      <c r="R111" t="str">
        <f t="shared" si="16"/>
        <v>нормальный код</v>
      </c>
      <c r="S111" t="str">
        <f t="shared" si="11"/>
        <v>Вторая четверть</v>
      </c>
      <c r="T111" t="str">
        <f t="shared" si="12"/>
        <v>Вторая четверть</v>
      </c>
      <c r="U111" t="str">
        <f t="shared" si="13"/>
        <v>нормальный код</v>
      </c>
      <c r="V111" t="str">
        <f t="shared" si="14"/>
        <v>Вторая четверть</v>
      </c>
      <c r="W111" t="str">
        <f t="shared" si="15"/>
        <v>Вторая четверть</v>
      </c>
      <c r="X111">
        <v>17</v>
      </c>
    </row>
    <row r="112" spans="1:24" x14ac:dyDescent="0.35">
      <c r="A112" s="1" t="s">
        <v>983</v>
      </c>
      <c r="B112" s="2" t="s">
        <v>984</v>
      </c>
      <c r="C112" s="3" t="s">
        <v>55</v>
      </c>
      <c r="D112" s="2" t="s">
        <v>985</v>
      </c>
      <c r="E112" s="3" t="s">
        <v>986</v>
      </c>
      <c r="F112" s="2" t="s">
        <v>34</v>
      </c>
      <c r="G112" s="3" t="s">
        <v>17</v>
      </c>
      <c r="H112" s="2" t="s">
        <v>18</v>
      </c>
      <c r="I112" s="3" t="s">
        <v>19</v>
      </c>
      <c r="J112" s="3">
        <v>53807</v>
      </c>
      <c r="K112" s="3">
        <v>2625</v>
      </c>
      <c r="L112" s="3">
        <v>104</v>
      </c>
      <c r="M112" s="4">
        <f t="shared" si="9"/>
        <v>4.8785474008957941E-2</v>
      </c>
      <c r="N112" s="4">
        <f t="shared" si="10"/>
        <v>3.9619047619047616E-2</v>
      </c>
      <c r="O112">
        <v>453</v>
      </c>
      <c r="P112" s="5">
        <v>1</v>
      </c>
      <c r="Q112" s="7">
        <v>1</v>
      </c>
      <c r="R112" t="str">
        <f t="shared" si="16"/>
        <v>нормальный код</v>
      </c>
      <c r="S112" t="str">
        <f t="shared" si="11"/>
        <v>Вторая четверть</v>
      </c>
      <c r="T112" t="str">
        <f t="shared" si="12"/>
        <v>Больше половины</v>
      </c>
      <c r="U112" t="str">
        <f t="shared" si="13"/>
        <v>нормальный код</v>
      </c>
      <c r="V112" t="str">
        <f t="shared" si="14"/>
        <v>Вторая четверть</v>
      </c>
      <c r="W112" t="str">
        <f t="shared" si="15"/>
        <v>Больше половины</v>
      </c>
      <c r="X112">
        <v>11</v>
      </c>
    </row>
    <row r="113" spans="1:24" x14ac:dyDescent="0.35">
      <c r="A113" s="1" t="s">
        <v>51</v>
      </c>
      <c r="B113" s="2" t="s">
        <v>52</v>
      </c>
      <c r="C113" s="3" t="s">
        <v>13</v>
      </c>
      <c r="D113" s="2" t="s">
        <v>22</v>
      </c>
      <c r="E113" s="3" t="s">
        <v>23</v>
      </c>
      <c r="F113" s="2" t="s">
        <v>16</v>
      </c>
      <c r="G113" s="3" t="s">
        <v>17</v>
      </c>
      <c r="H113" s="2" t="s">
        <v>18</v>
      </c>
      <c r="I113" s="3" t="s">
        <v>19</v>
      </c>
      <c r="J113" s="3">
        <v>53453</v>
      </c>
      <c r="K113" s="3">
        <v>3802</v>
      </c>
      <c r="L113" s="3">
        <v>82</v>
      </c>
      <c r="M113" s="4">
        <f t="shared" si="9"/>
        <v>7.112790675920902E-2</v>
      </c>
      <c r="N113" s="4">
        <f t="shared" si="10"/>
        <v>2.1567596002104155E-2</v>
      </c>
      <c r="O113">
        <v>428</v>
      </c>
      <c r="P113" s="5">
        <v>1</v>
      </c>
      <c r="Q113" s="7">
        <v>1</v>
      </c>
      <c r="R113" t="str">
        <f t="shared" si="16"/>
        <v>нормальный код</v>
      </c>
      <c r="S113" t="str">
        <f t="shared" si="11"/>
        <v>Вторая четверть</v>
      </c>
      <c r="T113" t="str">
        <f t="shared" si="12"/>
        <v>Больше половины</v>
      </c>
      <c r="U113" t="str">
        <f t="shared" si="13"/>
        <v>нормальный код</v>
      </c>
      <c r="V113" t="str">
        <f t="shared" si="14"/>
        <v>Вторая четверть</v>
      </c>
      <c r="W113" t="str">
        <f t="shared" si="15"/>
        <v>Больше половины</v>
      </c>
      <c r="X113">
        <v>22</v>
      </c>
    </row>
    <row r="114" spans="1:24" x14ac:dyDescent="0.35">
      <c r="A114" s="1" t="s">
        <v>223</v>
      </c>
      <c r="B114" s="2" t="s">
        <v>224</v>
      </c>
      <c r="C114" s="3" t="s">
        <v>13</v>
      </c>
      <c r="D114" s="2" t="s">
        <v>155</v>
      </c>
      <c r="E114" s="3" t="s">
        <v>156</v>
      </c>
      <c r="F114" s="2" t="s">
        <v>34</v>
      </c>
      <c r="G114" s="3" t="s">
        <v>17</v>
      </c>
      <c r="H114" s="2" t="s">
        <v>18</v>
      </c>
      <c r="I114" s="3" t="s">
        <v>19</v>
      </c>
      <c r="J114" s="3">
        <v>52991</v>
      </c>
      <c r="K114" s="3">
        <v>5499</v>
      </c>
      <c r="L114" s="3">
        <v>85</v>
      </c>
      <c r="M114" s="4">
        <f t="shared" si="9"/>
        <v>0.10377233869902436</v>
      </c>
      <c r="N114" s="4">
        <f t="shared" si="10"/>
        <v>1.5457355882887798E-2</v>
      </c>
      <c r="O114">
        <v>119</v>
      </c>
      <c r="P114" s="5">
        <v>1</v>
      </c>
      <c r="Q114" s="7">
        <v>1</v>
      </c>
      <c r="R114" t="str">
        <f t="shared" si="16"/>
        <v>нормальный код</v>
      </c>
      <c r="S114" t="str">
        <f t="shared" si="11"/>
        <v>Больше половины</v>
      </c>
      <c r="T114" t="str">
        <f t="shared" si="12"/>
        <v>Вторая четверть</v>
      </c>
      <c r="U114" t="str">
        <f t="shared" si="13"/>
        <v>нормальный код</v>
      </c>
      <c r="V114" t="str">
        <f t="shared" si="14"/>
        <v>Больше половины</v>
      </c>
      <c r="W114" t="str">
        <f t="shared" si="15"/>
        <v>Вторая четверть</v>
      </c>
      <c r="X114">
        <v>9</v>
      </c>
    </row>
    <row r="115" spans="1:24" x14ac:dyDescent="0.35">
      <c r="A115" s="1" t="s">
        <v>698</v>
      </c>
      <c r="B115" s="2" t="s">
        <v>699</v>
      </c>
      <c r="C115" s="3" t="s">
        <v>55</v>
      </c>
      <c r="D115" s="2" t="s">
        <v>56</v>
      </c>
      <c r="E115" s="3" t="s">
        <v>700</v>
      </c>
      <c r="F115" s="2" t="s">
        <v>96</v>
      </c>
      <c r="G115" s="3" t="s">
        <v>17</v>
      </c>
      <c r="H115" s="2" t="s">
        <v>18</v>
      </c>
      <c r="I115" s="3" t="s">
        <v>19</v>
      </c>
      <c r="J115" s="3">
        <v>52832</v>
      </c>
      <c r="K115" s="3">
        <v>3862</v>
      </c>
      <c r="L115" s="3">
        <v>153</v>
      </c>
      <c r="M115" s="4">
        <f t="shared" si="9"/>
        <v>7.3099636583888558E-2</v>
      </c>
      <c r="N115" s="4">
        <f t="shared" si="10"/>
        <v>3.9616778871051271E-2</v>
      </c>
      <c r="O115">
        <v>634</v>
      </c>
      <c r="P115" s="5">
        <v>1</v>
      </c>
      <c r="Q115" s="7">
        <v>1</v>
      </c>
      <c r="R115" t="str">
        <f t="shared" si="16"/>
        <v>нормальный код</v>
      </c>
      <c r="S115" t="str">
        <f t="shared" si="11"/>
        <v>Вторая четверть</v>
      </c>
      <c r="T115" t="str">
        <f t="shared" si="12"/>
        <v>Больше половины</v>
      </c>
      <c r="U115" t="str">
        <f t="shared" si="13"/>
        <v>нормальный код</v>
      </c>
      <c r="V115" t="str">
        <f t="shared" si="14"/>
        <v>Больше половины</v>
      </c>
      <c r="W115" t="str">
        <f t="shared" si="15"/>
        <v>Вторая четверть</v>
      </c>
      <c r="X115">
        <v>13</v>
      </c>
    </row>
    <row r="116" spans="1:24" x14ac:dyDescent="0.35">
      <c r="A116" s="1" t="s">
        <v>797</v>
      </c>
      <c r="B116" s="2" t="s">
        <v>798</v>
      </c>
      <c r="C116" s="3" t="s">
        <v>55</v>
      </c>
      <c r="D116" s="2" t="s">
        <v>799</v>
      </c>
      <c r="E116" s="3" t="s">
        <v>800</v>
      </c>
      <c r="F116" s="2" t="s">
        <v>34</v>
      </c>
      <c r="G116" s="3" t="s">
        <v>17</v>
      </c>
      <c r="H116" s="2" t="s">
        <v>18</v>
      </c>
      <c r="I116" s="3" t="s">
        <v>19</v>
      </c>
      <c r="J116" s="3">
        <v>52706</v>
      </c>
      <c r="K116" s="3">
        <v>3877</v>
      </c>
      <c r="L116" s="3">
        <v>152</v>
      </c>
      <c r="M116" s="4">
        <f t="shared" si="9"/>
        <v>7.3558987591545555E-2</v>
      </c>
      <c r="N116" s="4">
        <f t="shared" si="10"/>
        <v>3.9205571318029403E-2</v>
      </c>
      <c r="O116">
        <v>16</v>
      </c>
      <c r="P116" s="5">
        <v>1</v>
      </c>
      <c r="Q116" s="7">
        <v>1</v>
      </c>
      <c r="R116" t="str">
        <f t="shared" si="16"/>
        <v>нормальный код</v>
      </c>
      <c r="S116" t="str">
        <f t="shared" si="11"/>
        <v>Вторая четверть</v>
      </c>
      <c r="T116" t="str">
        <f t="shared" si="12"/>
        <v>Больше половины</v>
      </c>
      <c r="U116" t="str">
        <f t="shared" si="13"/>
        <v>нормальный код</v>
      </c>
      <c r="V116" t="str">
        <f t="shared" si="14"/>
        <v>Вторая четверть</v>
      </c>
      <c r="W116" t="str">
        <f t="shared" si="15"/>
        <v>Больше половины</v>
      </c>
      <c r="X116">
        <v>23</v>
      </c>
    </row>
    <row r="117" spans="1:24" x14ac:dyDescent="0.35">
      <c r="A117" s="1" t="s">
        <v>278</v>
      </c>
      <c r="B117" s="2" t="s">
        <v>279</v>
      </c>
      <c r="C117" s="3" t="s">
        <v>13</v>
      </c>
      <c r="D117" s="2" t="s">
        <v>14</v>
      </c>
      <c r="E117" s="3" t="s">
        <v>15</v>
      </c>
      <c r="F117" s="2" t="s">
        <v>16</v>
      </c>
      <c r="G117" s="3" t="s">
        <v>35</v>
      </c>
      <c r="H117" s="2" t="s">
        <v>18</v>
      </c>
      <c r="I117" s="3" t="s">
        <v>19</v>
      </c>
      <c r="J117" s="3">
        <v>52536</v>
      </c>
      <c r="K117" s="3">
        <v>4204</v>
      </c>
      <c r="L117" s="3">
        <v>44</v>
      </c>
      <c r="M117" s="4">
        <f t="shared" si="9"/>
        <v>8.0021318714786058E-2</v>
      </c>
      <c r="N117" s="4">
        <f t="shared" si="10"/>
        <v>1.0466222645099905E-2</v>
      </c>
      <c r="O117">
        <v>585</v>
      </c>
      <c r="P117" s="5">
        <v>1</v>
      </c>
      <c r="Q117" s="7">
        <v>1</v>
      </c>
      <c r="R117" t="str">
        <f t="shared" si="16"/>
        <v>нормальный код</v>
      </c>
      <c r="S117" t="str">
        <f t="shared" si="11"/>
        <v>Вторая четверть</v>
      </c>
      <c r="T117" t="str">
        <f t="shared" si="12"/>
        <v>Вторая четверть</v>
      </c>
      <c r="U117" t="str">
        <f t="shared" si="13"/>
        <v>нормальный код</v>
      </c>
      <c r="V117" t="str">
        <f t="shared" si="14"/>
        <v>Больше половины</v>
      </c>
      <c r="W117" t="str">
        <f t="shared" si="15"/>
        <v>Вторая четверть</v>
      </c>
      <c r="X117">
        <v>17</v>
      </c>
    </row>
    <row r="118" spans="1:24" x14ac:dyDescent="0.35">
      <c r="A118" s="1" t="s">
        <v>434</v>
      </c>
      <c r="B118" s="2" t="s">
        <v>435</v>
      </c>
      <c r="C118" s="3" t="s">
        <v>13</v>
      </c>
      <c r="D118" s="2" t="s">
        <v>14</v>
      </c>
      <c r="E118" s="3" t="s">
        <v>333</v>
      </c>
      <c r="F118" s="2" t="s">
        <v>16</v>
      </c>
      <c r="G118" s="3" t="s">
        <v>35</v>
      </c>
      <c r="H118" s="2" t="s">
        <v>18</v>
      </c>
      <c r="I118" s="3" t="s">
        <v>19</v>
      </c>
      <c r="J118" s="3">
        <v>51957</v>
      </c>
      <c r="K118" s="3">
        <v>3003</v>
      </c>
      <c r="L118" s="3">
        <v>32</v>
      </c>
      <c r="M118" s="4">
        <f t="shared" si="9"/>
        <v>5.7797794329926669E-2</v>
      </c>
      <c r="N118" s="4">
        <f t="shared" si="10"/>
        <v>1.0656010656010656E-2</v>
      </c>
      <c r="O118">
        <v>266</v>
      </c>
      <c r="P118" s="5">
        <v>1</v>
      </c>
      <c r="Q118" s="7">
        <v>1</v>
      </c>
      <c r="R118" t="str">
        <f t="shared" si="16"/>
        <v>нормальный код</v>
      </c>
      <c r="S118" t="str">
        <f t="shared" si="11"/>
        <v>Вторая четверть</v>
      </c>
      <c r="T118" t="str">
        <f t="shared" si="12"/>
        <v>Вторая четверть</v>
      </c>
      <c r="U118" t="str">
        <f t="shared" si="13"/>
        <v>код для проверки</v>
      </c>
      <c r="V118" t="str">
        <f t="shared" si="14"/>
        <v>Вторая четверть</v>
      </c>
      <c r="W118" t="str">
        <f t="shared" si="15"/>
        <v>Низшая четверть</v>
      </c>
      <c r="X118">
        <v>22</v>
      </c>
    </row>
    <row r="119" spans="1:24" x14ac:dyDescent="0.35">
      <c r="A119" s="1" t="s">
        <v>1925</v>
      </c>
      <c r="B119" s="2" t="s">
        <v>1926</v>
      </c>
      <c r="C119" s="3" t="s">
        <v>13</v>
      </c>
      <c r="D119" s="2" t="s">
        <v>14</v>
      </c>
      <c r="E119" s="3" t="s">
        <v>181</v>
      </c>
      <c r="F119" s="2" t="s">
        <v>16</v>
      </c>
      <c r="G119" s="3" t="s">
        <v>35</v>
      </c>
      <c r="H119" s="2" t="s">
        <v>18</v>
      </c>
      <c r="I119" s="3" t="s">
        <v>19</v>
      </c>
      <c r="J119" s="3">
        <v>51956</v>
      </c>
      <c r="K119" s="3">
        <v>4019</v>
      </c>
      <c r="L119" s="3">
        <v>144</v>
      </c>
      <c r="M119" s="4">
        <f t="shared" si="9"/>
        <v>7.73539148510278E-2</v>
      </c>
      <c r="N119" s="4">
        <f t="shared" si="10"/>
        <v>3.5829808410052254E-2</v>
      </c>
      <c r="O119">
        <v>357</v>
      </c>
      <c r="P119" s="5">
        <v>1</v>
      </c>
      <c r="Q119" s="7">
        <v>1</v>
      </c>
      <c r="R119" t="str">
        <f t="shared" si="16"/>
        <v>нормальный код</v>
      </c>
      <c r="S119" t="str">
        <f t="shared" si="11"/>
        <v>Вторая четверть</v>
      </c>
      <c r="T119" t="str">
        <f t="shared" si="12"/>
        <v>Больше половины</v>
      </c>
      <c r="U119" t="str">
        <f t="shared" si="13"/>
        <v>нормальный код</v>
      </c>
      <c r="V119" t="str">
        <f t="shared" si="14"/>
        <v>Больше половины</v>
      </c>
      <c r="W119" t="str">
        <f t="shared" si="15"/>
        <v>Больше половины</v>
      </c>
      <c r="X119">
        <v>15</v>
      </c>
    </row>
    <row r="120" spans="1:24" x14ac:dyDescent="0.35">
      <c r="A120" s="1" t="s">
        <v>270</v>
      </c>
      <c r="B120" s="2" t="s">
        <v>271</v>
      </c>
      <c r="C120" s="3" t="s">
        <v>13</v>
      </c>
      <c r="D120" s="2" t="s">
        <v>22</v>
      </c>
      <c r="E120" s="3" t="s">
        <v>272</v>
      </c>
      <c r="F120" s="2" t="s">
        <v>123</v>
      </c>
      <c r="G120" s="3" t="s">
        <v>35</v>
      </c>
      <c r="H120" s="2" t="s">
        <v>18</v>
      </c>
      <c r="I120" s="3" t="s">
        <v>19</v>
      </c>
      <c r="J120" s="3">
        <v>51798</v>
      </c>
      <c r="K120" s="3">
        <v>4438</v>
      </c>
      <c r="L120" s="3">
        <v>75</v>
      </c>
      <c r="M120" s="4">
        <f t="shared" si="9"/>
        <v>8.5678983744546119E-2</v>
      </c>
      <c r="N120" s="4">
        <f t="shared" si="10"/>
        <v>1.6899504281207751E-2</v>
      </c>
      <c r="O120">
        <v>205</v>
      </c>
      <c r="P120" s="5">
        <v>1</v>
      </c>
      <c r="Q120" s="7">
        <v>1</v>
      </c>
      <c r="R120" t="str">
        <f t="shared" si="16"/>
        <v>нормальный код</v>
      </c>
      <c r="S120" t="str">
        <f t="shared" si="11"/>
        <v>Вторая четверть</v>
      </c>
      <c r="T120" t="str">
        <f t="shared" si="12"/>
        <v>Вторая четверть</v>
      </c>
      <c r="U120" t="str">
        <f t="shared" si="13"/>
        <v>нормальный код</v>
      </c>
      <c r="V120" t="str">
        <f t="shared" si="14"/>
        <v>Больше половины</v>
      </c>
      <c r="W120" t="str">
        <f t="shared" si="15"/>
        <v>Вторая четверть</v>
      </c>
      <c r="X120">
        <v>16</v>
      </c>
    </row>
    <row r="121" spans="1:24" x14ac:dyDescent="0.35">
      <c r="A121" s="1" t="s">
        <v>1063</v>
      </c>
      <c r="B121" s="2" t="s">
        <v>1064</v>
      </c>
      <c r="C121" s="3" t="s">
        <v>13</v>
      </c>
      <c r="D121" s="2" t="s">
        <v>155</v>
      </c>
      <c r="E121" s="3" t="s">
        <v>156</v>
      </c>
      <c r="F121" s="2" t="s">
        <v>34</v>
      </c>
      <c r="G121" s="3" t="s">
        <v>35</v>
      </c>
      <c r="H121" s="2" t="s">
        <v>18</v>
      </c>
      <c r="I121" s="3" t="s">
        <v>19</v>
      </c>
      <c r="J121" s="3">
        <v>51787</v>
      </c>
      <c r="K121" s="3">
        <v>2754</v>
      </c>
      <c r="L121" s="3">
        <v>34</v>
      </c>
      <c r="M121" s="4">
        <f t="shared" si="9"/>
        <v>5.3179369339795703E-2</v>
      </c>
      <c r="N121" s="4">
        <f t="shared" si="10"/>
        <v>1.2345679012345678E-2</v>
      </c>
      <c r="O121">
        <v>697</v>
      </c>
      <c r="P121" s="5">
        <v>1</v>
      </c>
      <c r="Q121" s="7">
        <v>1</v>
      </c>
      <c r="R121" t="str">
        <f t="shared" si="16"/>
        <v>нормальный код</v>
      </c>
      <c r="S121" t="str">
        <f t="shared" si="11"/>
        <v>Вторая четверть</v>
      </c>
      <c r="T121" t="str">
        <f t="shared" si="12"/>
        <v>Вторая четверть</v>
      </c>
      <c r="U121" t="str">
        <f t="shared" si="13"/>
        <v>нормальный код</v>
      </c>
      <c r="V121" t="str">
        <f t="shared" si="14"/>
        <v>Вторая четверть</v>
      </c>
      <c r="W121" t="str">
        <f t="shared" si="15"/>
        <v>Вторая четверть</v>
      </c>
      <c r="X121">
        <v>19</v>
      </c>
    </row>
    <row r="122" spans="1:24" x14ac:dyDescent="0.35">
      <c r="A122" s="1" t="s">
        <v>1567</v>
      </c>
      <c r="B122" s="2" t="s">
        <v>1568</v>
      </c>
      <c r="C122" s="3" t="s">
        <v>55</v>
      </c>
      <c r="D122" s="2" t="s">
        <v>295</v>
      </c>
      <c r="E122" s="3" t="s">
        <v>674</v>
      </c>
      <c r="F122" s="2" t="s">
        <v>16</v>
      </c>
      <c r="G122" s="3" t="s">
        <v>17</v>
      </c>
      <c r="H122" s="2" t="s">
        <v>97</v>
      </c>
      <c r="I122" s="3" t="s">
        <v>19</v>
      </c>
      <c r="J122" s="3">
        <v>51366</v>
      </c>
      <c r="K122" s="3">
        <v>3656</v>
      </c>
      <c r="L122" s="3">
        <v>62</v>
      </c>
      <c r="M122" s="4">
        <f t="shared" si="9"/>
        <v>7.1175485729860224E-2</v>
      </c>
      <c r="N122" s="4">
        <f t="shared" si="10"/>
        <v>1.6958424507658644E-2</v>
      </c>
      <c r="O122">
        <v>702</v>
      </c>
      <c r="P122" s="5">
        <v>1</v>
      </c>
      <c r="Q122" s="7">
        <v>1</v>
      </c>
      <c r="R122" t="str">
        <f t="shared" si="16"/>
        <v>нормальный код</v>
      </c>
      <c r="S122" t="str">
        <f t="shared" si="11"/>
        <v>Вторая четверть</v>
      </c>
      <c r="T122" t="str">
        <f t="shared" si="12"/>
        <v>Вторая четверть</v>
      </c>
      <c r="U122" t="str">
        <f t="shared" si="13"/>
        <v>код для проверки</v>
      </c>
      <c r="V122" t="str">
        <f t="shared" si="14"/>
        <v>Низшая четверть</v>
      </c>
      <c r="W122" t="str">
        <f t="shared" si="15"/>
        <v>Вторая четверть</v>
      </c>
      <c r="X122">
        <v>13</v>
      </c>
    </row>
    <row r="123" spans="1:24" x14ac:dyDescent="0.35">
      <c r="A123" s="1" t="s">
        <v>309</v>
      </c>
      <c r="B123" s="2" t="s">
        <v>310</v>
      </c>
      <c r="C123" s="3" t="s">
        <v>13</v>
      </c>
      <c r="D123" s="2" t="s">
        <v>69</v>
      </c>
      <c r="E123" s="3" t="s">
        <v>311</v>
      </c>
      <c r="F123" s="2" t="s">
        <v>34</v>
      </c>
      <c r="G123" s="3" t="s">
        <v>72</v>
      </c>
      <c r="H123" s="2" t="s">
        <v>18</v>
      </c>
      <c r="I123" s="3" t="s">
        <v>19</v>
      </c>
      <c r="J123" s="3">
        <v>51174</v>
      </c>
      <c r="K123" s="3">
        <v>3920</v>
      </c>
      <c r="L123" s="3">
        <v>69</v>
      </c>
      <c r="M123" s="4">
        <f t="shared" si="9"/>
        <v>7.6601399148004845E-2</v>
      </c>
      <c r="N123" s="4">
        <f t="shared" si="10"/>
        <v>1.760204081632653E-2</v>
      </c>
      <c r="O123">
        <v>400</v>
      </c>
      <c r="P123" s="5">
        <v>1</v>
      </c>
      <c r="Q123" s="7">
        <v>1</v>
      </c>
      <c r="R123" t="str">
        <f t="shared" si="16"/>
        <v>нормальный код</v>
      </c>
      <c r="S123" t="str">
        <f t="shared" si="11"/>
        <v>Вторая четверть</v>
      </c>
      <c r="T123" t="str">
        <f t="shared" si="12"/>
        <v>Вторая четверть</v>
      </c>
      <c r="U123" t="str">
        <f t="shared" si="13"/>
        <v>нормальный код</v>
      </c>
      <c r="V123" t="str">
        <f t="shared" si="14"/>
        <v>Больше половины</v>
      </c>
      <c r="W123" t="str">
        <f t="shared" si="15"/>
        <v>Больше половины</v>
      </c>
      <c r="X123">
        <v>28</v>
      </c>
    </row>
    <row r="124" spans="1:24" x14ac:dyDescent="0.35">
      <c r="A124" s="1" t="s">
        <v>1033</v>
      </c>
      <c r="B124" s="2" t="s">
        <v>1034</v>
      </c>
      <c r="C124" s="3" t="s">
        <v>55</v>
      </c>
      <c r="D124" s="2" t="s">
        <v>295</v>
      </c>
      <c r="E124" s="3" t="s">
        <v>296</v>
      </c>
      <c r="F124" s="2" t="s">
        <v>61</v>
      </c>
      <c r="G124" s="3" t="s">
        <v>17</v>
      </c>
      <c r="H124" s="2" t="s">
        <v>97</v>
      </c>
      <c r="I124" s="3" t="s">
        <v>19</v>
      </c>
      <c r="J124" s="3">
        <v>51002</v>
      </c>
      <c r="K124" s="3">
        <v>9176</v>
      </c>
      <c r="L124" s="3">
        <v>200</v>
      </c>
      <c r="M124" s="4">
        <f t="shared" si="9"/>
        <v>0.17991451315634682</v>
      </c>
      <c r="N124" s="4">
        <f t="shared" si="10"/>
        <v>2.1795989537925022E-2</v>
      </c>
      <c r="O124">
        <v>388</v>
      </c>
      <c r="P124" s="5">
        <v>1</v>
      </c>
      <c r="Q124" s="7">
        <v>1</v>
      </c>
      <c r="R124" t="str">
        <f t="shared" si="16"/>
        <v>нормальный код</v>
      </c>
      <c r="S124" t="str">
        <f t="shared" si="11"/>
        <v>Больше половины</v>
      </c>
      <c r="T124" t="str">
        <f t="shared" si="12"/>
        <v>Больше половины</v>
      </c>
      <c r="U124" t="str">
        <f t="shared" si="13"/>
        <v>нормальный код</v>
      </c>
      <c r="V124" t="str">
        <f t="shared" si="14"/>
        <v>Больше половины</v>
      </c>
      <c r="W124" t="str">
        <f t="shared" si="15"/>
        <v>Больше половины</v>
      </c>
      <c r="X124">
        <v>16</v>
      </c>
    </row>
    <row r="125" spans="1:24" x14ac:dyDescent="0.35">
      <c r="A125" s="1" t="s">
        <v>354</v>
      </c>
      <c r="B125" s="2" t="s">
        <v>355</v>
      </c>
      <c r="C125" s="3" t="s">
        <v>13</v>
      </c>
      <c r="D125" s="2" t="s">
        <v>49</v>
      </c>
      <c r="E125" s="3" t="s">
        <v>50</v>
      </c>
      <c r="F125" s="2" t="s">
        <v>34</v>
      </c>
      <c r="G125" s="3" t="s">
        <v>17</v>
      </c>
      <c r="H125" s="2" t="s">
        <v>18</v>
      </c>
      <c r="I125" s="3" t="s">
        <v>19</v>
      </c>
      <c r="J125" s="3">
        <v>49857</v>
      </c>
      <c r="K125" s="3">
        <v>1696</v>
      </c>
      <c r="L125" s="3">
        <v>83</v>
      </c>
      <c r="M125" s="4">
        <f t="shared" si="9"/>
        <v>3.4017289447820766E-2</v>
      </c>
      <c r="N125" s="4">
        <f t="shared" si="10"/>
        <v>4.8938679245283022E-2</v>
      </c>
      <c r="O125">
        <v>573</v>
      </c>
      <c r="P125" s="5">
        <v>1</v>
      </c>
      <c r="Q125" s="7">
        <v>1</v>
      </c>
      <c r="R125" t="str">
        <f t="shared" si="16"/>
        <v>код для проверки</v>
      </c>
      <c r="S125" t="str">
        <f t="shared" si="11"/>
        <v>Низшая четверть</v>
      </c>
      <c r="T125" t="str">
        <f t="shared" si="12"/>
        <v>Больше половины</v>
      </c>
      <c r="U125" t="str">
        <f t="shared" si="13"/>
        <v>нормальный код</v>
      </c>
      <c r="V125" t="str">
        <f t="shared" si="14"/>
        <v>Вторая четверть</v>
      </c>
      <c r="W125" t="str">
        <f t="shared" si="15"/>
        <v>Больше половины</v>
      </c>
      <c r="X125">
        <v>19</v>
      </c>
    </row>
    <row r="126" spans="1:24" x14ac:dyDescent="0.35">
      <c r="A126" s="1" t="s">
        <v>1272</v>
      </c>
      <c r="B126" s="2" t="s">
        <v>1273</v>
      </c>
      <c r="C126" s="3" t="s">
        <v>13</v>
      </c>
      <c r="D126" s="2" t="s">
        <v>77</v>
      </c>
      <c r="E126" s="3" t="s">
        <v>1159</v>
      </c>
      <c r="F126" s="2" t="s">
        <v>34</v>
      </c>
      <c r="G126" s="3" t="s">
        <v>17</v>
      </c>
      <c r="H126" s="2" t="s">
        <v>18</v>
      </c>
      <c r="I126" s="3" t="s">
        <v>19</v>
      </c>
      <c r="J126" s="3">
        <v>48510</v>
      </c>
      <c r="K126" s="3">
        <v>2491</v>
      </c>
      <c r="L126" s="3">
        <v>188</v>
      </c>
      <c r="M126" s="4">
        <f t="shared" si="9"/>
        <v>5.1350237064522776E-2</v>
      </c>
      <c r="N126" s="4">
        <f t="shared" si="10"/>
        <v>7.5471698113207544E-2</v>
      </c>
      <c r="O126">
        <v>618</v>
      </c>
      <c r="P126" s="5">
        <v>1</v>
      </c>
      <c r="Q126" s="7">
        <v>1</v>
      </c>
      <c r="R126" t="str">
        <f t="shared" si="16"/>
        <v>нормальный код</v>
      </c>
      <c r="S126" t="str">
        <f t="shared" si="11"/>
        <v>Вторая четверть</v>
      </c>
      <c r="T126" t="str">
        <f t="shared" si="12"/>
        <v>Больше половины</v>
      </c>
      <c r="U126" t="str">
        <f t="shared" si="13"/>
        <v>нормальный код</v>
      </c>
      <c r="V126" t="str">
        <f t="shared" si="14"/>
        <v>Вторая четверть</v>
      </c>
      <c r="W126" t="str">
        <f t="shared" si="15"/>
        <v>Больше половины</v>
      </c>
      <c r="X126">
        <v>18</v>
      </c>
    </row>
    <row r="127" spans="1:24" x14ac:dyDescent="0.35">
      <c r="A127" s="1" t="s">
        <v>325</v>
      </c>
      <c r="B127" s="2" t="s">
        <v>326</v>
      </c>
      <c r="C127" s="3" t="s">
        <v>13</v>
      </c>
      <c r="D127" s="2" t="s">
        <v>49</v>
      </c>
      <c r="E127" s="3" t="s">
        <v>50</v>
      </c>
      <c r="F127" s="2" t="s">
        <v>34</v>
      </c>
      <c r="G127" s="3" t="s">
        <v>35</v>
      </c>
      <c r="H127" s="2" t="s">
        <v>18</v>
      </c>
      <c r="I127" s="3" t="s">
        <v>19</v>
      </c>
      <c r="J127" s="3">
        <v>48406</v>
      </c>
      <c r="K127" s="3">
        <v>2000</v>
      </c>
      <c r="L127" s="3">
        <v>117</v>
      </c>
      <c r="M127" s="4">
        <f t="shared" si="9"/>
        <v>4.1317192083625998E-2</v>
      </c>
      <c r="N127" s="4">
        <f t="shared" si="10"/>
        <v>5.8500000000000003E-2</v>
      </c>
      <c r="O127">
        <v>510</v>
      </c>
      <c r="P127" s="5">
        <v>1</v>
      </c>
      <c r="Q127" s="7">
        <v>1</v>
      </c>
      <c r="R127" t="str">
        <f t="shared" si="16"/>
        <v>код для проверки</v>
      </c>
      <c r="S127" t="str">
        <f t="shared" si="11"/>
        <v>Низшая четверть</v>
      </c>
      <c r="T127" t="str">
        <f t="shared" si="12"/>
        <v>Больше половины</v>
      </c>
      <c r="U127" t="str">
        <f t="shared" si="13"/>
        <v>нормальный код</v>
      </c>
      <c r="V127" t="str">
        <f t="shared" si="14"/>
        <v>Вторая четверть</v>
      </c>
      <c r="W127" t="str">
        <f t="shared" si="15"/>
        <v>Больше половины</v>
      </c>
      <c r="X127">
        <v>17</v>
      </c>
    </row>
    <row r="128" spans="1:24" x14ac:dyDescent="0.35">
      <c r="A128" s="1" t="s">
        <v>447</v>
      </c>
      <c r="B128" s="2" t="s">
        <v>448</v>
      </c>
      <c r="C128" s="3" t="s">
        <v>13</v>
      </c>
      <c r="D128" s="2" t="s">
        <v>405</v>
      </c>
      <c r="E128" s="3" t="s">
        <v>406</v>
      </c>
      <c r="F128" s="2" t="s">
        <v>34</v>
      </c>
      <c r="G128" s="3" t="s">
        <v>17</v>
      </c>
      <c r="H128" s="2" t="s">
        <v>18</v>
      </c>
      <c r="I128" s="3" t="s">
        <v>19</v>
      </c>
      <c r="J128" s="3">
        <v>48364</v>
      </c>
      <c r="K128" s="3">
        <v>4623</v>
      </c>
      <c r="L128" s="3">
        <v>147</v>
      </c>
      <c r="M128" s="4">
        <f t="shared" si="9"/>
        <v>9.5587627160698047E-2</v>
      </c>
      <c r="N128" s="4">
        <f t="shared" si="10"/>
        <v>3.17975340687865E-2</v>
      </c>
      <c r="O128">
        <v>595</v>
      </c>
      <c r="P128" s="5">
        <v>1</v>
      </c>
      <c r="Q128" s="7">
        <v>1</v>
      </c>
      <c r="R128" t="str">
        <f t="shared" si="16"/>
        <v>нормальный код</v>
      </c>
      <c r="S128" t="str">
        <f t="shared" si="11"/>
        <v>Больше половины</v>
      </c>
      <c r="T128" t="str">
        <f t="shared" si="12"/>
        <v>Больше половины</v>
      </c>
      <c r="U128" t="str">
        <f t="shared" si="13"/>
        <v>нормальный код</v>
      </c>
      <c r="V128" t="str">
        <f t="shared" si="14"/>
        <v>Больше половины</v>
      </c>
      <c r="W128" t="str">
        <f t="shared" si="15"/>
        <v>Больше половины</v>
      </c>
      <c r="X128">
        <v>6</v>
      </c>
    </row>
    <row r="129" spans="1:24" x14ac:dyDescent="0.35">
      <c r="A129" s="1" t="s">
        <v>168</v>
      </c>
      <c r="B129" s="2" t="s">
        <v>169</v>
      </c>
      <c r="C129" s="3" t="s">
        <v>13</v>
      </c>
      <c r="D129" s="2" t="s">
        <v>85</v>
      </c>
      <c r="E129" s="3" t="s">
        <v>86</v>
      </c>
      <c r="F129" s="2" t="s">
        <v>71</v>
      </c>
      <c r="G129" s="3" t="s">
        <v>17</v>
      </c>
      <c r="H129" s="2" t="s">
        <v>18</v>
      </c>
      <c r="I129" s="3" t="s">
        <v>19</v>
      </c>
      <c r="J129" s="3">
        <v>47936</v>
      </c>
      <c r="K129" s="3">
        <v>2535</v>
      </c>
      <c r="L129" s="3">
        <v>88</v>
      </c>
      <c r="M129" s="4">
        <f t="shared" si="9"/>
        <v>5.288301068090788E-2</v>
      </c>
      <c r="N129" s="4">
        <f t="shared" si="10"/>
        <v>3.4714003944773177E-2</v>
      </c>
      <c r="O129">
        <v>516</v>
      </c>
      <c r="P129" s="5">
        <v>1</v>
      </c>
      <c r="Q129" s="7">
        <v>1</v>
      </c>
      <c r="R129" t="str">
        <f t="shared" si="16"/>
        <v>нормальный код</v>
      </c>
      <c r="S129" t="str">
        <f t="shared" si="11"/>
        <v>Вторая четверть</v>
      </c>
      <c r="T129" t="str">
        <f t="shared" si="12"/>
        <v>Больше половины</v>
      </c>
      <c r="U129" t="str">
        <f t="shared" si="13"/>
        <v>нормальный код</v>
      </c>
      <c r="V129" t="str">
        <f t="shared" si="14"/>
        <v>Вторая четверть</v>
      </c>
      <c r="W129" t="str">
        <f t="shared" si="15"/>
        <v>Больше половины</v>
      </c>
      <c r="X129">
        <v>19</v>
      </c>
    </row>
    <row r="130" spans="1:24" x14ac:dyDescent="0.35">
      <c r="A130" s="1" t="s">
        <v>1416</v>
      </c>
      <c r="B130" s="2" t="s">
        <v>1417</v>
      </c>
      <c r="C130" s="3" t="s">
        <v>55</v>
      </c>
      <c r="D130" s="2" t="s">
        <v>1049</v>
      </c>
      <c r="E130" s="3" t="s">
        <v>1050</v>
      </c>
      <c r="F130" s="2" t="s">
        <v>34</v>
      </c>
      <c r="G130" s="3" t="s">
        <v>17</v>
      </c>
      <c r="H130" s="2" t="s">
        <v>18</v>
      </c>
      <c r="I130" s="3" t="s">
        <v>19</v>
      </c>
      <c r="J130" s="3">
        <v>47276</v>
      </c>
      <c r="K130" s="3">
        <v>4552</v>
      </c>
      <c r="L130" s="3">
        <v>199</v>
      </c>
      <c r="M130" s="4">
        <f t="shared" si="9"/>
        <v>9.6285641763262542E-2</v>
      </c>
      <c r="N130" s="4">
        <f t="shared" si="10"/>
        <v>4.3717047451669593E-2</v>
      </c>
      <c r="O130">
        <v>68</v>
      </c>
      <c r="P130" s="5">
        <v>1</v>
      </c>
      <c r="Q130" s="7">
        <v>1</v>
      </c>
      <c r="R130" t="str">
        <f t="shared" si="16"/>
        <v>нормальный код</v>
      </c>
      <c r="S130" t="str">
        <f t="shared" si="11"/>
        <v>Больше половины</v>
      </c>
      <c r="T130" t="str">
        <f t="shared" si="12"/>
        <v>Больше половины</v>
      </c>
      <c r="U130" t="str">
        <f t="shared" si="13"/>
        <v>нормальный код</v>
      </c>
      <c r="V130" t="str">
        <f t="shared" si="14"/>
        <v>Вторая четверть</v>
      </c>
      <c r="W130" t="str">
        <f t="shared" si="15"/>
        <v>Больше половины</v>
      </c>
      <c r="X130">
        <v>10</v>
      </c>
    </row>
    <row r="131" spans="1:24" x14ac:dyDescent="0.35">
      <c r="A131" s="1" t="s">
        <v>175</v>
      </c>
      <c r="B131" s="2" t="s">
        <v>176</v>
      </c>
      <c r="C131" s="3" t="s">
        <v>13</v>
      </c>
      <c r="D131" s="2" t="s">
        <v>85</v>
      </c>
      <c r="E131" s="3" t="s">
        <v>86</v>
      </c>
      <c r="F131" s="2" t="s">
        <v>71</v>
      </c>
      <c r="G131" s="3" t="s">
        <v>35</v>
      </c>
      <c r="H131" s="2" t="s">
        <v>18</v>
      </c>
      <c r="I131" s="3" t="s">
        <v>19</v>
      </c>
      <c r="J131" s="3">
        <v>47168</v>
      </c>
      <c r="K131" s="3">
        <v>3874</v>
      </c>
      <c r="L131" s="3">
        <v>57</v>
      </c>
      <c r="M131" s="4">
        <f t="shared" si="9"/>
        <v>8.2131953867028498E-2</v>
      </c>
      <c r="N131" s="4">
        <f t="shared" si="10"/>
        <v>1.471347444501807E-2</v>
      </c>
      <c r="O131">
        <v>307</v>
      </c>
      <c r="P131" s="5">
        <v>1</v>
      </c>
      <c r="Q131" s="7">
        <v>1</v>
      </c>
      <c r="R131" t="str">
        <f t="shared" si="16"/>
        <v>нормальный код</v>
      </c>
      <c r="S131" t="str">
        <f t="shared" si="11"/>
        <v>Вторая четверть</v>
      </c>
      <c r="T131" t="str">
        <f t="shared" si="12"/>
        <v>Вторая четверть</v>
      </c>
      <c r="U131" t="str">
        <f t="shared" si="13"/>
        <v>нормальный код</v>
      </c>
      <c r="V131" t="str">
        <f t="shared" si="14"/>
        <v>Вторая четверть</v>
      </c>
      <c r="W131" t="str">
        <f t="shared" si="15"/>
        <v>Вторая четверть</v>
      </c>
      <c r="X131">
        <v>10</v>
      </c>
    </row>
    <row r="132" spans="1:24" x14ac:dyDescent="0.35">
      <c r="A132" s="1" t="s">
        <v>659</v>
      </c>
      <c r="B132" s="2" t="s">
        <v>660</v>
      </c>
      <c r="C132" s="3" t="s">
        <v>13</v>
      </c>
      <c r="D132" s="2" t="s">
        <v>38</v>
      </c>
      <c r="E132" s="3" t="s">
        <v>39</v>
      </c>
      <c r="F132" s="2" t="s">
        <v>34</v>
      </c>
      <c r="G132" s="3" t="s">
        <v>35</v>
      </c>
      <c r="H132" s="2" t="s">
        <v>18</v>
      </c>
      <c r="I132" s="3" t="s">
        <v>19</v>
      </c>
      <c r="J132" s="3">
        <v>46605</v>
      </c>
      <c r="K132" s="3">
        <v>3128</v>
      </c>
      <c r="L132" s="3">
        <v>27</v>
      </c>
      <c r="M132" s="4">
        <f t="shared" ref="M132:M195" si="17">IFERROR(K132/J132,0)</f>
        <v>6.7117262096341598E-2</v>
      </c>
      <c r="N132" s="4">
        <f t="shared" ref="N132:N195" si="18">IFERROR(L132/K132,0)</f>
        <v>8.6317135549872116E-3</v>
      </c>
      <c r="O132">
        <v>379</v>
      </c>
      <c r="P132" s="5">
        <v>1</v>
      </c>
      <c r="Q132" s="7">
        <v>1</v>
      </c>
      <c r="R132" t="str">
        <f t="shared" si="16"/>
        <v>код для проверки</v>
      </c>
      <c r="S132" t="str">
        <f t="shared" ref="S132:S195" si="19">IF(M132&lt;$S$1*0.5,"Низшая четверть",IF(M132&lt;$S$1,"Вторая четверть","Больше половины"))</f>
        <v>Вторая четверть</v>
      </c>
      <c r="T132" t="str">
        <f t="shared" ref="T132:T195" si="20">IF(N132&lt;$T$1*0.5,"Низшая четверть",IF(N132&lt;$T$1,"Вторая четверть","Больше половины"))</f>
        <v>Низшая четверть</v>
      </c>
      <c r="U132" t="str">
        <f t="shared" ref="U132:U195" si="21">IF(OR(M132&lt;SUMIFS(K:K,Q:Q,1,E:E,E132)/SUMIFS(J:J,Q:Q,1,E:E,E132)*0.5,N132&lt;SUMIFS(L:L,Q:Q,1,E:E,E132)/SUMIFS(K:K,Q:Q,1,E:E,E132)*0.5),"код для проверки","нормальный код")</f>
        <v>код для проверки</v>
      </c>
      <c r="V132" t="str">
        <f t="shared" ref="V132:V195" si="22">IF(M132&lt;SUMIFS(K:K,Q:Q,1,E:E,E132)/SUMIFS(J:J,Q:Q,1,E:E,E132)*0.5,"Низшая четверть",IF(M132&lt;SUMIFS(K:K,Q:Q,1,E:E,E132)/SUMIFS(J:J,Q:Q,1,E:E,E132),"Вторая четверть","Больше половины"))</f>
        <v>Вторая четверть</v>
      </c>
      <c r="W132" t="str">
        <f t="shared" ref="W132:W195" si="23">IF(N132&lt;SUMIFS(L:L,Q:Q,1,E:E,E132)/SUMIFS(K:K,Q:Q,1,E:E,E132)*0.5,"Низшая четверть",IF(N132&lt;SUMIFS(L:L,Q:Q,1,E:E,E132)/SUMIFS(K:K,Q:Q,1,E:E,E132),"Вторая четверть","Больше половины"))</f>
        <v>Низшая четверть</v>
      </c>
      <c r="X132">
        <v>19</v>
      </c>
    </row>
    <row r="133" spans="1:24" x14ac:dyDescent="0.35">
      <c r="A133" s="1" t="s">
        <v>1127</v>
      </c>
      <c r="B133" s="2" t="s">
        <v>1128</v>
      </c>
      <c r="C133" s="3" t="s">
        <v>13</v>
      </c>
      <c r="D133" s="2" t="s">
        <v>121</v>
      </c>
      <c r="E133" s="3" t="s">
        <v>606</v>
      </c>
      <c r="F133" s="2" t="s">
        <v>71</v>
      </c>
      <c r="G133" s="3" t="s">
        <v>17</v>
      </c>
      <c r="H133" s="2" t="s">
        <v>18</v>
      </c>
      <c r="I133" s="3" t="s">
        <v>19</v>
      </c>
      <c r="J133" s="3">
        <v>46362</v>
      </c>
      <c r="K133" s="3">
        <v>3513</v>
      </c>
      <c r="L133" s="3">
        <v>65</v>
      </c>
      <c r="M133" s="4">
        <f t="shared" si="17"/>
        <v>7.5773262585738327E-2</v>
      </c>
      <c r="N133" s="4">
        <f t="shared" si="18"/>
        <v>1.8502704241389126E-2</v>
      </c>
      <c r="O133">
        <v>129</v>
      </c>
      <c r="P133" s="5">
        <v>1</v>
      </c>
      <c r="Q133" s="7">
        <v>1</v>
      </c>
      <c r="R133" t="str">
        <f t="shared" si="16"/>
        <v>нормальный код</v>
      </c>
      <c r="S133" t="str">
        <f t="shared" si="19"/>
        <v>Вторая четверть</v>
      </c>
      <c r="T133" t="str">
        <f t="shared" si="20"/>
        <v>Вторая четверть</v>
      </c>
      <c r="U133" t="str">
        <f t="shared" si="21"/>
        <v>нормальный код</v>
      </c>
      <c r="V133" t="str">
        <f t="shared" si="22"/>
        <v>Вторая четверть</v>
      </c>
      <c r="W133" t="str">
        <f t="shared" si="23"/>
        <v>Больше половины</v>
      </c>
      <c r="X133">
        <v>16</v>
      </c>
    </row>
    <row r="134" spans="1:24" x14ac:dyDescent="0.35">
      <c r="A134" s="1" t="s">
        <v>551</v>
      </c>
      <c r="B134" s="2" t="s">
        <v>552</v>
      </c>
      <c r="C134" s="3" t="s">
        <v>13</v>
      </c>
      <c r="D134" s="2" t="s">
        <v>164</v>
      </c>
      <c r="E134" s="3" t="s">
        <v>377</v>
      </c>
      <c r="F134" s="2" t="s">
        <v>71</v>
      </c>
      <c r="G134" s="3" t="s">
        <v>17</v>
      </c>
      <c r="H134" s="2" t="s">
        <v>18</v>
      </c>
      <c r="I134" s="3" t="s">
        <v>19</v>
      </c>
      <c r="J134" s="3">
        <v>45986</v>
      </c>
      <c r="K134" s="3">
        <v>4221</v>
      </c>
      <c r="L134" s="3">
        <v>90</v>
      </c>
      <c r="M134" s="4">
        <f t="shared" si="17"/>
        <v>9.1788805288566089E-2</v>
      </c>
      <c r="N134" s="4">
        <f t="shared" si="18"/>
        <v>2.1321961620469083E-2</v>
      </c>
      <c r="O134">
        <v>83</v>
      </c>
      <c r="P134" s="5">
        <v>1</v>
      </c>
      <c r="Q134" s="7">
        <v>1</v>
      </c>
      <c r="R134" t="str">
        <f t="shared" si="16"/>
        <v>нормальный код</v>
      </c>
      <c r="S134" t="str">
        <f t="shared" si="19"/>
        <v>Вторая четверть</v>
      </c>
      <c r="T134" t="str">
        <f t="shared" si="20"/>
        <v>Больше половины</v>
      </c>
      <c r="U134" t="str">
        <f t="shared" si="21"/>
        <v>нормальный код</v>
      </c>
      <c r="V134" t="str">
        <f t="shared" si="22"/>
        <v>Вторая четверть</v>
      </c>
      <c r="W134" t="str">
        <f t="shared" si="23"/>
        <v>Больше половины</v>
      </c>
      <c r="X134">
        <v>23</v>
      </c>
    </row>
    <row r="135" spans="1:24" x14ac:dyDescent="0.35">
      <c r="A135" s="1" t="s">
        <v>30</v>
      </c>
      <c r="B135" s="2" t="s">
        <v>31</v>
      </c>
      <c r="C135" s="3" t="s">
        <v>13</v>
      </c>
      <c r="D135" s="2" t="s">
        <v>32</v>
      </c>
      <c r="E135" s="3" t="s">
        <v>33</v>
      </c>
      <c r="F135" s="2" t="s">
        <v>34</v>
      </c>
      <c r="G135" s="3" t="s">
        <v>35</v>
      </c>
      <c r="H135" s="2" t="s">
        <v>18</v>
      </c>
      <c r="I135" s="3" t="s">
        <v>19</v>
      </c>
      <c r="J135" s="3">
        <v>45794</v>
      </c>
      <c r="K135" s="3">
        <v>2874</v>
      </c>
      <c r="L135" s="3">
        <v>77</v>
      </c>
      <c r="M135" s="4">
        <f t="shared" si="17"/>
        <v>6.2759313447176487E-2</v>
      </c>
      <c r="N135" s="4">
        <f t="shared" si="18"/>
        <v>2.6791927627000695E-2</v>
      </c>
      <c r="O135">
        <v>1303</v>
      </c>
      <c r="P135" s="5">
        <v>1</v>
      </c>
      <c r="Q135" s="7">
        <v>1</v>
      </c>
      <c r="R135" t="str">
        <f t="shared" si="16"/>
        <v>нормальный код</v>
      </c>
      <c r="S135" t="str">
        <f t="shared" si="19"/>
        <v>Вторая четверть</v>
      </c>
      <c r="T135" t="str">
        <f t="shared" si="20"/>
        <v>Больше половины</v>
      </c>
      <c r="U135" t="str">
        <f t="shared" si="21"/>
        <v>нормальный код</v>
      </c>
      <c r="V135" t="str">
        <f t="shared" si="22"/>
        <v>Вторая четверть</v>
      </c>
      <c r="W135" t="str">
        <f t="shared" si="23"/>
        <v>Больше половины</v>
      </c>
      <c r="X135">
        <v>8</v>
      </c>
    </row>
    <row r="136" spans="1:24" x14ac:dyDescent="0.35">
      <c r="A136" s="1" t="s">
        <v>1986</v>
      </c>
      <c r="B136" s="2" t="s">
        <v>1987</v>
      </c>
      <c r="C136" s="3" t="s">
        <v>13</v>
      </c>
      <c r="D136" s="2" t="s">
        <v>77</v>
      </c>
      <c r="E136" s="3" t="s">
        <v>78</v>
      </c>
      <c r="F136" s="2" t="s">
        <v>34</v>
      </c>
      <c r="G136" s="3" t="s">
        <v>17</v>
      </c>
      <c r="H136" s="2" t="s">
        <v>18</v>
      </c>
      <c r="I136" s="3" t="s">
        <v>19</v>
      </c>
      <c r="J136" s="3">
        <v>45004</v>
      </c>
      <c r="K136" s="3">
        <v>2437</v>
      </c>
      <c r="L136" s="3">
        <v>56</v>
      </c>
      <c r="M136" s="4">
        <f t="shared" si="17"/>
        <v>5.4150742156252776E-2</v>
      </c>
      <c r="N136" s="4">
        <f t="shared" si="18"/>
        <v>2.2979072630283134E-2</v>
      </c>
      <c r="O136">
        <v>672</v>
      </c>
      <c r="P136" s="5">
        <v>1</v>
      </c>
      <c r="Q136" s="7">
        <v>1</v>
      </c>
      <c r="R136" t="str">
        <f t="shared" si="16"/>
        <v>нормальный код</v>
      </c>
      <c r="S136" t="str">
        <f t="shared" si="19"/>
        <v>Вторая четверть</v>
      </c>
      <c r="T136" t="str">
        <f t="shared" si="20"/>
        <v>Больше половины</v>
      </c>
      <c r="U136" t="str">
        <f t="shared" si="21"/>
        <v>нормальный код</v>
      </c>
      <c r="V136" t="str">
        <f t="shared" si="22"/>
        <v>Вторая четверть</v>
      </c>
      <c r="W136" t="str">
        <f t="shared" si="23"/>
        <v>Вторая четверть</v>
      </c>
      <c r="X136">
        <v>16</v>
      </c>
    </row>
    <row r="137" spans="1:24" x14ac:dyDescent="0.35">
      <c r="A137" s="1" t="s">
        <v>36</v>
      </c>
      <c r="B137" s="2" t="s">
        <v>37</v>
      </c>
      <c r="C137" s="3" t="s">
        <v>13</v>
      </c>
      <c r="D137" s="2" t="s">
        <v>38</v>
      </c>
      <c r="E137" s="3" t="s">
        <v>39</v>
      </c>
      <c r="F137" s="2" t="s">
        <v>34</v>
      </c>
      <c r="G137" s="3" t="s">
        <v>17</v>
      </c>
      <c r="H137" s="2" t="s">
        <v>18</v>
      </c>
      <c r="I137" s="3" t="s">
        <v>19</v>
      </c>
      <c r="J137" s="3">
        <v>43667</v>
      </c>
      <c r="K137" s="3">
        <v>3469</v>
      </c>
      <c r="L137" s="3">
        <v>79</v>
      </c>
      <c r="M137" s="4">
        <f t="shared" si="17"/>
        <v>7.9442141663040741E-2</v>
      </c>
      <c r="N137" s="4">
        <f t="shared" si="18"/>
        <v>2.2773133467858173E-2</v>
      </c>
      <c r="O137">
        <v>1666</v>
      </c>
      <c r="P137" s="5">
        <v>1</v>
      </c>
      <c r="Q137" s="7">
        <v>1</v>
      </c>
      <c r="R137" t="str">
        <f t="shared" si="16"/>
        <v>нормальный код</v>
      </c>
      <c r="S137" t="str">
        <f t="shared" si="19"/>
        <v>Вторая четверть</v>
      </c>
      <c r="T137" t="str">
        <f t="shared" si="20"/>
        <v>Больше половины</v>
      </c>
      <c r="U137" t="str">
        <f t="shared" si="21"/>
        <v>нормальный код</v>
      </c>
      <c r="V137" t="str">
        <f t="shared" si="22"/>
        <v>Больше половины</v>
      </c>
      <c r="W137" t="str">
        <f t="shared" si="23"/>
        <v>Вторая четверть</v>
      </c>
      <c r="X137">
        <v>12</v>
      </c>
    </row>
    <row r="138" spans="1:24" x14ac:dyDescent="0.35">
      <c r="A138" s="1" t="s">
        <v>829</v>
      </c>
      <c r="B138" s="2" t="s">
        <v>830</v>
      </c>
      <c r="C138" s="3" t="s">
        <v>13</v>
      </c>
      <c r="D138" s="2" t="s">
        <v>85</v>
      </c>
      <c r="E138" s="3" t="s">
        <v>831</v>
      </c>
      <c r="F138" s="2" t="s">
        <v>34</v>
      </c>
      <c r="G138" s="3" t="s">
        <v>17</v>
      </c>
      <c r="H138" s="2" t="s">
        <v>18</v>
      </c>
      <c r="I138" s="3" t="s">
        <v>19</v>
      </c>
      <c r="J138" s="3">
        <v>43354</v>
      </c>
      <c r="K138" s="3">
        <v>3099</v>
      </c>
      <c r="L138" s="3">
        <v>75</v>
      </c>
      <c r="M138" s="4">
        <f t="shared" si="17"/>
        <v>7.1481293536928545E-2</v>
      </c>
      <c r="N138" s="4">
        <f t="shared" si="18"/>
        <v>2.420135527589545E-2</v>
      </c>
      <c r="O138">
        <v>417</v>
      </c>
      <c r="P138" s="5">
        <v>1</v>
      </c>
      <c r="Q138" s="7">
        <v>1</v>
      </c>
      <c r="R138" t="str">
        <f t="shared" si="16"/>
        <v>нормальный код</v>
      </c>
      <c r="S138" t="str">
        <f t="shared" si="19"/>
        <v>Вторая четверть</v>
      </c>
      <c r="T138" t="str">
        <f t="shared" si="20"/>
        <v>Больше половины</v>
      </c>
      <c r="U138" t="str">
        <f t="shared" si="21"/>
        <v>нормальный код</v>
      </c>
      <c r="V138" t="str">
        <f t="shared" si="22"/>
        <v>Вторая четверть</v>
      </c>
      <c r="W138" t="str">
        <f t="shared" si="23"/>
        <v>Больше половины</v>
      </c>
      <c r="X138">
        <v>21</v>
      </c>
    </row>
    <row r="139" spans="1:24" x14ac:dyDescent="0.35">
      <c r="A139" s="1" t="s">
        <v>1196</v>
      </c>
      <c r="B139" s="2" t="s">
        <v>1197</v>
      </c>
      <c r="C139" s="3" t="s">
        <v>55</v>
      </c>
      <c r="D139" s="2" t="s">
        <v>295</v>
      </c>
      <c r="E139" s="3" t="s">
        <v>296</v>
      </c>
      <c r="F139" s="2" t="s">
        <v>61</v>
      </c>
      <c r="G139" s="3" t="s">
        <v>17</v>
      </c>
      <c r="H139" s="2" t="s">
        <v>97</v>
      </c>
      <c r="I139" s="3" t="s">
        <v>19</v>
      </c>
      <c r="J139" s="3">
        <v>42804</v>
      </c>
      <c r="K139" s="3">
        <v>11817</v>
      </c>
      <c r="L139" s="3">
        <v>133</v>
      </c>
      <c r="M139" s="4">
        <f t="shared" si="17"/>
        <v>0.27607232968881412</v>
      </c>
      <c r="N139" s="4">
        <f t="shared" si="18"/>
        <v>1.1254971651011254E-2</v>
      </c>
      <c r="O139">
        <v>422</v>
      </c>
      <c r="P139" s="5">
        <v>1</v>
      </c>
      <c r="Q139" s="7">
        <v>1</v>
      </c>
      <c r="R139" t="str">
        <f t="shared" si="16"/>
        <v>нормальный код</v>
      </c>
      <c r="S139" t="str">
        <f t="shared" si="19"/>
        <v>Больше половины</v>
      </c>
      <c r="T139" t="str">
        <f t="shared" si="20"/>
        <v>Вторая четверть</v>
      </c>
      <c r="U139" t="str">
        <f t="shared" si="21"/>
        <v>нормальный код</v>
      </c>
      <c r="V139" t="str">
        <f t="shared" si="22"/>
        <v>Больше половины</v>
      </c>
      <c r="W139" t="str">
        <f t="shared" si="23"/>
        <v>Вторая четверть</v>
      </c>
      <c r="X139">
        <v>16</v>
      </c>
    </row>
    <row r="140" spans="1:24" x14ac:dyDescent="0.35">
      <c r="A140" s="1" t="s">
        <v>1615</v>
      </c>
      <c r="B140" s="2" t="s">
        <v>1616</v>
      </c>
      <c r="C140" s="3" t="s">
        <v>55</v>
      </c>
      <c r="D140" s="2" t="s">
        <v>295</v>
      </c>
      <c r="E140" s="3" t="s">
        <v>296</v>
      </c>
      <c r="F140" s="2" t="s">
        <v>61</v>
      </c>
      <c r="G140" s="3" t="s">
        <v>17</v>
      </c>
      <c r="H140" s="2" t="s">
        <v>97</v>
      </c>
      <c r="I140" s="3" t="s">
        <v>19</v>
      </c>
      <c r="J140" s="3">
        <v>42731</v>
      </c>
      <c r="K140" s="3">
        <v>13978</v>
      </c>
      <c r="L140" s="3">
        <v>181</v>
      </c>
      <c r="M140" s="4">
        <f t="shared" si="17"/>
        <v>0.32711614518733473</v>
      </c>
      <c r="N140" s="4">
        <f t="shared" si="18"/>
        <v>1.2948919731005867E-2</v>
      </c>
      <c r="O140">
        <v>415</v>
      </c>
      <c r="P140" s="5">
        <v>1</v>
      </c>
      <c r="Q140" s="7">
        <v>1</v>
      </c>
      <c r="R140" t="str">
        <f t="shared" si="16"/>
        <v>нормальный код</v>
      </c>
      <c r="S140" t="str">
        <f t="shared" si="19"/>
        <v>Больше половины</v>
      </c>
      <c r="T140" t="str">
        <f t="shared" si="20"/>
        <v>Вторая четверть</v>
      </c>
      <c r="U140" t="str">
        <f t="shared" si="21"/>
        <v>нормальный код</v>
      </c>
      <c r="V140" t="str">
        <f t="shared" si="22"/>
        <v>Больше половины</v>
      </c>
      <c r="W140" t="str">
        <f t="shared" si="23"/>
        <v>Вторая четверть</v>
      </c>
      <c r="X140">
        <v>15</v>
      </c>
    </row>
    <row r="141" spans="1:24" x14ac:dyDescent="0.35">
      <c r="A141" s="1" t="s">
        <v>694</v>
      </c>
      <c r="B141" s="2" t="s">
        <v>695</v>
      </c>
      <c r="C141" s="3" t="s">
        <v>55</v>
      </c>
      <c r="D141" s="2" t="s">
        <v>295</v>
      </c>
      <c r="E141" s="3" t="s">
        <v>296</v>
      </c>
      <c r="F141" s="2" t="s">
        <v>61</v>
      </c>
      <c r="G141" s="3" t="s">
        <v>17</v>
      </c>
      <c r="H141" s="2" t="s">
        <v>97</v>
      </c>
      <c r="I141" s="3" t="s">
        <v>19</v>
      </c>
      <c r="J141" s="3">
        <v>42432</v>
      </c>
      <c r="K141" s="3">
        <v>17572</v>
      </c>
      <c r="L141" s="3">
        <v>133</v>
      </c>
      <c r="M141" s="4">
        <f t="shared" si="17"/>
        <v>0.41412141779788841</v>
      </c>
      <c r="N141" s="4">
        <f t="shared" si="18"/>
        <v>7.5688595492829506E-3</v>
      </c>
      <c r="O141">
        <v>492</v>
      </c>
      <c r="P141" s="5">
        <v>1</v>
      </c>
      <c r="Q141" s="7">
        <v>1</v>
      </c>
      <c r="R141" t="str">
        <f t="shared" si="16"/>
        <v>код для проверки</v>
      </c>
      <c r="S141" t="str">
        <f t="shared" si="19"/>
        <v>Больше половины</v>
      </c>
      <c r="T141" t="str">
        <f t="shared" si="20"/>
        <v>Низшая четверть</v>
      </c>
      <c r="U141" t="str">
        <f t="shared" si="21"/>
        <v>нормальный код</v>
      </c>
      <c r="V141" t="str">
        <f t="shared" si="22"/>
        <v>Больше половины</v>
      </c>
      <c r="W141" t="str">
        <f t="shared" si="23"/>
        <v>Вторая четверть</v>
      </c>
      <c r="X141">
        <v>12</v>
      </c>
    </row>
    <row r="142" spans="1:24" x14ac:dyDescent="0.35">
      <c r="A142" s="1" t="s">
        <v>401</v>
      </c>
      <c r="B142" s="2" t="s">
        <v>402</v>
      </c>
      <c r="C142" s="3" t="s">
        <v>55</v>
      </c>
      <c r="D142" s="2" t="s">
        <v>56</v>
      </c>
      <c r="E142" s="3" t="s">
        <v>57</v>
      </c>
      <c r="F142" s="2" t="s">
        <v>34</v>
      </c>
      <c r="G142" s="3" t="s">
        <v>17</v>
      </c>
      <c r="H142" s="2" t="s">
        <v>18</v>
      </c>
      <c r="I142" s="3" t="s">
        <v>19</v>
      </c>
      <c r="J142" s="3">
        <v>41735</v>
      </c>
      <c r="K142" s="3">
        <v>4876</v>
      </c>
      <c r="L142" s="3">
        <v>67</v>
      </c>
      <c r="M142" s="4">
        <f t="shared" si="17"/>
        <v>0.11683239487240925</v>
      </c>
      <c r="N142" s="4">
        <f t="shared" si="18"/>
        <v>1.3740771123872026E-2</v>
      </c>
      <c r="O142">
        <v>121</v>
      </c>
      <c r="P142" s="5">
        <v>1</v>
      </c>
      <c r="Q142" s="7">
        <v>1</v>
      </c>
      <c r="R142" t="str">
        <f t="shared" si="16"/>
        <v>нормальный код</v>
      </c>
      <c r="S142" t="str">
        <f t="shared" si="19"/>
        <v>Больше половины</v>
      </c>
      <c r="T142" t="str">
        <f t="shared" si="20"/>
        <v>Вторая четверть</v>
      </c>
      <c r="U142" t="str">
        <f t="shared" si="21"/>
        <v>нормальный код</v>
      </c>
      <c r="V142" t="str">
        <f t="shared" si="22"/>
        <v>Больше половины</v>
      </c>
      <c r="W142" t="str">
        <f t="shared" si="23"/>
        <v>Вторая четверть</v>
      </c>
      <c r="X142">
        <v>17</v>
      </c>
    </row>
    <row r="143" spans="1:24" x14ac:dyDescent="0.35">
      <c r="A143" s="1" t="s">
        <v>1485</v>
      </c>
      <c r="B143" s="2" t="s">
        <v>1486</v>
      </c>
      <c r="C143" s="3" t="s">
        <v>13</v>
      </c>
      <c r="D143" s="2" t="s">
        <v>412</v>
      </c>
      <c r="E143" s="3" t="s">
        <v>413</v>
      </c>
      <c r="F143" s="2" t="s">
        <v>61</v>
      </c>
      <c r="G143" s="3" t="s">
        <v>17</v>
      </c>
      <c r="H143" s="2" t="s">
        <v>97</v>
      </c>
      <c r="I143" s="3" t="s">
        <v>19</v>
      </c>
      <c r="J143" s="3">
        <v>41554</v>
      </c>
      <c r="K143" s="3">
        <v>3350</v>
      </c>
      <c r="L143" s="3">
        <v>134</v>
      </c>
      <c r="M143" s="4">
        <f t="shared" si="17"/>
        <v>8.0617991047793228E-2</v>
      </c>
      <c r="N143" s="4">
        <f t="shared" si="18"/>
        <v>0.04</v>
      </c>
      <c r="O143">
        <v>118</v>
      </c>
      <c r="P143" s="5">
        <v>1</v>
      </c>
      <c r="Q143" s="7">
        <v>1</v>
      </c>
      <c r="R143" t="str">
        <f t="shared" si="16"/>
        <v>нормальный код</v>
      </c>
      <c r="S143" t="str">
        <f t="shared" si="19"/>
        <v>Вторая четверть</v>
      </c>
      <c r="T143" t="str">
        <f t="shared" si="20"/>
        <v>Больше половины</v>
      </c>
      <c r="U143" t="str">
        <f t="shared" si="21"/>
        <v>нормальный код</v>
      </c>
      <c r="V143" t="str">
        <f t="shared" si="22"/>
        <v>Вторая четверть</v>
      </c>
      <c r="W143" t="str">
        <f t="shared" si="23"/>
        <v>Больше половины</v>
      </c>
      <c r="X143">
        <v>9</v>
      </c>
    </row>
    <row r="144" spans="1:24" x14ac:dyDescent="0.35">
      <c r="A144" s="1" t="s">
        <v>1609</v>
      </c>
      <c r="B144" s="2" t="s">
        <v>1610</v>
      </c>
      <c r="C144" s="3" t="s">
        <v>55</v>
      </c>
      <c r="D144" s="2" t="s">
        <v>94</v>
      </c>
      <c r="E144" s="3" t="s">
        <v>95</v>
      </c>
      <c r="F144" s="2" t="s">
        <v>96</v>
      </c>
      <c r="G144" s="3" t="s">
        <v>17</v>
      </c>
      <c r="H144" s="2" t="s">
        <v>97</v>
      </c>
      <c r="I144" s="3" t="s">
        <v>19</v>
      </c>
      <c r="J144" s="3">
        <v>41130</v>
      </c>
      <c r="K144" s="3">
        <v>16377</v>
      </c>
      <c r="L144" s="3">
        <v>226</v>
      </c>
      <c r="M144" s="4">
        <f t="shared" si="17"/>
        <v>0.39817651349380012</v>
      </c>
      <c r="N144" s="4">
        <f t="shared" si="18"/>
        <v>1.3799841240764487E-2</v>
      </c>
      <c r="O144">
        <v>4012</v>
      </c>
      <c r="P144" s="5">
        <v>0.66666666666666663</v>
      </c>
      <c r="Q144" s="7">
        <v>1</v>
      </c>
      <c r="R144" t="str">
        <f t="shared" si="16"/>
        <v>нормальный код</v>
      </c>
      <c r="S144" t="str">
        <f t="shared" si="19"/>
        <v>Больше половины</v>
      </c>
      <c r="T144" t="str">
        <f t="shared" si="20"/>
        <v>Вторая четверть</v>
      </c>
      <c r="U144" t="str">
        <f t="shared" si="21"/>
        <v>нормальный код</v>
      </c>
      <c r="V144" t="str">
        <f t="shared" si="22"/>
        <v>Больше половины</v>
      </c>
      <c r="W144" t="str">
        <f t="shared" si="23"/>
        <v>Больше половины</v>
      </c>
      <c r="X144">
        <v>25</v>
      </c>
    </row>
    <row r="145" spans="1:24" x14ac:dyDescent="0.35">
      <c r="A145" s="1" t="s">
        <v>1935</v>
      </c>
      <c r="B145" s="2" t="s">
        <v>1936</v>
      </c>
      <c r="C145" s="3" t="s">
        <v>13</v>
      </c>
      <c r="D145" s="2" t="s">
        <v>85</v>
      </c>
      <c r="E145" s="3" t="s">
        <v>1937</v>
      </c>
      <c r="F145" s="2" t="s">
        <v>96</v>
      </c>
      <c r="G145" s="3" t="s">
        <v>17</v>
      </c>
      <c r="H145" s="2" t="s">
        <v>18</v>
      </c>
      <c r="I145" s="3" t="s">
        <v>19</v>
      </c>
      <c r="J145" s="3">
        <v>41054</v>
      </c>
      <c r="K145" s="3">
        <v>2295</v>
      </c>
      <c r="L145" s="3">
        <v>108</v>
      </c>
      <c r="M145" s="4">
        <f t="shared" si="17"/>
        <v>5.5901982754421008E-2</v>
      </c>
      <c r="N145" s="4">
        <f t="shared" si="18"/>
        <v>4.7058823529411764E-2</v>
      </c>
      <c r="O145">
        <v>357</v>
      </c>
      <c r="P145" s="5">
        <v>1</v>
      </c>
      <c r="Q145" s="7">
        <v>1</v>
      </c>
      <c r="R145" t="str">
        <f t="shared" si="16"/>
        <v>нормальный код</v>
      </c>
      <c r="S145" t="str">
        <f t="shared" si="19"/>
        <v>Вторая четверть</v>
      </c>
      <c r="T145" t="str">
        <f t="shared" si="20"/>
        <v>Больше половины</v>
      </c>
      <c r="U145" t="str">
        <f t="shared" si="21"/>
        <v>нормальный код</v>
      </c>
      <c r="V145" t="str">
        <f t="shared" si="22"/>
        <v>Вторая четверть</v>
      </c>
      <c r="W145" t="str">
        <f t="shared" si="23"/>
        <v>Больше половины</v>
      </c>
      <c r="X145">
        <v>16</v>
      </c>
    </row>
    <row r="146" spans="1:24" x14ac:dyDescent="0.35">
      <c r="A146" s="1" t="s">
        <v>1569</v>
      </c>
      <c r="B146" s="2" t="s">
        <v>1570</v>
      </c>
      <c r="C146" s="3" t="s">
        <v>55</v>
      </c>
      <c r="D146" s="2" t="s">
        <v>295</v>
      </c>
      <c r="E146" s="3" t="s">
        <v>296</v>
      </c>
      <c r="F146" s="2" t="s">
        <v>61</v>
      </c>
      <c r="G146" s="3" t="s">
        <v>17</v>
      </c>
      <c r="H146" s="2" t="s">
        <v>97</v>
      </c>
      <c r="I146" s="3" t="s">
        <v>19</v>
      </c>
      <c r="J146" s="3">
        <v>40790</v>
      </c>
      <c r="K146" s="3">
        <v>16931</v>
      </c>
      <c r="L146" s="3">
        <v>238</v>
      </c>
      <c r="M146" s="4">
        <f t="shared" si="17"/>
        <v>0.41507722481000248</v>
      </c>
      <c r="N146" s="4">
        <f t="shared" si="18"/>
        <v>1.4057055106018545E-2</v>
      </c>
      <c r="O146">
        <v>252</v>
      </c>
      <c r="P146" s="5">
        <v>1</v>
      </c>
      <c r="Q146" s="7">
        <v>1</v>
      </c>
      <c r="R146" t="str">
        <f t="shared" si="16"/>
        <v>нормальный код</v>
      </c>
      <c r="S146" t="str">
        <f t="shared" si="19"/>
        <v>Больше половины</v>
      </c>
      <c r="T146" t="str">
        <f t="shared" si="20"/>
        <v>Вторая четверть</v>
      </c>
      <c r="U146" t="str">
        <f t="shared" si="21"/>
        <v>нормальный код</v>
      </c>
      <c r="V146" t="str">
        <f t="shared" si="22"/>
        <v>Больше половины</v>
      </c>
      <c r="W146" t="str">
        <f t="shared" si="23"/>
        <v>Больше половины</v>
      </c>
      <c r="X146">
        <v>12</v>
      </c>
    </row>
    <row r="147" spans="1:24" x14ac:dyDescent="0.35">
      <c r="A147" s="1" t="s">
        <v>1371</v>
      </c>
      <c r="B147" s="2" t="s">
        <v>1372</v>
      </c>
      <c r="C147" s="3" t="s">
        <v>55</v>
      </c>
      <c r="D147" s="2" t="s">
        <v>295</v>
      </c>
      <c r="E147" s="3" t="s">
        <v>1373</v>
      </c>
      <c r="F147" s="2" t="s">
        <v>71</v>
      </c>
      <c r="G147" s="3" t="s">
        <v>17</v>
      </c>
      <c r="H147" s="2" t="s">
        <v>97</v>
      </c>
      <c r="I147" s="3" t="s">
        <v>19</v>
      </c>
      <c r="J147" s="3">
        <v>40674</v>
      </c>
      <c r="K147" s="3">
        <v>3069</v>
      </c>
      <c r="L147" s="3">
        <v>26</v>
      </c>
      <c r="M147" s="4">
        <f t="shared" si="17"/>
        <v>7.5453606726655853E-2</v>
      </c>
      <c r="N147" s="4">
        <f t="shared" si="18"/>
        <v>8.4718149234278266E-3</v>
      </c>
      <c r="O147">
        <v>315</v>
      </c>
      <c r="P147" s="5">
        <v>1</v>
      </c>
      <c r="Q147" s="7">
        <v>1</v>
      </c>
      <c r="R147" t="str">
        <f t="shared" si="16"/>
        <v>код для проверки</v>
      </c>
      <c r="S147" t="str">
        <f t="shared" si="19"/>
        <v>Вторая четверть</v>
      </c>
      <c r="T147" t="str">
        <f t="shared" si="20"/>
        <v>Низшая четверть</v>
      </c>
      <c r="U147" t="str">
        <f t="shared" si="21"/>
        <v>нормальный код</v>
      </c>
      <c r="V147" t="str">
        <f t="shared" si="22"/>
        <v>Вторая четверть</v>
      </c>
      <c r="W147" t="str">
        <f t="shared" si="23"/>
        <v>Вторая четверть</v>
      </c>
      <c r="X147">
        <v>11</v>
      </c>
    </row>
    <row r="148" spans="1:24" x14ac:dyDescent="0.35">
      <c r="A148" s="1" t="s">
        <v>741</v>
      </c>
      <c r="B148" s="2" t="s">
        <v>742</v>
      </c>
      <c r="C148" s="3" t="s">
        <v>55</v>
      </c>
      <c r="D148" s="2" t="s">
        <v>295</v>
      </c>
      <c r="E148" s="3" t="s">
        <v>296</v>
      </c>
      <c r="F148" s="2" t="s">
        <v>61</v>
      </c>
      <c r="G148" s="3" t="s">
        <v>17</v>
      </c>
      <c r="H148" s="2" t="s">
        <v>97</v>
      </c>
      <c r="I148" s="3" t="s">
        <v>19</v>
      </c>
      <c r="J148" s="3">
        <v>40671</v>
      </c>
      <c r="K148" s="3">
        <v>10862</v>
      </c>
      <c r="L148" s="3">
        <v>153</v>
      </c>
      <c r="M148" s="4">
        <f t="shared" si="17"/>
        <v>0.26706990238745054</v>
      </c>
      <c r="N148" s="4">
        <f t="shared" si="18"/>
        <v>1.4085803719388695E-2</v>
      </c>
      <c r="O148">
        <v>384</v>
      </c>
      <c r="P148" s="5">
        <v>1</v>
      </c>
      <c r="Q148" s="7">
        <v>1</v>
      </c>
      <c r="R148" t="str">
        <f t="shared" si="16"/>
        <v>нормальный код</v>
      </c>
      <c r="S148" t="str">
        <f t="shared" si="19"/>
        <v>Больше половины</v>
      </c>
      <c r="T148" t="str">
        <f t="shared" si="20"/>
        <v>Вторая четверть</v>
      </c>
      <c r="U148" t="str">
        <f t="shared" si="21"/>
        <v>нормальный код</v>
      </c>
      <c r="V148" t="str">
        <f t="shared" si="22"/>
        <v>Больше половины</v>
      </c>
      <c r="W148" t="str">
        <f t="shared" si="23"/>
        <v>Больше половины</v>
      </c>
      <c r="X148">
        <v>14</v>
      </c>
    </row>
    <row r="149" spans="1:24" x14ac:dyDescent="0.35">
      <c r="A149" s="1" t="s">
        <v>1579</v>
      </c>
      <c r="B149" s="2" t="s">
        <v>1580</v>
      </c>
      <c r="C149" s="3" t="s">
        <v>13</v>
      </c>
      <c r="D149" s="2" t="s">
        <v>405</v>
      </c>
      <c r="E149" s="3" t="s">
        <v>1581</v>
      </c>
      <c r="F149" s="2" t="s">
        <v>61</v>
      </c>
      <c r="G149" s="3" t="s">
        <v>35</v>
      </c>
      <c r="H149" s="2" t="s">
        <v>18</v>
      </c>
      <c r="I149" s="3" t="s">
        <v>19</v>
      </c>
      <c r="J149" s="3">
        <v>40532</v>
      </c>
      <c r="K149" s="3">
        <v>5366</v>
      </c>
      <c r="L149" s="3">
        <v>47</v>
      </c>
      <c r="M149" s="4">
        <f t="shared" si="17"/>
        <v>0.13238922332971478</v>
      </c>
      <c r="N149" s="4">
        <f t="shared" si="18"/>
        <v>8.7588520313082365E-3</v>
      </c>
      <c r="O149">
        <v>235</v>
      </c>
      <c r="P149" s="5">
        <v>0.8</v>
      </c>
      <c r="Q149" s="7">
        <v>1</v>
      </c>
      <c r="R149" t="str">
        <f t="shared" si="16"/>
        <v>код для проверки</v>
      </c>
      <c r="S149" t="str">
        <f t="shared" si="19"/>
        <v>Больше половины</v>
      </c>
      <c r="T149" t="str">
        <f t="shared" si="20"/>
        <v>Низшая четверть</v>
      </c>
      <c r="U149" t="str">
        <f t="shared" si="21"/>
        <v>нормальный код</v>
      </c>
      <c r="V149" t="str">
        <f t="shared" si="22"/>
        <v>Больше половины</v>
      </c>
      <c r="W149" t="str">
        <f t="shared" si="23"/>
        <v>Вторая четверть</v>
      </c>
      <c r="X149">
        <v>27</v>
      </c>
    </row>
    <row r="150" spans="1:24" x14ac:dyDescent="0.35">
      <c r="A150" s="1" t="s">
        <v>1345</v>
      </c>
      <c r="B150" s="2" t="s">
        <v>1346</v>
      </c>
      <c r="C150" s="3" t="s">
        <v>13</v>
      </c>
      <c r="D150" s="2" t="s">
        <v>85</v>
      </c>
      <c r="E150" s="3" t="s">
        <v>831</v>
      </c>
      <c r="F150" s="2" t="s">
        <v>34</v>
      </c>
      <c r="G150" s="3" t="s">
        <v>35</v>
      </c>
      <c r="H150" s="2" t="s">
        <v>18</v>
      </c>
      <c r="I150" s="3" t="s">
        <v>19</v>
      </c>
      <c r="J150" s="3">
        <v>40417</v>
      </c>
      <c r="K150" s="3">
        <v>3305</v>
      </c>
      <c r="L150" s="3">
        <v>42</v>
      </c>
      <c r="M150" s="4">
        <f t="shared" si="17"/>
        <v>8.1772521463740505E-2</v>
      </c>
      <c r="N150" s="4">
        <f t="shared" si="18"/>
        <v>1.2708018154311648E-2</v>
      </c>
      <c r="O150">
        <v>260</v>
      </c>
      <c r="P150" s="5">
        <v>0.8</v>
      </c>
      <c r="Q150" s="7">
        <v>1</v>
      </c>
      <c r="R150" t="str">
        <f t="shared" si="16"/>
        <v>нормальный код</v>
      </c>
      <c r="S150" t="str">
        <f t="shared" si="19"/>
        <v>Вторая четверть</v>
      </c>
      <c r="T150" t="str">
        <f t="shared" si="20"/>
        <v>Вторая четверть</v>
      </c>
      <c r="U150" t="str">
        <f t="shared" si="21"/>
        <v>нормальный код</v>
      </c>
      <c r="V150" t="str">
        <f t="shared" si="22"/>
        <v>Вторая четверть</v>
      </c>
      <c r="W150" t="str">
        <f t="shared" si="23"/>
        <v>Вторая четверть</v>
      </c>
      <c r="X150">
        <v>22</v>
      </c>
    </row>
    <row r="151" spans="1:24" x14ac:dyDescent="0.35">
      <c r="A151" s="1" t="s">
        <v>1979</v>
      </c>
      <c r="B151" s="2" t="s">
        <v>1980</v>
      </c>
      <c r="C151" s="3" t="s">
        <v>13</v>
      </c>
      <c r="D151" s="2" t="s">
        <v>14</v>
      </c>
      <c r="E151" s="3" t="s">
        <v>366</v>
      </c>
      <c r="F151" s="2" t="s">
        <v>123</v>
      </c>
      <c r="G151" s="3" t="s">
        <v>17</v>
      </c>
      <c r="H151" s="2" t="s">
        <v>18</v>
      </c>
      <c r="I151" s="3" t="s">
        <v>19</v>
      </c>
      <c r="J151" s="3">
        <v>40173</v>
      </c>
      <c r="K151" s="3">
        <v>2634</v>
      </c>
      <c r="L151" s="3">
        <v>56</v>
      </c>
      <c r="M151" s="4">
        <f t="shared" si="17"/>
        <v>6.5566425210962592E-2</v>
      </c>
      <c r="N151" s="4">
        <f t="shared" si="18"/>
        <v>2.1260440394836749E-2</v>
      </c>
      <c r="O151">
        <v>613</v>
      </c>
      <c r="P151" s="5">
        <v>1</v>
      </c>
      <c r="Q151" s="7">
        <v>1</v>
      </c>
      <c r="R151" t="str">
        <f t="shared" si="16"/>
        <v>нормальный код</v>
      </c>
      <c r="S151" t="str">
        <f t="shared" si="19"/>
        <v>Вторая четверть</v>
      </c>
      <c r="T151" t="str">
        <f t="shared" si="20"/>
        <v>Больше половины</v>
      </c>
      <c r="U151" t="str">
        <f t="shared" si="21"/>
        <v>нормальный код</v>
      </c>
      <c r="V151" t="str">
        <f t="shared" si="22"/>
        <v>Вторая четверть</v>
      </c>
      <c r="W151" t="str">
        <f t="shared" si="23"/>
        <v>Больше половины</v>
      </c>
      <c r="X151">
        <v>21</v>
      </c>
    </row>
    <row r="152" spans="1:24" x14ac:dyDescent="0.35">
      <c r="A152" s="1" t="s">
        <v>1333</v>
      </c>
      <c r="B152" s="2" t="s">
        <v>1334</v>
      </c>
      <c r="C152" s="3" t="s">
        <v>55</v>
      </c>
      <c r="D152" s="2" t="s">
        <v>94</v>
      </c>
      <c r="E152" s="3" t="s">
        <v>95</v>
      </c>
      <c r="F152" s="2" t="s">
        <v>96</v>
      </c>
      <c r="G152" s="3" t="s">
        <v>17</v>
      </c>
      <c r="H152" s="2" t="s">
        <v>97</v>
      </c>
      <c r="I152" s="3" t="s">
        <v>19</v>
      </c>
      <c r="J152" s="3">
        <v>40109</v>
      </c>
      <c r="K152" s="3">
        <v>5696</v>
      </c>
      <c r="L152" s="3">
        <v>106</v>
      </c>
      <c r="M152" s="4">
        <f t="shared" si="17"/>
        <v>0.14201301453539106</v>
      </c>
      <c r="N152" s="4">
        <f t="shared" si="18"/>
        <v>1.8609550561797753E-2</v>
      </c>
      <c r="O152">
        <v>3722</v>
      </c>
      <c r="P152" s="5">
        <v>0.66666666666666663</v>
      </c>
      <c r="Q152" s="7">
        <v>1</v>
      </c>
      <c r="R152" t="str">
        <f t="shared" si="16"/>
        <v>нормальный код</v>
      </c>
      <c r="S152" t="str">
        <f t="shared" si="19"/>
        <v>Больше половины</v>
      </c>
      <c r="T152" t="str">
        <f t="shared" si="20"/>
        <v>Вторая четверть</v>
      </c>
      <c r="U152" t="str">
        <f t="shared" si="21"/>
        <v>нормальный код</v>
      </c>
      <c r="V152" t="str">
        <f t="shared" si="22"/>
        <v>Больше половины</v>
      </c>
      <c r="W152" t="str">
        <f t="shared" si="23"/>
        <v>Больше половины</v>
      </c>
      <c r="X152">
        <v>20</v>
      </c>
    </row>
    <row r="153" spans="1:24" x14ac:dyDescent="0.35">
      <c r="A153" s="1" t="s">
        <v>644</v>
      </c>
      <c r="B153" s="2" t="s">
        <v>645</v>
      </c>
      <c r="C153" s="3" t="s">
        <v>55</v>
      </c>
      <c r="D153" s="2" t="s">
        <v>295</v>
      </c>
      <c r="E153" s="3" t="s">
        <v>296</v>
      </c>
      <c r="F153" s="2" t="s">
        <v>61</v>
      </c>
      <c r="G153" s="3" t="s">
        <v>17</v>
      </c>
      <c r="H153" s="2" t="s">
        <v>97</v>
      </c>
      <c r="I153" s="3" t="s">
        <v>19</v>
      </c>
      <c r="J153" s="3">
        <v>39846</v>
      </c>
      <c r="K153" s="3">
        <v>13915</v>
      </c>
      <c r="L153" s="3">
        <v>195</v>
      </c>
      <c r="M153" s="4">
        <f t="shared" si="17"/>
        <v>0.34921949505596545</v>
      </c>
      <c r="N153" s="4">
        <f t="shared" si="18"/>
        <v>1.4013654329859864E-2</v>
      </c>
      <c r="O153">
        <v>631</v>
      </c>
      <c r="P153" s="5">
        <v>1</v>
      </c>
      <c r="Q153" s="7">
        <v>1</v>
      </c>
      <c r="R153" t="str">
        <f t="shared" si="16"/>
        <v>нормальный код</v>
      </c>
      <c r="S153" t="str">
        <f t="shared" si="19"/>
        <v>Больше половины</v>
      </c>
      <c r="T153" t="str">
        <f t="shared" si="20"/>
        <v>Вторая четверть</v>
      </c>
      <c r="U153" t="str">
        <f t="shared" si="21"/>
        <v>нормальный код</v>
      </c>
      <c r="V153" t="str">
        <f t="shared" si="22"/>
        <v>Больше половины</v>
      </c>
      <c r="W153" t="str">
        <f t="shared" si="23"/>
        <v>Больше половины</v>
      </c>
      <c r="X153">
        <v>12</v>
      </c>
    </row>
    <row r="154" spans="1:24" x14ac:dyDescent="0.35">
      <c r="A154" s="1" t="s">
        <v>299</v>
      </c>
      <c r="B154" s="2" t="s">
        <v>300</v>
      </c>
      <c r="C154" s="3" t="s">
        <v>13</v>
      </c>
      <c r="D154" s="2" t="s">
        <v>38</v>
      </c>
      <c r="E154" s="3" t="s">
        <v>39</v>
      </c>
      <c r="F154" s="2" t="s">
        <v>34</v>
      </c>
      <c r="G154" s="3" t="s">
        <v>17</v>
      </c>
      <c r="H154" s="2" t="s">
        <v>18</v>
      </c>
      <c r="I154" s="3" t="s">
        <v>19</v>
      </c>
      <c r="J154" s="3">
        <v>39812</v>
      </c>
      <c r="K154" s="3">
        <v>3583</v>
      </c>
      <c r="L154" s="3">
        <v>105</v>
      </c>
      <c r="M154" s="4">
        <f t="shared" si="17"/>
        <v>8.9997990555611376E-2</v>
      </c>
      <c r="N154" s="4">
        <f t="shared" si="18"/>
        <v>2.9305051632710018E-2</v>
      </c>
      <c r="O154">
        <v>1394</v>
      </c>
      <c r="P154" s="5">
        <v>1</v>
      </c>
      <c r="Q154" s="7">
        <v>1</v>
      </c>
      <c r="R154" t="str">
        <f t="shared" si="16"/>
        <v>нормальный код</v>
      </c>
      <c r="S154" t="str">
        <f t="shared" si="19"/>
        <v>Вторая четверть</v>
      </c>
      <c r="T154" t="str">
        <f t="shared" si="20"/>
        <v>Больше половины</v>
      </c>
      <c r="U154" t="str">
        <f t="shared" si="21"/>
        <v>нормальный код</v>
      </c>
      <c r="V154" t="str">
        <f t="shared" si="22"/>
        <v>Больше половины</v>
      </c>
      <c r="W154" t="str">
        <f t="shared" si="23"/>
        <v>Вторая четверть</v>
      </c>
      <c r="X154">
        <v>16</v>
      </c>
    </row>
    <row r="155" spans="1:24" x14ac:dyDescent="0.35">
      <c r="A155" s="1" t="s">
        <v>513</v>
      </c>
      <c r="B155" s="2" t="s">
        <v>514</v>
      </c>
      <c r="C155" s="3" t="s">
        <v>13</v>
      </c>
      <c r="D155" s="2" t="s">
        <v>38</v>
      </c>
      <c r="E155" s="3" t="s">
        <v>39</v>
      </c>
      <c r="F155" s="2" t="s">
        <v>34</v>
      </c>
      <c r="G155" s="3" t="s">
        <v>35</v>
      </c>
      <c r="H155" s="2" t="s">
        <v>18</v>
      </c>
      <c r="I155" s="3" t="s">
        <v>19</v>
      </c>
      <c r="J155" s="3">
        <v>39800</v>
      </c>
      <c r="K155" s="3">
        <v>2286</v>
      </c>
      <c r="L155" s="3">
        <v>69</v>
      </c>
      <c r="M155" s="4">
        <f t="shared" si="17"/>
        <v>5.7437185929648242E-2</v>
      </c>
      <c r="N155" s="4">
        <f t="shared" si="18"/>
        <v>3.0183727034120734E-2</v>
      </c>
      <c r="O155">
        <v>512</v>
      </c>
      <c r="P155" s="5">
        <v>1</v>
      </c>
      <c r="Q155" s="7">
        <v>1</v>
      </c>
      <c r="R155" t="str">
        <f t="shared" si="16"/>
        <v>нормальный код</v>
      </c>
      <c r="S155" t="str">
        <f t="shared" si="19"/>
        <v>Вторая четверть</v>
      </c>
      <c r="T155" t="str">
        <f t="shared" si="20"/>
        <v>Больше половины</v>
      </c>
      <c r="U155" t="str">
        <f t="shared" si="21"/>
        <v>нормальный код</v>
      </c>
      <c r="V155" t="str">
        <f t="shared" si="22"/>
        <v>Вторая четверть</v>
      </c>
      <c r="W155" t="str">
        <f t="shared" si="23"/>
        <v>Вторая четверть</v>
      </c>
      <c r="X155">
        <v>18</v>
      </c>
    </row>
    <row r="156" spans="1:24" x14ac:dyDescent="0.35">
      <c r="A156" s="1" t="s">
        <v>481</v>
      </c>
      <c r="B156" s="2" t="s">
        <v>482</v>
      </c>
      <c r="C156" s="3" t="s">
        <v>13</v>
      </c>
      <c r="D156" s="2" t="s">
        <v>38</v>
      </c>
      <c r="E156" s="3" t="s">
        <v>39</v>
      </c>
      <c r="F156" s="2" t="s">
        <v>34</v>
      </c>
      <c r="G156" s="3" t="s">
        <v>17</v>
      </c>
      <c r="H156" s="2" t="s">
        <v>18</v>
      </c>
      <c r="I156" s="3" t="s">
        <v>19</v>
      </c>
      <c r="J156" s="3">
        <v>39037</v>
      </c>
      <c r="K156" s="3">
        <v>4141</v>
      </c>
      <c r="L156" s="3">
        <v>75</v>
      </c>
      <c r="M156" s="4">
        <f t="shared" si="17"/>
        <v>0.10607884827215205</v>
      </c>
      <c r="N156" s="4">
        <f t="shared" si="18"/>
        <v>1.8111567254286403E-2</v>
      </c>
      <c r="O156">
        <v>1105</v>
      </c>
      <c r="P156" s="5">
        <v>1</v>
      </c>
      <c r="Q156" s="7">
        <v>1</v>
      </c>
      <c r="R156" t="str">
        <f t="shared" si="16"/>
        <v>нормальный код</v>
      </c>
      <c r="S156" t="str">
        <f t="shared" si="19"/>
        <v>Больше половины</v>
      </c>
      <c r="T156" t="str">
        <f t="shared" si="20"/>
        <v>Вторая четверть</v>
      </c>
      <c r="U156" t="str">
        <f t="shared" si="21"/>
        <v>нормальный код</v>
      </c>
      <c r="V156" t="str">
        <f t="shared" si="22"/>
        <v>Больше половины</v>
      </c>
      <c r="W156" t="str">
        <f t="shared" si="23"/>
        <v>Вторая четверть</v>
      </c>
      <c r="X156">
        <v>28</v>
      </c>
    </row>
    <row r="157" spans="1:24" x14ac:dyDescent="0.35">
      <c r="A157" s="1" t="s">
        <v>1284</v>
      </c>
      <c r="B157" s="2" t="s">
        <v>1285</v>
      </c>
      <c r="C157" s="3" t="s">
        <v>55</v>
      </c>
      <c r="D157" s="2" t="s">
        <v>56</v>
      </c>
      <c r="E157" s="3" t="s">
        <v>770</v>
      </c>
      <c r="F157" s="2" t="s">
        <v>34</v>
      </c>
      <c r="G157" s="3" t="s">
        <v>17</v>
      </c>
      <c r="H157" s="2" t="s">
        <v>18</v>
      </c>
      <c r="I157" s="3" t="s">
        <v>19</v>
      </c>
      <c r="J157" s="3">
        <v>39008</v>
      </c>
      <c r="K157" s="3">
        <v>1352</v>
      </c>
      <c r="L157" s="3">
        <v>31</v>
      </c>
      <c r="M157" s="4">
        <f t="shared" si="17"/>
        <v>3.4659557013945859E-2</v>
      </c>
      <c r="N157" s="4">
        <f t="shared" si="18"/>
        <v>2.2928994082840236E-2</v>
      </c>
      <c r="O157">
        <v>784</v>
      </c>
      <c r="P157" s="5">
        <v>1</v>
      </c>
      <c r="Q157" s="7">
        <v>1</v>
      </c>
      <c r="R157" t="str">
        <f t="shared" si="16"/>
        <v>код для проверки</v>
      </c>
      <c r="S157" t="str">
        <f t="shared" si="19"/>
        <v>Низшая четверть</v>
      </c>
      <c r="T157" t="str">
        <f t="shared" si="20"/>
        <v>Больше половины</v>
      </c>
      <c r="U157" t="str">
        <f t="shared" si="21"/>
        <v>нормальный код</v>
      </c>
      <c r="V157" t="str">
        <f t="shared" si="22"/>
        <v>Вторая четверть</v>
      </c>
      <c r="W157" t="str">
        <f t="shared" si="23"/>
        <v>Вторая четверть</v>
      </c>
      <c r="X157">
        <v>23</v>
      </c>
    </row>
    <row r="158" spans="1:24" x14ac:dyDescent="0.35">
      <c r="A158" s="1" t="s">
        <v>338</v>
      </c>
      <c r="B158" s="2" t="s">
        <v>339</v>
      </c>
      <c r="C158" s="3" t="s">
        <v>55</v>
      </c>
      <c r="D158" s="2" t="s">
        <v>340</v>
      </c>
      <c r="E158" s="3" t="s">
        <v>341</v>
      </c>
      <c r="F158" s="2" t="s">
        <v>96</v>
      </c>
      <c r="G158" s="3" t="s">
        <v>17</v>
      </c>
      <c r="H158" s="2" t="s">
        <v>97</v>
      </c>
      <c r="I158" s="3" t="s">
        <v>19</v>
      </c>
      <c r="J158" s="3">
        <v>38858</v>
      </c>
      <c r="K158" s="3">
        <v>3360</v>
      </c>
      <c r="L158" s="3">
        <v>72</v>
      </c>
      <c r="M158" s="4">
        <f t="shared" si="17"/>
        <v>8.6468680837922696E-2</v>
      </c>
      <c r="N158" s="4">
        <f t="shared" si="18"/>
        <v>2.1428571428571429E-2</v>
      </c>
      <c r="O158">
        <v>1080</v>
      </c>
      <c r="P158" s="5">
        <v>1</v>
      </c>
      <c r="Q158" s="7">
        <v>1</v>
      </c>
      <c r="R158" t="str">
        <f t="shared" si="16"/>
        <v>нормальный код</v>
      </c>
      <c r="S158" t="str">
        <f t="shared" si="19"/>
        <v>Вторая четверть</v>
      </c>
      <c r="T158" t="str">
        <f t="shared" si="20"/>
        <v>Больше половины</v>
      </c>
      <c r="U158" t="str">
        <f t="shared" si="21"/>
        <v>нормальный код</v>
      </c>
      <c r="V158" t="str">
        <f t="shared" si="22"/>
        <v>Вторая четверть</v>
      </c>
      <c r="W158" t="str">
        <f t="shared" si="23"/>
        <v>Больше половины</v>
      </c>
      <c r="X158">
        <v>14</v>
      </c>
    </row>
    <row r="159" spans="1:24" x14ac:dyDescent="0.35">
      <c r="A159" s="1" t="s">
        <v>1194</v>
      </c>
      <c r="B159" s="2" t="s">
        <v>1195</v>
      </c>
      <c r="C159" s="3" t="s">
        <v>13</v>
      </c>
      <c r="D159" s="2" t="s">
        <v>85</v>
      </c>
      <c r="E159" s="3" t="s">
        <v>599</v>
      </c>
      <c r="F159" s="2" t="s">
        <v>34</v>
      </c>
      <c r="G159" s="3" t="s">
        <v>35</v>
      </c>
      <c r="H159" s="2" t="s">
        <v>18</v>
      </c>
      <c r="I159" s="3" t="s">
        <v>19</v>
      </c>
      <c r="J159" s="3">
        <v>38643</v>
      </c>
      <c r="K159" s="3">
        <v>1737</v>
      </c>
      <c r="L159" s="3">
        <v>31</v>
      </c>
      <c r="M159" s="4">
        <f t="shared" si="17"/>
        <v>4.4949926247962117E-2</v>
      </c>
      <c r="N159" s="4">
        <f t="shared" si="18"/>
        <v>1.7846862406447898E-2</v>
      </c>
      <c r="O159">
        <v>576</v>
      </c>
      <c r="P159" s="5">
        <v>1</v>
      </c>
      <c r="Q159" s="7">
        <v>1</v>
      </c>
      <c r="R159" t="str">
        <f t="shared" si="16"/>
        <v>код для проверки</v>
      </c>
      <c r="S159" t="str">
        <f t="shared" si="19"/>
        <v>Низшая четверть</v>
      </c>
      <c r="T159" t="str">
        <f t="shared" si="20"/>
        <v>Вторая четверть</v>
      </c>
      <c r="U159" t="str">
        <f t="shared" si="21"/>
        <v>нормальный код</v>
      </c>
      <c r="V159" t="str">
        <f t="shared" si="22"/>
        <v>Вторая четверть</v>
      </c>
      <c r="W159" t="str">
        <f t="shared" si="23"/>
        <v>Вторая четверть</v>
      </c>
      <c r="X159">
        <v>20</v>
      </c>
    </row>
    <row r="160" spans="1:24" x14ac:dyDescent="0.35">
      <c r="A160" s="1" t="s">
        <v>1424</v>
      </c>
      <c r="B160" s="2" t="s">
        <v>1425</v>
      </c>
      <c r="C160" s="3" t="s">
        <v>55</v>
      </c>
      <c r="D160" s="2" t="s">
        <v>295</v>
      </c>
      <c r="E160" s="3" t="s">
        <v>1373</v>
      </c>
      <c r="F160" s="2" t="s">
        <v>71</v>
      </c>
      <c r="G160" s="3" t="s">
        <v>17</v>
      </c>
      <c r="H160" s="2" t="s">
        <v>97</v>
      </c>
      <c r="I160" s="3" t="s">
        <v>19</v>
      </c>
      <c r="J160" s="3">
        <v>38576</v>
      </c>
      <c r="K160" s="3">
        <v>1871</v>
      </c>
      <c r="L160" s="3">
        <v>35</v>
      </c>
      <c r="M160" s="4">
        <f t="shared" si="17"/>
        <v>4.8501659062629612E-2</v>
      </c>
      <c r="N160" s="4">
        <f t="shared" si="18"/>
        <v>1.8706574024585781E-2</v>
      </c>
      <c r="O160">
        <v>376</v>
      </c>
      <c r="P160" s="5">
        <v>1</v>
      </c>
      <c r="Q160" s="7">
        <v>1</v>
      </c>
      <c r="R160" t="str">
        <f t="shared" si="16"/>
        <v>нормальный код</v>
      </c>
      <c r="S160" t="str">
        <f t="shared" si="19"/>
        <v>Вторая четверть</v>
      </c>
      <c r="T160" t="str">
        <f t="shared" si="20"/>
        <v>Вторая четверть</v>
      </c>
      <c r="U160" t="str">
        <f t="shared" si="21"/>
        <v>нормальный код</v>
      </c>
      <c r="V160" t="str">
        <f t="shared" si="22"/>
        <v>Вторая четверть</v>
      </c>
      <c r="W160" t="str">
        <f t="shared" si="23"/>
        <v>Больше половины</v>
      </c>
      <c r="X160">
        <v>12</v>
      </c>
    </row>
    <row r="161" spans="1:24" x14ac:dyDescent="0.35">
      <c r="A161" s="1" t="s">
        <v>1131</v>
      </c>
      <c r="B161" s="2" t="s">
        <v>1132</v>
      </c>
      <c r="C161" s="3" t="s">
        <v>13</v>
      </c>
      <c r="D161" s="2" t="s">
        <v>155</v>
      </c>
      <c r="E161" s="3" t="s">
        <v>156</v>
      </c>
      <c r="F161" s="2" t="s">
        <v>34</v>
      </c>
      <c r="G161" s="3" t="s">
        <v>17</v>
      </c>
      <c r="H161" s="2" t="s">
        <v>18</v>
      </c>
      <c r="I161" s="3" t="s">
        <v>19</v>
      </c>
      <c r="J161" s="3">
        <v>38288</v>
      </c>
      <c r="K161" s="3">
        <v>2857</v>
      </c>
      <c r="L161" s="3">
        <v>52</v>
      </c>
      <c r="M161" s="4">
        <f t="shared" si="17"/>
        <v>7.4618679481821978E-2</v>
      </c>
      <c r="N161" s="4">
        <f t="shared" si="18"/>
        <v>1.8200910045502276E-2</v>
      </c>
      <c r="O161">
        <v>719</v>
      </c>
      <c r="P161" s="5">
        <v>1</v>
      </c>
      <c r="Q161" s="7">
        <v>1</v>
      </c>
      <c r="R161" t="str">
        <f t="shared" si="16"/>
        <v>нормальный код</v>
      </c>
      <c r="S161" t="str">
        <f t="shared" si="19"/>
        <v>Вторая четверть</v>
      </c>
      <c r="T161" t="str">
        <f t="shared" si="20"/>
        <v>Вторая четверть</v>
      </c>
      <c r="U161" t="str">
        <f t="shared" si="21"/>
        <v>нормальный код</v>
      </c>
      <c r="V161" t="str">
        <f t="shared" si="22"/>
        <v>Вторая четверть</v>
      </c>
      <c r="W161" t="str">
        <f t="shared" si="23"/>
        <v>Вторая четверть</v>
      </c>
      <c r="X161">
        <v>17</v>
      </c>
    </row>
    <row r="162" spans="1:24" x14ac:dyDescent="0.35">
      <c r="A162" s="1" t="s">
        <v>1830</v>
      </c>
      <c r="B162" s="2" t="s">
        <v>1831</v>
      </c>
      <c r="C162" s="3" t="s">
        <v>55</v>
      </c>
      <c r="D162" s="2" t="s">
        <v>340</v>
      </c>
      <c r="E162" s="3" t="s">
        <v>341</v>
      </c>
      <c r="F162" s="2" t="s">
        <v>96</v>
      </c>
      <c r="G162" s="3" t="s">
        <v>17</v>
      </c>
      <c r="H162" s="2" t="s">
        <v>97</v>
      </c>
      <c r="I162" s="3" t="s">
        <v>19</v>
      </c>
      <c r="J162" s="3">
        <v>38102</v>
      </c>
      <c r="K162" s="3">
        <v>2332</v>
      </c>
      <c r="L162" s="3">
        <v>46</v>
      </c>
      <c r="M162" s="4">
        <f t="shared" si="17"/>
        <v>6.1204136265812815E-2</v>
      </c>
      <c r="N162" s="4">
        <f t="shared" si="18"/>
        <v>1.9725557461406518E-2</v>
      </c>
      <c r="O162">
        <v>582</v>
      </c>
      <c r="P162" s="5">
        <v>1</v>
      </c>
      <c r="Q162" s="7">
        <v>1</v>
      </c>
      <c r="R162" t="str">
        <f t="shared" si="16"/>
        <v>нормальный код</v>
      </c>
      <c r="S162" t="str">
        <f t="shared" si="19"/>
        <v>Вторая четверть</v>
      </c>
      <c r="T162" t="str">
        <f t="shared" si="20"/>
        <v>Вторая четверть</v>
      </c>
      <c r="U162" t="str">
        <f t="shared" si="21"/>
        <v>нормальный код</v>
      </c>
      <c r="V162" t="str">
        <f t="shared" si="22"/>
        <v>Вторая четверть</v>
      </c>
      <c r="W162" t="str">
        <f t="shared" si="23"/>
        <v>Больше половины</v>
      </c>
      <c r="X162">
        <v>17</v>
      </c>
    </row>
    <row r="163" spans="1:24" x14ac:dyDescent="0.35">
      <c r="A163" s="1" t="s">
        <v>2006</v>
      </c>
      <c r="B163" s="2" t="s">
        <v>2007</v>
      </c>
      <c r="C163" s="3" t="s">
        <v>13</v>
      </c>
      <c r="D163" s="2" t="s">
        <v>69</v>
      </c>
      <c r="E163" s="3" t="s">
        <v>204</v>
      </c>
      <c r="F163" s="2" t="s">
        <v>34</v>
      </c>
      <c r="G163" s="3" t="s">
        <v>72</v>
      </c>
      <c r="H163" s="2" t="s">
        <v>18</v>
      </c>
      <c r="I163" s="3" t="s">
        <v>19</v>
      </c>
      <c r="J163" s="3">
        <v>37977</v>
      </c>
      <c r="K163" s="3">
        <v>3875</v>
      </c>
      <c r="L163" s="3">
        <v>49</v>
      </c>
      <c r="M163" s="4">
        <f t="shared" si="17"/>
        <v>0.10203544250467388</v>
      </c>
      <c r="N163" s="4">
        <f t="shared" si="18"/>
        <v>1.264516129032258E-2</v>
      </c>
      <c r="O163">
        <v>557</v>
      </c>
      <c r="P163" s="5">
        <v>1</v>
      </c>
      <c r="Q163" s="7">
        <v>1</v>
      </c>
      <c r="R163" t="str">
        <f t="shared" si="16"/>
        <v>нормальный код</v>
      </c>
      <c r="S163" t="str">
        <f t="shared" si="19"/>
        <v>Больше половины</v>
      </c>
      <c r="T163" t="str">
        <f t="shared" si="20"/>
        <v>Вторая четверть</v>
      </c>
      <c r="U163" t="str">
        <f t="shared" si="21"/>
        <v>нормальный код</v>
      </c>
      <c r="V163" t="str">
        <f t="shared" si="22"/>
        <v>Больше половины</v>
      </c>
      <c r="W163" t="str">
        <f t="shared" si="23"/>
        <v>Вторая четверть</v>
      </c>
      <c r="X163">
        <v>25</v>
      </c>
    </row>
    <row r="164" spans="1:24" x14ac:dyDescent="0.35">
      <c r="A164" s="1" t="s">
        <v>896</v>
      </c>
      <c r="B164" s="2" t="s">
        <v>897</v>
      </c>
      <c r="C164" s="3" t="s">
        <v>13</v>
      </c>
      <c r="D164" s="2" t="s">
        <v>412</v>
      </c>
      <c r="E164" s="3" t="s">
        <v>413</v>
      </c>
      <c r="F164" s="2" t="s">
        <v>61</v>
      </c>
      <c r="G164" s="3" t="s">
        <v>17</v>
      </c>
      <c r="H164" s="2" t="s">
        <v>97</v>
      </c>
      <c r="I164" s="3" t="s">
        <v>19</v>
      </c>
      <c r="J164" s="3">
        <v>37679</v>
      </c>
      <c r="K164" s="3">
        <v>2300</v>
      </c>
      <c r="L164" s="3">
        <v>56</v>
      </c>
      <c r="M164" s="4">
        <f t="shared" si="17"/>
        <v>6.1041959712306589E-2</v>
      </c>
      <c r="N164" s="4">
        <f t="shared" si="18"/>
        <v>2.4347826086956521E-2</v>
      </c>
      <c r="O164">
        <v>466</v>
      </c>
      <c r="P164" s="5">
        <v>1</v>
      </c>
      <c r="Q164" s="7">
        <v>1</v>
      </c>
      <c r="R164" t="str">
        <f t="shared" si="16"/>
        <v>нормальный код</v>
      </c>
      <c r="S164" t="str">
        <f t="shared" si="19"/>
        <v>Вторая четверть</v>
      </c>
      <c r="T164" t="str">
        <f t="shared" si="20"/>
        <v>Больше половины</v>
      </c>
      <c r="U164" t="str">
        <f t="shared" si="21"/>
        <v>нормальный код</v>
      </c>
      <c r="V164" t="str">
        <f t="shared" si="22"/>
        <v>Вторая четверть</v>
      </c>
      <c r="W164" t="str">
        <f t="shared" si="23"/>
        <v>Больше половины</v>
      </c>
      <c r="X164">
        <v>8</v>
      </c>
    </row>
    <row r="165" spans="1:24" x14ac:dyDescent="0.35">
      <c r="A165" s="1" t="s">
        <v>113</v>
      </c>
      <c r="B165" s="2" t="s">
        <v>114</v>
      </c>
      <c r="C165" s="3" t="s">
        <v>13</v>
      </c>
      <c r="D165" s="2" t="s">
        <v>38</v>
      </c>
      <c r="E165" s="3" t="s">
        <v>39</v>
      </c>
      <c r="F165" s="2" t="s">
        <v>34</v>
      </c>
      <c r="G165" s="3" t="s">
        <v>17</v>
      </c>
      <c r="H165" s="2" t="s">
        <v>18</v>
      </c>
      <c r="I165" s="3" t="s">
        <v>19</v>
      </c>
      <c r="J165" s="3">
        <v>37630</v>
      </c>
      <c r="K165" s="3">
        <v>2516</v>
      </c>
      <c r="L165" s="3">
        <v>59</v>
      </c>
      <c r="M165" s="4">
        <f t="shared" si="17"/>
        <v>6.6861546638320488E-2</v>
      </c>
      <c r="N165" s="4">
        <f t="shared" si="18"/>
        <v>2.3449920508744039E-2</v>
      </c>
      <c r="O165">
        <v>415</v>
      </c>
      <c r="P165" s="5">
        <v>1</v>
      </c>
      <c r="Q165" s="7">
        <v>1</v>
      </c>
      <c r="R165" t="str">
        <f t="shared" si="16"/>
        <v>нормальный код</v>
      </c>
      <c r="S165" t="str">
        <f t="shared" si="19"/>
        <v>Вторая четверть</v>
      </c>
      <c r="T165" t="str">
        <f t="shared" si="20"/>
        <v>Больше половины</v>
      </c>
      <c r="U165" t="str">
        <f t="shared" si="21"/>
        <v>нормальный код</v>
      </c>
      <c r="V165" t="str">
        <f t="shared" si="22"/>
        <v>Вторая четверть</v>
      </c>
      <c r="W165" t="str">
        <f t="shared" si="23"/>
        <v>Вторая четверть</v>
      </c>
      <c r="X165">
        <v>21</v>
      </c>
    </row>
    <row r="166" spans="1:24" x14ac:dyDescent="0.35">
      <c r="A166" s="1" t="s">
        <v>53</v>
      </c>
      <c r="B166" s="2" t="s">
        <v>54</v>
      </c>
      <c r="C166" s="3" t="s">
        <v>55</v>
      </c>
      <c r="D166" s="2" t="s">
        <v>56</v>
      </c>
      <c r="E166" s="3" t="s">
        <v>57</v>
      </c>
      <c r="F166" s="2" t="s">
        <v>34</v>
      </c>
      <c r="G166" s="3" t="s">
        <v>17</v>
      </c>
      <c r="H166" s="2" t="s">
        <v>18</v>
      </c>
      <c r="I166" s="3" t="s">
        <v>19</v>
      </c>
      <c r="J166" s="3">
        <v>37493</v>
      </c>
      <c r="K166" s="3">
        <v>1510</v>
      </c>
      <c r="L166" s="3">
        <v>12</v>
      </c>
      <c r="M166" s="4">
        <f t="shared" si="17"/>
        <v>4.0274184514442694E-2</v>
      </c>
      <c r="N166" s="4">
        <f t="shared" si="18"/>
        <v>7.9470198675496689E-3</v>
      </c>
      <c r="O166">
        <v>120</v>
      </c>
      <c r="P166" s="5">
        <v>0.8</v>
      </c>
      <c r="Q166" s="7">
        <v>1</v>
      </c>
      <c r="R166" t="str">
        <f t="shared" si="16"/>
        <v>код для проверки</v>
      </c>
      <c r="S166" t="str">
        <f t="shared" si="19"/>
        <v>Низшая четверть</v>
      </c>
      <c r="T166" t="str">
        <f t="shared" si="20"/>
        <v>Низшая четверть</v>
      </c>
      <c r="U166" t="str">
        <f t="shared" si="21"/>
        <v>нормальный код</v>
      </c>
      <c r="V166" t="str">
        <f t="shared" si="22"/>
        <v>Вторая четверть</v>
      </c>
      <c r="W166" t="str">
        <f t="shared" si="23"/>
        <v>Вторая четверть</v>
      </c>
      <c r="X166">
        <v>8</v>
      </c>
    </row>
    <row r="167" spans="1:24" x14ac:dyDescent="0.35">
      <c r="A167" s="1" t="s">
        <v>160</v>
      </c>
      <c r="B167" s="2" t="s">
        <v>161</v>
      </c>
      <c r="C167" s="3" t="s">
        <v>13</v>
      </c>
      <c r="D167" s="2" t="s">
        <v>38</v>
      </c>
      <c r="E167" s="3" t="s">
        <v>39</v>
      </c>
      <c r="F167" s="2" t="s">
        <v>34</v>
      </c>
      <c r="G167" s="3" t="s">
        <v>35</v>
      </c>
      <c r="H167" s="2" t="s">
        <v>18</v>
      </c>
      <c r="I167" s="3" t="s">
        <v>19</v>
      </c>
      <c r="J167" s="3">
        <v>37467</v>
      </c>
      <c r="K167" s="3">
        <v>5070</v>
      </c>
      <c r="L167" s="3">
        <v>42</v>
      </c>
      <c r="M167" s="4">
        <f t="shared" si="17"/>
        <v>0.13531908079109617</v>
      </c>
      <c r="N167" s="4">
        <f t="shared" si="18"/>
        <v>8.2840236686390536E-3</v>
      </c>
      <c r="O167">
        <v>858</v>
      </c>
      <c r="P167" s="5">
        <v>1</v>
      </c>
      <c r="Q167" s="7">
        <v>1</v>
      </c>
      <c r="R167" t="str">
        <f t="shared" si="16"/>
        <v>код для проверки</v>
      </c>
      <c r="S167" t="str">
        <f t="shared" si="19"/>
        <v>Больше половины</v>
      </c>
      <c r="T167" t="str">
        <f t="shared" si="20"/>
        <v>Низшая четверть</v>
      </c>
      <c r="U167" t="str">
        <f t="shared" si="21"/>
        <v>код для проверки</v>
      </c>
      <c r="V167" t="str">
        <f t="shared" si="22"/>
        <v>Больше половины</v>
      </c>
      <c r="W167" t="str">
        <f t="shared" si="23"/>
        <v>Низшая четверть</v>
      </c>
      <c r="X167">
        <v>20</v>
      </c>
    </row>
    <row r="168" spans="1:24" x14ac:dyDescent="0.35">
      <c r="A168" s="1" t="s">
        <v>692</v>
      </c>
      <c r="B168" s="2" t="s">
        <v>693</v>
      </c>
      <c r="C168" s="3" t="s">
        <v>55</v>
      </c>
      <c r="D168" s="2" t="s">
        <v>56</v>
      </c>
      <c r="E168" s="3" t="s">
        <v>57</v>
      </c>
      <c r="F168" s="2" t="s">
        <v>34</v>
      </c>
      <c r="G168" s="3" t="s">
        <v>17</v>
      </c>
      <c r="H168" s="2" t="s">
        <v>18</v>
      </c>
      <c r="I168" s="3" t="s">
        <v>19</v>
      </c>
      <c r="J168" s="3">
        <v>37334</v>
      </c>
      <c r="K168" s="3">
        <v>3241</v>
      </c>
      <c r="L168" s="3">
        <v>64</v>
      </c>
      <c r="M168" s="4">
        <f t="shared" si="17"/>
        <v>8.6810949804467782E-2</v>
      </c>
      <c r="N168" s="4">
        <f t="shared" si="18"/>
        <v>1.9746991669237889E-2</v>
      </c>
      <c r="O168">
        <v>452</v>
      </c>
      <c r="P168" s="5">
        <v>1</v>
      </c>
      <c r="Q168" s="7">
        <v>1</v>
      </c>
      <c r="R168" t="str">
        <f t="shared" si="16"/>
        <v>нормальный код</v>
      </c>
      <c r="S168" t="str">
        <f t="shared" si="19"/>
        <v>Вторая четверть</v>
      </c>
      <c r="T168" t="str">
        <f t="shared" si="20"/>
        <v>Вторая четверть</v>
      </c>
      <c r="U168" t="str">
        <f t="shared" si="21"/>
        <v>нормальный код</v>
      </c>
      <c r="V168" t="str">
        <f t="shared" si="22"/>
        <v>Больше половины</v>
      </c>
      <c r="W168" t="str">
        <f t="shared" si="23"/>
        <v>Больше половины</v>
      </c>
      <c r="X168">
        <v>17</v>
      </c>
    </row>
    <row r="169" spans="1:24" x14ac:dyDescent="0.35">
      <c r="A169" s="1" t="s">
        <v>134</v>
      </c>
      <c r="B169" s="2" t="s">
        <v>135</v>
      </c>
      <c r="C169" s="3" t="s">
        <v>13</v>
      </c>
      <c r="D169" s="2" t="s">
        <v>32</v>
      </c>
      <c r="E169" s="3" t="s">
        <v>136</v>
      </c>
      <c r="F169" s="2" t="s">
        <v>34</v>
      </c>
      <c r="G169" s="3" t="s">
        <v>17</v>
      </c>
      <c r="H169" s="2" t="s">
        <v>18</v>
      </c>
      <c r="I169" s="3" t="s">
        <v>19</v>
      </c>
      <c r="J169" s="3">
        <v>37278</v>
      </c>
      <c r="K169" s="3">
        <v>5062</v>
      </c>
      <c r="L169" s="3">
        <v>1157</v>
      </c>
      <c r="M169" s="4">
        <f t="shared" si="17"/>
        <v>0.1357905467031493</v>
      </c>
      <c r="N169" s="4">
        <f t="shared" si="18"/>
        <v>0.22856578427499014</v>
      </c>
      <c r="O169">
        <v>3537</v>
      </c>
      <c r="P169" s="5">
        <v>1</v>
      </c>
      <c r="Q169" s="7">
        <v>1</v>
      </c>
      <c r="R169" t="str">
        <f t="shared" si="16"/>
        <v>нормальный код</v>
      </c>
      <c r="S169" t="str">
        <f t="shared" si="19"/>
        <v>Больше половины</v>
      </c>
      <c r="T169" t="str">
        <f t="shared" si="20"/>
        <v>Больше половины</v>
      </c>
      <c r="U169" t="str">
        <f t="shared" si="21"/>
        <v>нормальный код</v>
      </c>
      <c r="V169" t="str">
        <f t="shared" si="22"/>
        <v>Вторая четверть</v>
      </c>
      <c r="W169" t="str">
        <f t="shared" si="23"/>
        <v>Больше половины</v>
      </c>
      <c r="X169">
        <v>5</v>
      </c>
    </row>
    <row r="170" spans="1:24" x14ac:dyDescent="0.35">
      <c r="A170" s="1" t="s">
        <v>342</v>
      </c>
      <c r="B170" s="2" t="s">
        <v>343</v>
      </c>
      <c r="C170" s="3" t="s">
        <v>13</v>
      </c>
      <c r="D170" s="2" t="s">
        <v>69</v>
      </c>
      <c r="E170" s="3" t="s">
        <v>70</v>
      </c>
      <c r="F170" s="2" t="s">
        <v>71</v>
      </c>
      <c r="G170" s="3" t="s">
        <v>72</v>
      </c>
      <c r="H170" s="2" t="s">
        <v>18</v>
      </c>
      <c r="I170" s="3" t="s">
        <v>19</v>
      </c>
      <c r="J170" s="3">
        <v>37266</v>
      </c>
      <c r="K170" s="3">
        <v>4167</v>
      </c>
      <c r="L170" s="3">
        <v>52</v>
      </c>
      <c r="M170" s="4">
        <f t="shared" si="17"/>
        <v>0.11181774271453872</v>
      </c>
      <c r="N170" s="4">
        <f t="shared" si="18"/>
        <v>1.247900167986561E-2</v>
      </c>
      <c r="O170">
        <v>266</v>
      </c>
      <c r="P170" s="5">
        <v>0.83333333333333337</v>
      </c>
      <c r="Q170" s="7">
        <v>1</v>
      </c>
      <c r="R170" t="str">
        <f t="shared" si="16"/>
        <v>нормальный код</v>
      </c>
      <c r="S170" t="str">
        <f t="shared" si="19"/>
        <v>Больше половины</v>
      </c>
      <c r="T170" t="str">
        <f t="shared" si="20"/>
        <v>Вторая четверть</v>
      </c>
      <c r="U170" t="str">
        <f t="shared" si="21"/>
        <v>нормальный код</v>
      </c>
      <c r="V170" t="str">
        <f t="shared" si="22"/>
        <v>Вторая четверть</v>
      </c>
      <c r="W170" t="str">
        <f t="shared" si="23"/>
        <v>Больше половины</v>
      </c>
      <c r="X170">
        <v>17</v>
      </c>
    </row>
    <row r="171" spans="1:24" x14ac:dyDescent="0.35">
      <c r="A171" s="1" t="s">
        <v>75</v>
      </c>
      <c r="B171" s="2" t="s">
        <v>76</v>
      </c>
      <c r="C171" s="3" t="s">
        <v>13</v>
      </c>
      <c r="D171" s="2" t="s">
        <v>77</v>
      </c>
      <c r="E171" s="3" t="s">
        <v>78</v>
      </c>
      <c r="F171" s="2" t="s">
        <v>34</v>
      </c>
      <c r="G171" s="3" t="s">
        <v>35</v>
      </c>
      <c r="H171" s="2" t="s">
        <v>18</v>
      </c>
      <c r="I171" s="3" t="s">
        <v>19</v>
      </c>
      <c r="J171" s="3">
        <v>37244</v>
      </c>
      <c r="K171" s="3">
        <v>2529</v>
      </c>
      <c r="L171" s="3">
        <v>40</v>
      </c>
      <c r="M171" s="4">
        <f t="shared" si="17"/>
        <v>6.7903554935023092E-2</v>
      </c>
      <c r="N171" s="4">
        <f t="shared" si="18"/>
        <v>1.5816528272044286E-2</v>
      </c>
      <c r="O171">
        <v>144</v>
      </c>
      <c r="P171" s="5">
        <v>0.6</v>
      </c>
      <c r="Q171" s="7">
        <v>1</v>
      </c>
      <c r="R171" t="str">
        <f t="shared" si="16"/>
        <v>нормальный код</v>
      </c>
      <c r="S171" t="str">
        <f t="shared" si="19"/>
        <v>Вторая четверть</v>
      </c>
      <c r="T171" t="str">
        <f t="shared" si="20"/>
        <v>Вторая четверть</v>
      </c>
      <c r="U171" t="str">
        <f t="shared" si="21"/>
        <v>нормальный код</v>
      </c>
      <c r="V171" t="str">
        <f t="shared" si="22"/>
        <v>Вторая четверть</v>
      </c>
      <c r="W171" t="str">
        <f t="shared" si="23"/>
        <v>Вторая четверть</v>
      </c>
      <c r="X171">
        <v>20</v>
      </c>
    </row>
    <row r="172" spans="1:24" x14ac:dyDescent="0.35">
      <c r="A172" s="1" t="s">
        <v>1525</v>
      </c>
      <c r="B172" s="2" t="s">
        <v>1526</v>
      </c>
      <c r="C172" s="3" t="s">
        <v>55</v>
      </c>
      <c r="D172" s="2" t="s">
        <v>295</v>
      </c>
      <c r="E172" s="3" t="s">
        <v>296</v>
      </c>
      <c r="F172" s="2" t="s">
        <v>61</v>
      </c>
      <c r="G172" s="3" t="s">
        <v>17</v>
      </c>
      <c r="H172" s="2" t="s">
        <v>97</v>
      </c>
      <c r="I172" s="3" t="s">
        <v>19</v>
      </c>
      <c r="J172" s="3">
        <v>37162</v>
      </c>
      <c r="K172" s="3">
        <v>11456</v>
      </c>
      <c r="L172" s="3">
        <v>161</v>
      </c>
      <c r="M172" s="4">
        <f t="shared" si="17"/>
        <v>0.30827189064097732</v>
      </c>
      <c r="N172" s="4">
        <f t="shared" si="18"/>
        <v>1.405377094972067E-2</v>
      </c>
      <c r="O172">
        <v>340</v>
      </c>
      <c r="P172" s="5">
        <v>1</v>
      </c>
      <c r="Q172" s="7">
        <v>1</v>
      </c>
      <c r="R172" t="str">
        <f t="shared" ref="R172:R208" si="24">IF(OR(M172&lt;$S$1*0.5,N172&lt;$T$1*0.5),"код для проверки","нормальный код")</f>
        <v>нормальный код</v>
      </c>
      <c r="S172" t="str">
        <f t="shared" si="19"/>
        <v>Больше половины</v>
      </c>
      <c r="T172" t="str">
        <f t="shared" si="20"/>
        <v>Вторая четверть</v>
      </c>
      <c r="U172" t="str">
        <f t="shared" si="21"/>
        <v>нормальный код</v>
      </c>
      <c r="V172" t="str">
        <f t="shared" si="22"/>
        <v>Больше половины</v>
      </c>
      <c r="W172" t="str">
        <f t="shared" si="23"/>
        <v>Больше половины</v>
      </c>
      <c r="X172">
        <v>16</v>
      </c>
    </row>
    <row r="173" spans="1:24" x14ac:dyDescent="0.35">
      <c r="A173" s="1" t="s">
        <v>184</v>
      </c>
      <c r="B173" s="2" t="s">
        <v>185</v>
      </c>
      <c r="C173" s="3" t="s">
        <v>13</v>
      </c>
      <c r="D173" s="2" t="s">
        <v>155</v>
      </c>
      <c r="E173" s="3" t="s">
        <v>156</v>
      </c>
      <c r="F173" s="2" t="s">
        <v>34</v>
      </c>
      <c r="G173" s="3" t="s">
        <v>35</v>
      </c>
      <c r="H173" s="2" t="s">
        <v>18</v>
      </c>
      <c r="I173" s="3" t="s">
        <v>19</v>
      </c>
      <c r="J173" s="3">
        <v>37024</v>
      </c>
      <c r="K173" s="3">
        <v>2359</v>
      </c>
      <c r="L173" s="3">
        <v>105</v>
      </c>
      <c r="M173" s="4">
        <f t="shared" si="17"/>
        <v>6.3715427830596374E-2</v>
      </c>
      <c r="N173" s="4">
        <f t="shared" si="18"/>
        <v>4.4510385756676561E-2</v>
      </c>
      <c r="O173">
        <v>1405</v>
      </c>
      <c r="P173" s="5">
        <v>1</v>
      </c>
      <c r="Q173" s="7">
        <v>1</v>
      </c>
      <c r="R173" t="str">
        <f t="shared" si="24"/>
        <v>нормальный код</v>
      </c>
      <c r="S173" t="str">
        <f t="shared" si="19"/>
        <v>Вторая четверть</v>
      </c>
      <c r="T173" t="str">
        <f t="shared" si="20"/>
        <v>Больше половины</v>
      </c>
      <c r="U173" t="str">
        <f t="shared" si="21"/>
        <v>нормальный код</v>
      </c>
      <c r="V173" t="str">
        <f t="shared" si="22"/>
        <v>Вторая четверть</v>
      </c>
      <c r="W173" t="str">
        <f t="shared" si="23"/>
        <v>Больше половины</v>
      </c>
      <c r="X173">
        <v>13</v>
      </c>
    </row>
    <row r="174" spans="1:24" x14ac:dyDescent="0.35">
      <c r="A174" s="1" t="s">
        <v>577</v>
      </c>
      <c r="B174" s="2" t="s">
        <v>578</v>
      </c>
      <c r="C174" s="3" t="s">
        <v>55</v>
      </c>
      <c r="D174" s="2" t="s">
        <v>295</v>
      </c>
      <c r="E174" s="3" t="s">
        <v>296</v>
      </c>
      <c r="F174" s="2" t="s">
        <v>61</v>
      </c>
      <c r="G174" s="3" t="s">
        <v>17</v>
      </c>
      <c r="H174" s="2" t="s">
        <v>97</v>
      </c>
      <c r="I174" s="3" t="s">
        <v>19</v>
      </c>
      <c r="J174" s="3">
        <v>36919</v>
      </c>
      <c r="K174" s="3">
        <v>10900</v>
      </c>
      <c r="L174" s="3">
        <v>205</v>
      </c>
      <c r="M174" s="4">
        <f t="shared" si="17"/>
        <v>0.29524093285300251</v>
      </c>
      <c r="N174" s="4">
        <f t="shared" si="18"/>
        <v>1.8807339449541285E-2</v>
      </c>
      <c r="O174">
        <v>443</v>
      </c>
      <c r="P174" s="5">
        <v>1</v>
      </c>
      <c r="Q174" s="7">
        <v>1</v>
      </c>
      <c r="R174" t="str">
        <f t="shared" si="24"/>
        <v>нормальный код</v>
      </c>
      <c r="S174" t="str">
        <f t="shared" si="19"/>
        <v>Больше половины</v>
      </c>
      <c r="T174" t="str">
        <f t="shared" si="20"/>
        <v>Вторая четверть</v>
      </c>
      <c r="U174" t="str">
        <f t="shared" si="21"/>
        <v>нормальный код</v>
      </c>
      <c r="V174" t="str">
        <f t="shared" si="22"/>
        <v>Больше половины</v>
      </c>
      <c r="W174" t="str">
        <f t="shared" si="23"/>
        <v>Больше половины</v>
      </c>
      <c r="X174">
        <v>15</v>
      </c>
    </row>
    <row r="175" spans="1:24" x14ac:dyDescent="0.35">
      <c r="A175" s="1" t="s">
        <v>1957</v>
      </c>
      <c r="B175" s="2" t="s">
        <v>1958</v>
      </c>
      <c r="C175" s="3" t="s">
        <v>13</v>
      </c>
      <c r="D175" s="2" t="s">
        <v>49</v>
      </c>
      <c r="E175" s="3" t="s">
        <v>50</v>
      </c>
      <c r="F175" s="2" t="s">
        <v>34</v>
      </c>
      <c r="G175" s="3" t="s">
        <v>17</v>
      </c>
      <c r="H175" s="2" t="s">
        <v>18</v>
      </c>
      <c r="I175" s="3" t="s">
        <v>19</v>
      </c>
      <c r="J175" s="3">
        <v>36736</v>
      </c>
      <c r="K175" s="3">
        <v>2291</v>
      </c>
      <c r="L175" s="3">
        <v>133</v>
      </c>
      <c r="M175" s="4">
        <f t="shared" si="17"/>
        <v>6.2363893728222999E-2</v>
      </c>
      <c r="N175" s="4">
        <f t="shared" si="18"/>
        <v>5.8053251855085114E-2</v>
      </c>
      <c r="O175">
        <v>128</v>
      </c>
      <c r="P175" s="5">
        <v>1</v>
      </c>
      <c r="Q175" s="7">
        <v>1</v>
      </c>
      <c r="R175" t="str">
        <f t="shared" si="24"/>
        <v>нормальный код</v>
      </c>
      <c r="S175" t="str">
        <f t="shared" si="19"/>
        <v>Вторая четверть</v>
      </c>
      <c r="T175" t="str">
        <f t="shared" si="20"/>
        <v>Больше половины</v>
      </c>
      <c r="U175" t="str">
        <f t="shared" si="21"/>
        <v>нормальный код</v>
      </c>
      <c r="V175" t="str">
        <f t="shared" si="22"/>
        <v>Больше половины</v>
      </c>
      <c r="W175" t="str">
        <f t="shared" si="23"/>
        <v>Больше половины</v>
      </c>
      <c r="X175">
        <v>22</v>
      </c>
    </row>
    <row r="176" spans="1:24" x14ac:dyDescent="0.35">
      <c r="A176" s="1" t="s">
        <v>45</v>
      </c>
      <c r="B176" s="2" t="s">
        <v>46</v>
      </c>
      <c r="C176" s="3" t="s">
        <v>13</v>
      </c>
      <c r="D176" s="2" t="s">
        <v>22</v>
      </c>
      <c r="E176" s="3" t="s">
        <v>23</v>
      </c>
      <c r="F176" s="2" t="s">
        <v>16</v>
      </c>
      <c r="G176" s="3" t="s">
        <v>17</v>
      </c>
      <c r="H176" s="2" t="s">
        <v>18</v>
      </c>
      <c r="I176" s="3" t="s">
        <v>19</v>
      </c>
      <c r="J176" s="3">
        <v>36706</v>
      </c>
      <c r="K176" s="3">
        <v>3671</v>
      </c>
      <c r="L176" s="3">
        <v>52</v>
      </c>
      <c r="M176" s="4">
        <f t="shared" si="17"/>
        <v>0.10001089740096987</v>
      </c>
      <c r="N176" s="4">
        <f t="shared" si="18"/>
        <v>1.4165077635521656E-2</v>
      </c>
      <c r="O176">
        <v>589</v>
      </c>
      <c r="P176" s="5">
        <v>1</v>
      </c>
      <c r="Q176" s="7">
        <v>1</v>
      </c>
      <c r="R176" t="str">
        <f t="shared" si="24"/>
        <v>нормальный код</v>
      </c>
      <c r="S176" t="str">
        <f t="shared" si="19"/>
        <v>Больше половины</v>
      </c>
      <c r="T176" t="str">
        <f t="shared" si="20"/>
        <v>Вторая четверть</v>
      </c>
      <c r="U176" t="str">
        <f t="shared" si="21"/>
        <v>нормальный код</v>
      </c>
      <c r="V176" t="str">
        <f t="shared" si="22"/>
        <v>Больше половины</v>
      </c>
      <c r="W176" t="str">
        <f t="shared" si="23"/>
        <v>Вторая четверть</v>
      </c>
      <c r="X176">
        <v>8</v>
      </c>
    </row>
    <row r="177" spans="1:24" x14ac:dyDescent="0.35">
      <c r="A177" s="1" t="s">
        <v>1967</v>
      </c>
      <c r="B177" s="2" t="s">
        <v>1968</v>
      </c>
      <c r="C177" s="3" t="s">
        <v>13</v>
      </c>
      <c r="D177" s="2" t="s">
        <v>69</v>
      </c>
      <c r="E177" s="3" t="s">
        <v>969</v>
      </c>
      <c r="F177" s="2" t="s">
        <v>96</v>
      </c>
      <c r="G177" s="3" t="s">
        <v>72</v>
      </c>
      <c r="H177" s="2" t="s">
        <v>18</v>
      </c>
      <c r="I177" s="3" t="s">
        <v>19</v>
      </c>
      <c r="J177" s="3">
        <v>36665</v>
      </c>
      <c r="K177" s="3">
        <v>3388</v>
      </c>
      <c r="L177" s="3">
        <v>50</v>
      </c>
      <c r="M177" s="4">
        <f t="shared" si="17"/>
        <v>9.2404200190917773E-2</v>
      </c>
      <c r="N177" s="4">
        <f t="shared" si="18"/>
        <v>1.475796930342385E-2</v>
      </c>
      <c r="O177">
        <v>676</v>
      </c>
      <c r="P177" s="5">
        <v>1</v>
      </c>
      <c r="Q177" s="7">
        <v>1</v>
      </c>
      <c r="R177" t="str">
        <f t="shared" si="24"/>
        <v>нормальный код</v>
      </c>
      <c r="S177" t="str">
        <f t="shared" si="19"/>
        <v>Вторая четверть</v>
      </c>
      <c r="T177" t="str">
        <f t="shared" si="20"/>
        <v>Вторая четверть</v>
      </c>
      <c r="U177" t="str">
        <f t="shared" si="21"/>
        <v>нормальный код</v>
      </c>
      <c r="V177" t="str">
        <f t="shared" si="22"/>
        <v>Вторая четверть</v>
      </c>
      <c r="W177" t="str">
        <f t="shared" si="23"/>
        <v>Вторая четверть</v>
      </c>
      <c r="X177">
        <v>14</v>
      </c>
    </row>
    <row r="178" spans="1:24" x14ac:dyDescent="0.35">
      <c r="A178" s="1" t="s">
        <v>11</v>
      </c>
      <c r="B178" s="2" t="s">
        <v>12</v>
      </c>
      <c r="C178" s="3" t="s">
        <v>13</v>
      </c>
      <c r="D178" s="2" t="s">
        <v>14</v>
      </c>
      <c r="E178" s="3" t="s">
        <v>15</v>
      </c>
      <c r="F178" s="2" t="s">
        <v>16</v>
      </c>
      <c r="G178" s="3" t="s">
        <v>17</v>
      </c>
      <c r="H178" s="2" t="s">
        <v>18</v>
      </c>
      <c r="I178" s="3" t="s">
        <v>19</v>
      </c>
      <c r="J178" s="3">
        <v>36044</v>
      </c>
      <c r="K178" s="3">
        <v>3791</v>
      </c>
      <c r="L178" s="3">
        <v>22</v>
      </c>
      <c r="M178" s="4">
        <f t="shared" si="17"/>
        <v>0.10517700588170015</v>
      </c>
      <c r="N178" s="4">
        <f t="shared" si="18"/>
        <v>5.803218148245845E-3</v>
      </c>
      <c r="O178">
        <v>362</v>
      </c>
      <c r="P178" s="5">
        <v>1</v>
      </c>
      <c r="Q178" s="7">
        <v>1</v>
      </c>
      <c r="R178" t="str">
        <f t="shared" si="24"/>
        <v>код для проверки</v>
      </c>
      <c r="S178" t="str">
        <f t="shared" si="19"/>
        <v>Больше половины</v>
      </c>
      <c r="T178" t="str">
        <f t="shared" si="20"/>
        <v>Низшая четверть</v>
      </c>
      <c r="U178" t="str">
        <f t="shared" si="21"/>
        <v>код для проверки</v>
      </c>
      <c r="V178" t="str">
        <f t="shared" si="22"/>
        <v>Больше половины</v>
      </c>
      <c r="W178" t="str">
        <f t="shared" si="23"/>
        <v>Низшая четверть</v>
      </c>
      <c r="X178">
        <v>8</v>
      </c>
    </row>
    <row r="179" spans="1:24" x14ac:dyDescent="0.35">
      <c r="A179" s="1" t="s">
        <v>768</v>
      </c>
      <c r="B179" s="2" t="s">
        <v>769</v>
      </c>
      <c r="C179" s="3" t="s">
        <v>55</v>
      </c>
      <c r="D179" s="2" t="s">
        <v>56</v>
      </c>
      <c r="E179" s="3" t="s">
        <v>770</v>
      </c>
      <c r="F179" s="2" t="s">
        <v>34</v>
      </c>
      <c r="G179" s="3" t="s">
        <v>17</v>
      </c>
      <c r="H179" s="2" t="s">
        <v>18</v>
      </c>
      <c r="I179" s="3" t="s">
        <v>19</v>
      </c>
      <c r="J179" s="3">
        <v>35950</v>
      </c>
      <c r="K179" s="3">
        <v>2787</v>
      </c>
      <c r="L179" s="3">
        <v>56</v>
      </c>
      <c r="M179" s="4">
        <f t="shared" si="17"/>
        <v>7.752433936022253E-2</v>
      </c>
      <c r="N179" s="4">
        <f t="shared" si="18"/>
        <v>2.0093290276282743E-2</v>
      </c>
      <c r="O179">
        <v>523</v>
      </c>
      <c r="P179" s="5">
        <v>1</v>
      </c>
      <c r="Q179" s="7">
        <v>1</v>
      </c>
      <c r="R179" t="str">
        <f t="shared" si="24"/>
        <v>нормальный код</v>
      </c>
      <c r="S179" t="str">
        <f t="shared" si="19"/>
        <v>Вторая четверть</v>
      </c>
      <c r="T179" t="str">
        <f t="shared" si="20"/>
        <v>Вторая четверть</v>
      </c>
      <c r="U179" t="str">
        <f t="shared" si="21"/>
        <v>нормальный код</v>
      </c>
      <c r="V179" t="str">
        <f t="shared" si="22"/>
        <v>Больше половины</v>
      </c>
      <c r="W179" t="str">
        <f t="shared" si="23"/>
        <v>Вторая четверть</v>
      </c>
      <c r="X179">
        <v>23</v>
      </c>
    </row>
    <row r="180" spans="1:24" x14ac:dyDescent="0.35">
      <c r="A180" s="1" t="s">
        <v>581</v>
      </c>
      <c r="B180" s="2" t="s">
        <v>582</v>
      </c>
      <c r="C180" s="3" t="s">
        <v>55</v>
      </c>
      <c r="D180" s="2" t="s">
        <v>340</v>
      </c>
      <c r="E180" s="3" t="s">
        <v>341</v>
      </c>
      <c r="F180" s="2" t="s">
        <v>96</v>
      </c>
      <c r="G180" s="3" t="s">
        <v>17</v>
      </c>
      <c r="H180" s="2" t="s">
        <v>97</v>
      </c>
      <c r="I180" s="3" t="s">
        <v>19</v>
      </c>
      <c r="J180" s="3">
        <v>35614</v>
      </c>
      <c r="K180" s="3">
        <v>4016</v>
      </c>
      <c r="L180" s="3">
        <v>52</v>
      </c>
      <c r="M180" s="4">
        <f t="shared" si="17"/>
        <v>0.112764643117875</v>
      </c>
      <c r="N180" s="4">
        <f t="shared" si="18"/>
        <v>1.2948207171314742E-2</v>
      </c>
      <c r="O180">
        <v>1031</v>
      </c>
      <c r="P180" s="5">
        <v>1</v>
      </c>
      <c r="Q180" s="7">
        <v>1</v>
      </c>
      <c r="R180" t="str">
        <f t="shared" si="24"/>
        <v>нормальный код</v>
      </c>
      <c r="S180" t="str">
        <f t="shared" si="19"/>
        <v>Больше половины</v>
      </c>
      <c r="T180" t="str">
        <f t="shared" si="20"/>
        <v>Вторая четверть</v>
      </c>
      <c r="U180" t="str">
        <f t="shared" si="21"/>
        <v>нормальный код</v>
      </c>
      <c r="V180" t="str">
        <f t="shared" si="22"/>
        <v>Вторая четверть</v>
      </c>
      <c r="W180" t="str">
        <f t="shared" si="23"/>
        <v>Вторая четверть</v>
      </c>
      <c r="X180">
        <v>11</v>
      </c>
    </row>
    <row r="181" spans="1:24" x14ac:dyDescent="0.35">
      <c r="A181" s="1" t="s">
        <v>1650</v>
      </c>
      <c r="B181" s="2" t="s">
        <v>1651</v>
      </c>
      <c r="C181" s="3" t="s">
        <v>55</v>
      </c>
      <c r="D181" s="2" t="s">
        <v>295</v>
      </c>
      <c r="E181" s="3" t="s">
        <v>1373</v>
      </c>
      <c r="F181" s="2" t="s">
        <v>71</v>
      </c>
      <c r="G181" s="3" t="s">
        <v>17</v>
      </c>
      <c r="H181" s="2" t="s">
        <v>97</v>
      </c>
      <c r="I181" s="3" t="s">
        <v>19</v>
      </c>
      <c r="J181" s="3">
        <v>35413</v>
      </c>
      <c r="K181" s="3">
        <v>1933</v>
      </c>
      <c r="L181" s="3">
        <v>27</v>
      </c>
      <c r="M181" s="4">
        <f t="shared" si="17"/>
        <v>5.4584474627961482E-2</v>
      </c>
      <c r="N181" s="4">
        <f t="shared" si="18"/>
        <v>1.3967925504397309E-2</v>
      </c>
      <c r="O181">
        <v>533</v>
      </c>
      <c r="P181" s="5">
        <v>1</v>
      </c>
      <c r="Q181" s="7">
        <v>1</v>
      </c>
      <c r="R181" t="str">
        <f t="shared" si="24"/>
        <v>нормальный код</v>
      </c>
      <c r="S181" t="str">
        <f t="shared" si="19"/>
        <v>Вторая четверть</v>
      </c>
      <c r="T181" t="str">
        <f t="shared" si="20"/>
        <v>Вторая четверть</v>
      </c>
      <c r="U181" t="str">
        <f t="shared" si="21"/>
        <v>нормальный код</v>
      </c>
      <c r="V181" t="str">
        <f t="shared" si="22"/>
        <v>Вторая четверть</v>
      </c>
      <c r="W181" t="str">
        <f t="shared" si="23"/>
        <v>Больше половины</v>
      </c>
      <c r="X181">
        <v>16</v>
      </c>
    </row>
    <row r="182" spans="1:24" x14ac:dyDescent="0.35">
      <c r="A182" s="1" t="s">
        <v>1471</v>
      </c>
      <c r="B182" s="2" t="s">
        <v>1472</v>
      </c>
      <c r="C182" s="3" t="s">
        <v>55</v>
      </c>
      <c r="D182" s="2" t="s">
        <v>295</v>
      </c>
      <c r="E182" s="3" t="s">
        <v>1373</v>
      </c>
      <c r="F182" s="2" t="s">
        <v>71</v>
      </c>
      <c r="G182" s="3" t="s">
        <v>17</v>
      </c>
      <c r="H182" s="2" t="s">
        <v>97</v>
      </c>
      <c r="I182" s="3" t="s">
        <v>19</v>
      </c>
      <c r="J182" s="3">
        <v>35181</v>
      </c>
      <c r="K182" s="3">
        <v>2021</v>
      </c>
      <c r="L182" s="3">
        <v>33</v>
      </c>
      <c r="M182" s="4">
        <f t="shared" si="17"/>
        <v>5.744578039282567E-2</v>
      </c>
      <c r="N182" s="4">
        <f t="shared" si="18"/>
        <v>1.6328550222662049E-2</v>
      </c>
      <c r="O182">
        <v>459</v>
      </c>
      <c r="P182" s="5">
        <v>1</v>
      </c>
      <c r="Q182" s="7">
        <v>1</v>
      </c>
      <c r="R182" t="str">
        <f t="shared" si="24"/>
        <v>нормальный код</v>
      </c>
      <c r="S182" t="str">
        <f t="shared" si="19"/>
        <v>Вторая четверть</v>
      </c>
      <c r="T182" t="str">
        <f t="shared" si="20"/>
        <v>Вторая четверть</v>
      </c>
      <c r="U182" t="str">
        <f t="shared" si="21"/>
        <v>нормальный код</v>
      </c>
      <c r="V182" t="str">
        <f t="shared" si="22"/>
        <v>Вторая четверть</v>
      </c>
      <c r="W182" t="str">
        <f t="shared" si="23"/>
        <v>Больше половины</v>
      </c>
      <c r="X182">
        <v>17</v>
      </c>
    </row>
    <row r="183" spans="1:24" x14ac:dyDescent="0.35">
      <c r="A183" s="1" t="s">
        <v>1451</v>
      </c>
      <c r="B183" s="2" t="s">
        <v>1452</v>
      </c>
      <c r="C183" s="3" t="s">
        <v>13</v>
      </c>
      <c r="D183" s="2" t="s">
        <v>69</v>
      </c>
      <c r="E183" s="3" t="s">
        <v>455</v>
      </c>
      <c r="F183" s="2" t="s">
        <v>34</v>
      </c>
      <c r="G183" s="3" t="s">
        <v>72</v>
      </c>
      <c r="H183" s="2" t="s">
        <v>18</v>
      </c>
      <c r="I183" s="3" t="s">
        <v>19</v>
      </c>
      <c r="J183" s="3">
        <v>34759</v>
      </c>
      <c r="K183" s="3">
        <v>2177</v>
      </c>
      <c r="L183" s="3">
        <v>63</v>
      </c>
      <c r="M183" s="4">
        <f t="shared" si="17"/>
        <v>6.2631260968382285E-2</v>
      </c>
      <c r="N183" s="4">
        <f t="shared" si="18"/>
        <v>2.8938906752411574E-2</v>
      </c>
      <c r="O183">
        <v>720</v>
      </c>
      <c r="P183" s="5">
        <v>1</v>
      </c>
      <c r="Q183" s="7">
        <v>1</v>
      </c>
      <c r="R183" t="str">
        <f t="shared" si="24"/>
        <v>нормальный код</v>
      </c>
      <c r="S183" t="str">
        <f t="shared" si="19"/>
        <v>Вторая четверть</v>
      </c>
      <c r="T183" t="str">
        <f t="shared" si="20"/>
        <v>Больше половины</v>
      </c>
      <c r="U183" t="str">
        <f t="shared" si="21"/>
        <v>нормальный код</v>
      </c>
      <c r="V183" t="str">
        <f t="shared" si="22"/>
        <v>Вторая четверть</v>
      </c>
      <c r="W183" t="str">
        <f t="shared" si="23"/>
        <v>Больше половины</v>
      </c>
      <c r="X183">
        <v>12</v>
      </c>
    </row>
    <row r="184" spans="1:24" x14ac:dyDescent="0.35">
      <c r="A184" s="1" t="s">
        <v>527</v>
      </c>
      <c r="B184" s="2" t="s">
        <v>528</v>
      </c>
      <c r="C184" s="3" t="s">
        <v>13</v>
      </c>
      <c r="D184" s="2" t="s">
        <v>77</v>
      </c>
      <c r="E184" s="3" t="s">
        <v>380</v>
      </c>
      <c r="F184" s="2" t="s">
        <v>61</v>
      </c>
      <c r="G184" s="3" t="s">
        <v>35</v>
      </c>
      <c r="H184" s="2" t="s">
        <v>18</v>
      </c>
      <c r="I184" s="3" t="s">
        <v>19</v>
      </c>
      <c r="J184" s="3">
        <v>34365</v>
      </c>
      <c r="K184" s="3">
        <v>2064</v>
      </c>
      <c r="L184" s="3">
        <v>26</v>
      </c>
      <c r="M184" s="4">
        <f t="shared" si="17"/>
        <v>6.0061108686163246E-2</v>
      </c>
      <c r="N184" s="4">
        <f t="shared" si="18"/>
        <v>1.2596899224806201E-2</v>
      </c>
      <c r="O184">
        <v>512</v>
      </c>
      <c r="P184" s="5">
        <v>1</v>
      </c>
      <c r="Q184" s="7">
        <v>1</v>
      </c>
      <c r="R184" t="str">
        <f t="shared" si="24"/>
        <v>нормальный код</v>
      </c>
      <c r="S184" t="str">
        <f t="shared" si="19"/>
        <v>Вторая четверть</v>
      </c>
      <c r="T184" t="str">
        <f t="shared" si="20"/>
        <v>Вторая четверть</v>
      </c>
      <c r="U184" t="str">
        <f t="shared" si="21"/>
        <v>нормальный код</v>
      </c>
      <c r="V184" t="str">
        <f t="shared" si="22"/>
        <v>Вторая четверть</v>
      </c>
      <c r="W184" t="str">
        <f t="shared" si="23"/>
        <v>Вторая четверть</v>
      </c>
      <c r="X184">
        <v>16</v>
      </c>
    </row>
    <row r="185" spans="1:24" x14ac:dyDescent="0.35">
      <c r="A185" s="1" t="s">
        <v>236</v>
      </c>
      <c r="B185" s="2" t="s">
        <v>237</v>
      </c>
      <c r="C185" s="3" t="s">
        <v>55</v>
      </c>
      <c r="D185" s="2" t="s">
        <v>94</v>
      </c>
      <c r="E185" s="3" t="s">
        <v>95</v>
      </c>
      <c r="F185" s="2" t="s">
        <v>96</v>
      </c>
      <c r="G185" s="3" t="s">
        <v>17</v>
      </c>
      <c r="H185" s="2" t="s">
        <v>97</v>
      </c>
      <c r="I185" s="3" t="s">
        <v>19</v>
      </c>
      <c r="J185" s="3">
        <v>34217</v>
      </c>
      <c r="K185" s="3">
        <v>2150</v>
      </c>
      <c r="L185" s="3">
        <v>29</v>
      </c>
      <c r="M185" s="4">
        <f t="shared" si="17"/>
        <v>6.28342636701055E-2</v>
      </c>
      <c r="N185" s="4">
        <f t="shared" si="18"/>
        <v>1.3488372093023256E-2</v>
      </c>
      <c r="O185">
        <v>4812</v>
      </c>
      <c r="P185" s="5">
        <v>0.66666666666666663</v>
      </c>
      <c r="Q185" s="7">
        <v>1</v>
      </c>
      <c r="R185" t="str">
        <f t="shared" si="24"/>
        <v>нормальный код</v>
      </c>
      <c r="S185" t="str">
        <f t="shared" si="19"/>
        <v>Вторая четверть</v>
      </c>
      <c r="T185" t="str">
        <f t="shared" si="20"/>
        <v>Вторая четверть</v>
      </c>
      <c r="U185" t="str">
        <f t="shared" si="21"/>
        <v>нормальный код</v>
      </c>
      <c r="V185" t="str">
        <f t="shared" si="22"/>
        <v>Вторая четверть</v>
      </c>
      <c r="W185" t="str">
        <f t="shared" si="23"/>
        <v>Больше половины</v>
      </c>
      <c r="X185">
        <v>18</v>
      </c>
    </row>
    <row r="186" spans="1:24" x14ac:dyDescent="0.35">
      <c r="A186" s="1" t="s">
        <v>534</v>
      </c>
      <c r="B186" s="2" t="s">
        <v>535</v>
      </c>
      <c r="C186" s="3" t="s">
        <v>55</v>
      </c>
      <c r="D186" s="2" t="s">
        <v>295</v>
      </c>
      <c r="E186" s="3" t="s">
        <v>296</v>
      </c>
      <c r="F186" s="2" t="s">
        <v>61</v>
      </c>
      <c r="G186" s="3" t="s">
        <v>17</v>
      </c>
      <c r="H186" s="2" t="s">
        <v>97</v>
      </c>
      <c r="I186" s="3" t="s">
        <v>19</v>
      </c>
      <c r="J186" s="3">
        <v>34180</v>
      </c>
      <c r="K186" s="3">
        <v>10584</v>
      </c>
      <c r="L186" s="3">
        <v>169</v>
      </c>
      <c r="M186" s="4">
        <f t="shared" si="17"/>
        <v>0.3096547688706846</v>
      </c>
      <c r="N186" s="4">
        <f t="shared" si="18"/>
        <v>1.5967498110355253E-2</v>
      </c>
      <c r="O186">
        <v>351</v>
      </c>
      <c r="P186" s="5">
        <v>1</v>
      </c>
      <c r="Q186" s="7">
        <v>1</v>
      </c>
      <c r="R186" t="str">
        <f t="shared" si="24"/>
        <v>нормальный код</v>
      </c>
      <c r="S186" t="str">
        <f t="shared" si="19"/>
        <v>Больше половины</v>
      </c>
      <c r="T186" t="str">
        <f t="shared" si="20"/>
        <v>Вторая четверть</v>
      </c>
      <c r="U186" t="str">
        <f t="shared" si="21"/>
        <v>нормальный код</v>
      </c>
      <c r="V186" t="str">
        <f t="shared" si="22"/>
        <v>Больше половины</v>
      </c>
      <c r="W186" t="str">
        <f t="shared" si="23"/>
        <v>Больше половины</v>
      </c>
      <c r="X186">
        <v>13</v>
      </c>
    </row>
    <row r="187" spans="1:24" x14ac:dyDescent="0.35">
      <c r="A187" s="1" t="s">
        <v>83</v>
      </c>
      <c r="B187" s="2" t="s">
        <v>84</v>
      </c>
      <c r="C187" s="3" t="s">
        <v>13</v>
      </c>
      <c r="D187" s="2" t="s">
        <v>85</v>
      </c>
      <c r="E187" s="3" t="s">
        <v>86</v>
      </c>
      <c r="F187" s="2" t="s">
        <v>71</v>
      </c>
      <c r="G187" s="3" t="s">
        <v>17</v>
      </c>
      <c r="H187" s="2" t="s">
        <v>18</v>
      </c>
      <c r="I187" s="3" t="s">
        <v>19</v>
      </c>
      <c r="J187" s="3">
        <v>34028</v>
      </c>
      <c r="K187" s="3">
        <v>2033</v>
      </c>
      <c r="L187" s="3">
        <v>35</v>
      </c>
      <c r="M187" s="4">
        <f t="shared" si="17"/>
        <v>5.9744915951569298E-2</v>
      </c>
      <c r="N187" s="4">
        <f t="shared" si="18"/>
        <v>1.721593703885883E-2</v>
      </c>
      <c r="O187">
        <v>259</v>
      </c>
      <c r="P187" s="5">
        <v>1</v>
      </c>
      <c r="Q187" s="7">
        <v>1</v>
      </c>
      <c r="R187" t="str">
        <f t="shared" si="24"/>
        <v>нормальный код</v>
      </c>
      <c r="S187" t="str">
        <f t="shared" si="19"/>
        <v>Вторая четверть</v>
      </c>
      <c r="T187" t="str">
        <f t="shared" si="20"/>
        <v>Вторая четверть</v>
      </c>
      <c r="U187" t="str">
        <f t="shared" si="21"/>
        <v>нормальный код</v>
      </c>
      <c r="V187" t="str">
        <f t="shared" si="22"/>
        <v>Вторая четверть</v>
      </c>
      <c r="W187" t="str">
        <f t="shared" si="23"/>
        <v>Вторая четверть</v>
      </c>
      <c r="X187">
        <v>14</v>
      </c>
    </row>
    <row r="188" spans="1:24" x14ac:dyDescent="0.35">
      <c r="A188" s="1" t="s">
        <v>28</v>
      </c>
      <c r="B188" s="2" t="s">
        <v>29</v>
      </c>
      <c r="C188" s="3" t="s">
        <v>13</v>
      </c>
      <c r="D188" s="2" t="s">
        <v>14</v>
      </c>
      <c r="E188" s="3" t="s">
        <v>15</v>
      </c>
      <c r="F188" s="2" t="s">
        <v>16</v>
      </c>
      <c r="G188" s="3" t="s">
        <v>17</v>
      </c>
      <c r="H188" s="2" t="s">
        <v>18</v>
      </c>
      <c r="I188" s="3" t="s">
        <v>19</v>
      </c>
      <c r="J188" s="3">
        <v>33775</v>
      </c>
      <c r="K188" s="3">
        <v>3790</v>
      </c>
      <c r="L188" s="3">
        <v>18</v>
      </c>
      <c r="M188" s="4">
        <f t="shared" si="17"/>
        <v>0.11221317542561066</v>
      </c>
      <c r="N188" s="4">
        <f t="shared" si="18"/>
        <v>4.7493403693931397E-3</v>
      </c>
      <c r="O188">
        <v>762</v>
      </c>
      <c r="P188" s="5">
        <v>1</v>
      </c>
      <c r="Q188" s="7">
        <v>1</v>
      </c>
      <c r="R188" t="str">
        <f t="shared" si="24"/>
        <v>код для проверки</v>
      </c>
      <c r="S188" t="str">
        <f t="shared" si="19"/>
        <v>Больше половины</v>
      </c>
      <c r="T188" t="str">
        <f t="shared" si="20"/>
        <v>Низшая четверть</v>
      </c>
      <c r="U188" t="str">
        <f t="shared" si="21"/>
        <v>код для проверки</v>
      </c>
      <c r="V188" t="str">
        <f t="shared" si="22"/>
        <v>Больше половины</v>
      </c>
      <c r="W188" t="str">
        <f t="shared" si="23"/>
        <v>Низшая четверть</v>
      </c>
      <c r="X188">
        <v>8</v>
      </c>
    </row>
    <row r="189" spans="1:24" x14ac:dyDescent="0.35">
      <c r="A189" s="1" t="s">
        <v>470</v>
      </c>
      <c r="B189" s="2" t="s">
        <v>471</v>
      </c>
      <c r="C189" s="3" t="s">
        <v>55</v>
      </c>
      <c r="D189" s="2" t="s">
        <v>56</v>
      </c>
      <c r="E189" s="3" t="s">
        <v>472</v>
      </c>
      <c r="F189" s="2" t="s">
        <v>34</v>
      </c>
      <c r="G189" s="3" t="s">
        <v>17</v>
      </c>
      <c r="H189" s="2" t="s">
        <v>18</v>
      </c>
      <c r="I189" s="3" t="s">
        <v>19</v>
      </c>
      <c r="J189" s="3">
        <v>33702</v>
      </c>
      <c r="K189" s="3">
        <v>1582</v>
      </c>
      <c r="L189" s="3">
        <v>54</v>
      </c>
      <c r="M189" s="4">
        <f t="shared" si="17"/>
        <v>4.6940834371847366E-2</v>
      </c>
      <c r="N189" s="4">
        <f t="shared" si="18"/>
        <v>3.4134007585335017E-2</v>
      </c>
      <c r="O189">
        <v>333</v>
      </c>
      <c r="P189" s="5">
        <v>1</v>
      </c>
      <c r="Q189" s="7">
        <v>1</v>
      </c>
      <c r="R189" t="str">
        <f t="shared" si="24"/>
        <v>код для проверки</v>
      </c>
      <c r="S189" t="str">
        <f t="shared" si="19"/>
        <v>Низшая четверть</v>
      </c>
      <c r="T189" t="str">
        <f t="shared" si="20"/>
        <v>Больше половины</v>
      </c>
      <c r="U189" t="str">
        <f t="shared" si="21"/>
        <v>нормальный код</v>
      </c>
      <c r="V189" t="str">
        <f t="shared" si="22"/>
        <v>Больше половины</v>
      </c>
      <c r="W189" t="str">
        <f t="shared" si="23"/>
        <v>Вторая четверть</v>
      </c>
      <c r="X189">
        <v>19</v>
      </c>
    </row>
    <row r="190" spans="1:24" x14ac:dyDescent="0.35">
      <c r="A190" s="1" t="s">
        <v>1505</v>
      </c>
      <c r="B190" s="2" t="s">
        <v>1506</v>
      </c>
      <c r="C190" s="3" t="s">
        <v>13</v>
      </c>
      <c r="D190" s="2" t="s">
        <v>164</v>
      </c>
      <c r="E190" s="3" t="s">
        <v>256</v>
      </c>
      <c r="F190" s="2" t="s">
        <v>123</v>
      </c>
      <c r="G190" s="3" t="s">
        <v>17</v>
      </c>
      <c r="H190" s="2" t="s">
        <v>18</v>
      </c>
      <c r="I190" s="3" t="s">
        <v>19</v>
      </c>
      <c r="J190" s="3">
        <v>33658</v>
      </c>
      <c r="K190" s="3">
        <v>2157</v>
      </c>
      <c r="L190" s="3">
        <v>65</v>
      </c>
      <c r="M190" s="4">
        <f t="shared" si="17"/>
        <v>6.4085804266444821E-2</v>
      </c>
      <c r="N190" s="4">
        <f t="shared" si="18"/>
        <v>3.013444598980065E-2</v>
      </c>
      <c r="O190">
        <v>124</v>
      </c>
      <c r="P190" s="5">
        <v>1</v>
      </c>
      <c r="Q190" s="7">
        <v>1</v>
      </c>
      <c r="R190" t="str">
        <f t="shared" si="24"/>
        <v>нормальный код</v>
      </c>
      <c r="S190" t="str">
        <f t="shared" si="19"/>
        <v>Вторая четверть</v>
      </c>
      <c r="T190" t="str">
        <f t="shared" si="20"/>
        <v>Больше половины</v>
      </c>
      <c r="U190" t="str">
        <f t="shared" si="21"/>
        <v>нормальный код</v>
      </c>
      <c r="V190" t="str">
        <f t="shared" si="22"/>
        <v>Вторая четверть</v>
      </c>
      <c r="W190" t="str">
        <f t="shared" si="23"/>
        <v>Больше половины</v>
      </c>
      <c r="X190">
        <v>22</v>
      </c>
    </row>
    <row r="191" spans="1:24" x14ac:dyDescent="0.35">
      <c r="A191" s="1" t="s">
        <v>106</v>
      </c>
      <c r="B191" s="2" t="s">
        <v>107</v>
      </c>
      <c r="C191" s="3" t="s">
        <v>13</v>
      </c>
      <c r="D191" s="2" t="s">
        <v>22</v>
      </c>
      <c r="E191" s="3" t="s">
        <v>23</v>
      </c>
      <c r="F191" s="2" t="s">
        <v>16</v>
      </c>
      <c r="G191" s="3" t="s">
        <v>17</v>
      </c>
      <c r="H191" s="2" t="s">
        <v>18</v>
      </c>
      <c r="I191" s="3" t="s">
        <v>19</v>
      </c>
      <c r="J191" s="3">
        <v>33363</v>
      </c>
      <c r="K191" s="3">
        <v>2894</v>
      </c>
      <c r="L191" s="3">
        <v>63</v>
      </c>
      <c r="M191" s="4">
        <f t="shared" si="17"/>
        <v>8.6742798908971019E-2</v>
      </c>
      <c r="N191" s="4">
        <f t="shared" si="18"/>
        <v>2.1769177608845888E-2</v>
      </c>
      <c r="O191">
        <v>948</v>
      </c>
      <c r="P191" s="5">
        <v>1</v>
      </c>
      <c r="Q191" s="7">
        <v>1</v>
      </c>
      <c r="R191" t="str">
        <f t="shared" si="24"/>
        <v>нормальный код</v>
      </c>
      <c r="S191" t="str">
        <f t="shared" si="19"/>
        <v>Вторая четверть</v>
      </c>
      <c r="T191" t="str">
        <f t="shared" si="20"/>
        <v>Больше половины</v>
      </c>
      <c r="U191" t="str">
        <f t="shared" si="21"/>
        <v>нормальный код</v>
      </c>
      <c r="V191" t="str">
        <f t="shared" si="22"/>
        <v>Больше половины</v>
      </c>
      <c r="W191" t="str">
        <f t="shared" si="23"/>
        <v>Больше половины</v>
      </c>
      <c r="X191">
        <v>19</v>
      </c>
    </row>
    <row r="192" spans="1:24" x14ac:dyDescent="0.35">
      <c r="A192" s="1" t="s">
        <v>696</v>
      </c>
      <c r="B192" s="2" t="s">
        <v>697</v>
      </c>
      <c r="C192" s="3" t="s">
        <v>55</v>
      </c>
      <c r="D192" s="2" t="s">
        <v>94</v>
      </c>
      <c r="E192" s="3" t="s">
        <v>95</v>
      </c>
      <c r="F192" s="2" t="s">
        <v>96</v>
      </c>
      <c r="G192" s="3" t="s">
        <v>17</v>
      </c>
      <c r="H192" s="2" t="s">
        <v>97</v>
      </c>
      <c r="I192" s="3" t="s">
        <v>19</v>
      </c>
      <c r="J192" s="3">
        <v>33129</v>
      </c>
      <c r="K192" s="3">
        <v>5513</v>
      </c>
      <c r="L192" s="3">
        <v>45</v>
      </c>
      <c r="M192" s="4">
        <f t="shared" si="17"/>
        <v>0.16641009387545655</v>
      </c>
      <c r="N192" s="4">
        <f t="shared" si="18"/>
        <v>8.162524941048431E-3</v>
      </c>
      <c r="O192">
        <v>2223</v>
      </c>
      <c r="P192" s="5">
        <v>0.55555555555555558</v>
      </c>
      <c r="Q192" s="7">
        <v>1</v>
      </c>
      <c r="R192" t="str">
        <f t="shared" si="24"/>
        <v>код для проверки</v>
      </c>
      <c r="S192" t="str">
        <f t="shared" si="19"/>
        <v>Больше половины</v>
      </c>
      <c r="T192" t="str">
        <f t="shared" si="20"/>
        <v>Низшая четверть</v>
      </c>
      <c r="U192" t="str">
        <f t="shared" si="21"/>
        <v>нормальный код</v>
      </c>
      <c r="V192" t="str">
        <f t="shared" si="22"/>
        <v>Больше половины</v>
      </c>
      <c r="W192" t="str">
        <f t="shared" si="23"/>
        <v>Вторая четверть</v>
      </c>
      <c r="X192">
        <v>23</v>
      </c>
    </row>
    <row r="193" spans="1:24" x14ac:dyDescent="0.35">
      <c r="A193" s="1" t="s">
        <v>751</v>
      </c>
      <c r="B193" s="2" t="s">
        <v>752</v>
      </c>
      <c r="C193" s="3" t="s">
        <v>55</v>
      </c>
      <c r="D193" s="2" t="s">
        <v>295</v>
      </c>
      <c r="E193" s="3" t="s">
        <v>296</v>
      </c>
      <c r="F193" s="2" t="s">
        <v>61</v>
      </c>
      <c r="G193" s="3" t="s">
        <v>17</v>
      </c>
      <c r="H193" s="2" t="s">
        <v>97</v>
      </c>
      <c r="I193" s="3" t="s">
        <v>19</v>
      </c>
      <c r="J193" s="3">
        <v>33044</v>
      </c>
      <c r="K193" s="3">
        <v>13829</v>
      </c>
      <c r="L193" s="3">
        <v>113</v>
      </c>
      <c r="M193" s="4">
        <f t="shared" si="17"/>
        <v>0.41850260259048544</v>
      </c>
      <c r="N193" s="4">
        <f t="shared" si="18"/>
        <v>8.1712343625714081E-3</v>
      </c>
      <c r="O193">
        <v>573</v>
      </c>
      <c r="P193" s="5">
        <v>1</v>
      </c>
      <c r="Q193" s="7">
        <v>1</v>
      </c>
      <c r="R193" t="str">
        <f t="shared" si="24"/>
        <v>код для проверки</v>
      </c>
      <c r="S193" t="str">
        <f t="shared" si="19"/>
        <v>Больше половины</v>
      </c>
      <c r="T193" t="str">
        <f t="shared" si="20"/>
        <v>Низшая четверть</v>
      </c>
      <c r="U193" t="str">
        <f t="shared" si="21"/>
        <v>нормальный код</v>
      </c>
      <c r="V193" t="str">
        <f t="shared" si="22"/>
        <v>Больше половины</v>
      </c>
      <c r="W193" t="str">
        <f t="shared" si="23"/>
        <v>Вторая четверть</v>
      </c>
      <c r="X193">
        <v>14</v>
      </c>
    </row>
    <row r="194" spans="1:24" x14ac:dyDescent="0.35">
      <c r="A194" s="1" t="s">
        <v>62</v>
      </c>
      <c r="B194" s="2" t="s">
        <v>63</v>
      </c>
      <c r="C194" s="3" t="s">
        <v>13</v>
      </c>
      <c r="D194" s="2" t="s">
        <v>38</v>
      </c>
      <c r="E194" s="3" t="s">
        <v>39</v>
      </c>
      <c r="F194" s="2" t="s">
        <v>34</v>
      </c>
      <c r="G194" s="3" t="s">
        <v>17</v>
      </c>
      <c r="H194" s="2" t="s">
        <v>18</v>
      </c>
      <c r="I194" s="3" t="s">
        <v>19</v>
      </c>
      <c r="J194" s="3">
        <v>32428</v>
      </c>
      <c r="K194" s="3">
        <v>2372</v>
      </c>
      <c r="L194" s="3">
        <v>68</v>
      </c>
      <c r="M194" s="4">
        <f t="shared" si="17"/>
        <v>7.3146663377328239E-2</v>
      </c>
      <c r="N194" s="4">
        <f t="shared" si="18"/>
        <v>2.866779089376054E-2</v>
      </c>
      <c r="O194">
        <v>448</v>
      </c>
      <c r="P194" s="5">
        <v>1</v>
      </c>
      <c r="Q194" s="7">
        <v>1</v>
      </c>
      <c r="R194" t="str">
        <f t="shared" si="24"/>
        <v>нормальный код</v>
      </c>
      <c r="S194" t="str">
        <f t="shared" si="19"/>
        <v>Вторая четверть</v>
      </c>
      <c r="T194" t="str">
        <f t="shared" si="20"/>
        <v>Больше половины</v>
      </c>
      <c r="U194" t="str">
        <f t="shared" si="21"/>
        <v>нормальный код</v>
      </c>
      <c r="V194" t="str">
        <f t="shared" si="22"/>
        <v>Больше половины</v>
      </c>
      <c r="W194" t="str">
        <f t="shared" si="23"/>
        <v>Вторая четверть</v>
      </c>
      <c r="X194">
        <v>18</v>
      </c>
    </row>
    <row r="195" spans="1:24" x14ac:dyDescent="0.35">
      <c r="A195" s="1" t="s">
        <v>616</v>
      </c>
      <c r="B195" s="2" t="s">
        <v>617</v>
      </c>
      <c r="C195" s="3" t="s">
        <v>13</v>
      </c>
      <c r="D195" s="2" t="s">
        <v>69</v>
      </c>
      <c r="E195" s="3" t="s">
        <v>70</v>
      </c>
      <c r="F195" s="2" t="s">
        <v>71</v>
      </c>
      <c r="G195" s="3" t="s">
        <v>72</v>
      </c>
      <c r="H195" s="2" t="s">
        <v>18</v>
      </c>
      <c r="I195" s="3" t="s">
        <v>19</v>
      </c>
      <c r="J195" s="3">
        <v>32039</v>
      </c>
      <c r="K195" s="3">
        <v>4218</v>
      </c>
      <c r="L195" s="3">
        <v>64</v>
      </c>
      <c r="M195" s="4">
        <f t="shared" si="17"/>
        <v>0.13165204906520178</v>
      </c>
      <c r="N195" s="4">
        <f t="shared" si="18"/>
        <v>1.5173067804646752E-2</v>
      </c>
      <c r="O195">
        <v>147</v>
      </c>
      <c r="P195" s="5">
        <v>0.83333333333333337</v>
      </c>
      <c r="Q195" s="7">
        <v>1</v>
      </c>
      <c r="R195" t="str">
        <f t="shared" si="24"/>
        <v>нормальный код</v>
      </c>
      <c r="S195" t="str">
        <f t="shared" si="19"/>
        <v>Больше половины</v>
      </c>
      <c r="T195" t="str">
        <f t="shared" si="20"/>
        <v>Вторая четверть</v>
      </c>
      <c r="U195" t="str">
        <f t="shared" si="21"/>
        <v>нормальный код</v>
      </c>
      <c r="V195" t="str">
        <f t="shared" si="22"/>
        <v>Больше половины</v>
      </c>
      <c r="W195" t="str">
        <f t="shared" si="23"/>
        <v>Больше половины</v>
      </c>
      <c r="X195">
        <v>16</v>
      </c>
    </row>
    <row r="196" spans="1:24" x14ac:dyDescent="0.35">
      <c r="A196" s="1" t="s">
        <v>257</v>
      </c>
      <c r="B196" s="2" t="s">
        <v>258</v>
      </c>
      <c r="C196" s="3" t="s">
        <v>13</v>
      </c>
      <c r="D196" s="2" t="s">
        <v>104</v>
      </c>
      <c r="E196" s="3" t="s">
        <v>105</v>
      </c>
      <c r="F196" s="2" t="s">
        <v>71</v>
      </c>
      <c r="G196" s="3" t="s">
        <v>35</v>
      </c>
      <c r="H196" s="2" t="s">
        <v>18</v>
      </c>
      <c r="I196" s="3" t="s">
        <v>19</v>
      </c>
      <c r="J196" s="3">
        <v>31712</v>
      </c>
      <c r="K196" s="3">
        <v>2420</v>
      </c>
      <c r="L196" s="3">
        <v>55</v>
      </c>
      <c r="M196" s="4">
        <f t="shared" ref="M196:M259" si="25">IFERROR(K196/J196,0)</f>
        <v>7.6311806256306763E-2</v>
      </c>
      <c r="N196" s="4">
        <f t="shared" ref="N196:N259" si="26">IFERROR(L196/K196,0)</f>
        <v>2.2727272727272728E-2</v>
      </c>
      <c r="O196">
        <v>436</v>
      </c>
      <c r="P196" s="5">
        <v>1</v>
      </c>
      <c r="Q196" s="7">
        <v>1</v>
      </c>
      <c r="R196" t="str">
        <f t="shared" si="24"/>
        <v>нормальный код</v>
      </c>
      <c r="S196" t="str">
        <f t="shared" ref="S196:S259" si="27">IF(M196&lt;$S$1*0.5,"Низшая четверть",IF(M196&lt;$S$1,"Вторая четверть","Больше половины"))</f>
        <v>Вторая четверть</v>
      </c>
      <c r="T196" t="str">
        <f t="shared" ref="T196:T259" si="28">IF(N196&lt;$T$1*0.5,"Низшая четверть",IF(N196&lt;$T$1,"Вторая четверть","Больше половины"))</f>
        <v>Больше половины</v>
      </c>
      <c r="U196" t="str">
        <f t="shared" ref="U196:U259" si="29">IF(OR(M196&lt;SUMIFS(K:K,Q:Q,1,E:E,E196)/SUMIFS(J:J,Q:Q,1,E:E,E196)*0.5,N196&lt;SUMIFS(L:L,Q:Q,1,E:E,E196)/SUMIFS(K:K,Q:Q,1,E:E,E196)*0.5),"код для проверки","нормальный код")</f>
        <v>нормальный код</v>
      </c>
      <c r="V196" t="str">
        <f t="shared" ref="V196:V259" si="30">IF(M196&lt;SUMIFS(K:K,Q:Q,1,E:E,E196)/SUMIFS(J:J,Q:Q,1,E:E,E196)*0.5,"Низшая четверть",IF(M196&lt;SUMIFS(K:K,Q:Q,1,E:E,E196)/SUMIFS(J:J,Q:Q,1,E:E,E196),"Вторая четверть","Больше половины"))</f>
        <v>Больше половины</v>
      </c>
      <c r="W196" t="str">
        <f t="shared" ref="W196:W259" si="31">IF(N196&lt;SUMIFS(L:L,Q:Q,1,E:E,E196)/SUMIFS(K:K,Q:Q,1,E:E,E196)*0.5,"Низшая четверть",IF(N196&lt;SUMIFS(L:L,Q:Q,1,E:E,E196)/SUMIFS(K:K,Q:Q,1,E:E,E196),"Вторая четверть","Больше половины"))</f>
        <v>Больше половины</v>
      </c>
      <c r="X196">
        <v>14</v>
      </c>
    </row>
    <row r="197" spans="1:24" x14ac:dyDescent="0.35">
      <c r="A197" s="1" t="s">
        <v>1392</v>
      </c>
      <c r="B197" s="2" t="s">
        <v>1393</v>
      </c>
      <c r="C197" s="3" t="s">
        <v>55</v>
      </c>
      <c r="D197" s="2" t="s">
        <v>56</v>
      </c>
      <c r="E197" s="3" t="s">
        <v>472</v>
      </c>
      <c r="F197" s="2" t="s">
        <v>34</v>
      </c>
      <c r="G197" s="3" t="s">
        <v>17</v>
      </c>
      <c r="H197" s="2" t="s">
        <v>18</v>
      </c>
      <c r="I197" s="3" t="s">
        <v>19</v>
      </c>
      <c r="J197" s="3">
        <v>31112</v>
      </c>
      <c r="K197" s="3">
        <v>907</v>
      </c>
      <c r="L197" s="3">
        <v>57</v>
      </c>
      <c r="M197" s="4">
        <f t="shared" si="25"/>
        <v>2.915273849318591E-2</v>
      </c>
      <c r="N197" s="4">
        <f t="shared" si="26"/>
        <v>6.2844542447629548E-2</v>
      </c>
      <c r="O197">
        <v>670</v>
      </c>
      <c r="P197" s="5">
        <v>1</v>
      </c>
      <c r="Q197" s="7">
        <v>1</v>
      </c>
      <c r="R197" t="str">
        <f t="shared" si="24"/>
        <v>код для проверки</v>
      </c>
      <c r="S197" t="str">
        <f t="shared" si="27"/>
        <v>Низшая четверть</v>
      </c>
      <c r="T197" t="str">
        <f t="shared" si="28"/>
        <v>Больше половины</v>
      </c>
      <c r="U197" t="str">
        <f t="shared" si="29"/>
        <v>нормальный код</v>
      </c>
      <c r="V197" t="str">
        <f t="shared" si="30"/>
        <v>Вторая четверть</v>
      </c>
      <c r="W197" t="str">
        <f t="shared" si="31"/>
        <v>Больше половины</v>
      </c>
      <c r="X197">
        <v>18</v>
      </c>
    </row>
    <row r="198" spans="1:24" x14ac:dyDescent="0.35">
      <c r="A198" s="1" t="s">
        <v>205</v>
      </c>
      <c r="B198" s="2" t="s">
        <v>206</v>
      </c>
      <c r="C198" s="3" t="s">
        <v>55</v>
      </c>
      <c r="D198" s="2" t="s">
        <v>147</v>
      </c>
      <c r="E198" s="3" t="s">
        <v>207</v>
      </c>
      <c r="F198" s="2" t="s">
        <v>34</v>
      </c>
      <c r="G198" s="3" t="s">
        <v>17</v>
      </c>
      <c r="H198" s="2" t="s">
        <v>18</v>
      </c>
      <c r="I198" s="3" t="s">
        <v>19</v>
      </c>
      <c r="J198" s="3">
        <v>31107</v>
      </c>
      <c r="K198" s="3">
        <v>2966</v>
      </c>
      <c r="L198" s="3">
        <v>35</v>
      </c>
      <c r="M198" s="4">
        <f t="shared" si="25"/>
        <v>9.5348313884334721E-2</v>
      </c>
      <c r="N198" s="4">
        <f t="shared" si="26"/>
        <v>1.1800404585300068E-2</v>
      </c>
      <c r="O198">
        <v>11</v>
      </c>
      <c r="P198" s="5">
        <v>0.8</v>
      </c>
      <c r="Q198" s="7">
        <v>1</v>
      </c>
      <c r="R198" t="str">
        <f t="shared" si="24"/>
        <v>нормальный код</v>
      </c>
      <c r="S198" t="str">
        <f t="shared" si="27"/>
        <v>Больше половины</v>
      </c>
      <c r="T198" t="str">
        <f t="shared" si="28"/>
        <v>Вторая четверть</v>
      </c>
      <c r="U198" t="str">
        <f t="shared" si="29"/>
        <v>нормальный код</v>
      </c>
      <c r="V198" t="str">
        <f t="shared" si="30"/>
        <v>Вторая четверть</v>
      </c>
      <c r="W198" t="str">
        <f t="shared" si="31"/>
        <v>Вторая четверть</v>
      </c>
      <c r="X198">
        <v>25</v>
      </c>
    </row>
    <row r="199" spans="1:24" x14ac:dyDescent="0.35">
      <c r="A199" s="1" t="s">
        <v>1523</v>
      </c>
      <c r="B199" s="2" t="s">
        <v>1524</v>
      </c>
      <c r="C199" s="3" t="s">
        <v>13</v>
      </c>
      <c r="D199" s="2" t="s">
        <v>77</v>
      </c>
      <c r="E199" s="3" t="s">
        <v>78</v>
      </c>
      <c r="F199" s="2" t="s">
        <v>34</v>
      </c>
      <c r="G199" s="3" t="s">
        <v>17</v>
      </c>
      <c r="H199" s="2" t="s">
        <v>18</v>
      </c>
      <c r="I199" s="3" t="s">
        <v>19</v>
      </c>
      <c r="J199" s="3">
        <v>30978</v>
      </c>
      <c r="K199" s="3">
        <v>2247</v>
      </c>
      <c r="L199" s="3">
        <v>55</v>
      </c>
      <c r="M199" s="4">
        <f t="shared" si="25"/>
        <v>7.2535347666085603E-2</v>
      </c>
      <c r="N199" s="4">
        <f t="shared" si="26"/>
        <v>2.4477080551846907E-2</v>
      </c>
      <c r="O199">
        <v>414</v>
      </c>
      <c r="P199" s="5">
        <v>1</v>
      </c>
      <c r="Q199" s="7">
        <v>1</v>
      </c>
      <c r="R199" t="str">
        <f t="shared" si="24"/>
        <v>нормальный код</v>
      </c>
      <c r="S199" t="str">
        <f t="shared" si="27"/>
        <v>Вторая четверть</v>
      </c>
      <c r="T199" t="str">
        <f t="shared" si="28"/>
        <v>Больше половины</v>
      </c>
      <c r="U199" t="str">
        <f t="shared" si="29"/>
        <v>нормальный код</v>
      </c>
      <c r="V199" t="str">
        <f t="shared" si="30"/>
        <v>Вторая четверть</v>
      </c>
      <c r="W199" t="str">
        <f t="shared" si="31"/>
        <v>Вторая четверть</v>
      </c>
      <c r="X199">
        <v>17</v>
      </c>
    </row>
    <row r="200" spans="1:24" x14ac:dyDescent="0.35">
      <c r="A200" s="1" t="s">
        <v>898</v>
      </c>
      <c r="B200" s="2" t="s">
        <v>899</v>
      </c>
      <c r="C200" s="3" t="s">
        <v>13</v>
      </c>
      <c r="D200" s="2" t="s">
        <v>22</v>
      </c>
      <c r="E200" s="3" t="s">
        <v>66</v>
      </c>
      <c r="F200" s="2" t="s">
        <v>16</v>
      </c>
      <c r="G200" s="3" t="s">
        <v>35</v>
      </c>
      <c r="H200" s="2" t="s">
        <v>18</v>
      </c>
      <c r="I200" s="3" t="s">
        <v>19</v>
      </c>
      <c r="J200" s="3">
        <v>30898</v>
      </c>
      <c r="K200" s="3">
        <v>1254</v>
      </c>
      <c r="L200" s="3">
        <v>16</v>
      </c>
      <c r="M200" s="4">
        <f t="shared" si="25"/>
        <v>4.0585151142468766E-2</v>
      </c>
      <c r="N200" s="4">
        <f t="shared" si="26"/>
        <v>1.2759170653907496E-2</v>
      </c>
      <c r="O200">
        <v>493</v>
      </c>
      <c r="P200" s="5">
        <v>1</v>
      </c>
      <c r="Q200" s="7">
        <v>1</v>
      </c>
      <c r="R200" t="str">
        <f t="shared" si="24"/>
        <v>код для проверки</v>
      </c>
      <c r="S200" t="str">
        <f t="shared" si="27"/>
        <v>Низшая четверть</v>
      </c>
      <c r="T200" t="str">
        <f t="shared" si="28"/>
        <v>Вторая четверть</v>
      </c>
      <c r="U200" t="str">
        <f t="shared" si="29"/>
        <v>нормальный код</v>
      </c>
      <c r="V200" t="str">
        <f t="shared" si="30"/>
        <v>Вторая четверть</v>
      </c>
      <c r="W200" t="str">
        <f t="shared" si="31"/>
        <v>Вторая четверть</v>
      </c>
      <c r="X200">
        <v>15</v>
      </c>
    </row>
    <row r="201" spans="1:24" x14ac:dyDescent="0.35">
      <c r="A201" s="1" t="s">
        <v>497</v>
      </c>
      <c r="B201" s="2" t="s">
        <v>498</v>
      </c>
      <c r="C201" s="3" t="s">
        <v>55</v>
      </c>
      <c r="D201" s="2" t="s">
        <v>147</v>
      </c>
      <c r="E201" s="3" t="s">
        <v>207</v>
      </c>
      <c r="F201" s="2" t="s">
        <v>34</v>
      </c>
      <c r="G201" s="3" t="s">
        <v>17</v>
      </c>
      <c r="H201" s="2" t="s">
        <v>18</v>
      </c>
      <c r="I201" s="3" t="s">
        <v>19</v>
      </c>
      <c r="J201" s="3">
        <v>30666</v>
      </c>
      <c r="K201" s="3">
        <v>3556</v>
      </c>
      <c r="L201" s="3">
        <v>54</v>
      </c>
      <c r="M201" s="4">
        <f t="shared" si="25"/>
        <v>0.11595904258788235</v>
      </c>
      <c r="N201" s="4">
        <f t="shared" si="26"/>
        <v>1.5185601799775027E-2</v>
      </c>
      <c r="O201">
        <v>322</v>
      </c>
      <c r="P201" s="5">
        <v>1</v>
      </c>
      <c r="Q201" s="7">
        <v>1</v>
      </c>
      <c r="R201" t="str">
        <f t="shared" si="24"/>
        <v>нормальный код</v>
      </c>
      <c r="S201" t="str">
        <f t="shared" si="27"/>
        <v>Больше половины</v>
      </c>
      <c r="T201" t="str">
        <f t="shared" si="28"/>
        <v>Вторая четверть</v>
      </c>
      <c r="U201" t="str">
        <f t="shared" si="29"/>
        <v>нормальный код</v>
      </c>
      <c r="V201" t="str">
        <f t="shared" si="30"/>
        <v>Вторая четверть</v>
      </c>
      <c r="W201" t="str">
        <f t="shared" si="31"/>
        <v>Вторая четверть</v>
      </c>
      <c r="X201">
        <v>23</v>
      </c>
    </row>
    <row r="202" spans="1:24" x14ac:dyDescent="0.35">
      <c r="A202" s="1" t="s">
        <v>1186</v>
      </c>
      <c r="B202" s="2" t="s">
        <v>1187</v>
      </c>
      <c r="C202" s="3" t="s">
        <v>13</v>
      </c>
      <c r="D202" s="2" t="s">
        <v>22</v>
      </c>
      <c r="E202" s="3" t="s">
        <v>272</v>
      </c>
      <c r="F202" s="2" t="s">
        <v>123</v>
      </c>
      <c r="G202" s="3" t="s">
        <v>17</v>
      </c>
      <c r="H202" s="2" t="s">
        <v>18</v>
      </c>
      <c r="I202" s="3" t="s">
        <v>19</v>
      </c>
      <c r="J202" s="3">
        <v>30488</v>
      </c>
      <c r="K202" s="3">
        <v>1423</v>
      </c>
      <c r="L202" s="3">
        <v>49</v>
      </c>
      <c r="M202" s="4">
        <f t="shared" si="25"/>
        <v>4.6674101285751772E-2</v>
      </c>
      <c r="N202" s="4">
        <f t="shared" si="26"/>
        <v>3.4434293745607872E-2</v>
      </c>
      <c r="O202">
        <v>133</v>
      </c>
      <c r="P202" s="5">
        <v>1</v>
      </c>
      <c r="Q202" s="7">
        <v>1</v>
      </c>
      <c r="R202" t="str">
        <f t="shared" si="24"/>
        <v>код для проверки</v>
      </c>
      <c r="S202" t="str">
        <f t="shared" si="27"/>
        <v>Низшая четверть</v>
      </c>
      <c r="T202" t="str">
        <f t="shared" si="28"/>
        <v>Больше половины</v>
      </c>
      <c r="U202" t="str">
        <f t="shared" si="29"/>
        <v>нормальный код</v>
      </c>
      <c r="V202" t="str">
        <f t="shared" si="30"/>
        <v>Вторая четверть</v>
      </c>
      <c r="W202" t="str">
        <f t="shared" si="31"/>
        <v>Больше половины</v>
      </c>
      <c r="X202">
        <v>28</v>
      </c>
    </row>
    <row r="203" spans="1:24" x14ac:dyDescent="0.35">
      <c r="A203" s="1" t="s">
        <v>141</v>
      </c>
      <c r="B203" s="2" t="s">
        <v>142</v>
      </c>
      <c r="C203" s="3" t="s">
        <v>13</v>
      </c>
      <c r="D203" s="2" t="s">
        <v>143</v>
      </c>
      <c r="E203" s="3" t="s">
        <v>144</v>
      </c>
      <c r="F203" s="2" t="s">
        <v>34</v>
      </c>
      <c r="G203" s="3" t="s">
        <v>35</v>
      </c>
      <c r="H203" s="2" t="s">
        <v>18</v>
      </c>
      <c r="I203" s="3" t="s">
        <v>19</v>
      </c>
      <c r="J203" s="3">
        <v>30283</v>
      </c>
      <c r="K203" s="3">
        <v>1994</v>
      </c>
      <c r="L203" s="3">
        <v>47</v>
      </c>
      <c r="M203" s="4">
        <f t="shared" si="25"/>
        <v>6.584552389129214E-2</v>
      </c>
      <c r="N203" s="4">
        <f t="shared" si="26"/>
        <v>2.3570712136409228E-2</v>
      </c>
      <c r="O203">
        <v>441</v>
      </c>
      <c r="P203" s="5">
        <v>0.8</v>
      </c>
      <c r="Q203" s="7">
        <v>1</v>
      </c>
      <c r="R203" t="str">
        <f t="shared" si="24"/>
        <v>нормальный код</v>
      </c>
      <c r="S203" t="str">
        <f t="shared" si="27"/>
        <v>Вторая четверть</v>
      </c>
      <c r="T203" t="str">
        <f t="shared" si="28"/>
        <v>Больше половины</v>
      </c>
      <c r="U203" t="str">
        <f t="shared" si="29"/>
        <v>нормальный код</v>
      </c>
      <c r="V203" t="str">
        <f t="shared" si="30"/>
        <v>Больше половины</v>
      </c>
      <c r="W203" t="str">
        <f t="shared" si="31"/>
        <v>Больше половины</v>
      </c>
      <c r="X203">
        <v>27</v>
      </c>
    </row>
    <row r="204" spans="1:24" x14ac:dyDescent="0.35">
      <c r="A204" s="1" t="s">
        <v>1280</v>
      </c>
      <c r="B204" s="2" t="s">
        <v>1281</v>
      </c>
      <c r="C204" s="3" t="s">
        <v>55</v>
      </c>
      <c r="D204" s="2" t="s">
        <v>295</v>
      </c>
      <c r="E204" s="3" t="s">
        <v>674</v>
      </c>
      <c r="F204" s="2" t="s">
        <v>16</v>
      </c>
      <c r="G204" s="3" t="s">
        <v>17</v>
      </c>
      <c r="H204" s="2" t="s">
        <v>97</v>
      </c>
      <c r="I204" s="3" t="s">
        <v>19</v>
      </c>
      <c r="J204" s="3">
        <v>29816</v>
      </c>
      <c r="K204" s="3">
        <v>4588</v>
      </c>
      <c r="L204" s="3">
        <v>105</v>
      </c>
      <c r="M204" s="4">
        <f t="shared" si="25"/>
        <v>0.15387711295948484</v>
      </c>
      <c r="N204" s="4">
        <f t="shared" si="26"/>
        <v>2.2885789014821273E-2</v>
      </c>
      <c r="O204">
        <v>609</v>
      </c>
      <c r="P204" s="5">
        <v>1</v>
      </c>
      <c r="Q204" s="7">
        <v>1</v>
      </c>
      <c r="R204" t="str">
        <f t="shared" si="24"/>
        <v>нормальный код</v>
      </c>
      <c r="S204" t="str">
        <f t="shared" si="27"/>
        <v>Больше половины</v>
      </c>
      <c r="T204" t="str">
        <f t="shared" si="28"/>
        <v>Больше половины</v>
      </c>
      <c r="U204" t="str">
        <f t="shared" si="29"/>
        <v>нормальный код</v>
      </c>
      <c r="V204" t="str">
        <f t="shared" si="30"/>
        <v>Вторая четверть</v>
      </c>
      <c r="W204" t="str">
        <f t="shared" si="31"/>
        <v>Больше половины</v>
      </c>
      <c r="X204">
        <v>12</v>
      </c>
    </row>
    <row r="205" spans="1:24" x14ac:dyDescent="0.35">
      <c r="A205" s="1" t="s">
        <v>1864</v>
      </c>
      <c r="B205" s="2" t="s">
        <v>1865</v>
      </c>
      <c r="C205" s="3" t="s">
        <v>13</v>
      </c>
      <c r="D205" s="2" t="s">
        <v>69</v>
      </c>
      <c r="E205" s="3" t="s">
        <v>159</v>
      </c>
      <c r="F205" s="2" t="s">
        <v>34</v>
      </c>
      <c r="G205" s="3" t="s">
        <v>72</v>
      </c>
      <c r="H205" s="2" t="s">
        <v>18</v>
      </c>
      <c r="I205" s="3" t="s">
        <v>19</v>
      </c>
      <c r="J205" s="3">
        <v>29082</v>
      </c>
      <c r="K205" s="3">
        <v>1808</v>
      </c>
      <c r="L205" s="3">
        <v>75</v>
      </c>
      <c r="M205" s="4">
        <f t="shared" si="25"/>
        <v>6.2169039268275911E-2</v>
      </c>
      <c r="N205" s="4">
        <f t="shared" si="26"/>
        <v>4.1482300884955754E-2</v>
      </c>
      <c r="O205">
        <v>999</v>
      </c>
      <c r="P205" s="5">
        <v>1</v>
      </c>
      <c r="Q205" s="7">
        <v>1</v>
      </c>
      <c r="R205" t="str">
        <f t="shared" si="24"/>
        <v>нормальный код</v>
      </c>
      <c r="S205" t="str">
        <f t="shared" si="27"/>
        <v>Вторая четверть</v>
      </c>
      <c r="T205" t="str">
        <f t="shared" si="28"/>
        <v>Больше половины</v>
      </c>
      <c r="U205" t="str">
        <f t="shared" si="29"/>
        <v>нормальный код</v>
      </c>
      <c r="V205" t="str">
        <f t="shared" si="30"/>
        <v>Вторая четверть</v>
      </c>
      <c r="W205" t="str">
        <f t="shared" si="31"/>
        <v>Больше половины</v>
      </c>
      <c r="X205">
        <v>14</v>
      </c>
    </row>
    <row r="206" spans="1:24" x14ac:dyDescent="0.35">
      <c r="A206" s="1" t="s">
        <v>301</v>
      </c>
      <c r="B206" s="2" t="s">
        <v>302</v>
      </c>
      <c r="C206" s="3" t="s">
        <v>13</v>
      </c>
      <c r="D206" s="2" t="s">
        <v>38</v>
      </c>
      <c r="E206" s="3" t="s">
        <v>39</v>
      </c>
      <c r="F206" s="2" t="s">
        <v>34</v>
      </c>
      <c r="G206" s="3" t="s">
        <v>35</v>
      </c>
      <c r="H206" s="2" t="s">
        <v>18</v>
      </c>
      <c r="I206" s="3" t="s">
        <v>19</v>
      </c>
      <c r="J206" s="3">
        <v>28903</v>
      </c>
      <c r="K206" s="3">
        <v>3705</v>
      </c>
      <c r="L206" s="3">
        <v>55</v>
      </c>
      <c r="M206" s="4">
        <f t="shared" si="25"/>
        <v>0.12818738539251981</v>
      </c>
      <c r="N206" s="4">
        <f t="shared" si="26"/>
        <v>1.4844804318488529E-2</v>
      </c>
      <c r="O206">
        <v>500</v>
      </c>
      <c r="P206" s="5">
        <v>1</v>
      </c>
      <c r="Q206" s="7">
        <v>1</v>
      </c>
      <c r="R206" t="str">
        <f t="shared" si="24"/>
        <v>нормальный код</v>
      </c>
      <c r="S206" t="str">
        <f t="shared" si="27"/>
        <v>Больше половины</v>
      </c>
      <c r="T206" t="str">
        <f t="shared" si="28"/>
        <v>Вторая четверть</v>
      </c>
      <c r="U206" t="str">
        <f t="shared" si="29"/>
        <v>код для проверки</v>
      </c>
      <c r="V206" t="str">
        <f t="shared" si="30"/>
        <v>Больше половины</v>
      </c>
      <c r="W206" t="str">
        <f t="shared" si="31"/>
        <v>Низшая четверть</v>
      </c>
      <c r="X206">
        <v>17</v>
      </c>
    </row>
    <row r="207" spans="1:24" x14ac:dyDescent="0.35">
      <c r="A207" s="1" t="s">
        <v>928</v>
      </c>
      <c r="B207" s="2" t="s">
        <v>929</v>
      </c>
      <c r="C207" s="3" t="s">
        <v>55</v>
      </c>
      <c r="D207" s="2" t="s">
        <v>94</v>
      </c>
      <c r="E207" s="3" t="s">
        <v>95</v>
      </c>
      <c r="F207" s="2" t="s">
        <v>96</v>
      </c>
      <c r="G207" s="3" t="s">
        <v>17</v>
      </c>
      <c r="H207" s="2" t="s">
        <v>97</v>
      </c>
      <c r="I207" s="3" t="s">
        <v>19</v>
      </c>
      <c r="J207" s="3">
        <v>28828</v>
      </c>
      <c r="K207" s="3">
        <v>5423</v>
      </c>
      <c r="L207" s="3">
        <v>34</v>
      </c>
      <c r="M207" s="4">
        <f t="shared" si="25"/>
        <v>0.18811572082697378</v>
      </c>
      <c r="N207" s="4">
        <f t="shared" si="26"/>
        <v>6.269592476489028E-3</v>
      </c>
      <c r="O207">
        <v>2528</v>
      </c>
      <c r="P207" s="5">
        <v>0.55555555555555558</v>
      </c>
      <c r="Q207" s="7">
        <v>1</v>
      </c>
      <c r="R207" t="str">
        <f t="shared" si="24"/>
        <v>код для проверки</v>
      </c>
      <c r="S207" t="str">
        <f t="shared" si="27"/>
        <v>Больше половины</v>
      </c>
      <c r="T207" t="str">
        <f t="shared" si="28"/>
        <v>Низшая четверть</v>
      </c>
      <c r="U207" t="str">
        <f t="shared" si="29"/>
        <v>нормальный код</v>
      </c>
      <c r="V207" t="str">
        <f t="shared" si="30"/>
        <v>Больше половины</v>
      </c>
      <c r="W207" t="str">
        <f t="shared" si="31"/>
        <v>Вторая четверть</v>
      </c>
      <c r="X207">
        <v>26</v>
      </c>
    </row>
    <row r="208" spans="1:24" x14ac:dyDescent="0.35">
      <c r="A208" s="1" t="s">
        <v>573</v>
      </c>
      <c r="B208" s="2" t="s">
        <v>574</v>
      </c>
      <c r="C208" s="3" t="s">
        <v>13</v>
      </c>
      <c r="D208" s="2" t="s">
        <v>49</v>
      </c>
      <c r="E208" s="3" t="s">
        <v>50</v>
      </c>
      <c r="F208" s="2" t="s">
        <v>34</v>
      </c>
      <c r="G208" s="3" t="s">
        <v>17</v>
      </c>
      <c r="H208" s="2" t="s">
        <v>18</v>
      </c>
      <c r="I208" s="3" t="s">
        <v>19</v>
      </c>
      <c r="J208" s="3">
        <v>28815</v>
      </c>
      <c r="K208" s="3">
        <v>2620</v>
      </c>
      <c r="L208" s="3">
        <v>73</v>
      </c>
      <c r="M208" s="4">
        <f t="shared" si="25"/>
        <v>9.092486552142981E-2</v>
      </c>
      <c r="N208" s="4">
        <f t="shared" si="26"/>
        <v>2.7862595419847327E-2</v>
      </c>
      <c r="O208">
        <v>1137</v>
      </c>
      <c r="P208" s="5">
        <v>1</v>
      </c>
      <c r="Q208" s="7">
        <v>1</v>
      </c>
      <c r="R208" t="str">
        <f t="shared" si="24"/>
        <v>нормальный код</v>
      </c>
      <c r="S208" t="str">
        <f t="shared" si="27"/>
        <v>Вторая четверть</v>
      </c>
      <c r="T208" t="str">
        <f t="shared" si="28"/>
        <v>Больше половины</v>
      </c>
      <c r="U208" t="str">
        <f t="shared" si="29"/>
        <v>нормальный код</v>
      </c>
      <c r="V208" t="str">
        <f t="shared" si="30"/>
        <v>Больше половины</v>
      </c>
      <c r="W208" t="str">
        <f t="shared" si="31"/>
        <v>Вторая четверть</v>
      </c>
      <c r="X208">
        <v>19</v>
      </c>
    </row>
    <row r="209" spans="1:24" x14ac:dyDescent="0.35">
      <c r="A209" s="1" t="s">
        <v>445</v>
      </c>
      <c r="B209" s="2" t="s">
        <v>446</v>
      </c>
      <c r="C209" s="3" t="s">
        <v>13</v>
      </c>
      <c r="D209" s="2" t="s">
        <v>32</v>
      </c>
      <c r="E209" s="3" t="s">
        <v>136</v>
      </c>
      <c r="F209" s="2" t="s">
        <v>34</v>
      </c>
      <c r="G209" s="3" t="s">
        <v>17</v>
      </c>
      <c r="H209" s="2" t="s">
        <v>18</v>
      </c>
      <c r="I209" s="3" t="s">
        <v>19</v>
      </c>
      <c r="J209" s="3">
        <v>28772</v>
      </c>
      <c r="K209" s="3">
        <v>3886</v>
      </c>
      <c r="L209" s="3">
        <v>399</v>
      </c>
      <c r="M209" s="4">
        <f t="shared" si="25"/>
        <v>0.13506186570276657</v>
      </c>
      <c r="N209" s="4">
        <f t="shared" si="26"/>
        <v>0.10267627380339681</v>
      </c>
      <c r="O209">
        <v>1</v>
      </c>
      <c r="P209" s="5">
        <v>1</v>
      </c>
      <c r="Q209" s="7">
        <v>0</v>
      </c>
      <c r="R209" t="s">
        <v>2350</v>
      </c>
      <c r="S209" t="str">
        <f t="shared" si="27"/>
        <v>Больше половины</v>
      </c>
      <c r="T209" t="str">
        <f t="shared" si="28"/>
        <v>Больше половины</v>
      </c>
      <c r="U209" t="str">
        <f t="shared" si="29"/>
        <v>нормальный код</v>
      </c>
      <c r="V209" t="str">
        <f t="shared" si="30"/>
        <v>Вторая четверть</v>
      </c>
      <c r="W209" t="str">
        <f t="shared" si="31"/>
        <v>Вторая четверть</v>
      </c>
      <c r="X209">
        <v>5</v>
      </c>
    </row>
    <row r="210" spans="1:24" x14ac:dyDescent="0.35">
      <c r="A210" s="1" t="s">
        <v>1088</v>
      </c>
      <c r="B210" s="2" t="s">
        <v>1089</v>
      </c>
      <c r="C210" s="3" t="s">
        <v>55</v>
      </c>
      <c r="D210" s="2" t="s">
        <v>295</v>
      </c>
      <c r="E210" s="3" t="s">
        <v>296</v>
      </c>
      <c r="F210" s="2" t="s">
        <v>61</v>
      </c>
      <c r="G210" s="3" t="s">
        <v>17</v>
      </c>
      <c r="H210" s="2" t="s">
        <v>97</v>
      </c>
      <c r="I210" s="3" t="s">
        <v>19</v>
      </c>
      <c r="J210" s="3">
        <v>28756</v>
      </c>
      <c r="K210" s="3">
        <v>10612</v>
      </c>
      <c r="L210" s="3">
        <v>185</v>
      </c>
      <c r="M210" s="4">
        <f t="shared" si="25"/>
        <v>0.36903602726387535</v>
      </c>
      <c r="N210" s="4">
        <f t="shared" si="26"/>
        <v>1.7433094609875611E-2</v>
      </c>
      <c r="O210">
        <v>426</v>
      </c>
      <c r="P210" s="5">
        <v>1</v>
      </c>
      <c r="Q210" s="7">
        <v>1</v>
      </c>
      <c r="R210" t="str">
        <f t="shared" ref="R210:R273" si="32">IF(OR(M210&lt;$S$1*0.5,N210&lt;$T$1*0.5),"код для проверки","нормальный код")</f>
        <v>нормальный код</v>
      </c>
      <c r="S210" t="str">
        <f t="shared" si="27"/>
        <v>Больше половины</v>
      </c>
      <c r="T210" t="str">
        <f t="shared" si="28"/>
        <v>Вторая четверть</v>
      </c>
      <c r="U210" t="str">
        <f t="shared" si="29"/>
        <v>нормальный код</v>
      </c>
      <c r="V210" t="str">
        <f t="shared" si="30"/>
        <v>Больше половины</v>
      </c>
      <c r="W210" t="str">
        <f t="shared" si="31"/>
        <v>Больше половины</v>
      </c>
      <c r="X210">
        <v>15</v>
      </c>
    </row>
    <row r="211" spans="1:24" x14ac:dyDescent="0.35">
      <c r="A211" s="1" t="s">
        <v>1418</v>
      </c>
      <c r="B211" s="2" t="s">
        <v>1419</v>
      </c>
      <c r="C211" s="3" t="s">
        <v>55</v>
      </c>
      <c r="D211" s="2" t="s">
        <v>340</v>
      </c>
      <c r="E211" s="3" t="s">
        <v>341</v>
      </c>
      <c r="F211" s="2" t="s">
        <v>96</v>
      </c>
      <c r="G211" s="3" t="s">
        <v>17</v>
      </c>
      <c r="H211" s="2" t="s">
        <v>97</v>
      </c>
      <c r="I211" s="3" t="s">
        <v>19</v>
      </c>
      <c r="J211" s="3">
        <v>28410</v>
      </c>
      <c r="K211" s="3">
        <v>3866</v>
      </c>
      <c r="L211" s="3">
        <v>68</v>
      </c>
      <c r="M211" s="4">
        <f t="shared" si="25"/>
        <v>0.13607884547694474</v>
      </c>
      <c r="N211" s="4">
        <f t="shared" si="26"/>
        <v>1.7589239524055871E-2</v>
      </c>
      <c r="O211">
        <v>1453</v>
      </c>
      <c r="P211" s="5">
        <v>1</v>
      </c>
      <c r="Q211" s="7">
        <v>1</v>
      </c>
      <c r="R211" t="str">
        <f t="shared" si="32"/>
        <v>нормальный код</v>
      </c>
      <c r="S211" t="str">
        <f t="shared" si="27"/>
        <v>Больше половины</v>
      </c>
      <c r="T211" t="str">
        <f t="shared" si="28"/>
        <v>Вторая четверть</v>
      </c>
      <c r="U211" t="str">
        <f t="shared" si="29"/>
        <v>нормальный код</v>
      </c>
      <c r="V211" t="str">
        <f t="shared" si="30"/>
        <v>Больше половины</v>
      </c>
      <c r="W211" t="str">
        <f t="shared" si="31"/>
        <v>Больше половины</v>
      </c>
      <c r="X211">
        <v>13</v>
      </c>
    </row>
    <row r="212" spans="1:24" x14ac:dyDescent="0.35">
      <c r="A212" s="1" t="s">
        <v>1882</v>
      </c>
      <c r="B212" s="2" t="s">
        <v>1883</v>
      </c>
      <c r="C212" s="3" t="s">
        <v>55</v>
      </c>
      <c r="D212" s="2" t="s">
        <v>295</v>
      </c>
      <c r="E212" s="3" t="s">
        <v>674</v>
      </c>
      <c r="F212" s="2" t="s">
        <v>16</v>
      </c>
      <c r="G212" s="3" t="s">
        <v>17</v>
      </c>
      <c r="H212" s="2" t="s">
        <v>97</v>
      </c>
      <c r="I212" s="3" t="s">
        <v>19</v>
      </c>
      <c r="J212" s="3">
        <v>28255</v>
      </c>
      <c r="K212" s="3">
        <v>4310</v>
      </c>
      <c r="L212" s="3">
        <v>21</v>
      </c>
      <c r="M212" s="4">
        <f t="shared" si="25"/>
        <v>0.15253937356220137</v>
      </c>
      <c r="N212" s="4">
        <f t="shared" si="26"/>
        <v>4.8723897911832946E-3</v>
      </c>
      <c r="O212">
        <v>672</v>
      </c>
      <c r="P212" s="5">
        <v>1</v>
      </c>
      <c r="Q212" s="7">
        <v>1</v>
      </c>
      <c r="R212" t="str">
        <f t="shared" si="32"/>
        <v>код для проверки</v>
      </c>
      <c r="S212" t="str">
        <f t="shared" si="27"/>
        <v>Больше половины</v>
      </c>
      <c r="T212" t="str">
        <f t="shared" si="28"/>
        <v>Низшая четверть</v>
      </c>
      <c r="U212" t="str">
        <f t="shared" si="29"/>
        <v>код для проверки</v>
      </c>
      <c r="V212" t="str">
        <f t="shared" si="30"/>
        <v>Вторая четверть</v>
      </c>
      <c r="W212" t="str">
        <f t="shared" si="31"/>
        <v>Низшая четверть</v>
      </c>
      <c r="X212">
        <v>13</v>
      </c>
    </row>
    <row r="213" spans="1:24" x14ac:dyDescent="0.35">
      <c r="A213" s="1" t="s">
        <v>149</v>
      </c>
      <c r="B213" s="2" t="s">
        <v>150</v>
      </c>
      <c r="C213" s="3" t="s">
        <v>13</v>
      </c>
      <c r="D213" s="2" t="s">
        <v>22</v>
      </c>
      <c r="E213" s="3" t="s">
        <v>23</v>
      </c>
      <c r="F213" s="2" t="s">
        <v>16</v>
      </c>
      <c r="G213" s="3" t="s">
        <v>35</v>
      </c>
      <c r="H213" s="2" t="s">
        <v>18</v>
      </c>
      <c r="I213" s="3" t="s">
        <v>19</v>
      </c>
      <c r="J213" s="3">
        <v>28190</v>
      </c>
      <c r="K213" s="3">
        <v>3894</v>
      </c>
      <c r="L213" s="3">
        <v>34</v>
      </c>
      <c r="M213" s="4">
        <f t="shared" si="25"/>
        <v>0.13813409010287336</v>
      </c>
      <c r="N213" s="4">
        <f t="shared" si="26"/>
        <v>8.7313816127375446E-3</v>
      </c>
      <c r="O213">
        <v>454</v>
      </c>
      <c r="P213" s="5">
        <v>1</v>
      </c>
      <c r="Q213" s="7">
        <v>1</v>
      </c>
      <c r="R213" t="str">
        <f t="shared" si="32"/>
        <v>код для проверки</v>
      </c>
      <c r="S213" t="str">
        <f t="shared" si="27"/>
        <v>Больше половины</v>
      </c>
      <c r="T213" t="str">
        <f t="shared" si="28"/>
        <v>Низшая четверть</v>
      </c>
      <c r="U213" t="str">
        <f t="shared" si="29"/>
        <v>нормальный код</v>
      </c>
      <c r="V213" t="str">
        <f t="shared" si="30"/>
        <v>Больше половины</v>
      </c>
      <c r="W213" t="str">
        <f t="shared" si="31"/>
        <v>Вторая четверть</v>
      </c>
      <c r="X213">
        <v>7</v>
      </c>
    </row>
    <row r="214" spans="1:24" x14ac:dyDescent="0.35">
      <c r="A214" s="1" t="s">
        <v>263</v>
      </c>
      <c r="B214" s="2" t="s">
        <v>264</v>
      </c>
      <c r="C214" s="3" t="s">
        <v>13</v>
      </c>
      <c r="D214" s="2" t="s">
        <v>143</v>
      </c>
      <c r="E214" s="3" t="s">
        <v>144</v>
      </c>
      <c r="F214" s="2" t="s">
        <v>34</v>
      </c>
      <c r="G214" s="3" t="s">
        <v>35</v>
      </c>
      <c r="H214" s="2" t="s">
        <v>18</v>
      </c>
      <c r="I214" s="3" t="s">
        <v>19</v>
      </c>
      <c r="J214" s="3">
        <v>27838</v>
      </c>
      <c r="K214" s="3">
        <v>1748</v>
      </c>
      <c r="L214" s="3">
        <v>19</v>
      </c>
      <c r="M214" s="4">
        <f t="shared" si="25"/>
        <v>6.2791867231841367E-2</v>
      </c>
      <c r="N214" s="4">
        <f t="shared" si="26"/>
        <v>1.0869565217391304E-2</v>
      </c>
      <c r="O214">
        <v>27</v>
      </c>
      <c r="P214" s="5">
        <v>0.6</v>
      </c>
      <c r="Q214" s="7">
        <v>1</v>
      </c>
      <c r="R214" t="str">
        <f t="shared" si="32"/>
        <v>нормальный код</v>
      </c>
      <c r="S214" t="str">
        <f t="shared" si="27"/>
        <v>Вторая четверть</v>
      </c>
      <c r="T214" t="str">
        <f t="shared" si="28"/>
        <v>Вторая четверть</v>
      </c>
      <c r="U214" t="str">
        <f t="shared" si="29"/>
        <v>нормальный код</v>
      </c>
      <c r="V214" t="str">
        <f t="shared" si="30"/>
        <v>Больше половины</v>
      </c>
      <c r="W214" t="str">
        <f t="shared" si="31"/>
        <v>Вторая четверть</v>
      </c>
      <c r="X214">
        <v>27</v>
      </c>
    </row>
    <row r="215" spans="1:24" x14ac:dyDescent="0.35">
      <c r="A215" s="1" t="s">
        <v>525</v>
      </c>
      <c r="B215" s="2" t="s">
        <v>526</v>
      </c>
      <c r="C215" s="3" t="s">
        <v>13</v>
      </c>
      <c r="D215" s="2" t="s">
        <v>77</v>
      </c>
      <c r="E215" s="3" t="s">
        <v>380</v>
      </c>
      <c r="F215" s="2" t="s">
        <v>61</v>
      </c>
      <c r="G215" s="3" t="s">
        <v>17</v>
      </c>
      <c r="H215" s="2" t="s">
        <v>18</v>
      </c>
      <c r="I215" s="3" t="s">
        <v>19</v>
      </c>
      <c r="J215" s="3">
        <v>27779</v>
      </c>
      <c r="K215" s="3">
        <v>1707</v>
      </c>
      <c r="L215" s="3">
        <v>48</v>
      </c>
      <c r="M215" s="4">
        <f t="shared" si="25"/>
        <v>6.1449296230965837E-2</v>
      </c>
      <c r="N215" s="4">
        <f t="shared" si="26"/>
        <v>2.8119507908611598E-2</v>
      </c>
      <c r="O215">
        <v>315</v>
      </c>
      <c r="P215" s="5">
        <v>1</v>
      </c>
      <c r="Q215" s="7">
        <v>1</v>
      </c>
      <c r="R215" t="str">
        <f t="shared" si="32"/>
        <v>нормальный код</v>
      </c>
      <c r="S215" t="str">
        <f t="shared" si="27"/>
        <v>Вторая четверть</v>
      </c>
      <c r="T215" t="str">
        <f t="shared" si="28"/>
        <v>Больше половины</v>
      </c>
      <c r="U215" t="str">
        <f t="shared" si="29"/>
        <v>нормальный код</v>
      </c>
      <c r="V215" t="str">
        <f t="shared" si="30"/>
        <v>Вторая четверть</v>
      </c>
      <c r="W215" t="str">
        <f t="shared" si="31"/>
        <v>Больше половины</v>
      </c>
      <c r="X215">
        <v>15</v>
      </c>
    </row>
    <row r="216" spans="1:24" x14ac:dyDescent="0.35">
      <c r="A216" s="1" t="s">
        <v>360</v>
      </c>
      <c r="B216" s="2" t="s">
        <v>361</v>
      </c>
      <c r="C216" s="3" t="s">
        <v>13</v>
      </c>
      <c r="D216" s="2" t="s">
        <v>38</v>
      </c>
      <c r="E216" s="3" t="s">
        <v>39</v>
      </c>
      <c r="F216" s="2" t="s">
        <v>34</v>
      </c>
      <c r="G216" s="3" t="s">
        <v>17</v>
      </c>
      <c r="H216" s="2" t="s">
        <v>18</v>
      </c>
      <c r="I216" s="3" t="s">
        <v>19</v>
      </c>
      <c r="J216" s="3">
        <v>27731</v>
      </c>
      <c r="K216" s="3">
        <v>2349</v>
      </c>
      <c r="L216" s="3">
        <v>55</v>
      </c>
      <c r="M216" s="4">
        <f t="shared" si="25"/>
        <v>8.470664599185028E-2</v>
      </c>
      <c r="N216" s="4">
        <f t="shared" si="26"/>
        <v>2.3414218816517667E-2</v>
      </c>
      <c r="O216">
        <v>692</v>
      </c>
      <c r="P216" s="5">
        <v>1</v>
      </c>
      <c r="Q216" s="7">
        <v>1</v>
      </c>
      <c r="R216" t="str">
        <f t="shared" si="32"/>
        <v>нормальный код</v>
      </c>
      <c r="S216" t="str">
        <f t="shared" si="27"/>
        <v>Вторая четверть</v>
      </c>
      <c r="T216" t="str">
        <f t="shared" si="28"/>
        <v>Больше половины</v>
      </c>
      <c r="U216" t="str">
        <f t="shared" si="29"/>
        <v>нормальный код</v>
      </c>
      <c r="V216" t="str">
        <f t="shared" si="30"/>
        <v>Больше половины</v>
      </c>
      <c r="W216" t="str">
        <f t="shared" si="31"/>
        <v>Вторая четверть</v>
      </c>
      <c r="X216">
        <v>24</v>
      </c>
    </row>
    <row r="217" spans="1:24" x14ac:dyDescent="0.35">
      <c r="A217" s="1" t="s">
        <v>1900</v>
      </c>
      <c r="B217" s="2" t="s">
        <v>1901</v>
      </c>
      <c r="C217" s="3" t="s">
        <v>55</v>
      </c>
      <c r="D217" s="2" t="s">
        <v>295</v>
      </c>
      <c r="E217" s="3" t="s">
        <v>1373</v>
      </c>
      <c r="F217" s="2" t="s">
        <v>71</v>
      </c>
      <c r="G217" s="3" t="s">
        <v>17</v>
      </c>
      <c r="H217" s="2" t="s">
        <v>97</v>
      </c>
      <c r="I217" s="3" t="s">
        <v>19</v>
      </c>
      <c r="J217" s="3">
        <v>27661</v>
      </c>
      <c r="K217" s="3">
        <v>1870</v>
      </c>
      <c r="L217" s="3">
        <v>12</v>
      </c>
      <c r="M217" s="4">
        <f t="shared" si="25"/>
        <v>6.7604208090813786E-2</v>
      </c>
      <c r="N217" s="4">
        <f t="shared" si="26"/>
        <v>6.4171122994652408E-3</v>
      </c>
      <c r="O217">
        <v>450</v>
      </c>
      <c r="P217" s="5">
        <v>1</v>
      </c>
      <c r="Q217" s="7">
        <v>1</v>
      </c>
      <c r="R217" t="str">
        <f t="shared" si="32"/>
        <v>код для проверки</v>
      </c>
      <c r="S217" t="str">
        <f t="shared" si="27"/>
        <v>Вторая четверть</v>
      </c>
      <c r="T217" t="str">
        <f t="shared" si="28"/>
        <v>Низшая четверть</v>
      </c>
      <c r="U217" t="str">
        <f t="shared" si="29"/>
        <v>нормальный код</v>
      </c>
      <c r="V217" t="str">
        <f t="shared" si="30"/>
        <v>Вторая четверть</v>
      </c>
      <c r="W217" t="str">
        <f t="shared" si="31"/>
        <v>Вторая четверть</v>
      </c>
      <c r="X217">
        <v>13</v>
      </c>
    </row>
    <row r="218" spans="1:24" x14ac:dyDescent="0.35">
      <c r="A218" s="1" t="s">
        <v>1115</v>
      </c>
      <c r="B218" s="2" t="s">
        <v>1116</v>
      </c>
      <c r="C218" s="3" t="s">
        <v>55</v>
      </c>
      <c r="D218" s="2" t="s">
        <v>295</v>
      </c>
      <c r="E218" s="3" t="s">
        <v>674</v>
      </c>
      <c r="F218" s="2" t="s">
        <v>16</v>
      </c>
      <c r="G218" s="3" t="s">
        <v>17</v>
      </c>
      <c r="H218" s="2" t="s">
        <v>97</v>
      </c>
      <c r="I218" s="3" t="s">
        <v>19</v>
      </c>
      <c r="J218" s="3">
        <v>27620</v>
      </c>
      <c r="K218" s="3">
        <v>3493</v>
      </c>
      <c r="L218" s="3">
        <v>77</v>
      </c>
      <c r="M218" s="4">
        <f t="shared" si="25"/>
        <v>0.12646632874728458</v>
      </c>
      <c r="N218" s="4">
        <f t="shared" si="26"/>
        <v>2.2044088176352707E-2</v>
      </c>
      <c r="O218">
        <v>514</v>
      </c>
      <c r="P218" s="5">
        <v>1</v>
      </c>
      <c r="Q218" s="7">
        <v>1</v>
      </c>
      <c r="R218" t="str">
        <f t="shared" si="32"/>
        <v>нормальный код</v>
      </c>
      <c r="S218" t="str">
        <f t="shared" si="27"/>
        <v>Больше половины</v>
      </c>
      <c r="T218" t="str">
        <f t="shared" si="28"/>
        <v>Больше половины</v>
      </c>
      <c r="U218" t="str">
        <f t="shared" si="29"/>
        <v>нормальный код</v>
      </c>
      <c r="V218" t="str">
        <f t="shared" si="30"/>
        <v>Вторая четверть</v>
      </c>
      <c r="W218" t="str">
        <f t="shared" si="31"/>
        <v>Вторая четверть</v>
      </c>
      <c r="X218">
        <v>19</v>
      </c>
    </row>
    <row r="219" spans="1:24" x14ac:dyDescent="0.35">
      <c r="A219" s="1" t="s">
        <v>1290</v>
      </c>
      <c r="B219" s="2" t="s">
        <v>1291</v>
      </c>
      <c r="C219" s="3" t="s">
        <v>55</v>
      </c>
      <c r="D219" s="2" t="s">
        <v>985</v>
      </c>
      <c r="E219" s="3" t="s">
        <v>986</v>
      </c>
      <c r="F219" s="2" t="s">
        <v>34</v>
      </c>
      <c r="G219" s="3" t="s">
        <v>17</v>
      </c>
      <c r="H219" s="2" t="s">
        <v>18</v>
      </c>
      <c r="I219" s="3" t="s">
        <v>19</v>
      </c>
      <c r="J219" s="3">
        <v>27287</v>
      </c>
      <c r="K219" s="3">
        <v>1027</v>
      </c>
      <c r="L219" s="3">
        <v>40</v>
      </c>
      <c r="M219" s="4">
        <f t="shared" si="25"/>
        <v>3.763696998570748E-2</v>
      </c>
      <c r="N219" s="4">
        <f t="shared" si="26"/>
        <v>3.8948393378773129E-2</v>
      </c>
      <c r="O219">
        <v>378</v>
      </c>
      <c r="P219" s="5">
        <v>1</v>
      </c>
      <c r="Q219" s="7">
        <v>1</v>
      </c>
      <c r="R219" t="str">
        <f t="shared" si="32"/>
        <v>код для проверки</v>
      </c>
      <c r="S219" t="str">
        <f t="shared" si="27"/>
        <v>Низшая четверть</v>
      </c>
      <c r="T219" t="str">
        <f t="shared" si="28"/>
        <v>Больше половины</v>
      </c>
      <c r="U219" t="str">
        <f t="shared" si="29"/>
        <v>нормальный код</v>
      </c>
      <c r="V219" t="str">
        <f t="shared" si="30"/>
        <v>Вторая четверть</v>
      </c>
      <c r="W219" t="str">
        <f t="shared" si="31"/>
        <v>Больше половины</v>
      </c>
      <c r="X219">
        <v>10</v>
      </c>
    </row>
    <row r="220" spans="1:24" x14ac:dyDescent="0.35">
      <c r="A220" s="1" t="s">
        <v>119</v>
      </c>
      <c r="B220" s="2" t="s">
        <v>120</v>
      </c>
      <c r="C220" s="3" t="s">
        <v>13</v>
      </c>
      <c r="D220" s="2" t="s">
        <v>121</v>
      </c>
      <c r="E220" s="3" t="s">
        <v>122</v>
      </c>
      <c r="F220" s="2" t="s">
        <v>123</v>
      </c>
      <c r="G220" s="3" t="s">
        <v>17</v>
      </c>
      <c r="H220" s="2" t="s">
        <v>18</v>
      </c>
      <c r="I220" s="3" t="s">
        <v>19</v>
      </c>
      <c r="J220" s="3">
        <v>27111</v>
      </c>
      <c r="K220" s="3">
        <v>1921</v>
      </c>
      <c r="L220" s="3">
        <v>14</v>
      </c>
      <c r="M220" s="4">
        <f t="shared" si="25"/>
        <v>7.0856847773966281E-2</v>
      </c>
      <c r="N220" s="4">
        <f t="shared" si="26"/>
        <v>7.2878709005726183E-3</v>
      </c>
      <c r="O220">
        <v>27</v>
      </c>
      <c r="P220" s="5">
        <v>0.8</v>
      </c>
      <c r="Q220" s="7">
        <v>1</v>
      </c>
      <c r="R220" t="str">
        <f t="shared" si="32"/>
        <v>код для проверки</v>
      </c>
      <c r="S220" t="str">
        <f t="shared" si="27"/>
        <v>Вторая четверть</v>
      </c>
      <c r="T220" t="str">
        <f t="shared" si="28"/>
        <v>Низшая четверть</v>
      </c>
      <c r="U220" t="str">
        <f t="shared" si="29"/>
        <v>нормальный код</v>
      </c>
      <c r="V220" t="str">
        <f t="shared" si="30"/>
        <v>Вторая четверть</v>
      </c>
      <c r="W220" t="str">
        <f t="shared" si="31"/>
        <v>Вторая четверть</v>
      </c>
      <c r="X220">
        <v>13</v>
      </c>
    </row>
    <row r="221" spans="1:24" x14ac:dyDescent="0.35">
      <c r="A221" s="1" t="s">
        <v>1176</v>
      </c>
      <c r="B221" s="2" t="s">
        <v>1177</v>
      </c>
      <c r="C221" s="3" t="s">
        <v>13</v>
      </c>
      <c r="D221" s="2" t="s">
        <v>121</v>
      </c>
      <c r="E221" s="3" t="s">
        <v>606</v>
      </c>
      <c r="F221" s="2" t="s">
        <v>71</v>
      </c>
      <c r="G221" s="3" t="s">
        <v>17</v>
      </c>
      <c r="H221" s="2" t="s">
        <v>18</v>
      </c>
      <c r="I221" s="3" t="s">
        <v>19</v>
      </c>
      <c r="J221" s="3">
        <v>27052</v>
      </c>
      <c r="K221" s="3">
        <v>2591</v>
      </c>
      <c r="L221" s="3">
        <v>56</v>
      </c>
      <c r="M221" s="4">
        <f t="shared" si="25"/>
        <v>9.577850066538518E-2</v>
      </c>
      <c r="N221" s="4">
        <f t="shared" si="26"/>
        <v>2.1613276727132383E-2</v>
      </c>
      <c r="O221">
        <v>347</v>
      </c>
      <c r="P221" s="5">
        <v>1</v>
      </c>
      <c r="Q221" s="7">
        <v>1</v>
      </c>
      <c r="R221" t="str">
        <f t="shared" si="32"/>
        <v>нормальный код</v>
      </c>
      <c r="S221" t="str">
        <f t="shared" si="27"/>
        <v>Больше половины</v>
      </c>
      <c r="T221" t="str">
        <f t="shared" si="28"/>
        <v>Больше половины</v>
      </c>
      <c r="U221" t="str">
        <f t="shared" si="29"/>
        <v>нормальный код</v>
      </c>
      <c r="V221" t="str">
        <f t="shared" si="30"/>
        <v>Больше половины</v>
      </c>
      <c r="W221" t="str">
        <f t="shared" si="31"/>
        <v>Больше половины</v>
      </c>
      <c r="X221">
        <v>16</v>
      </c>
    </row>
    <row r="222" spans="1:24" x14ac:dyDescent="0.35">
      <c r="A222" s="1" t="s">
        <v>2056</v>
      </c>
      <c r="B222" s="2" t="s">
        <v>2057</v>
      </c>
      <c r="C222" s="3" t="s">
        <v>13</v>
      </c>
      <c r="D222" s="2" t="s">
        <v>69</v>
      </c>
      <c r="E222" s="3" t="s">
        <v>269</v>
      </c>
      <c r="F222" s="2" t="s">
        <v>71</v>
      </c>
      <c r="G222" s="3" t="s">
        <v>72</v>
      </c>
      <c r="H222" s="2" t="s">
        <v>18</v>
      </c>
      <c r="I222" s="3" t="s">
        <v>19</v>
      </c>
      <c r="J222" s="3">
        <v>27000</v>
      </c>
      <c r="K222" s="3">
        <v>1809</v>
      </c>
      <c r="L222" s="3">
        <v>36</v>
      </c>
      <c r="M222" s="4">
        <f t="shared" si="25"/>
        <v>6.7000000000000004E-2</v>
      </c>
      <c r="N222" s="4">
        <f t="shared" si="26"/>
        <v>1.9900497512437811E-2</v>
      </c>
      <c r="O222">
        <v>712</v>
      </c>
      <c r="P222" s="5">
        <v>1</v>
      </c>
      <c r="Q222" s="7">
        <v>1</v>
      </c>
      <c r="R222" t="str">
        <f t="shared" si="32"/>
        <v>нормальный код</v>
      </c>
      <c r="S222" t="str">
        <f t="shared" si="27"/>
        <v>Вторая четверть</v>
      </c>
      <c r="T222" t="str">
        <f t="shared" si="28"/>
        <v>Вторая четверть</v>
      </c>
      <c r="U222" t="str">
        <f t="shared" si="29"/>
        <v>нормальный код</v>
      </c>
      <c r="V222" t="str">
        <f t="shared" si="30"/>
        <v>Вторая четверть</v>
      </c>
      <c r="W222" t="str">
        <f t="shared" si="31"/>
        <v>Вторая четверть</v>
      </c>
      <c r="X222">
        <v>11</v>
      </c>
    </row>
    <row r="223" spans="1:24" x14ac:dyDescent="0.35">
      <c r="A223" s="1" t="s">
        <v>126</v>
      </c>
      <c r="B223" s="2" t="s">
        <v>127</v>
      </c>
      <c r="C223" s="3" t="s">
        <v>13</v>
      </c>
      <c r="D223" s="2" t="s">
        <v>22</v>
      </c>
      <c r="E223" s="3" t="s">
        <v>66</v>
      </c>
      <c r="F223" s="2" t="s">
        <v>16</v>
      </c>
      <c r="G223" s="3" t="s">
        <v>35</v>
      </c>
      <c r="H223" s="2" t="s">
        <v>18</v>
      </c>
      <c r="I223" s="3" t="s">
        <v>19</v>
      </c>
      <c r="J223" s="3">
        <v>26773</v>
      </c>
      <c r="K223" s="3">
        <v>1153</v>
      </c>
      <c r="L223" s="3">
        <v>18</v>
      </c>
      <c r="M223" s="4">
        <f t="shared" si="25"/>
        <v>4.3065775221305044E-2</v>
      </c>
      <c r="N223" s="4">
        <f t="shared" si="26"/>
        <v>1.5611448395490026E-2</v>
      </c>
      <c r="O223">
        <v>603</v>
      </c>
      <c r="P223" s="5">
        <v>1</v>
      </c>
      <c r="Q223" s="7">
        <v>1</v>
      </c>
      <c r="R223" t="str">
        <f t="shared" si="32"/>
        <v>код для проверки</v>
      </c>
      <c r="S223" t="str">
        <f t="shared" si="27"/>
        <v>Низшая четверть</v>
      </c>
      <c r="T223" t="str">
        <f t="shared" si="28"/>
        <v>Вторая четверть</v>
      </c>
      <c r="U223" t="str">
        <f t="shared" si="29"/>
        <v>нормальный код</v>
      </c>
      <c r="V223" t="str">
        <f t="shared" si="30"/>
        <v>Вторая четверть</v>
      </c>
      <c r="W223" t="str">
        <f t="shared" si="31"/>
        <v>Вторая четверть</v>
      </c>
      <c r="X223">
        <v>20</v>
      </c>
    </row>
    <row r="224" spans="1:24" x14ac:dyDescent="0.35">
      <c r="A224" s="1" t="s">
        <v>2102</v>
      </c>
      <c r="B224" s="2" t="s">
        <v>2103</v>
      </c>
      <c r="C224" s="3" t="s">
        <v>13</v>
      </c>
      <c r="D224" s="2" t="s">
        <v>104</v>
      </c>
      <c r="E224" s="3" t="s">
        <v>711</v>
      </c>
      <c r="F224" s="2" t="s">
        <v>96</v>
      </c>
      <c r="G224" s="3" t="s">
        <v>17</v>
      </c>
      <c r="H224" s="2" t="s">
        <v>18</v>
      </c>
      <c r="I224" s="3" t="s">
        <v>19</v>
      </c>
      <c r="J224" s="3">
        <v>26734</v>
      </c>
      <c r="K224" s="3">
        <v>2461</v>
      </c>
      <c r="L224" s="3">
        <v>135</v>
      </c>
      <c r="M224" s="4">
        <f t="shared" si="25"/>
        <v>9.2055060971048097E-2</v>
      </c>
      <c r="N224" s="4">
        <f t="shared" si="26"/>
        <v>5.4855749695245835E-2</v>
      </c>
      <c r="O224">
        <v>637</v>
      </c>
      <c r="P224" s="5">
        <v>0.875</v>
      </c>
      <c r="Q224" s="7">
        <v>1</v>
      </c>
      <c r="R224" t="str">
        <f t="shared" si="32"/>
        <v>нормальный код</v>
      </c>
      <c r="S224" t="str">
        <f t="shared" si="27"/>
        <v>Вторая четверть</v>
      </c>
      <c r="T224" t="str">
        <f t="shared" si="28"/>
        <v>Больше половины</v>
      </c>
      <c r="U224" t="str">
        <f t="shared" si="29"/>
        <v>нормальный код</v>
      </c>
      <c r="V224" t="str">
        <f t="shared" si="30"/>
        <v>Больше половины</v>
      </c>
      <c r="W224" t="str">
        <f t="shared" si="31"/>
        <v>Больше половины</v>
      </c>
      <c r="X224">
        <v>20</v>
      </c>
    </row>
    <row r="225" spans="1:24" x14ac:dyDescent="0.35">
      <c r="A225" s="1" t="s">
        <v>466</v>
      </c>
      <c r="B225" s="2" t="s">
        <v>467</v>
      </c>
      <c r="C225" s="3" t="s">
        <v>55</v>
      </c>
      <c r="D225" s="2" t="s">
        <v>295</v>
      </c>
      <c r="E225" s="3" t="s">
        <v>296</v>
      </c>
      <c r="F225" s="2" t="s">
        <v>61</v>
      </c>
      <c r="G225" s="3" t="s">
        <v>17</v>
      </c>
      <c r="H225" s="2" t="s">
        <v>97</v>
      </c>
      <c r="I225" s="3" t="s">
        <v>19</v>
      </c>
      <c r="J225" s="3">
        <v>26529</v>
      </c>
      <c r="K225" s="3">
        <v>11533</v>
      </c>
      <c r="L225" s="3">
        <v>80</v>
      </c>
      <c r="M225" s="4">
        <f t="shared" si="25"/>
        <v>0.43473180293263974</v>
      </c>
      <c r="N225" s="4">
        <f t="shared" si="26"/>
        <v>6.9366166652215381E-3</v>
      </c>
      <c r="O225">
        <v>446</v>
      </c>
      <c r="P225" s="5">
        <v>1</v>
      </c>
      <c r="Q225" s="7">
        <v>1</v>
      </c>
      <c r="R225" t="str">
        <f t="shared" si="32"/>
        <v>код для проверки</v>
      </c>
      <c r="S225" t="str">
        <f t="shared" si="27"/>
        <v>Больше половины</v>
      </c>
      <c r="T225" t="str">
        <f t="shared" si="28"/>
        <v>Низшая четверть</v>
      </c>
      <c r="U225" t="str">
        <f t="shared" si="29"/>
        <v>нормальный код</v>
      </c>
      <c r="V225" t="str">
        <f t="shared" si="30"/>
        <v>Больше половины</v>
      </c>
      <c r="W225" t="str">
        <f t="shared" si="31"/>
        <v>Вторая четверть</v>
      </c>
      <c r="X225">
        <v>13</v>
      </c>
    </row>
    <row r="226" spans="1:24" x14ac:dyDescent="0.35">
      <c r="A226" s="1" t="s">
        <v>321</v>
      </c>
      <c r="B226" s="2" t="s">
        <v>322</v>
      </c>
      <c r="C226" s="3" t="s">
        <v>13</v>
      </c>
      <c r="D226" s="2" t="s">
        <v>69</v>
      </c>
      <c r="E226" s="3" t="s">
        <v>159</v>
      </c>
      <c r="F226" s="2" t="s">
        <v>34</v>
      </c>
      <c r="G226" s="3" t="s">
        <v>72</v>
      </c>
      <c r="H226" s="2" t="s">
        <v>18</v>
      </c>
      <c r="I226" s="3" t="s">
        <v>19</v>
      </c>
      <c r="J226" s="3">
        <v>25878</v>
      </c>
      <c r="K226" s="3">
        <v>1878</v>
      </c>
      <c r="L226" s="3">
        <v>76</v>
      </c>
      <c r="M226" s="4">
        <f t="shared" si="25"/>
        <v>7.2571296081613723E-2</v>
      </c>
      <c r="N226" s="4">
        <f t="shared" si="26"/>
        <v>4.0468583599574018E-2</v>
      </c>
      <c r="O226">
        <v>764</v>
      </c>
      <c r="P226" s="5">
        <v>0.8</v>
      </c>
      <c r="Q226" s="7">
        <v>1</v>
      </c>
      <c r="R226" t="str">
        <f t="shared" si="32"/>
        <v>нормальный код</v>
      </c>
      <c r="S226" t="str">
        <f t="shared" si="27"/>
        <v>Вторая четверть</v>
      </c>
      <c r="T226" t="str">
        <f t="shared" si="28"/>
        <v>Больше половины</v>
      </c>
      <c r="U226" t="str">
        <f t="shared" si="29"/>
        <v>нормальный код</v>
      </c>
      <c r="V226" t="str">
        <f t="shared" si="30"/>
        <v>Вторая четверть</v>
      </c>
      <c r="W226" t="str">
        <f t="shared" si="31"/>
        <v>Больше половины</v>
      </c>
      <c r="X226">
        <v>15</v>
      </c>
    </row>
    <row r="227" spans="1:24" x14ac:dyDescent="0.35">
      <c r="A227" s="1" t="s">
        <v>515</v>
      </c>
      <c r="B227" s="2" t="s">
        <v>516</v>
      </c>
      <c r="C227" s="3" t="s">
        <v>13</v>
      </c>
      <c r="D227" s="2" t="s">
        <v>155</v>
      </c>
      <c r="E227" s="3" t="s">
        <v>156</v>
      </c>
      <c r="F227" s="2" t="s">
        <v>34</v>
      </c>
      <c r="G227" s="3" t="s">
        <v>35</v>
      </c>
      <c r="H227" s="2" t="s">
        <v>18</v>
      </c>
      <c r="I227" s="3" t="s">
        <v>19</v>
      </c>
      <c r="J227" s="3">
        <v>25849</v>
      </c>
      <c r="K227" s="3">
        <v>2699</v>
      </c>
      <c r="L227" s="3">
        <v>67</v>
      </c>
      <c r="M227" s="4">
        <f t="shared" si="25"/>
        <v>0.10441409725714727</v>
      </c>
      <c r="N227" s="4">
        <f t="shared" si="26"/>
        <v>2.4824008892182291E-2</v>
      </c>
      <c r="O227">
        <v>84</v>
      </c>
      <c r="P227" s="5">
        <v>1</v>
      </c>
      <c r="Q227" s="7">
        <v>1</v>
      </c>
      <c r="R227" t="str">
        <f t="shared" si="32"/>
        <v>нормальный код</v>
      </c>
      <c r="S227" t="str">
        <f t="shared" si="27"/>
        <v>Больше половины</v>
      </c>
      <c r="T227" t="str">
        <f t="shared" si="28"/>
        <v>Больше половины</v>
      </c>
      <c r="U227" t="str">
        <f t="shared" si="29"/>
        <v>нормальный код</v>
      </c>
      <c r="V227" t="str">
        <f t="shared" si="30"/>
        <v>Больше половины</v>
      </c>
      <c r="W227" t="str">
        <f t="shared" si="31"/>
        <v>Больше половины</v>
      </c>
      <c r="X227">
        <v>5</v>
      </c>
    </row>
    <row r="228" spans="1:24" x14ac:dyDescent="0.35">
      <c r="A228" s="1" t="s">
        <v>2248</v>
      </c>
      <c r="B228" s="2" t="s">
        <v>2249</v>
      </c>
      <c r="C228" s="3" t="s">
        <v>13</v>
      </c>
      <c r="D228" s="2" t="s">
        <v>69</v>
      </c>
      <c r="E228" s="3" t="s">
        <v>969</v>
      </c>
      <c r="F228" s="2" t="s">
        <v>96</v>
      </c>
      <c r="G228" s="3" t="s">
        <v>72</v>
      </c>
      <c r="H228" s="2" t="s">
        <v>18</v>
      </c>
      <c r="I228" s="3" t="s">
        <v>19</v>
      </c>
      <c r="J228" s="3">
        <v>25456</v>
      </c>
      <c r="K228" s="3">
        <v>3677</v>
      </c>
      <c r="L228" s="3">
        <v>66</v>
      </c>
      <c r="M228" s="4">
        <f t="shared" si="25"/>
        <v>0.14444531741043368</v>
      </c>
      <c r="N228" s="4">
        <f t="shared" si="26"/>
        <v>1.7949415284199074E-2</v>
      </c>
      <c r="O228">
        <v>622</v>
      </c>
      <c r="P228" s="5">
        <v>1</v>
      </c>
      <c r="Q228" s="7">
        <v>1</v>
      </c>
      <c r="R228" t="str">
        <f t="shared" si="32"/>
        <v>нормальный код</v>
      </c>
      <c r="S228" t="str">
        <f t="shared" si="27"/>
        <v>Больше половины</v>
      </c>
      <c r="T228" t="str">
        <f t="shared" si="28"/>
        <v>Вторая четверть</v>
      </c>
      <c r="U228" t="str">
        <f t="shared" si="29"/>
        <v>нормальный код</v>
      </c>
      <c r="V228" t="str">
        <f t="shared" si="30"/>
        <v>Больше половины</v>
      </c>
      <c r="W228" t="str">
        <f t="shared" si="31"/>
        <v>Больше половины</v>
      </c>
      <c r="X228">
        <v>13</v>
      </c>
    </row>
    <row r="229" spans="1:24" x14ac:dyDescent="0.35">
      <c r="A229" s="1" t="s">
        <v>591</v>
      </c>
      <c r="B229" s="2" t="s">
        <v>592</v>
      </c>
      <c r="C229" s="3" t="s">
        <v>13</v>
      </c>
      <c r="D229" s="2" t="s">
        <v>77</v>
      </c>
      <c r="E229" s="3" t="s">
        <v>193</v>
      </c>
      <c r="F229" s="2" t="s">
        <v>34</v>
      </c>
      <c r="G229" s="3" t="s">
        <v>17</v>
      </c>
      <c r="H229" s="2" t="s">
        <v>18</v>
      </c>
      <c r="I229" s="3" t="s">
        <v>19</v>
      </c>
      <c r="J229" s="3">
        <v>25129</v>
      </c>
      <c r="K229" s="3">
        <v>1241</v>
      </c>
      <c r="L229" s="3">
        <v>39</v>
      </c>
      <c r="M229" s="4">
        <f t="shared" si="25"/>
        <v>4.9385172509849175E-2</v>
      </c>
      <c r="N229" s="4">
        <f t="shared" si="26"/>
        <v>3.1426269137792104E-2</v>
      </c>
      <c r="O229">
        <v>271</v>
      </c>
      <c r="P229" s="5">
        <v>1</v>
      </c>
      <c r="Q229" s="7">
        <v>1</v>
      </c>
      <c r="R229" t="str">
        <f t="shared" si="32"/>
        <v>нормальный код</v>
      </c>
      <c r="S229" t="str">
        <f t="shared" si="27"/>
        <v>Вторая четверть</v>
      </c>
      <c r="T229" t="str">
        <f t="shared" si="28"/>
        <v>Больше половины</v>
      </c>
      <c r="U229" t="str">
        <f t="shared" si="29"/>
        <v>нормальный код</v>
      </c>
      <c r="V229" t="str">
        <f t="shared" si="30"/>
        <v>Вторая четверть</v>
      </c>
      <c r="W229" t="str">
        <f t="shared" si="31"/>
        <v>Больше половины</v>
      </c>
      <c r="X229">
        <v>15</v>
      </c>
    </row>
    <row r="230" spans="1:24" x14ac:dyDescent="0.35">
      <c r="A230" s="1" t="s">
        <v>344</v>
      </c>
      <c r="B230" s="2" t="s">
        <v>345</v>
      </c>
      <c r="C230" s="3" t="s">
        <v>13</v>
      </c>
      <c r="D230" s="2" t="s">
        <v>22</v>
      </c>
      <c r="E230" s="3" t="s">
        <v>23</v>
      </c>
      <c r="F230" s="2" t="s">
        <v>16</v>
      </c>
      <c r="G230" s="3" t="s">
        <v>35</v>
      </c>
      <c r="H230" s="2" t="s">
        <v>18</v>
      </c>
      <c r="I230" s="3" t="s">
        <v>19</v>
      </c>
      <c r="J230" s="3">
        <v>25117</v>
      </c>
      <c r="K230" s="3">
        <v>4146</v>
      </c>
      <c r="L230" s="3">
        <v>30</v>
      </c>
      <c r="M230" s="4">
        <f t="shared" si="25"/>
        <v>0.16506748417406539</v>
      </c>
      <c r="N230" s="4">
        <f t="shared" si="26"/>
        <v>7.2358900144717797E-3</v>
      </c>
      <c r="O230">
        <v>263</v>
      </c>
      <c r="P230" s="5">
        <v>1</v>
      </c>
      <c r="Q230" s="7">
        <v>1</v>
      </c>
      <c r="R230" t="str">
        <f t="shared" si="32"/>
        <v>код для проверки</v>
      </c>
      <c r="S230" t="str">
        <f t="shared" si="27"/>
        <v>Больше половины</v>
      </c>
      <c r="T230" t="str">
        <f t="shared" si="28"/>
        <v>Низшая четверть</v>
      </c>
      <c r="U230" t="str">
        <f t="shared" si="29"/>
        <v>код для проверки</v>
      </c>
      <c r="V230" t="str">
        <f t="shared" si="30"/>
        <v>Больше половины</v>
      </c>
      <c r="W230" t="str">
        <f t="shared" si="31"/>
        <v>Низшая четверть</v>
      </c>
      <c r="X230">
        <v>6</v>
      </c>
    </row>
    <row r="231" spans="1:24" x14ac:dyDescent="0.35">
      <c r="A231" s="1" t="s">
        <v>499</v>
      </c>
      <c r="B231" s="2" t="s">
        <v>500</v>
      </c>
      <c r="C231" s="3" t="s">
        <v>13</v>
      </c>
      <c r="D231" s="2" t="s">
        <v>32</v>
      </c>
      <c r="E231" s="3" t="s">
        <v>136</v>
      </c>
      <c r="F231" s="2" t="s">
        <v>34</v>
      </c>
      <c r="G231" s="3" t="s">
        <v>17</v>
      </c>
      <c r="H231" s="2" t="s">
        <v>18</v>
      </c>
      <c r="I231" s="3" t="s">
        <v>19</v>
      </c>
      <c r="J231" s="3">
        <v>25113</v>
      </c>
      <c r="K231" s="3">
        <v>3189</v>
      </c>
      <c r="L231" s="3">
        <v>309</v>
      </c>
      <c r="M231" s="4">
        <f t="shared" si="25"/>
        <v>0.12698602317524788</v>
      </c>
      <c r="N231" s="4">
        <f t="shared" si="26"/>
        <v>9.6895578551269984E-2</v>
      </c>
      <c r="O231">
        <v>255</v>
      </c>
      <c r="P231" s="5">
        <v>1</v>
      </c>
      <c r="Q231" s="7">
        <v>1</v>
      </c>
      <c r="R231" t="str">
        <f t="shared" si="32"/>
        <v>нормальный код</v>
      </c>
      <c r="S231" t="str">
        <f t="shared" si="27"/>
        <v>Больше половины</v>
      </c>
      <c r="T231" t="str">
        <f t="shared" si="28"/>
        <v>Больше половины</v>
      </c>
      <c r="U231" t="str">
        <f t="shared" si="29"/>
        <v>нормальный код</v>
      </c>
      <c r="V231" t="str">
        <f t="shared" si="30"/>
        <v>Вторая четверть</v>
      </c>
      <c r="W231" t="str">
        <f t="shared" si="31"/>
        <v>Вторая четверть</v>
      </c>
      <c r="X231">
        <v>5</v>
      </c>
    </row>
    <row r="232" spans="1:24" x14ac:dyDescent="0.35">
      <c r="A232" s="1" t="s">
        <v>997</v>
      </c>
      <c r="B232" s="2" t="s">
        <v>998</v>
      </c>
      <c r="C232" s="3" t="s">
        <v>13</v>
      </c>
      <c r="D232" s="2" t="s">
        <v>77</v>
      </c>
      <c r="E232" s="3" t="s">
        <v>89</v>
      </c>
      <c r="F232" s="2" t="s">
        <v>34</v>
      </c>
      <c r="G232" s="3" t="s">
        <v>35</v>
      </c>
      <c r="H232" s="2" t="s">
        <v>18</v>
      </c>
      <c r="I232" s="3" t="s">
        <v>19</v>
      </c>
      <c r="J232" s="3">
        <v>24930</v>
      </c>
      <c r="K232" s="3">
        <v>1059</v>
      </c>
      <c r="L232" s="3">
        <v>29</v>
      </c>
      <c r="M232" s="4">
        <f t="shared" si="25"/>
        <v>4.2478941034897716E-2</v>
      </c>
      <c r="N232" s="4">
        <f t="shared" si="26"/>
        <v>2.7384324834749764E-2</v>
      </c>
      <c r="O232">
        <v>242</v>
      </c>
      <c r="P232" s="5">
        <v>0.6</v>
      </c>
      <c r="Q232" s="7">
        <v>1</v>
      </c>
      <c r="R232" t="str">
        <f t="shared" si="32"/>
        <v>код для проверки</v>
      </c>
      <c r="S232" t="str">
        <f t="shared" si="27"/>
        <v>Низшая четверть</v>
      </c>
      <c r="T232" t="str">
        <f t="shared" si="28"/>
        <v>Больше половины</v>
      </c>
      <c r="U232" t="str">
        <f t="shared" si="29"/>
        <v>код для проверки</v>
      </c>
      <c r="V232" t="str">
        <f t="shared" si="30"/>
        <v>Низшая четверть</v>
      </c>
      <c r="W232" t="str">
        <f t="shared" si="31"/>
        <v>Больше половины</v>
      </c>
      <c r="X232">
        <v>12</v>
      </c>
    </row>
    <row r="233" spans="1:24" x14ac:dyDescent="0.35">
      <c r="A233" s="1" t="s">
        <v>657</v>
      </c>
      <c r="B233" s="2" t="s">
        <v>658</v>
      </c>
      <c r="C233" s="3" t="s">
        <v>13</v>
      </c>
      <c r="D233" s="2" t="s">
        <v>77</v>
      </c>
      <c r="E233" s="3" t="s">
        <v>444</v>
      </c>
      <c r="F233" s="2" t="s">
        <v>96</v>
      </c>
      <c r="G233" s="3" t="s">
        <v>17</v>
      </c>
      <c r="H233" s="2" t="s">
        <v>18</v>
      </c>
      <c r="I233" s="3" t="s">
        <v>19</v>
      </c>
      <c r="J233" s="3">
        <v>24666</v>
      </c>
      <c r="K233" s="3">
        <v>2164</v>
      </c>
      <c r="L233" s="3">
        <v>30</v>
      </c>
      <c r="M233" s="4">
        <f t="shared" si="25"/>
        <v>8.773210086759102E-2</v>
      </c>
      <c r="N233" s="4">
        <f t="shared" si="26"/>
        <v>1.3863216266173753E-2</v>
      </c>
      <c r="O233">
        <v>368</v>
      </c>
      <c r="P233" s="5">
        <v>1</v>
      </c>
      <c r="Q233" s="7">
        <v>1</v>
      </c>
      <c r="R233" t="str">
        <f t="shared" si="32"/>
        <v>нормальный код</v>
      </c>
      <c r="S233" t="str">
        <f t="shared" si="27"/>
        <v>Вторая четверть</v>
      </c>
      <c r="T233" t="str">
        <f t="shared" si="28"/>
        <v>Вторая четверть</v>
      </c>
      <c r="U233" t="str">
        <f t="shared" si="29"/>
        <v>нормальный код</v>
      </c>
      <c r="V233" t="str">
        <f t="shared" si="30"/>
        <v>Вторая четверть</v>
      </c>
      <c r="W233" t="str">
        <f t="shared" si="31"/>
        <v>Больше половины</v>
      </c>
      <c r="X233">
        <v>17</v>
      </c>
    </row>
    <row r="234" spans="1:24" x14ac:dyDescent="0.35">
      <c r="A234" s="1" t="s">
        <v>139</v>
      </c>
      <c r="B234" s="2" t="s">
        <v>140</v>
      </c>
      <c r="C234" s="3" t="s">
        <v>55</v>
      </c>
      <c r="D234" s="2" t="s">
        <v>94</v>
      </c>
      <c r="E234" s="3" t="s">
        <v>95</v>
      </c>
      <c r="F234" s="2" t="s">
        <v>96</v>
      </c>
      <c r="G234" s="3" t="s">
        <v>17</v>
      </c>
      <c r="H234" s="2" t="s">
        <v>97</v>
      </c>
      <c r="I234" s="3" t="s">
        <v>19</v>
      </c>
      <c r="J234" s="3">
        <v>24483</v>
      </c>
      <c r="K234" s="3">
        <v>3433</v>
      </c>
      <c r="L234" s="3">
        <v>6</v>
      </c>
      <c r="M234" s="4">
        <f t="shared" si="25"/>
        <v>0.14021974431238002</v>
      </c>
      <c r="N234" s="4">
        <f t="shared" si="26"/>
        <v>1.7477424992717739E-3</v>
      </c>
      <c r="O234">
        <v>1480</v>
      </c>
      <c r="P234" s="5">
        <v>0.55555555555555558</v>
      </c>
      <c r="Q234" s="7">
        <v>1</v>
      </c>
      <c r="R234" t="str">
        <f t="shared" si="32"/>
        <v>код для проверки</v>
      </c>
      <c r="S234" t="str">
        <f t="shared" si="27"/>
        <v>Больше половины</v>
      </c>
      <c r="T234" t="str">
        <f t="shared" si="28"/>
        <v>Низшая четверть</v>
      </c>
      <c r="U234" t="str">
        <f t="shared" si="29"/>
        <v>код для проверки</v>
      </c>
      <c r="V234" t="str">
        <f t="shared" si="30"/>
        <v>Больше половины</v>
      </c>
      <c r="W234" t="str">
        <f t="shared" si="31"/>
        <v>Низшая четверть</v>
      </c>
      <c r="X234">
        <v>26</v>
      </c>
    </row>
    <row r="235" spans="1:24" x14ac:dyDescent="0.35">
      <c r="A235" s="1" t="s">
        <v>1975</v>
      </c>
      <c r="B235" s="2" t="s">
        <v>1976</v>
      </c>
      <c r="C235" s="3" t="s">
        <v>13</v>
      </c>
      <c r="D235" s="2" t="s">
        <v>69</v>
      </c>
      <c r="E235" s="3" t="s">
        <v>70</v>
      </c>
      <c r="F235" s="2" t="s">
        <v>71</v>
      </c>
      <c r="G235" s="3" t="s">
        <v>72</v>
      </c>
      <c r="H235" s="2" t="s">
        <v>18</v>
      </c>
      <c r="I235" s="3" t="s">
        <v>19</v>
      </c>
      <c r="J235" s="3">
        <v>24454</v>
      </c>
      <c r="K235" s="3">
        <v>1608</v>
      </c>
      <c r="L235" s="3">
        <v>24</v>
      </c>
      <c r="M235" s="4">
        <f t="shared" si="25"/>
        <v>6.5756113519260653E-2</v>
      </c>
      <c r="N235" s="4">
        <f t="shared" si="26"/>
        <v>1.4925373134328358E-2</v>
      </c>
      <c r="O235">
        <v>596</v>
      </c>
      <c r="P235" s="5">
        <v>1</v>
      </c>
      <c r="Q235" s="7">
        <v>1</v>
      </c>
      <c r="R235" t="str">
        <f t="shared" si="32"/>
        <v>нормальный код</v>
      </c>
      <c r="S235" t="str">
        <f t="shared" si="27"/>
        <v>Вторая четверть</v>
      </c>
      <c r="T235" t="str">
        <f t="shared" si="28"/>
        <v>Вторая четверть</v>
      </c>
      <c r="U235" t="str">
        <f t="shared" si="29"/>
        <v>нормальный код</v>
      </c>
      <c r="V235" t="str">
        <f t="shared" si="30"/>
        <v>Вторая четверть</v>
      </c>
      <c r="W235" t="str">
        <f t="shared" si="31"/>
        <v>Больше половины</v>
      </c>
      <c r="X235">
        <v>15</v>
      </c>
    </row>
    <row r="236" spans="1:24" x14ac:dyDescent="0.35">
      <c r="A236" s="1" t="s">
        <v>102</v>
      </c>
      <c r="B236" s="2" t="s">
        <v>103</v>
      </c>
      <c r="C236" s="3" t="s">
        <v>13</v>
      </c>
      <c r="D236" s="2" t="s">
        <v>104</v>
      </c>
      <c r="E236" s="3" t="s">
        <v>105</v>
      </c>
      <c r="F236" s="2" t="s">
        <v>71</v>
      </c>
      <c r="G236" s="3" t="s">
        <v>17</v>
      </c>
      <c r="H236" s="2" t="s">
        <v>18</v>
      </c>
      <c r="I236" s="3" t="s">
        <v>19</v>
      </c>
      <c r="J236" s="3">
        <v>24431</v>
      </c>
      <c r="K236" s="3">
        <v>2269</v>
      </c>
      <c r="L236" s="3">
        <v>51</v>
      </c>
      <c r="M236" s="4">
        <f t="shared" si="25"/>
        <v>9.2873807867054153E-2</v>
      </c>
      <c r="N236" s="4">
        <f t="shared" si="26"/>
        <v>2.2476862053768181E-2</v>
      </c>
      <c r="O236">
        <v>361</v>
      </c>
      <c r="P236" s="5">
        <v>1</v>
      </c>
      <c r="Q236" s="7">
        <v>1</v>
      </c>
      <c r="R236" t="str">
        <f t="shared" si="32"/>
        <v>нормальный код</v>
      </c>
      <c r="S236" t="str">
        <f t="shared" si="27"/>
        <v>Вторая четверть</v>
      </c>
      <c r="T236" t="str">
        <f t="shared" si="28"/>
        <v>Больше половины</v>
      </c>
      <c r="U236" t="str">
        <f t="shared" si="29"/>
        <v>нормальный код</v>
      </c>
      <c r="V236" t="str">
        <f t="shared" si="30"/>
        <v>Больше половины</v>
      </c>
      <c r="W236" t="str">
        <f t="shared" si="31"/>
        <v>Больше половины</v>
      </c>
      <c r="X236">
        <v>16</v>
      </c>
    </row>
    <row r="237" spans="1:24" x14ac:dyDescent="0.35">
      <c r="A237" s="1" t="s">
        <v>297</v>
      </c>
      <c r="B237" s="2" t="s">
        <v>298</v>
      </c>
      <c r="C237" s="3" t="s">
        <v>13</v>
      </c>
      <c r="D237" s="2" t="s">
        <v>32</v>
      </c>
      <c r="E237" s="3" t="s">
        <v>136</v>
      </c>
      <c r="F237" s="2" t="s">
        <v>34</v>
      </c>
      <c r="G237" s="3" t="s">
        <v>17</v>
      </c>
      <c r="H237" s="2" t="s">
        <v>18</v>
      </c>
      <c r="I237" s="3" t="s">
        <v>19</v>
      </c>
      <c r="J237" s="3">
        <v>24351</v>
      </c>
      <c r="K237" s="3">
        <v>3638</v>
      </c>
      <c r="L237" s="3">
        <v>366</v>
      </c>
      <c r="M237" s="4">
        <f t="shared" si="25"/>
        <v>0.14939838199663258</v>
      </c>
      <c r="N237" s="4">
        <f t="shared" si="26"/>
        <v>0.10060472787245739</v>
      </c>
      <c r="O237">
        <v>286</v>
      </c>
      <c r="P237" s="5">
        <v>1</v>
      </c>
      <c r="Q237" s="7">
        <v>1</v>
      </c>
      <c r="R237" t="str">
        <f t="shared" si="32"/>
        <v>нормальный код</v>
      </c>
      <c r="S237" t="str">
        <f t="shared" si="27"/>
        <v>Больше половины</v>
      </c>
      <c r="T237" t="str">
        <f t="shared" si="28"/>
        <v>Больше половины</v>
      </c>
      <c r="U237" t="str">
        <f t="shared" si="29"/>
        <v>нормальный код</v>
      </c>
      <c r="V237" t="str">
        <f t="shared" si="30"/>
        <v>Вторая четверть</v>
      </c>
      <c r="W237" t="str">
        <f t="shared" si="31"/>
        <v>Вторая четверть</v>
      </c>
      <c r="X237">
        <v>5</v>
      </c>
    </row>
    <row r="238" spans="1:24" x14ac:dyDescent="0.35">
      <c r="A238" s="1" t="s">
        <v>640</v>
      </c>
      <c r="B238" s="2" t="s">
        <v>641</v>
      </c>
      <c r="C238" s="3" t="s">
        <v>13</v>
      </c>
      <c r="D238" s="2" t="s">
        <v>155</v>
      </c>
      <c r="E238" s="3" t="s">
        <v>156</v>
      </c>
      <c r="F238" s="2" t="s">
        <v>34</v>
      </c>
      <c r="G238" s="3" t="s">
        <v>35</v>
      </c>
      <c r="H238" s="2" t="s">
        <v>18</v>
      </c>
      <c r="I238" s="3" t="s">
        <v>19</v>
      </c>
      <c r="J238" s="3">
        <v>24039</v>
      </c>
      <c r="K238" s="3">
        <v>902</v>
      </c>
      <c r="L238" s="3">
        <v>25</v>
      </c>
      <c r="M238" s="4">
        <f t="shared" si="25"/>
        <v>3.7522359499147222E-2</v>
      </c>
      <c r="N238" s="4">
        <f t="shared" si="26"/>
        <v>2.771618625277162E-2</v>
      </c>
      <c r="O238">
        <v>349</v>
      </c>
      <c r="P238" s="5">
        <v>1</v>
      </c>
      <c r="Q238" s="7">
        <v>1</v>
      </c>
      <c r="R238" t="str">
        <f t="shared" si="32"/>
        <v>код для проверки</v>
      </c>
      <c r="S238" t="str">
        <f t="shared" si="27"/>
        <v>Низшая четверть</v>
      </c>
      <c r="T238" t="str">
        <f t="shared" si="28"/>
        <v>Больше половины</v>
      </c>
      <c r="U238" t="str">
        <f t="shared" si="29"/>
        <v>код для проверки</v>
      </c>
      <c r="V238" t="str">
        <f t="shared" si="30"/>
        <v>Низшая четверть</v>
      </c>
      <c r="W238" t="str">
        <f t="shared" si="31"/>
        <v>Больше половины</v>
      </c>
      <c r="X238">
        <v>13</v>
      </c>
    </row>
    <row r="239" spans="1:24" x14ac:dyDescent="0.35">
      <c r="A239" s="1" t="s">
        <v>589</v>
      </c>
      <c r="B239" s="2" t="s">
        <v>590</v>
      </c>
      <c r="C239" s="3" t="s">
        <v>13</v>
      </c>
      <c r="D239" s="2" t="s">
        <v>164</v>
      </c>
      <c r="E239" s="3" t="s">
        <v>374</v>
      </c>
      <c r="F239" s="2" t="s">
        <v>71</v>
      </c>
      <c r="G239" s="3" t="s">
        <v>35</v>
      </c>
      <c r="H239" s="2" t="s">
        <v>18</v>
      </c>
      <c r="I239" s="3" t="s">
        <v>19</v>
      </c>
      <c r="J239" s="3">
        <v>23869</v>
      </c>
      <c r="K239" s="3">
        <v>1864</v>
      </c>
      <c r="L239" s="3">
        <v>20</v>
      </c>
      <c r="M239" s="4">
        <f t="shared" si="25"/>
        <v>7.8092923876157364E-2</v>
      </c>
      <c r="N239" s="4">
        <f t="shared" si="26"/>
        <v>1.0729613733905579E-2</v>
      </c>
      <c r="O239">
        <v>220</v>
      </c>
      <c r="P239" s="5">
        <v>1</v>
      </c>
      <c r="Q239" s="7">
        <v>1</v>
      </c>
      <c r="R239" t="str">
        <f t="shared" si="32"/>
        <v>нормальный код</v>
      </c>
      <c r="S239" t="str">
        <f t="shared" si="27"/>
        <v>Вторая четверть</v>
      </c>
      <c r="T239" t="str">
        <f t="shared" si="28"/>
        <v>Вторая четверть</v>
      </c>
      <c r="U239" t="str">
        <f t="shared" si="29"/>
        <v>нормальный код</v>
      </c>
      <c r="V239" t="str">
        <f t="shared" si="30"/>
        <v>Больше половины</v>
      </c>
      <c r="W239" t="str">
        <f t="shared" si="31"/>
        <v>Вторая четверть</v>
      </c>
      <c r="X239">
        <v>14</v>
      </c>
    </row>
    <row r="240" spans="1:24" x14ac:dyDescent="0.35">
      <c r="A240" s="1" t="s">
        <v>291</v>
      </c>
      <c r="B240" s="2" t="s">
        <v>292</v>
      </c>
      <c r="C240" s="3" t="s">
        <v>13</v>
      </c>
      <c r="D240" s="2" t="s">
        <v>14</v>
      </c>
      <c r="E240" s="3" t="s">
        <v>15</v>
      </c>
      <c r="F240" s="2" t="s">
        <v>16</v>
      </c>
      <c r="G240" s="3" t="s">
        <v>35</v>
      </c>
      <c r="H240" s="2" t="s">
        <v>18</v>
      </c>
      <c r="I240" s="3" t="s">
        <v>19</v>
      </c>
      <c r="J240" s="3">
        <v>23658</v>
      </c>
      <c r="K240" s="3">
        <v>2021</v>
      </c>
      <c r="L240" s="3">
        <v>8</v>
      </c>
      <c r="M240" s="4">
        <f t="shared" si="25"/>
        <v>8.5425648829148701E-2</v>
      </c>
      <c r="N240" s="4">
        <f t="shared" si="26"/>
        <v>3.9584364176150424E-3</v>
      </c>
      <c r="O240">
        <v>422</v>
      </c>
      <c r="P240" s="5">
        <v>1</v>
      </c>
      <c r="Q240" s="7">
        <v>1</v>
      </c>
      <c r="R240" t="str">
        <f t="shared" si="32"/>
        <v>код для проверки</v>
      </c>
      <c r="S240" t="str">
        <f t="shared" si="27"/>
        <v>Вторая четверть</v>
      </c>
      <c r="T240" t="str">
        <f t="shared" si="28"/>
        <v>Низшая четверть</v>
      </c>
      <c r="U240" t="str">
        <f t="shared" si="29"/>
        <v>код для проверки</v>
      </c>
      <c r="V240" t="str">
        <f t="shared" si="30"/>
        <v>Больше половины</v>
      </c>
      <c r="W240" t="str">
        <f t="shared" si="31"/>
        <v>Низшая четверть</v>
      </c>
      <c r="X240">
        <v>7</v>
      </c>
    </row>
    <row r="241" spans="1:24" x14ac:dyDescent="0.35">
      <c r="A241" s="1" t="s">
        <v>569</v>
      </c>
      <c r="B241" s="2" t="s">
        <v>570</v>
      </c>
      <c r="C241" s="3" t="s">
        <v>13</v>
      </c>
      <c r="D241" s="2" t="s">
        <v>69</v>
      </c>
      <c r="E241" s="3" t="s">
        <v>290</v>
      </c>
      <c r="F241" s="2" t="s">
        <v>34</v>
      </c>
      <c r="G241" s="3" t="s">
        <v>72</v>
      </c>
      <c r="H241" s="2" t="s">
        <v>18</v>
      </c>
      <c r="I241" s="3" t="s">
        <v>19</v>
      </c>
      <c r="J241" s="3">
        <v>23655</v>
      </c>
      <c r="K241" s="3">
        <v>2070</v>
      </c>
      <c r="L241" s="3">
        <v>27</v>
      </c>
      <c r="M241" s="4">
        <f t="shared" si="25"/>
        <v>8.7507926442612557E-2</v>
      </c>
      <c r="N241" s="4">
        <f t="shared" si="26"/>
        <v>1.3043478260869565E-2</v>
      </c>
      <c r="O241">
        <v>430</v>
      </c>
      <c r="P241" s="5">
        <v>1</v>
      </c>
      <c r="Q241" s="7">
        <v>1</v>
      </c>
      <c r="R241" t="str">
        <f t="shared" si="32"/>
        <v>нормальный код</v>
      </c>
      <c r="S241" t="str">
        <f t="shared" si="27"/>
        <v>Вторая четверть</v>
      </c>
      <c r="T241" t="str">
        <f t="shared" si="28"/>
        <v>Вторая четверть</v>
      </c>
      <c r="U241" t="str">
        <f t="shared" si="29"/>
        <v>нормальный код</v>
      </c>
      <c r="V241" t="str">
        <f t="shared" si="30"/>
        <v>Вторая четверть</v>
      </c>
      <c r="W241" t="str">
        <f t="shared" si="31"/>
        <v>Вторая четверть</v>
      </c>
      <c r="X241">
        <v>24</v>
      </c>
    </row>
    <row r="242" spans="1:24" x14ac:dyDescent="0.35">
      <c r="A242" s="1" t="s">
        <v>924</v>
      </c>
      <c r="B242" s="2" t="s">
        <v>925</v>
      </c>
      <c r="C242" s="3" t="s">
        <v>55</v>
      </c>
      <c r="D242" s="2" t="s">
        <v>295</v>
      </c>
      <c r="E242" s="3" t="s">
        <v>674</v>
      </c>
      <c r="F242" s="2" t="s">
        <v>16</v>
      </c>
      <c r="G242" s="3" t="s">
        <v>17</v>
      </c>
      <c r="H242" s="2" t="s">
        <v>97</v>
      </c>
      <c r="I242" s="3" t="s">
        <v>19</v>
      </c>
      <c r="J242" s="3">
        <v>23110</v>
      </c>
      <c r="K242" s="3">
        <v>5617</v>
      </c>
      <c r="L242" s="3">
        <v>281</v>
      </c>
      <c r="M242" s="4">
        <f t="shared" si="25"/>
        <v>0.24305495456512333</v>
      </c>
      <c r="N242" s="4">
        <f t="shared" si="26"/>
        <v>5.0026704646608508E-2</v>
      </c>
      <c r="O242">
        <v>383</v>
      </c>
      <c r="P242" s="5">
        <v>1</v>
      </c>
      <c r="Q242" s="7">
        <v>1</v>
      </c>
      <c r="R242" t="str">
        <f t="shared" si="32"/>
        <v>нормальный код</v>
      </c>
      <c r="S242" t="str">
        <f t="shared" si="27"/>
        <v>Больше половины</v>
      </c>
      <c r="T242" t="str">
        <f t="shared" si="28"/>
        <v>Больше половины</v>
      </c>
      <c r="U242" t="str">
        <f t="shared" si="29"/>
        <v>нормальный код</v>
      </c>
      <c r="V242" t="str">
        <f t="shared" si="30"/>
        <v>Больше половины</v>
      </c>
      <c r="W242" t="str">
        <f t="shared" si="31"/>
        <v>Больше половины</v>
      </c>
      <c r="X242">
        <v>13</v>
      </c>
    </row>
    <row r="243" spans="1:24" x14ac:dyDescent="0.35">
      <c r="A243" s="1" t="s">
        <v>736</v>
      </c>
      <c r="B243" s="2" t="s">
        <v>737</v>
      </c>
      <c r="C243" s="3" t="s">
        <v>13</v>
      </c>
      <c r="D243" s="2" t="s">
        <v>77</v>
      </c>
      <c r="E243" s="3" t="s">
        <v>444</v>
      </c>
      <c r="F243" s="2" t="s">
        <v>96</v>
      </c>
      <c r="G243" s="3" t="s">
        <v>35</v>
      </c>
      <c r="H243" s="2" t="s">
        <v>18</v>
      </c>
      <c r="I243" s="3" t="s">
        <v>19</v>
      </c>
      <c r="J243" s="3">
        <v>23067</v>
      </c>
      <c r="K243" s="3">
        <v>1330</v>
      </c>
      <c r="L243" s="3">
        <v>7</v>
      </c>
      <c r="M243" s="4">
        <f t="shared" si="25"/>
        <v>5.7658126327654227E-2</v>
      </c>
      <c r="N243" s="4">
        <f t="shared" si="26"/>
        <v>5.263157894736842E-3</v>
      </c>
      <c r="O243">
        <v>657</v>
      </c>
      <c r="P243" s="5">
        <v>1</v>
      </c>
      <c r="Q243" s="7">
        <v>1</v>
      </c>
      <c r="R243" t="str">
        <f t="shared" si="32"/>
        <v>код для проверки</v>
      </c>
      <c r="S243" t="str">
        <f t="shared" si="27"/>
        <v>Вторая четверть</v>
      </c>
      <c r="T243" t="str">
        <f t="shared" si="28"/>
        <v>Низшая четверть</v>
      </c>
      <c r="U243" t="str">
        <f t="shared" si="29"/>
        <v>нормальный код</v>
      </c>
      <c r="V243" t="str">
        <f t="shared" si="30"/>
        <v>Вторая четверть</v>
      </c>
      <c r="W243" t="str">
        <f t="shared" si="31"/>
        <v>Вторая четверть</v>
      </c>
      <c r="X243">
        <v>23</v>
      </c>
    </row>
    <row r="244" spans="1:24" x14ac:dyDescent="0.35">
      <c r="A244" s="1" t="s">
        <v>228</v>
      </c>
      <c r="B244" s="2" t="s">
        <v>229</v>
      </c>
      <c r="C244" s="3" t="s">
        <v>13</v>
      </c>
      <c r="D244" s="2" t="s">
        <v>49</v>
      </c>
      <c r="E244" s="3" t="s">
        <v>50</v>
      </c>
      <c r="F244" s="2" t="s">
        <v>34</v>
      </c>
      <c r="G244" s="3" t="s">
        <v>17</v>
      </c>
      <c r="H244" s="2" t="s">
        <v>18</v>
      </c>
      <c r="I244" s="3" t="s">
        <v>19</v>
      </c>
      <c r="J244" s="3">
        <v>22853</v>
      </c>
      <c r="K244" s="3">
        <v>965</v>
      </c>
      <c r="L244" s="3">
        <v>23</v>
      </c>
      <c r="M244" s="4">
        <f t="shared" si="25"/>
        <v>4.2226403535640833E-2</v>
      </c>
      <c r="N244" s="4">
        <f t="shared" si="26"/>
        <v>2.3834196891191709E-2</v>
      </c>
      <c r="O244">
        <v>729</v>
      </c>
      <c r="P244" s="5">
        <v>1</v>
      </c>
      <c r="Q244" s="7">
        <v>1</v>
      </c>
      <c r="R244" t="str">
        <f t="shared" si="32"/>
        <v>код для проверки</v>
      </c>
      <c r="S244" t="str">
        <f t="shared" si="27"/>
        <v>Низшая четверть</v>
      </c>
      <c r="T244" t="str">
        <f t="shared" si="28"/>
        <v>Больше половины</v>
      </c>
      <c r="U244" t="str">
        <f t="shared" si="29"/>
        <v>нормальный код</v>
      </c>
      <c r="V244" t="str">
        <f t="shared" si="30"/>
        <v>Вторая четверть</v>
      </c>
      <c r="W244" t="str">
        <f t="shared" si="31"/>
        <v>Вторая четверть</v>
      </c>
      <c r="X244">
        <v>13</v>
      </c>
    </row>
    <row r="245" spans="1:24" x14ac:dyDescent="0.35">
      <c r="A245" s="1" t="s">
        <v>547</v>
      </c>
      <c r="B245" s="2" t="s">
        <v>548</v>
      </c>
      <c r="C245" s="3" t="s">
        <v>13</v>
      </c>
      <c r="D245" s="2" t="s">
        <v>22</v>
      </c>
      <c r="E245" s="3" t="s">
        <v>66</v>
      </c>
      <c r="F245" s="2" t="s">
        <v>16</v>
      </c>
      <c r="G245" s="3" t="s">
        <v>35</v>
      </c>
      <c r="H245" s="2" t="s">
        <v>18</v>
      </c>
      <c r="I245" s="3" t="s">
        <v>19</v>
      </c>
      <c r="J245" s="3">
        <v>22624</v>
      </c>
      <c r="K245" s="3">
        <v>1055</v>
      </c>
      <c r="L245" s="3">
        <v>7</v>
      </c>
      <c r="M245" s="4">
        <f t="shared" si="25"/>
        <v>4.6631895332390379E-2</v>
      </c>
      <c r="N245" s="4">
        <f t="shared" si="26"/>
        <v>6.6350710900473934E-3</v>
      </c>
      <c r="O245">
        <v>579</v>
      </c>
      <c r="P245" s="5">
        <v>1</v>
      </c>
      <c r="Q245" s="7">
        <v>1</v>
      </c>
      <c r="R245" t="str">
        <f t="shared" si="32"/>
        <v>код для проверки</v>
      </c>
      <c r="S245" t="str">
        <f t="shared" si="27"/>
        <v>Низшая четверть</v>
      </c>
      <c r="T245" t="str">
        <f t="shared" si="28"/>
        <v>Низшая четверть</v>
      </c>
      <c r="U245" t="str">
        <f t="shared" si="29"/>
        <v>код для проверки</v>
      </c>
      <c r="V245" t="str">
        <f t="shared" si="30"/>
        <v>Вторая четверть</v>
      </c>
      <c r="W245" t="str">
        <f t="shared" si="31"/>
        <v>Низшая четверть</v>
      </c>
      <c r="X245">
        <v>10</v>
      </c>
    </row>
    <row r="246" spans="1:24" x14ac:dyDescent="0.35">
      <c r="A246" s="1" t="s">
        <v>1990</v>
      </c>
      <c r="B246" s="2" t="s">
        <v>1991</v>
      </c>
      <c r="C246" s="3" t="s">
        <v>13</v>
      </c>
      <c r="D246" s="2" t="s">
        <v>77</v>
      </c>
      <c r="E246" s="3" t="s">
        <v>172</v>
      </c>
      <c r="F246" s="2" t="s">
        <v>34</v>
      </c>
      <c r="G246" s="3" t="s">
        <v>17</v>
      </c>
      <c r="H246" s="2" t="s">
        <v>18</v>
      </c>
      <c r="I246" s="3" t="s">
        <v>19</v>
      </c>
      <c r="J246" s="3">
        <v>22210</v>
      </c>
      <c r="K246" s="3">
        <v>1213</v>
      </c>
      <c r="L246" s="3">
        <v>30</v>
      </c>
      <c r="M246" s="4">
        <f t="shared" si="25"/>
        <v>5.4615038271049077E-2</v>
      </c>
      <c r="N246" s="4">
        <f t="shared" si="26"/>
        <v>2.47320692497939E-2</v>
      </c>
      <c r="O246">
        <v>819</v>
      </c>
      <c r="P246" s="5">
        <v>1</v>
      </c>
      <c r="Q246" s="7">
        <v>1</v>
      </c>
      <c r="R246" t="str">
        <f t="shared" si="32"/>
        <v>нормальный код</v>
      </c>
      <c r="S246" t="str">
        <f t="shared" si="27"/>
        <v>Вторая четверть</v>
      </c>
      <c r="T246" t="str">
        <f t="shared" si="28"/>
        <v>Больше половины</v>
      </c>
      <c r="U246" t="str">
        <f t="shared" si="29"/>
        <v>нормальный код</v>
      </c>
      <c r="V246" t="str">
        <f t="shared" si="30"/>
        <v>Вторая четверть</v>
      </c>
      <c r="W246" t="str">
        <f t="shared" si="31"/>
        <v>Больше половины</v>
      </c>
      <c r="X246">
        <v>28</v>
      </c>
    </row>
    <row r="247" spans="1:24" x14ac:dyDescent="0.35">
      <c r="A247" s="1" t="s">
        <v>618</v>
      </c>
      <c r="B247" s="2" t="s">
        <v>619</v>
      </c>
      <c r="C247" s="3" t="s">
        <v>13</v>
      </c>
      <c r="D247" s="2" t="s">
        <v>38</v>
      </c>
      <c r="E247" s="3" t="s">
        <v>39</v>
      </c>
      <c r="F247" s="2" t="s">
        <v>34</v>
      </c>
      <c r="G247" s="3" t="s">
        <v>35</v>
      </c>
      <c r="H247" s="2" t="s">
        <v>18</v>
      </c>
      <c r="I247" s="3" t="s">
        <v>19</v>
      </c>
      <c r="J247" s="3">
        <v>22175</v>
      </c>
      <c r="K247" s="3">
        <v>1467</v>
      </c>
      <c r="L247" s="3">
        <v>40</v>
      </c>
      <c r="M247" s="4">
        <f t="shared" si="25"/>
        <v>6.6155580608793688E-2</v>
      </c>
      <c r="N247" s="4">
        <f t="shared" si="26"/>
        <v>2.7266530334014997E-2</v>
      </c>
      <c r="O247">
        <v>283</v>
      </c>
      <c r="P247" s="5">
        <v>1</v>
      </c>
      <c r="Q247" s="7">
        <v>1</v>
      </c>
      <c r="R247" t="str">
        <f t="shared" si="32"/>
        <v>нормальный код</v>
      </c>
      <c r="S247" t="str">
        <f t="shared" si="27"/>
        <v>Вторая четверть</v>
      </c>
      <c r="T247" t="str">
        <f t="shared" si="28"/>
        <v>Больше половины</v>
      </c>
      <c r="U247" t="str">
        <f t="shared" si="29"/>
        <v>нормальный код</v>
      </c>
      <c r="V247" t="str">
        <f t="shared" si="30"/>
        <v>Вторая четверть</v>
      </c>
      <c r="W247" t="str">
        <f t="shared" si="31"/>
        <v>Вторая четверть</v>
      </c>
      <c r="X247">
        <v>16</v>
      </c>
    </row>
    <row r="248" spans="1:24" x14ac:dyDescent="0.35">
      <c r="A248" s="1" t="s">
        <v>665</v>
      </c>
      <c r="B248" s="2" t="s">
        <v>666</v>
      </c>
      <c r="C248" s="3" t="s">
        <v>13</v>
      </c>
      <c r="D248" s="2" t="s">
        <v>69</v>
      </c>
      <c r="E248" s="3" t="s">
        <v>667</v>
      </c>
      <c r="F248" s="2" t="s">
        <v>61</v>
      </c>
      <c r="G248" s="3" t="s">
        <v>72</v>
      </c>
      <c r="H248" s="2" t="s">
        <v>18</v>
      </c>
      <c r="I248" s="3" t="s">
        <v>19</v>
      </c>
      <c r="J248" s="3">
        <v>22064</v>
      </c>
      <c r="K248" s="3">
        <v>1493</v>
      </c>
      <c r="L248" s="3">
        <v>15</v>
      </c>
      <c r="M248" s="4">
        <f t="shared" si="25"/>
        <v>6.7666787527193614E-2</v>
      </c>
      <c r="N248" s="4">
        <f t="shared" si="26"/>
        <v>1.0046885465505693E-2</v>
      </c>
      <c r="O248">
        <v>215</v>
      </c>
      <c r="P248" s="5">
        <v>1</v>
      </c>
      <c r="Q248" s="7">
        <v>1</v>
      </c>
      <c r="R248" t="str">
        <f t="shared" si="32"/>
        <v>код для проверки</v>
      </c>
      <c r="S248" t="str">
        <f t="shared" si="27"/>
        <v>Вторая четверть</v>
      </c>
      <c r="T248" t="str">
        <f t="shared" si="28"/>
        <v>Низшая четверть</v>
      </c>
      <c r="U248" t="str">
        <f t="shared" si="29"/>
        <v>нормальный код</v>
      </c>
      <c r="V248" t="str">
        <f t="shared" si="30"/>
        <v>Вторая четверть</v>
      </c>
      <c r="W248" t="str">
        <f t="shared" si="31"/>
        <v>Больше половины</v>
      </c>
      <c r="X248">
        <v>13</v>
      </c>
    </row>
    <row r="249" spans="1:24" x14ac:dyDescent="0.35">
      <c r="A249" s="1" t="s">
        <v>372</v>
      </c>
      <c r="B249" s="2" t="s">
        <v>373</v>
      </c>
      <c r="C249" s="3" t="s">
        <v>13</v>
      </c>
      <c r="D249" s="2" t="s">
        <v>164</v>
      </c>
      <c r="E249" s="3" t="s">
        <v>374</v>
      </c>
      <c r="F249" s="2" t="s">
        <v>71</v>
      </c>
      <c r="G249" s="3" t="s">
        <v>35</v>
      </c>
      <c r="H249" s="2" t="s">
        <v>18</v>
      </c>
      <c r="I249" s="3" t="s">
        <v>19</v>
      </c>
      <c r="J249" s="3">
        <v>21994</v>
      </c>
      <c r="K249" s="3">
        <v>1201</v>
      </c>
      <c r="L249" s="3">
        <v>18</v>
      </c>
      <c r="M249" s="4">
        <f t="shared" si="25"/>
        <v>5.4605801582249702E-2</v>
      </c>
      <c r="N249" s="4">
        <f t="shared" si="26"/>
        <v>1.498751040799334E-2</v>
      </c>
      <c r="O249">
        <v>144</v>
      </c>
      <c r="P249" s="5">
        <v>1</v>
      </c>
      <c r="Q249" s="7">
        <v>1</v>
      </c>
      <c r="R249" t="str">
        <f t="shared" si="32"/>
        <v>нормальный код</v>
      </c>
      <c r="S249" t="str">
        <f t="shared" si="27"/>
        <v>Вторая четверть</v>
      </c>
      <c r="T249" t="str">
        <f t="shared" si="28"/>
        <v>Вторая четверть</v>
      </c>
      <c r="U249" t="str">
        <f t="shared" si="29"/>
        <v>нормальный код</v>
      </c>
      <c r="V249" t="str">
        <f t="shared" si="30"/>
        <v>Вторая четверть</v>
      </c>
      <c r="W249" t="str">
        <f t="shared" si="31"/>
        <v>Больше половины</v>
      </c>
      <c r="X249">
        <v>18</v>
      </c>
    </row>
    <row r="250" spans="1:24" x14ac:dyDescent="0.35">
      <c r="A250" s="1" t="s">
        <v>1310</v>
      </c>
      <c r="B250" s="2" t="s">
        <v>1311</v>
      </c>
      <c r="C250" s="3" t="s">
        <v>55</v>
      </c>
      <c r="D250" s="2" t="s">
        <v>295</v>
      </c>
      <c r="E250" s="3" t="s">
        <v>674</v>
      </c>
      <c r="F250" s="2" t="s">
        <v>16</v>
      </c>
      <c r="G250" s="3" t="s">
        <v>17</v>
      </c>
      <c r="H250" s="2" t="s">
        <v>97</v>
      </c>
      <c r="I250" s="3" t="s">
        <v>19</v>
      </c>
      <c r="J250" s="3">
        <v>21786</v>
      </c>
      <c r="K250" s="3">
        <v>5120</v>
      </c>
      <c r="L250" s="3">
        <v>159</v>
      </c>
      <c r="M250" s="4">
        <f t="shared" si="25"/>
        <v>0.23501331130083539</v>
      </c>
      <c r="N250" s="4">
        <f t="shared" si="26"/>
        <v>3.1054687500000001E-2</v>
      </c>
      <c r="O250">
        <v>371</v>
      </c>
      <c r="P250" s="5">
        <v>1</v>
      </c>
      <c r="Q250" s="7">
        <v>1</v>
      </c>
      <c r="R250" t="str">
        <f t="shared" si="32"/>
        <v>нормальный код</v>
      </c>
      <c r="S250" t="str">
        <f t="shared" si="27"/>
        <v>Больше половины</v>
      </c>
      <c r="T250" t="str">
        <f t="shared" si="28"/>
        <v>Больше половины</v>
      </c>
      <c r="U250" t="str">
        <f t="shared" si="29"/>
        <v>нормальный код</v>
      </c>
      <c r="V250" t="str">
        <f t="shared" si="30"/>
        <v>Больше половины</v>
      </c>
      <c r="W250" t="str">
        <f t="shared" si="31"/>
        <v>Больше половины</v>
      </c>
      <c r="X250">
        <v>15</v>
      </c>
    </row>
    <row r="251" spans="1:24" x14ac:dyDescent="0.35">
      <c r="A251" s="1" t="s">
        <v>823</v>
      </c>
      <c r="B251" s="2" t="s">
        <v>824</v>
      </c>
      <c r="C251" s="3" t="s">
        <v>13</v>
      </c>
      <c r="D251" s="2" t="s">
        <v>164</v>
      </c>
      <c r="E251" s="3" t="s">
        <v>485</v>
      </c>
      <c r="F251" s="2" t="s">
        <v>123</v>
      </c>
      <c r="G251" s="3" t="s">
        <v>17</v>
      </c>
      <c r="H251" s="2" t="s">
        <v>18</v>
      </c>
      <c r="I251" s="3" t="s">
        <v>19</v>
      </c>
      <c r="J251" s="3">
        <v>21065</v>
      </c>
      <c r="K251" s="3">
        <v>525</v>
      </c>
      <c r="L251" s="3">
        <v>16</v>
      </c>
      <c r="M251" s="4">
        <f t="shared" si="25"/>
        <v>2.4922857821030146E-2</v>
      </c>
      <c r="N251" s="4">
        <f t="shared" si="26"/>
        <v>3.0476190476190476E-2</v>
      </c>
      <c r="O251">
        <v>294</v>
      </c>
      <c r="P251" s="5">
        <v>1</v>
      </c>
      <c r="Q251" s="7">
        <v>1</v>
      </c>
      <c r="R251" t="str">
        <f t="shared" si="32"/>
        <v>код для проверки</v>
      </c>
      <c r="S251" t="str">
        <f t="shared" si="27"/>
        <v>Низшая четверть</v>
      </c>
      <c r="T251" t="str">
        <f t="shared" si="28"/>
        <v>Больше половины</v>
      </c>
      <c r="U251" t="str">
        <f t="shared" si="29"/>
        <v>код для проверки</v>
      </c>
      <c r="V251" t="str">
        <f t="shared" si="30"/>
        <v>Низшая четверть</v>
      </c>
      <c r="W251" t="str">
        <f t="shared" si="31"/>
        <v>Больше половины</v>
      </c>
      <c r="X251">
        <v>14</v>
      </c>
    </row>
    <row r="252" spans="1:24" x14ac:dyDescent="0.35">
      <c r="A252" s="1" t="s">
        <v>890</v>
      </c>
      <c r="B252" s="2" t="s">
        <v>891</v>
      </c>
      <c r="C252" s="3" t="s">
        <v>13</v>
      </c>
      <c r="D252" s="2" t="s">
        <v>14</v>
      </c>
      <c r="E252" s="3" t="s">
        <v>181</v>
      </c>
      <c r="F252" s="2" t="s">
        <v>16</v>
      </c>
      <c r="G252" s="3" t="s">
        <v>35</v>
      </c>
      <c r="H252" s="2" t="s">
        <v>18</v>
      </c>
      <c r="I252" s="3" t="s">
        <v>19</v>
      </c>
      <c r="J252" s="3">
        <v>21037</v>
      </c>
      <c r="K252" s="3">
        <v>1758</v>
      </c>
      <c r="L252" s="3">
        <v>25</v>
      </c>
      <c r="M252" s="4">
        <f t="shared" si="25"/>
        <v>8.3567048533536151E-2</v>
      </c>
      <c r="N252" s="4">
        <f t="shared" si="26"/>
        <v>1.422070534698521E-2</v>
      </c>
      <c r="O252">
        <v>344</v>
      </c>
      <c r="P252" s="5">
        <v>1</v>
      </c>
      <c r="Q252" s="7">
        <v>1</v>
      </c>
      <c r="R252" t="str">
        <f t="shared" si="32"/>
        <v>нормальный код</v>
      </c>
      <c r="S252" t="str">
        <f t="shared" si="27"/>
        <v>Вторая четверть</v>
      </c>
      <c r="T252" t="str">
        <f t="shared" si="28"/>
        <v>Вторая четверть</v>
      </c>
      <c r="U252" t="str">
        <f t="shared" si="29"/>
        <v>код для проверки</v>
      </c>
      <c r="V252" t="str">
        <f t="shared" si="30"/>
        <v>Больше половины</v>
      </c>
      <c r="W252" t="str">
        <f t="shared" si="31"/>
        <v>Низшая четверть</v>
      </c>
      <c r="X252">
        <v>13</v>
      </c>
    </row>
    <row r="253" spans="1:24" x14ac:dyDescent="0.35">
      <c r="A253" s="1" t="s">
        <v>323</v>
      </c>
      <c r="B253" s="2" t="s">
        <v>324</v>
      </c>
      <c r="C253" s="3" t="s">
        <v>13</v>
      </c>
      <c r="D253" s="2" t="s">
        <v>32</v>
      </c>
      <c r="E253" s="3" t="s">
        <v>136</v>
      </c>
      <c r="F253" s="2" t="s">
        <v>34</v>
      </c>
      <c r="G253" s="3" t="s">
        <v>17</v>
      </c>
      <c r="H253" s="2" t="s">
        <v>18</v>
      </c>
      <c r="I253" s="3" t="s">
        <v>19</v>
      </c>
      <c r="J253" s="3">
        <v>20998</v>
      </c>
      <c r="K253" s="3">
        <v>2961</v>
      </c>
      <c r="L253" s="3">
        <v>274</v>
      </c>
      <c r="M253" s="4">
        <f t="shared" si="25"/>
        <v>0.14101342985046195</v>
      </c>
      <c r="N253" s="4">
        <f t="shared" si="26"/>
        <v>9.2536305302262756E-2</v>
      </c>
      <c r="O253">
        <v>235</v>
      </c>
      <c r="P253" s="5">
        <v>1</v>
      </c>
      <c r="Q253" s="7">
        <v>1</v>
      </c>
      <c r="R253" t="str">
        <f t="shared" si="32"/>
        <v>нормальный код</v>
      </c>
      <c r="S253" t="str">
        <f t="shared" si="27"/>
        <v>Больше половины</v>
      </c>
      <c r="T253" t="str">
        <f t="shared" si="28"/>
        <v>Больше половины</v>
      </c>
      <c r="U253" t="str">
        <f t="shared" si="29"/>
        <v>нормальный код</v>
      </c>
      <c r="V253" t="str">
        <f t="shared" si="30"/>
        <v>Вторая четверть</v>
      </c>
      <c r="W253" t="str">
        <f t="shared" si="31"/>
        <v>Вторая четверть</v>
      </c>
      <c r="X253">
        <v>5</v>
      </c>
    </row>
    <row r="254" spans="1:24" x14ac:dyDescent="0.35">
      <c r="A254" s="1" t="s">
        <v>267</v>
      </c>
      <c r="B254" s="2" t="s">
        <v>268</v>
      </c>
      <c r="C254" s="3" t="s">
        <v>13</v>
      </c>
      <c r="D254" s="2" t="s">
        <v>69</v>
      </c>
      <c r="E254" s="3" t="s">
        <v>269</v>
      </c>
      <c r="F254" s="2" t="s">
        <v>71</v>
      </c>
      <c r="G254" s="3" t="s">
        <v>72</v>
      </c>
      <c r="H254" s="2" t="s">
        <v>18</v>
      </c>
      <c r="I254" s="3" t="s">
        <v>19</v>
      </c>
      <c r="J254" s="3">
        <v>20977</v>
      </c>
      <c r="K254" s="3">
        <v>1446</v>
      </c>
      <c r="L254" s="3">
        <v>45</v>
      </c>
      <c r="M254" s="4">
        <f t="shared" si="25"/>
        <v>6.8932640511035898E-2</v>
      </c>
      <c r="N254" s="4">
        <f t="shared" si="26"/>
        <v>3.1120331950207469E-2</v>
      </c>
      <c r="O254">
        <v>530</v>
      </c>
      <c r="P254" s="5">
        <v>1</v>
      </c>
      <c r="Q254" s="7">
        <v>1</v>
      </c>
      <c r="R254" t="str">
        <f t="shared" si="32"/>
        <v>нормальный код</v>
      </c>
      <c r="S254" t="str">
        <f t="shared" si="27"/>
        <v>Вторая четверть</v>
      </c>
      <c r="T254" t="str">
        <f t="shared" si="28"/>
        <v>Больше половины</v>
      </c>
      <c r="U254" t="str">
        <f t="shared" si="29"/>
        <v>нормальный код</v>
      </c>
      <c r="V254" t="str">
        <f t="shared" si="30"/>
        <v>Больше половины</v>
      </c>
      <c r="W254" t="str">
        <f t="shared" si="31"/>
        <v>Больше половины</v>
      </c>
      <c r="X254">
        <v>11</v>
      </c>
    </row>
    <row r="255" spans="1:24" x14ac:dyDescent="0.35">
      <c r="A255" s="1" t="s">
        <v>1294</v>
      </c>
      <c r="B255" s="2" t="s">
        <v>1295</v>
      </c>
      <c r="C255" s="3" t="s">
        <v>55</v>
      </c>
      <c r="D255" s="2" t="s">
        <v>94</v>
      </c>
      <c r="E255" s="3" t="s">
        <v>95</v>
      </c>
      <c r="F255" s="2" t="s">
        <v>96</v>
      </c>
      <c r="G255" s="3" t="s">
        <v>17</v>
      </c>
      <c r="H255" s="2" t="s">
        <v>97</v>
      </c>
      <c r="I255" s="3" t="s">
        <v>19</v>
      </c>
      <c r="J255" s="3">
        <v>20936</v>
      </c>
      <c r="K255" s="3">
        <v>3844</v>
      </c>
      <c r="L255" s="3">
        <v>91</v>
      </c>
      <c r="M255" s="4">
        <f t="shared" si="25"/>
        <v>0.18360718379824226</v>
      </c>
      <c r="N255" s="4">
        <f t="shared" si="26"/>
        <v>2.3673257023933404E-2</v>
      </c>
      <c r="O255">
        <v>2659</v>
      </c>
      <c r="P255" s="5">
        <v>0.55555555555555558</v>
      </c>
      <c r="Q255" s="7">
        <v>1</v>
      </c>
      <c r="R255" t="str">
        <f t="shared" si="32"/>
        <v>нормальный код</v>
      </c>
      <c r="S255" t="str">
        <f t="shared" si="27"/>
        <v>Больше половины</v>
      </c>
      <c r="T255" t="str">
        <f t="shared" si="28"/>
        <v>Больше половины</v>
      </c>
      <c r="U255" t="str">
        <f t="shared" si="29"/>
        <v>нормальный код</v>
      </c>
      <c r="V255" t="str">
        <f t="shared" si="30"/>
        <v>Больше половины</v>
      </c>
      <c r="W255" t="str">
        <f t="shared" si="31"/>
        <v>Больше половины</v>
      </c>
      <c r="X255">
        <v>14</v>
      </c>
    </row>
    <row r="256" spans="1:24" x14ac:dyDescent="0.35">
      <c r="A256" s="1" t="s">
        <v>1927</v>
      </c>
      <c r="B256" s="2" t="s">
        <v>1928</v>
      </c>
      <c r="C256" s="3" t="s">
        <v>13</v>
      </c>
      <c r="D256" s="2" t="s">
        <v>69</v>
      </c>
      <c r="E256" s="3" t="s">
        <v>969</v>
      </c>
      <c r="F256" s="2" t="s">
        <v>96</v>
      </c>
      <c r="G256" s="3" t="s">
        <v>72</v>
      </c>
      <c r="H256" s="2" t="s">
        <v>18</v>
      </c>
      <c r="I256" s="3" t="s">
        <v>19</v>
      </c>
      <c r="J256" s="3">
        <v>20707</v>
      </c>
      <c r="K256" s="3">
        <v>1988</v>
      </c>
      <c r="L256" s="3">
        <v>81</v>
      </c>
      <c r="M256" s="4">
        <f t="shared" si="25"/>
        <v>9.6006181484522141E-2</v>
      </c>
      <c r="N256" s="4">
        <f t="shared" si="26"/>
        <v>4.0744466800804832E-2</v>
      </c>
      <c r="O256">
        <v>961</v>
      </c>
      <c r="P256" s="5">
        <v>1</v>
      </c>
      <c r="Q256" s="7">
        <v>1</v>
      </c>
      <c r="R256" t="str">
        <f t="shared" si="32"/>
        <v>нормальный код</v>
      </c>
      <c r="S256" t="str">
        <f t="shared" si="27"/>
        <v>Больше половины</v>
      </c>
      <c r="T256" t="str">
        <f t="shared" si="28"/>
        <v>Больше половины</v>
      </c>
      <c r="U256" t="str">
        <f t="shared" si="29"/>
        <v>нормальный код</v>
      </c>
      <c r="V256" t="str">
        <f t="shared" si="30"/>
        <v>Вторая четверть</v>
      </c>
      <c r="W256" t="str">
        <f t="shared" si="31"/>
        <v>Больше половины</v>
      </c>
      <c r="X256">
        <v>12</v>
      </c>
    </row>
    <row r="257" spans="1:24" x14ac:dyDescent="0.35">
      <c r="A257" s="1" t="s">
        <v>282</v>
      </c>
      <c r="B257" s="2" t="s">
        <v>283</v>
      </c>
      <c r="C257" s="3" t="s">
        <v>13</v>
      </c>
      <c r="D257" s="2" t="s">
        <v>69</v>
      </c>
      <c r="E257" s="3" t="s">
        <v>227</v>
      </c>
      <c r="F257" s="2" t="s">
        <v>34</v>
      </c>
      <c r="G257" s="3" t="s">
        <v>72</v>
      </c>
      <c r="H257" s="2" t="s">
        <v>18</v>
      </c>
      <c r="I257" s="3" t="s">
        <v>19</v>
      </c>
      <c r="J257" s="3">
        <v>20695</v>
      </c>
      <c r="K257" s="3">
        <v>1491</v>
      </c>
      <c r="L257" s="3">
        <v>12</v>
      </c>
      <c r="M257" s="4">
        <f t="shared" si="25"/>
        <v>7.2046388016429083E-2</v>
      </c>
      <c r="N257" s="4">
        <f t="shared" si="26"/>
        <v>8.0482897384305842E-3</v>
      </c>
      <c r="O257">
        <v>562</v>
      </c>
      <c r="P257" s="5">
        <v>1</v>
      </c>
      <c r="Q257" s="7">
        <v>1</v>
      </c>
      <c r="R257" t="str">
        <f t="shared" si="32"/>
        <v>код для проверки</v>
      </c>
      <c r="S257" t="str">
        <f t="shared" si="27"/>
        <v>Вторая четверть</v>
      </c>
      <c r="T257" t="str">
        <f t="shared" si="28"/>
        <v>Низшая четверть</v>
      </c>
      <c r="U257" t="str">
        <f t="shared" si="29"/>
        <v>нормальный код</v>
      </c>
      <c r="V257" t="str">
        <f t="shared" si="30"/>
        <v>Больше половины</v>
      </c>
      <c r="W257" t="str">
        <f t="shared" si="31"/>
        <v>Вторая четверть</v>
      </c>
      <c r="X257">
        <v>16</v>
      </c>
    </row>
    <row r="258" spans="1:24" x14ac:dyDescent="0.35">
      <c r="A258" s="1" t="s">
        <v>760</v>
      </c>
      <c r="B258" s="2" t="s">
        <v>761</v>
      </c>
      <c r="C258" s="3" t="s">
        <v>13</v>
      </c>
      <c r="D258" s="2" t="s">
        <v>69</v>
      </c>
      <c r="E258" s="3" t="s">
        <v>159</v>
      </c>
      <c r="F258" s="2" t="s">
        <v>34</v>
      </c>
      <c r="G258" s="3" t="s">
        <v>72</v>
      </c>
      <c r="H258" s="2" t="s">
        <v>18</v>
      </c>
      <c r="I258" s="3" t="s">
        <v>19</v>
      </c>
      <c r="J258" s="3">
        <v>20657</v>
      </c>
      <c r="K258" s="3">
        <v>1643</v>
      </c>
      <c r="L258" s="3">
        <v>26</v>
      </c>
      <c r="M258" s="4">
        <f t="shared" si="25"/>
        <v>7.9537202885220509E-2</v>
      </c>
      <c r="N258" s="4">
        <f t="shared" si="26"/>
        <v>1.5824710894704809E-2</v>
      </c>
      <c r="O258">
        <v>222</v>
      </c>
      <c r="P258" s="5">
        <v>1</v>
      </c>
      <c r="Q258" s="7">
        <v>1</v>
      </c>
      <c r="R258" t="str">
        <f t="shared" si="32"/>
        <v>нормальный код</v>
      </c>
      <c r="S258" t="str">
        <f t="shared" si="27"/>
        <v>Вторая четверть</v>
      </c>
      <c r="T258" t="str">
        <f t="shared" si="28"/>
        <v>Вторая четверть</v>
      </c>
      <c r="U258" t="str">
        <f t="shared" si="29"/>
        <v>нормальный код</v>
      </c>
      <c r="V258" t="str">
        <f t="shared" si="30"/>
        <v>Вторая четверть</v>
      </c>
      <c r="W258" t="str">
        <f t="shared" si="31"/>
        <v>Вторая четверть</v>
      </c>
      <c r="X258">
        <v>5</v>
      </c>
    </row>
    <row r="259" spans="1:24" x14ac:dyDescent="0.35">
      <c r="A259" s="1" t="s">
        <v>2116</v>
      </c>
      <c r="B259" s="2" t="s">
        <v>2117</v>
      </c>
      <c r="C259" s="3" t="s">
        <v>13</v>
      </c>
      <c r="D259" s="2" t="s">
        <v>69</v>
      </c>
      <c r="E259" s="3" t="s">
        <v>969</v>
      </c>
      <c r="F259" s="2" t="s">
        <v>96</v>
      </c>
      <c r="G259" s="3" t="s">
        <v>72</v>
      </c>
      <c r="H259" s="2" t="s">
        <v>18</v>
      </c>
      <c r="I259" s="3" t="s">
        <v>19</v>
      </c>
      <c r="J259" s="3">
        <v>20600</v>
      </c>
      <c r="K259" s="3">
        <v>2843</v>
      </c>
      <c r="L259" s="3">
        <v>38</v>
      </c>
      <c r="M259" s="4">
        <f t="shared" si="25"/>
        <v>0.13800970873786408</v>
      </c>
      <c r="N259" s="4">
        <f t="shared" si="26"/>
        <v>1.3366162504396765E-2</v>
      </c>
      <c r="O259">
        <v>608</v>
      </c>
      <c r="P259" s="5">
        <v>1</v>
      </c>
      <c r="Q259" s="7">
        <v>1</v>
      </c>
      <c r="R259" t="str">
        <f t="shared" si="32"/>
        <v>нормальный код</v>
      </c>
      <c r="S259" t="str">
        <f t="shared" si="27"/>
        <v>Больше половины</v>
      </c>
      <c r="T259" t="str">
        <f t="shared" si="28"/>
        <v>Вторая четверть</v>
      </c>
      <c r="U259" t="str">
        <f t="shared" si="29"/>
        <v>нормальный код</v>
      </c>
      <c r="V259" t="str">
        <f t="shared" si="30"/>
        <v>Больше половины</v>
      </c>
      <c r="W259" t="str">
        <f t="shared" si="31"/>
        <v>Вторая четверть</v>
      </c>
      <c r="X259">
        <v>19</v>
      </c>
    </row>
    <row r="260" spans="1:24" x14ac:dyDescent="0.35">
      <c r="A260" s="1" t="s">
        <v>948</v>
      </c>
      <c r="B260" s="2" t="s">
        <v>949</v>
      </c>
      <c r="C260" s="3" t="s">
        <v>13</v>
      </c>
      <c r="D260" s="2" t="s">
        <v>32</v>
      </c>
      <c r="E260" s="3" t="s">
        <v>136</v>
      </c>
      <c r="F260" s="2" t="s">
        <v>34</v>
      </c>
      <c r="G260" s="3" t="s">
        <v>17</v>
      </c>
      <c r="H260" s="2" t="s">
        <v>18</v>
      </c>
      <c r="I260" s="3" t="s">
        <v>19</v>
      </c>
      <c r="J260" s="3">
        <v>20360</v>
      </c>
      <c r="K260" s="3">
        <v>3516</v>
      </c>
      <c r="L260" s="3">
        <v>261</v>
      </c>
      <c r="M260" s="4">
        <f t="shared" ref="M260:M323" si="33">IFERROR(K260/J260,0)</f>
        <v>0.17269155206286838</v>
      </c>
      <c r="N260" s="4">
        <f t="shared" ref="N260:N323" si="34">IFERROR(L260/K260,0)</f>
        <v>7.4232081911262793E-2</v>
      </c>
      <c r="O260">
        <v>890</v>
      </c>
      <c r="P260" s="5">
        <v>0.8</v>
      </c>
      <c r="Q260" s="7">
        <v>1</v>
      </c>
      <c r="R260" t="str">
        <f t="shared" si="32"/>
        <v>нормальный код</v>
      </c>
      <c r="S260" t="str">
        <f t="shared" ref="S260:S323" si="35">IF(M260&lt;$S$1*0.5,"Низшая четверть",IF(M260&lt;$S$1,"Вторая четверть","Больше половины"))</f>
        <v>Больше половины</v>
      </c>
      <c r="T260" t="str">
        <f t="shared" ref="T260:T323" si="36">IF(N260&lt;$T$1*0.5,"Низшая четверть",IF(N260&lt;$T$1,"Вторая четверть","Больше половины"))</f>
        <v>Больше половины</v>
      </c>
      <c r="U260" t="str">
        <f t="shared" ref="U260:U323" si="37">IF(OR(M260&lt;SUMIFS(K:K,Q:Q,1,E:E,E260)/SUMIFS(J:J,Q:Q,1,E:E,E260)*0.5,N260&lt;SUMIFS(L:L,Q:Q,1,E:E,E260)/SUMIFS(K:K,Q:Q,1,E:E,E260)*0.5),"код для проверки","нормальный код")</f>
        <v>нормальный код</v>
      </c>
      <c r="V260" t="str">
        <f t="shared" ref="V260:V323" si="38">IF(M260&lt;SUMIFS(K:K,Q:Q,1,E:E,E260)/SUMIFS(J:J,Q:Q,1,E:E,E260)*0.5,"Низшая четверть",IF(M260&lt;SUMIFS(K:K,Q:Q,1,E:E,E260)/SUMIFS(J:J,Q:Q,1,E:E,E260),"Вторая четверть","Больше половины"))</f>
        <v>Больше половины</v>
      </c>
      <c r="W260" t="str">
        <f t="shared" ref="W260:W323" si="39">IF(N260&lt;SUMIFS(L:L,Q:Q,1,E:E,E260)/SUMIFS(K:K,Q:Q,1,E:E,E260)*0.5,"Низшая четверть",IF(N260&lt;SUMIFS(L:L,Q:Q,1,E:E,E260)/SUMIFS(K:K,Q:Q,1,E:E,E260),"Вторая четверть","Больше половины"))</f>
        <v>Вторая четверть</v>
      </c>
      <c r="X260">
        <v>4</v>
      </c>
    </row>
    <row r="261" spans="1:24" x14ac:dyDescent="0.35">
      <c r="A261" s="1" t="s">
        <v>392</v>
      </c>
      <c r="B261" s="2" t="s">
        <v>393</v>
      </c>
      <c r="C261" s="3" t="s">
        <v>13</v>
      </c>
      <c r="D261" s="2" t="s">
        <v>38</v>
      </c>
      <c r="E261" s="3" t="s">
        <v>39</v>
      </c>
      <c r="F261" s="2" t="s">
        <v>34</v>
      </c>
      <c r="G261" s="3" t="s">
        <v>17</v>
      </c>
      <c r="H261" s="2" t="s">
        <v>18</v>
      </c>
      <c r="I261" s="3" t="s">
        <v>19</v>
      </c>
      <c r="J261" s="3">
        <v>20281</v>
      </c>
      <c r="K261" s="3">
        <v>2548</v>
      </c>
      <c r="L261" s="3">
        <v>59</v>
      </c>
      <c r="M261" s="4">
        <f t="shared" si="33"/>
        <v>0.12563483062965336</v>
      </c>
      <c r="N261" s="4">
        <f t="shared" si="34"/>
        <v>2.3155416012558869E-2</v>
      </c>
      <c r="O261">
        <v>1191</v>
      </c>
      <c r="P261" s="5">
        <v>1</v>
      </c>
      <c r="Q261" s="7">
        <v>1</v>
      </c>
      <c r="R261" t="str">
        <f t="shared" si="32"/>
        <v>нормальный код</v>
      </c>
      <c r="S261" t="str">
        <f t="shared" si="35"/>
        <v>Больше половины</v>
      </c>
      <c r="T261" t="str">
        <f t="shared" si="36"/>
        <v>Больше половины</v>
      </c>
      <c r="U261" t="str">
        <f t="shared" si="37"/>
        <v>нормальный код</v>
      </c>
      <c r="V261" t="str">
        <f t="shared" si="38"/>
        <v>Больше половины</v>
      </c>
      <c r="W261" t="str">
        <f t="shared" si="39"/>
        <v>Вторая четверть</v>
      </c>
      <c r="X261">
        <v>14</v>
      </c>
    </row>
    <row r="262" spans="1:24" x14ac:dyDescent="0.35">
      <c r="A262" s="1" t="s">
        <v>1105</v>
      </c>
      <c r="B262" s="2" t="s">
        <v>1106</v>
      </c>
      <c r="C262" s="3" t="s">
        <v>13</v>
      </c>
      <c r="D262" s="2" t="s">
        <v>104</v>
      </c>
      <c r="E262" s="3" t="s">
        <v>424</v>
      </c>
      <c r="F262" s="2" t="s">
        <v>34</v>
      </c>
      <c r="G262" s="3" t="s">
        <v>35</v>
      </c>
      <c r="H262" s="2" t="s">
        <v>18</v>
      </c>
      <c r="I262" s="3" t="s">
        <v>19</v>
      </c>
      <c r="J262" s="3">
        <v>20168</v>
      </c>
      <c r="K262" s="3">
        <v>852</v>
      </c>
      <c r="L262" s="3">
        <v>14</v>
      </c>
      <c r="M262" s="4">
        <f t="shared" si="33"/>
        <v>4.2245140817136054E-2</v>
      </c>
      <c r="N262" s="4">
        <f t="shared" si="34"/>
        <v>1.6431924882629109E-2</v>
      </c>
      <c r="O262">
        <v>310</v>
      </c>
      <c r="P262" s="5">
        <v>1</v>
      </c>
      <c r="Q262" s="7">
        <v>1</v>
      </c>
      <c r="R262" t="str">
        <f t="shared" si="32"/>
        <v>код для проверки</v>
      </c>
      <c r="S262" t="str">
        <f t="shared" si="35"/>
        <v>Низшая четверть</v>
      </c>
      <c r="T262" t="str">
        <f t="shared" si="36"/>
        <v>Вторая четверть</v>
      </c>
      <c r="U262" t="str">
        <f t="shared" si="37"/>
        <v>нормальный код</v>
      </c>
      <c r="V262" t="str">
        <f t="shared" si="38"/>
        <v>Вторая четверть</v>
      </c>
      <c r="W262" t="str">
        <f t="shared" si="39"/>
        <v>Вторая четверть</v>
      </c>
      <c r="X262">
        <v>10</v>
      </c>
    </row>
    <row r="263" spans="1:24" x14ac:dyDescent="0.35">
      <c r="A263" s="1" t="s">
        <v>288</v>
      </c>
      <c r="B263" s="2" t="s">
        <v>289</v>
      </c>
      <c r="C263" s="3" t="s">
        <v>13</v>
      </c>
      <c r="D263" s="2" t="s">
        <v>69</v>
      </c>
      <c r="E263" s="3" t="s">
        <v>290</v>
      </c>
      <c r="F263" s="2" t="s">
        <v>34</v>
      </c>
      <c r="G263" s="3" t="s">
        <v>72</v>
      </c>
      <c r="H263" s="2" t="s">
        <v>18</v>
      </c>
      <c r="I263" s="3" t="s">
        <v>19</v>
      </c>
      <c r="J263" s="3">
        <v>20106</v>
      </c>
      <c r="K263" s="3">
        <v>1915</v>
      </c>
      <c r="L263" s="3">
        <v>30</v>
      </c>
      <c r="M263" s="4">
        <f t="shared" si="33"/>
        <v>9.5245200437680297E-2</v>
      </c>
      <c r="N263" s="4">
        <f t="shared" si="34"/>
        <v>1.5665796344647518E-2</v>
      </c>
      <c r="O263">
        <v>429</v>
      </c>
      <c r="P263" s="5">
        <v>1</v>
      </c>
      <c r="Q263" s="7">
        <v>1</v>
      </c>
      <c r="R263" t="str">
        <f t="shared" si="32"/>
        <v>нормальный код</v>
      </c>
      <c r="S263" t="str">
        <f t="shared" si="35"/>
        <v>Больше половины</v>
      </c>
      <c r="T263" t="str">
        <f t="shared" si="36"/>
        <v>Вторая четверть</v>
      </c>
      <c r="U263" t="str">
        <f t="shared" si="37"/>
        <v>нормальный код</v>
      </c>
      <c r="V263" t="str">
        <f t="shared" si="38"/>
        <v>Вторая четверть</v>
      </c>
      <c r="W263" t="str">
        <f t="shared" si="39"/>
        <v>Больше половины</v>
      </c>
      <c r="X263">
        <v>13</v>
      </c>
    </row>
    <row r="264" spans="1:24" x14ac:dyDescent="0.35">
      <c r="A264" s="1" t="s">
        <v>234</v>
      </c>
      <c r="B264" s="2" t="s">
        <v>235</v>
      </c>
      <c r="C264" s="3" t="s">
        <v>13</v>
      </c>
      <c r="D264" s="2" t="s">
        <v>49</v>
      </c>
      <c r="E264" s="3" t="s">
        <v>50</v>
      </c>
      <c r="F264" s="2" t="s">
        <v>34</v>
      </c>
      <c r="G264" s="3" t="s">
        <v>35</v>
      </c>
      <c r="H264" s="2" t="s">
        <v>18</v>
      </c>
      <c r="I264" s="3" t="s">
        <v>19</v>
      </c>
      <c r="J264" s="3">
        <v>20074</v>
      </c>
      <c r="K264" s="3">
        <v>3261</v>
      </c>
      <c r="L264" s="3">
        <v>75</v>
      </c>
      <c r="M264" s="4">
        <f t="shared" si="33"/>
        <v>0.1624489389259739</v>
      </c>
      <c r="N264" s="4">
        <f t="shared" si="34"/>
        <v>2.2999080036798528E-2</v>
      </c>
      <c r="O264">
        <v>721</v>
      </c>
      <c r="P264" s="5">
        <v>1</v>
      </c>
      <c r="Q264" s="7">
        <v>1</v>
      </c>
      <c r="R264" t="str">
        <f t="shared" si="32"/>
        <v>нормальный код</v>
      </c>
      <c r="S264" t="str">
        <f t="shared" si="35"/>
        <v>Больше половины</v>
      </c>
      <c r="T264" t="str">
        <f t="shared" si="36"/>
        <v>Больше половины</v>
      </c>
      <c r="U264" t="str">
        <f t="shared" si="37"/>
        <v>нормальный код</v>
      </c>
      <c r="V264" t="str">
        <f t="shared" si="38"/>
        <v>Больше половины</v>
      </c>
      <c r="W264" t="str">
        <f t="shared" si="39"/>
        <v>Вторая четверть</v>
      </c>
      <c r="X264">
        <v>19</v>
      </c>
    </row>
    <row r="265" spans="1:24" x14ac:dyDescent="0.35">
      <c r="A265" s="1" t="s">
        <v>1135</v>
      </c>
      <c r="B265" s="2" t="s">
        <v>1136</v>
      </c>
      <c r="C265" s="3" t="s">
        <v>13</v>
      </c>
      <c r="D265" s="2" t="s">
        <v>164</v>
      </c>
      <c r="E265" s="3" t="s">
        <v>374</v>
      </c>
      <c r="F265" s="2" t="s">
        <v>71</v>
      </c>
      <c r="G265" s="3" t="s">
        <v>17</v>
      </c>
      <c r="H265" s="2" t="s">
        <v>18</v>
      </c>
      <c r="I265" s="3" t="s">
        <v>19</v>
      </c>
      <c r="J265" s="3">
        <v>20070</v>
      </c>
      <c r="K265" s="3">
        <v>638</v>
      </c>
      <c r="L265" s="3">
        <v>6</v>
      </c>
      <c r="M265" s="4">
        <f t="shared" si="33"/>
        <v>3.1788739412057801E-2</v>
      </c>
      <c r="N265" s="4">
        <f t="shared" si="34"/>
        <v>9.4043887147335428E-3</v>
      </c>
      <c r="O265">
        <v>558</v>
      </c>
      <c r="P265" s="5">
        <v>1</v>
      </c>
      <c r="Q265" s="7">
        <v>1</v>
      </c>
      <c r="R265" t="str">
        <f t="shared" si="32"/>
        <v>код для проверки</v>
      </c>
      <c r="S265" t="str">
        <f t="shared" si="35"/>
        <v>Низшая четверть</v>
      </c>
      <c r="T265" t="str">
        <f t="shared" si="36"/>
        <v>Низшая четверть</v>
      </c>
      <c r="U265" t="str">
        <f t="shared" si="37"/>
        <v>код для проверки</v>
      </c>
      <c r="V265" t="str">
        <f t="shared" si="38"/>
        <v>Низшая четверть</v>
      </c>
      <c r="W265" t="str">
        <f t="shared" si="39"/>
        <v>Вторая четверть</v>
      </c>
      <c r="X265">
        <v>16</v>
      </c>
    </row>
    <row r="266" spans="1:24" x14ac:dyDescent="0.35">
      <c r="A266" s="1" t="s">
        <v>2273</v>
      </c>
      <c r="B266" s="2" t="s">
        <v>2274</v>
      </c>
      <c r="C266" s="3" t="s">
        <v>13</v>
      </c>
      <c r="D266" s="2" t="s">
        <v>69</v>
      </c>
      <c r="E266" s="3" t="s">
        <v>210</v>
      </c>
      <c r="F266" s="2" t="s">
        <v>34</v>
      </c>
      <c r="G266" s="3" t="s">
        <v>72</v>
      </c>
      <c r="H266" s="2" t="s">
        <v>18</v>
      </c>
      <c r="I266" s="3" t="s">
        <v>19</v>
      </c>
      <c r="J266" s="3">
        <v>20023</v>
      </c>
      <c r="K266" s="3">
        <v>1693</v>
      </c>
      <c r="L266" s="3">
        <v>103</v>
      </c>
      <c r="M266" s="4">
        <f t="shared" si="33"/>
        <v>8.4552764321030816E-2</v>
      </c>
      <c r="N266" s="4">
        <f t="shared" si="34"/>
        <v>6.0838747784997045E-2</v>
      </c>
      <c r="O266">
        <v>379</v>
      </c>
      <c r="P266" s="5">
        <v>1</v>
      </c>
      <c r="Q266" s="7">
        <v>1</v>
      </c>
      <c r="R266" t="str">
        <f t="shared" si="32"/>
        <v>нормальный код</v>
      </c>
      <c r="S266" t="str">
        <f t="shared" si="35"/>
        <v>Вторая четверть</v>
      </c>
      <c r="T266" t="str">
        <f t="shared" si="36"/>
        <v>Больше половины</v>
      </c>
      <c r="U266" t="str">
        <f t="shared" si="37"/>
        <v>нормальный код</v>
      </c>
      <c r="V266" t="str">
        <f t="shared" si="38"/>
        <v>Вторая четверть</v>
      </c>
      <c r="W266" t="str">
        <f t="shared" si="39"/>
        <v>Больше половины</v>
      </c>
      <c r="X266">
        <v>11</v>
      </c>
    </row>
    <row r="267" spans="1:24" x14ac:dyDescent="0.35">
      <c r="A267" s="1" t="s">
        <v>1457</v>
      </c>
      <c r="B267" s="2" t="s">
        <v>1458</v>
      </c>
      <c r="C267" s="3" t="s">
        <v>13</v>
      </c>
      <c r="D267" s="2" t="s">
        <v>77</v>
      </c>
      <c r="E267" s="3" t="s">
        <v>78</v>
      </c>
      <c r="F267" s="2" t="s">
        <v>34</v>
      </c>
      <c r="G267" s="3" t="s">
        <v>17</v>
      </c>
      <c r="H267" s="2" t="s">
        <v>18</v>
      </c>
      <c r="I267" s="3" t="s">
        <v>19</v>
      </c>
      <c r="J267" s="3">
        <v>19940</v>
      </c>
      <c r="K267" s="3">
        <v>1600</v>
      </c>
      <c r="L267" s="3">
        <v>57</v>
      </c>
      <c r="M267" s="4">
        <f t="shared" si="33"/>
        <v>8.0240722166499495E-2</v>
      </c>
      <c r="N267" s="4">
        <f t="shared" si="34"/>
        <v>3.5624999999999997E-2</v>
      </c>
      <c r="O267">
        <v>568</v>
      </c>
      <c r="P267" s="5">
        <v>1</v>
      </c>
      <c r="Q267" s="7">
        <v>1</v>
      </c>
      <c r="R267" t="str">
        <f t="shared" si="32"/>
        <v>нормальный код</v>
      </c>
      <c r="S267" t="str">
        <f t="shared" si="35"/>
        <v>Вторая четверть</v>
      </c>
      <c r="T267" t="str">
        <f t="shared" si="36"/>
        <v>Больше половины</v>
      </c>
      <c r="U267" t="str">
        <f t="shared" si="37"/>
        <v>нормальный код</v>
      </c>
      <c r="V267" t="str">
        <f t="shared" si="38"/>
        <v>Больше половины</v>
      </c>
      <c r="W267" t="str">
        <f t="shared" si="39"/>
        <v>Больше половины</v>
      </c>
      <c r="X267">
        <v>22</v>
      </c>
    </row>
    <row r="268" spans="1:24" x14ac:dyDescent="0.35">
      <c r="A268" s="1" t="s">
        <v>215</v>
      </c>
      <c r="B268" s="2" t="s">
        <v>216</v>
      </c>
      <c r="C268" s="3" t="s">
        <v>55</v>
      </c>
      <c r="D268" s="2" t="s">
        <v>217</v>
      </c>
      <c r="E268" s="3" t="s">
        <v>218</v>
      </c>
      <c r="F268" s="2" t="s">
        <v>34</v>
      </c>
      <c r="G268" s="3" t="s">
        <v>17</v>
      </c>
      <c r="H268" s="2" t="s">
        <v>18</v>
      </c>
      <c r="I268" s="3" t="s">
        <v>19</v>
      </c>
      <c r="J268" s="3">
        <v>19926</v>
      </c>
      <c r="K268" s="3">
        <v>673</v>
      </c>
      <c r="L268" s="3">
        <v>5</v>
      </c>
      <c r="M268" s="4">
        <f t="shared" si="33"/>
        <v>3.3774967379303425E-2</v>
      </c>
      <c r="N268" s="4">
        <f t="shared" si="34"/>
        <v>7.429420505200594E-3</v>
      </c>
      <c r="O268">
        <v>92</v>
      </c>
      <c r="P268" s="5">
        <v>1</v>
      </c>
      <c r="Q268" s="7">
        <v>1</v>
      </c>
      <c r="R268" t="str">
        <f t="shared" si="32"/>
        <v>код для проверки</v>
      </c>
      <c r="S268" t="str">
        <f t="shared" si="35"/>
        <v>Низшая четверть</v>
      </c>
      <c r="T268" t="str">
        <f t="shared" si="36"/>
        <v>Низшая четверть</v>
      </c>
      <c r="U268" t="str">
        <f t="shared" si="37"/>
        <v>нормальный код</v>
      </c>
      <c r="V268" t="str">
        <f t="shared" si="38"/>
        <v>Больше половины</v>
      </c>
      <c r="W268" t="str">
        <f t="shared" si="39"/>
        <v>Больше половины</v>
      </c>
      <c r="X268">
        <v>6</v>
      </c>
    </row>
    <row r="269" spans="1:24" x14ac:dyDescent="0.35">
      <c r="A269" s="1" t="s">
        <v>202</v>
      </c>
      <c r="B269" s="2" t="s">
        <v>203</v>
      </c>
      <c r="C269" s="3" t="s">
        <v>13</v>
      </c>
      <c r="D269" s="2" t="s">
        <v>69</v>
      </c>
      <c r="E269" s="3" t="s">
        <v>204</v>
      </c>
      <c r="F269" s="2" t="s">
        <v>34</v>
      </c>
      <c r="G269" s="3" t="s">
        <v>72</v>
      </c>
      <c r="H269" s="2" t="s">
        <v>18</v>
      </c>
      <c r="I269" s="3" t="s">
        <v>19</v>
      </c>
      <c r="J269" s="3">
        <v>19813</v>
      </c>
      <c r="K269" s="3">
        <v>1574</v>
      </c>
      <c r="L269" s="3">
        <v>30</v>
      </c>
      <c r="M269" s="4">
        <f t="shared" si="33"/>
        <v>7.9442790087316403E-2</v>
      </c>
      <c r="N269" s="4">
        <f t="shared" si="34"/>
        <v>1.9059720457433291E-2</v>
      </c>
      <c r="O269">
        <v>285</v>
      </c>
      <c r="P269" s="5">
        <v>1</v>
      </c>
      <c r="Q269" s="7">
        <v>1</v>
      </c>
      <c r="R269" t="str">
        <f t="shared" si="32"/>
        <v>нормальный код</v>
      </c>
      <c r="S269" t="str">
        <f t="shared" si="35"/>
        <v>Вторая четверть</v>
      </c>
      <c r="T269" t="str">
        <f t="shared" si="36"/>
        <v>Вторая четверть</v>
      </c>
      <c r="U269" t="str">
        <f t="shared" si="37"/>
        <v>нормальный код</v>
      </c>
      <c r="V269" t="str">
        <f t="shared" si="38"/>
        <v>Вторая четверть</v>
      </c>
      <c r="W269" t="str">
        <f t="shared" si="39"/>
        <v>Больше половины</v>
      </c>
      <c r="X269">
        <v>23</v>
      </c>
    </row>
    <row r="270" spans="1:24" x14ac:dyDescent="0.35">
      <c r="A270" s="1" t="s">
        <v>938</v>
      </c>
      <c r="B270" s="2" t="s">
        <v>939</v>
      </c>
      <c r="C270" s="3" t="s">
        <v>55</v>
      </c>
      <c r="D270" s="2" t="s">
        <v>56</v>
      </c>
      <c r="E270" s="3" t="s">
        <v>57</v>
      </c>
      <c r="F270" s="2" t="s">
        <v>34</v>
      </c>
      <c r="G270" s="3" t="s">
        <v>17</v>
      </c>
      <c r="H270" s="2" t="s">
        <v>18</v>
      </c>
      <c r="I270" s="3" t="s">
        <v>19</v>
      </c>
      <c r="J270" s="3">
        <v>18604</v>
      </c>
      <c r="K270" s="3">
        <v>2584</v>
      </c>
      <c r="L270" s="3">
        <v>44</v>
      </c>
      <c r="M270" s="4">
        <f t="shared" si="33"/>
        <v>0.1388948613201462</v>
      </c>
      <c r="N270" s="4">
        <f t="shared" si="34"/>
        <v>1.7027863777089782E-2</v>
      </c>
      <c r="O270">
        <v>398</v>
      </c>
      <c r="P270" s="5">
        <v>1</v>
      </c>
      <c r="Q270" s="7">
        <v>1</v>
      </c>
      <c r="R270" t="str">
        <f t="shared" si="32"/>
        <v>нормальный код</v>
      </c>
      <c r="S270" t="str">
        <f t="shared" si="35"/>
        <v>Больше половины</v>
      </c>
      <c r="T270" t="str">
        <f t="shared" si="36"/>
        <v>Вторая четверть</v>
      </c>
      <c r="U270" t="str">
        <f t="shared" si="37"/>
        <v>нормальный код</v>
      </c>
      <c r="V270" t="str">
        <f t="shared" si="38"/>
        <v>Больше половины</v>
      </c>
      <c r="W270" t="str">
        <f t="shared" si="39"/>
        <v>Больше половины</v>
      </c>
      <c r="X270">
        <v>11</v>
      </c>
    </row>
    <row r="271" spans="1:24" x14ac:dyDescent="0.35">
      <c r="A271" s="1" t="s">
        <v>607</v>
      </c>
      <c r="B271" s="2" t="s">
        <v>608</v>
      </c>
      <c r="C271" s="3" t="s">
        <v>13</v>
      </c>
      <c r="D271" s="2" t="s">
        <v>77</v>
      </c>
      <c r="E271" s="3" t="s">
        <v>444</v>
      </c>
      <c r="F271" s="2" t="s">
        <v>96</v>
      </c>
      <c r="G271" s="3" t="s">
        <v>17</v>
      </c>
      <c r="H271" s="2" t="s">
        <v>18</v>
      </c>
      <c r="I271" s="3" t="s">
        <v>19</v>
      </c>
      <c r="J271" s="3">
        <v>18533</v>
      </c>
      <c r="K271" s="3">
        <v>2085</v>
      </c>
      <c r="L271" s="3">
        <v>20</v>
      </c>
      <c r="M271" s="4">
        <f t="shared" si="33"/>
        <v>0.11250202341768736</v>
      </c>
      <c r="N271" s="4">
        <f t="shared" si="34"/>
        <v>9.5923261390887284E-3</v>
      </c>
      <c r="O271">
        <v>438</v>
      </c>
      <c r="P271" s="5">
        <v>1</v>
      </c>
      <c r="Q271" s="7">
        <v>1</v>
      </c>
      <c r="R271" t="str">
        <f t="shared" si="32"/>
        <v>код для проверки</v>
      </c>
      <c r="S271" t="str">
        <f t="shared" si="35"/>
        <v>Больше половины</v>
      </c>
      <c r="T271" t="str">
        <f t="shared" si="36"/>
        <v>Низшая четверть</v>
      </c>
      <c r="U271" t="str">
        <f t="shared" si="37"/>
        <v>нормальный код</v>
      </c>
      <c r="V271" t="str">
        <f t="shared" si="38"/>
        <v>Больше половины</v>
      </c>
      <c r="W271" t="str">
        <f t="shared" si="39"/>
        <v>Больше половины</v>
      </c>
      <c r="X271">
        <v>16</v>
      </c>
    </row>
    <row r="272" spans="1:24" x14ac:dyDescent="0.35">
      <c r="A272" s="1" t="s">
        <v>208</v>
      </c>
      <c r="B272" s="2" t="s">
        <v>209</v>
      </c>
      <c r="C272" s="3" t="s">
        <v>13</v>
      </c>
      <c r="D272" s="2" t="s">
        <v>69</v>
      </c>
      <c r="E272" s="3" t="s">
        <v>210</v>
      </c>
      <c r="F272" s="2" t="s">
        <v>34</v>
      </c>
      <c r="G272" s="3" t="s">
        <v>72</v>
      </c>
      <c r="H272" s="2" t="s">
        <v>18</v>
      </c>
      <c r="I272" s="3" t="s">
        <v>19</v>
      </c>
      <c r="J272" s="3">
        <v>18364</v>
      </c>
      <c r="K272" s="3">
        <v>1653</v>
      </c>
      <c r="L272" s="3">
        <v>36</v>
      </c>
      <c r="M272" s="4">
        <f t="shared" si="33"/>
        <v>9.0013069048137662E-2</v>
      </c>
      <c r="N272" s="4">
        <f t="shared" si="34"/>
        <v>2.1778584392014518E-2</v>
      </c>
      <c r="O272">
        <v>122</v>
      </c>
      <c r="P272" s="5">
        <v>1</v>
      </c>
      <c r="Q272" s="7">
        <v>1</v>
      </c>
      <c r="R272" t="str">
        <f t="shared" si="32"/>
        <v>нормальный код</v>
      </c>
      <c r="S272" t="str">
        <f t="shared" si="35"/>
        <v>Вторая четверть</v>
      </c>
      <c r="T272" t="str">
        <f t="shared" si="36"/>
        <v>Больше половины</v>
      </c>
      <c r="U272" t="str">
        <f t="shared" si="37"/>
        <v>нормальный код</v>
      </c>
      <c r="V272" t="str">
        <f t="shared" si="38"/>
        <v>Вторая четверть</v>
      </c>
      <c r="W272" t="str">
        <f t="shared" si="39"/>
        <v>Вторая четверть</v>
      </c>
      <c r="X272">
        <v>18</v>
      </c>
    </row>
    <row r="273" spans="1:24" x14ac:dyDescent="0.35">
      <c r="A273" s="1" t="s">
        <v>1351</v>
      </c>
      <c r="B273" s="2" t="s">
        <v>1352</v>
      </c>
      <c r="C273" s="3" t="s">
        <v>13</v>
      </c>
      <c r="D273" s="2" t="s">
        <v>77</v>
      </c>
      <c r="E273" s="3" t="s">
        <v>380</v>
      </c>
      <c r="F273" s="2" t="s">
        <v>61</v>
      </c>
      <c r="G273" s="3" t="s">
        <v>17</v>
      </c>
      <c r="H273" s="2" t="s">
        <v>18</v>
      </c>
      <c r="I273" s="3" t="s">
        <v>19</v>
      </c>
      <c r="J273" s="3">
        <v>18313</v>
      </c>
      <c r="K273" s="3">
        <v>1595</v>
      </c>
      <c r="L273" s="3">
        <v>33</v>
      </c>
      <c r="M273" s="4">
        <f t="shared" si="33"/>
        <v>8.709659804510457E-2</v>
      </c>
      <c r="N273" s="4">
        <f t="shared" si="34"/>
        <v>2.0689655172413793E-2</v>
      </c>
      <c r="O273">
        <v>417</v>
      </c>
      <c r="P273" s="5">
        <v>1</v>
      </c>
      <c r="Q273" s="7">
        <v>1</v>
      </c>
      <c r="R273" t="str">
        <f t="shared" si="32"/>
        <v>нормальный код</v>
      </c>
      <c r="S273" t="str">
        <f t="shared" si="35"/>
        <v>Вторая четверть</v>
      </c>
      <c r="T273" t="str">
        <f t="shared" si="36"/>
        <v>Больше половины</v>
      </c>
      <c r="U273" t="str">
        <f t="shared" si="37"/>
        <v>нормальный код</v>
      </c>
      <c r="V273" t="str">
        <f t="shared" si="38"/>
        <v>Больше половины</v>
      </c>
      <c r="W273" t="str">
        <f t="shared" si="39"/>
        <v>Больше половины</v>
      </c>
      <c r="X273">
        <v>17</v>
      </c>
    </row>
    <row r="274" spans="1:24" x14ac:dyDescent="0.35">
      <c r="A274" s="1" t="s">
        <v>475</v>
      </c>
      <c r="B274" s="2" t="s">
        <v>476</v>
      </c>
      <c r="C274" s="3" t="s">
        <v>13</v>
      </c>
      <c r="D274" s="2" t="s">
        <v>69</v>
      </c>
      <c r="E274" s="3" t="s">
        <v>227</v>
      </c>
      <c r="F274" s="2" t="s">
        <v>34</v>
      </c>
      <c r="G274" s="3" t="s">
        <v>72</v>
      </c>
      <c r="H274" s="2" t="s">
        <v>18</v>
      </c>
      <c r="I274" s="3" t="s">
        <v>19</v>
      </c>
      <c r="J274" s="3">
        <v>18260</v>
      </c>
      <c r="K274" s="3">
        <v>1035</v>
      </c>
      <c r="L274" s="3">
        <v>14</v>
      </c>
      <c r="M274" s="4">
        <f t="shared" si="33"/>
        <v>5.6681270536692224E-2</v>
      </c>
      <c r="N274" s="4">
        <f t="shared" si="34"/>
        <v>1.3526570048309179E-2</v>
      </c>
      <c r="O274">
        <v>384</v>
      </c>
      <c r="P274" s="5">
        <v>1</v>
      </c>
      <c r="Q274" s="7">
        <v>1</v>
      </c>
      <c r="R274" t="str">
        <f t="shared" ref="R274:R337" si="40">IF(OR(M274&lt;$S$1*0.5,N274&lt;$T$1*0.5),"код для проверки","нормальный код")</f>
        <v>нормальный код</v>
      </c>
      <c r="S274" t="str">
        <f t="shared" si="35"/>
        <v>Вторая четверть</v>
      </c>
      <c r="T274" t="str">
        <f t="shared" si="36"/>
        <v>Вторая четверть</v>
      </c>
      <c r="U274" t="str">
        <f t="shared" si="37"/>
        <v>нормальный код</v>
      </c>
      <c r="V274" t="str">
        <f t="shared" si="38"/>
        <v>Вторая четверть</v>
      </c>
      <c r="W274" t="str">
        <f t="shared" si="39"/>
        <v>Больше половины</v>
      </c>
      <c r="X274">
        <v>16</v>
      </c>
    </row>
    <row r="275" spans="1:24" x14ac:dyDescent="0.35">
      <c r="A275" s="1" t="s">
        <v>87</v>
      </c>
      <c r="B275" s="2" t="s">
        <v>88</v>
      </c>
      <c r="C275" s="3" t="s">
        <v>13</v>
      </c>
      <c r="D275" s="2" t="s">
        <v>77</v>
      </c>
      <c r="E275" s="3" t="s">
        <v>89</v>
      </c>
      <c r="F275" s="2" t="s">
        <v>34</v>
      </c>
      <c r="G275" s="3" t="s">
        <v>35</v>
      </c>
      <c r="H275" s="2" t="s">
        <v>18</v>
      </c>
      <c r="I275" s="3" t="s">
        <v>19</v>
      </c>
      <c r="J275" s="3">
        <v>18235</v>
      </c>
      <c r="K275" s="3">
        <v>5640</v>
      </c>
      <c r="L275" s="3">
        <v>117</v>
      </c>
      <c r="M275" s="4">
        <f t="shared" si="33"/>
        <v>0.309295311214697</v>
      </c>
      <c r="N275" s="4">
        <f t="shared" si="34"/>
        <v>2.0744680851063829E-2</v>
      </c>
      <c r="O275">
        <v>1831</v>
      </c>
      <c r="P275" s="5">
        <v>1</v>
      </c>
      <c r="Q275" s="7">
        <v>1</v>
      </c>
      <c r="R275" t="str">
        <f t="shared" si="40"/>
        <v>нормальный код</v>
      </c>
      <c r="S275" t="str">
        <f t="shared" si="35"/>
        <v>Больше половины</v>
      </c>
      <c r="T275" t="str">
        <f t="shared" si="36"/>
        <v>Больше половины</v>
      </c>
      <c r="U275" t="str">
        <f t="shared" si="37"/>
        <v>нормальный код</v>
      </c>
      <c r="V275" t="str">
        <f t="shared" si="38"/>
        <v>Больше половины</v>
      </c>
      <c r="W275" t="str">
        <f t="shared" si="39"/>
        <v>Вторая четверть</v>
      </c>
      <c r="X275">
        <v>14</v>
      </c>
    </row>
    <row r="276" spans="1:24" x14ac:dyDescent="0.35">
      <c r="A276" s="1" t="s">
        <v>845</v>
      </c>
      <c r="B276" s="2" t="s">
        <v>846</v>
      </c>
      <c r="C276" s="3" t="s">
        <v>13</v>
      </c>
      <c r="D276" s="2" t="s">
        <v>32</v>
      </c>
      <c r="E276" s="3" t="s">
        <v>33</v>
      </c>
      <c r="F276" s="2" t="s">
        <v>34</v>
      </c>
      <c r="G276" s="3" t="s">
        <v>35</v>
      </c>
      <c r="H276" s="2" t="s">
        <v>18</v>
      </c>
      <c r="I276" s="3" t="s">
        <v>19</v>
      </c>
      <c r="J276" s="3">
        <v>18189</v>
      </c>
      <c r="K276" s="3">
        <v>2285</v>
      </c>
      <c r="L276" s="3">
        <v>71</v>
      </c>
      <c r="M276" s="4">
        <f t="shared" si="33"/>
        <v>0.12562537797569959</v>
      </c>
      <c r="N276" s="4">
        <f t="shared" si="34"/>
        <v>3.1072210065645513E-2</v>
      </c>
      <c r="O276">
        <v>648</v>
      </c>
      <c r="P276" s="5">
        <v>1</v>
      </c>
      <c r="Q276" s="7">
        <v>1</v>
      </c>
      <c r="R276" t="str">
        <f t="shared" si="40"/>
        <v>нормальный код</v>
      </c>
      <c r="S276" t="str">
        <f t="shared" si="35"/>
        <v>Больше половины</v>
      </c>
      <c r="T276" t="str">
        <f t="shared" si="36"/>
        <v>Больше половины</v>
      </c>
      <c r="U276" t="str">
        <f t="shared" si="37"/>
        <v>нормальный код</v>
      </c>
      <c r="V276" t="str">
        <f t="shared" si="38"/>
        <v>Больше половины</v>
      </c>
      <c r="W276" t="str">
        <f t="shared" si="39"/>
        <v>Больше половины</v>
      </c>
      <c r="X276">
        <v>15</v>
      </c>
    </row>
    <row r="277" spans="1:24" x14ac:dyDescent="0.35">
      <c r="A277" s="1" t="s">
        <v>1706</v>
      </c>
      <c r="B277" s="2" t="s">
        <v>1707</v>
      </c>
      <c r="C277" s="3" t="s">
        <v>55</v>
      </c>
      <c r="D277" s="2" t="s">
        <v>94</v>
      </c>
      <c r="E277" s="3" t="s">
        <v>95</v>
      </c>
      <c r="F277" s="2" t="s">
        <v>96</v>
      </c>
      <c r="G277" s="3" t="s">
        <v>17</v>
      </c>
      <c r="H277" s="2" t="s">
        <v>97</v>
      </c>
      <c r="I277" s="3" t="s">
        <v>19</v>
      </c>
      <c r="J277" s="3">
        <v>18144</v>
      </c>
      <c r="K277" s="3">
        <v>6699</v>
      </c>
      <c r="L277" s="3">
        <v>114</v>
      </c>
      <c r="M277" s="4">
        <f t="shared" si="33"/>
        <v>0.36921296296296297</v>
      </c>
      <c r="N277" s="4">
        <f t="shared" si="34"/>
        <v>1.7017465293327361E-2</v>
      </c>
      <c r="O277">
        <v>1139</v>
      </c>
      <c r="P277" s="5">
        <v>0.66666666666666663</v>
      </c>
      <c r="Q277" s="7">
        <v>1</v>
      </c>
      <c r="R277" t="str">
        <f t="shared" si="40"/>
        <v>нормальный код</v>
      </c>
      <c r="S277" t="str">
        <f t="shared" si="35"/>
        <v>Больше половины</v>
      </c>
      <c r="T277" t="str">
        <f t="shared" si="36"/>
        <v>Вторая четверть</v>
      </c>
      <c r="U277" t="str">
        <f t="shared" si="37"/>
        <v>нормальный код</v>
      </c>
      <c r="V277" t="str">
        <f t="shared" si="38"/>
        <v>Больше половины</v>
      </c>
      <c r="W277" t="str">
        <f t="shared" si="39"/>
        <v>Больше половины</v>
      </c>
      <c r="X277">
        <v>24</v>
      </c>
    </row>
    <row r="278" spans="1:24" x14ac:dyDescent="0.35">
      <c r="A278" s="1" t="s">
        <v>1015</v>
      </c>
      <c r="B278" s="2" t="s">
        <v>1016</v>
      </c>
      <c r="C278" s="3" t="s">
        <v>55</v>
      </c>
      <c r="D278" s="2" t="s">
        <v>94</v>
      </c>
      <c r="E278" s="3" t="s">
        <v>95</v>
      </c>
      <c r="F278" s="2" t="s">
        <v>96</v>
      </c>
      <c r="G278" s="3" t="s">
        <v>17</v>
      </c>
      <c r="H278" s="2" t="s">
        <v>97</v>
      </c>
      <c r="I278" s="3" t="s">
        <v>19</v>
      </c>
      <c r="J278" s="3">
        <v>18088</v>
      </c>
      <c r="K278" s="3">
        <v>8290</v>
      </c>
      <c r="L278" s="3">
        <v>180</v>
      </c>
      <c r="M278" s="4">
        <f t="shared" si="33"/>
        <v>0.45831490490933213</v>
      </c>
      <c r="N278" s="4">
        <f t="shared" si="34"/>
        <v>2.1712907117008445E-2</v>
      </c>
      <c r="O278">
        <v>2634</v>
      </c>
      <c r="P278" s="5">
        <v>0.77777777777777779</v>
      </c>
      <c r="Q278" s="7">
        <v>1</v>
      </c>
      <c r="R278" t="str">
        <f t="shared" si="40"/>
        <v>нормальный код</v>
      </c>
      <c r="S278" t="str">
        <f t="shared" si="35"/>
        <v>Больше половины</v>
      </c>
      <c r="T278" t="str">
        <f t="shared" si="36"/>
        <v>Больше половины</v>
      </c>
      <c r="U278" t="str">
        <f t="shared" si="37"/>
        <v>нормальный код</v>
      </c>
      <c r="V278" t="str">
        <f t="shared" si="38"/>
        <v>Больше половины</v>
      </c>
      <c r="W278" t="str">
        <f t="shared" si="39"/>
        <v>Больше половины</v>
      </c>
      <c r="X278">
        <v>20</v>
      </c>
    </row>
    <row r="279" spans="1:24" x14ac:dyDescent="0.35">
      <c r="A279" s="1" t="s">
        <v>1955</v>
      </c>
      <c r="B279" s="2" t="s">
        <v>1956</v>
      </c>
      <c r="C279" s="3" t="s">
        <v>13</v>
      </c>
      <c r="D279" s="2" t="s">
        <v>69</v>
      </c>
      <c r="E279" s="3" t="s">
        <v>290</v>
      </c>
      <c r="F279" s="2" t="s">
        <v>34</v>
      </c>
      <c r="G279" s="3" t="s">
        <v>72</v>
      </c>
      <c r="H279" s="2" t="s">
        <v>18</v>
      </c>
      <c r="I279" s="3" t="s">
        <v>19</v>
      </c>
      <c r="J279" s="3">
        <v>18013</v>
      </c>
      <c r="K279" s="3">
        <v>1968</v>
      </c>
      <c r="L279" s="3">
        <v>41</v>
      </c>
      <c r="M279" s="4">
        <f t="shared" si="33"/>
        <v>0.10925442735801921</v>
      </c>
      <c r="N279" s="4">
        <f t="shared" si="34"/>
        <v>2.0833333333333332E-2</v>
      </c>
      <c r="O279">
        <v>542</v>
      </c>
      <c r="P279" s="5">
        <v>1</v>
      </c>
      <c r="Q279" s="7">
        <v>1</v>
      </c>
      <c r="R279" t="str">
        <f t="shared" si="40"/>
        <v>нормальный код</v>
      </c>
      <c r="S279" t="str">
        <f t="shared" si="35"/>
        <v>Больше половины</v>
      </c>
      <c r="T279" t="str">
        <f t="shared" si="36"/>
        <v>Больше половины</v>
      </c>
      <c r="U279" t="str">
        <f t="shared" si="37"/>
        <v>нормальный код</v>
      </c>
      <c r="V279" t="str">
        <f t="shared" si="38"/>
        <v>Вторая четверть</v>
      </c>
      <c r="W279" t="str">
        <f t="shared" si="39"/>
        <v>Больше половины</v>
      </c>
      <c r="X279">
        <v>13</v>
      </c>
    </row>
    <row r="280" spans="1:24" x14ac:dyDescent="0.35">
      <c r="A280" s="1" t="s">
        <v>1586</v>
      </c>
      <c r="B280" s="2" t="s">
        <v>1587</v>
      </c>
      <c r="C280" s="3" t="s">
        <v>13</v>
      </c>
      <c r="D280" s="2" t="s">
        <v>77</v>
      </c>
      <c r="E280" s="3" t="s">
        <v>78</v>
      </c>
      <c r="F280" s="2" t="s">
        <v>34</v>
      </c>
      <c r="G280" s="3" t="s">
        <v>17</v>
      </c>
      <c r="H280" s="2" t="s">
        <v>18</v>
      </c>
      <c r="I280" s="3" t="s">
        <v>19</v>
      </c>
      <c r="J280" s="3">
        <v>17958</v>
      </c>
      <c r="K280" s="3">
        <v>1531</v>
      </c>
      <c r="L280" s="3">
        <v>20</v>
      </c>
      <c r="M280" s="4">
        <f t="shared" si="33"/>
        <v>8.5254482681813126E-2</v>
      </c>
      <c r="N280" s="4">
        <f t="shared" si="34"/>
        <v>1.3063357282821686E-2</v>
      </c>
      <c r="O280">
        <v>406</v>
      </c>
      <c r="P280" s="5">
        <v>1</v>
      </c>
      <c r="Q280" s="7">
        <v>1</v>
      </c>
      <c r="R280" t="str">
        <f t="shared" si="40"/>
        <v>нормальный код</v>
      </c>
      <c r="S280" t="str">
        <f t="shared" si="35"/>
        <v>Вторая четверть</v>
      </c>
      <c r="T280" t="str">
        <f t="shared" si="36"/>
        <v>Вторая четверть</v>
      </c>
      <c r="U280" t="str">
        <f t="shared" si="37"/>
        <v>код для проверки</v>
      </c>
      <c r="V280" t="str">
        <f t="shared" si="38"/>
        <v>Больше половины</v>
      </c>
      <c r="W280" t="str">
        <f t="shared" si="39"/>
        <v>Низшая четверть</v>
      </c>
      <c r="X280">
        <v>19</v>
      </c>
    </row>
    <row r="281" spans="1:24" x14ac:dyDescent="0.35">
      <c r="A281" s="1" t="s">
        <v>456</v>
      </c>
      <c r="B281" s="2" t="s">
        <v>457</v>
      </c>
      <c r="C281" s="3" t="s">
        <v>13</v>
      </c>
      <c r="D281" s="2" t="s">
        <v>155</v>
      </c>
      <c r="E281" s="3" t="s">
        <v>156</v>
      </c>
      <c r="F281" s="2" t="s">
        <v>34</v>
      </c>
      <c r="G281" s="3" t="s">
        <v>35</v>
      </c>
      <c r="H281" s="2" t="s">
        <v>18</v>
      </c>
      <c r="I281" s="3" t="s">
        <v>19</v>
      </c>
      <c r="J281" s="3">
        <v>17827</v>
      </c>
      <c r="K281" s="3">
        <v>1956</v>
      </c>
      <c r="L281" s="3">
        <v>96</v>
      </c>
      <c r="M281" s="4">
        <f t="shared" si="33"/>
        <v>0.10972120940146968</v>
      </c>
      <c r="N281" s="4">
        <f t="shared" si="34"/>
        <v>4.9079754601226995E-2</v>
      </c>
      <c r="O281">
        <v>903</v>
      </c>
      <c r="P281" s="5">
        <v>1</v>
      </c>
      <c r="Q281" s="7">
        <v>1</v>
      </c>
      <c r="R281" t="str">
        <f t="shared" si="40"/>
        <v>нормальный код</v>
      </c>
      <c r="S281" t="str">
        <f t="shared" si="35"/>
        <v>Больше половины</v>
      </c>
      <c r="T281" t="str">
        <f t="shared" si="36"/>
        <v>Больше половины</v>
      </c>
      <c r="U281" t="str">
        <f t="shared" si="37"/>
        <v>нормальный код</v>
      </c>
      <c r="V281" t="str">
        <f t="shared" si="38"/>
        <v>Больше половины</v>
      </c>
      <c r="W281" t="str">
        <f t="shared" si="39"/>
        <v>Больше половины</v>
      </c>
      <c r="X281">
        <v>13</v>
      </c>
    </row>
    <row r="282" spans="1:24" x14ac:dyDescent="0.35">
      <c r="A282" s="1" t="s">
        <v>314</v>
      </c>
      <c r="B282" s="2" t="s">
        <v>315</v>
      </c>
      <c r="C282" s="3" t="s">
        <v>13</v>
      </c>
      <c r="D282" s="2" t="s">
        <v>69</v>
      </c>
      <c r="E282" s="3" t="s">
        <v>316</v>
      </c>
      <c r="F282" s="2" t="s">
        <v>34</v>
      </c>
      <c r="G282" s="3" t="s">
        <v>72</v>
      </c>
      <c r="H282" s="2" t="s">
        <v>18</v>
      </c>
      <c r="I282" s="3" t="s">
        <v>19</v>
      </c>
      <c r="J282" s="3">
        <v>17795</v>
      </c>
      <c r="K282" s="3">
        <v>1172</v>
      </c>
      <c r="L282" s="3">
        <v>34</v>
      </c>
      <c r="M282" s="4">
        <f t="shared" si="33"/>
        <v>6.5861196965439725E-2</v>
      </c>
      <c r="N282" s="4">
        <f t="shared" si="34"/>
        <v>2.9010238907849831E-2</v>
      </c>
      <c r="O282">
        <v>200</v>
      </c>
      <c r="P282" s="5">
        <v>1</v>
      </c>
      <c r="Q282" s="7">
        <v>1</v>
      </c>
      <c r="R282" t="str">
        <f t="shared" si="40"/>
        <v>нормальный код</v>
      </c>
      <c r="S282" t="str">
        <f t="shared" si="35"/>
        <v>Вторая четверть</v>
      </c>
      <c r="T282" t="str">
        <f t="shared" si="36"/>
        <v>Больше половины</v>
      </c>
      <c r="U282" t="str">
        <f t="shared" si="37"/>
        <v>нормальный код</v>
      </c>
      <c r="V282" t="str">
        <f t="shared" si="38"/>
        <v>Вторая четверть</v>
      </c>
      <c r="W282" t="str">
        <f t="shared" si="39"/>
        <v>Больше половины</v>
      </c>
      <c r="X282">
        <v>11</v>
      </c>
    </row>
    <row r="283" spans="1:24" x14ac:dyDescent="0.35">
      <c r="A283" s="1" t="s">
        <v>418</v>
      </c>
      <c r="B283" s="2" t="s">
        <v>419</v>
      </c>
      <c r="C283" s="3" t="s">
        <v>13</v>
      </c>
      <c r="D283" s="2" t="s">
        <v>69</v>
      </c>
      <c r="E283" s="3" t="s">
        <v>210</v>
      </c>
      <c r="F283" s="2" t="s">
        <v>34</v>
      </c>
      <c r="G283" s="3" t="s">
        <v>72</v>
      </c>
      <c r="H283" s="2" t="s">
        <v>18</v>
      </c>
      <c r="I283" s="3" t="s">
        <v>19</v>
      </c>
      <c r="J283" s="3">
        <v>17739</v>
      </c>
      <c r="K283" s="3">
        <v>1025</v>
      </c>
      <c r="L283" s="3">
        <v>34</v>
      </c>
      <c r="M283" s="4">
        <f t="shared" si="33"/>
        <v>5.7782287614859915E-2</v>
      </c>
      <c r="N283" s="4">
        <f t="shared" si="34"/>
        <v>3.3170731707317075E-2</v>
      </c>
      <c r="O283">
        <v>111</v>
      </c>
      <c r="P283" s="5">
        <v>1</v>
      </c>
      <c r="Q283" s="7">
        <v>1</v>
      </c>
      <c r="R283" t="str">
        <f t="shared" si="40"/>
        <v>нормальный код</v>
      </c>
      <c r="S283" t="str">
        <f t="shared" si="35"/>
        <v>Вторая четверть</v>
      </c>
      <c r="T283" t="str">
        <f t="shared" si="36"/>
        <v>Больше половины</v>
      </c>
      <c r="U283" t="str">
        <f t="shared" si="37"/>
        <v>нормальный код</v>
      </c>
      <c r="V283" t="str">
        <f t="shared" si="38"/>
        <v>Вторая четверть</v>
      </c>
      <c r="W283" t="str">
        <f t="shared" si="39"/>
        <v>Вторая четверть</v>
      </c>
      <c r="X283">
        <v>17</v>
      </c>
    </row>
    <row r="284" spans="1:24" x14ac:dyDescent="0.35">
      <c r="A284" s="1" t="s">
        <v>543</v>
      </c>
      <c r="B284" s="2" t="s">
        <v>544</v>
      </c>
      <c r="C284" s="3" t="s">
        <v>13</v>
      </c>
      <c r="D284" s="2" t="s">
        <v>69</v>
      </c>
      <c r="E284" s="3" t="s">
        <v>190</v>
      </c>
      <c r="F284" s="2" t="s">
        <v>34</v>
      </c>
      <c r="G284" s="3" t="s">
        <v>72</v>
      </c>
      <c r="H284" s="2" t="s">
        <v>18</v>
      </c>
      <c r="I284" s="3" t="s">
        <v>19</v>
      </c>
      <c r="J284" s="3">
        <v>17568</v>
      </c>
      <c r="K284" s="3">
        <v>2079</v>
      </c>
      <c r="L284" s="3">
        <v>21</v>
      </c>
      <c r="M284" s="4">
        <f t="shared" si="33"/>
        <v>0.11834016393442623</v>
      </c>
      <c r="N284" s="4">
        <f t="shared" si="34"/>
        <v>1.0101010101010102E-2</v>
      </c>
      <c r="O284">
        <v>455</v>
      </c>
      <c r="P284" s="5">
        <v>1</v>
      </c>
      <c r="Q284" s="7">
        <v>1</v>
      </c>
      <c r="R284" t="str">
        <f t="shared" si="40"/>
        <v>код для проверки</v>
      </c>
      <c r="S284" t="str">
        <f t="shared" si="35"/>
        <v>Больше половины</v>
      </c>
      <c r="T284" t="str">
        <f t="shared" si="36"/>
        <v>Низшая четверть</v>
      </c>
      <c r="U284" t="str">
        <f t="shared" si="37"/>
        <v>нормальный код</v>
      </c>
      <c r="V284" t="str">
        <f t="shared" si="38"/>
        <v>Больше половины</v>
      </c>
      <c r="W284" t="str">
        <f t="shared" si="39"/>
        <v>Вторая четверть</v>
      </c>
      <c r="X284">
        <v>24</v>
      </c>
    </row>
    <row r="285" spans="1:24" x14ac:dyDescent="0.35">
      <c r="A285" s="1" t="s">
        <v>2044</v>
      </c>
      <c r="B285" s="2" t="s">
        <v>2045</v>
      </c>
      <c r="C285" s="3" t="s">
        <v>13</v>
      </c>
      <c r="D285" s="2" t="s">
        <v>69</v>
      </c>
      <c r="E285" s="3" t="s">
        <v>159</v>
      </c>
      <c r="F285" s="2" t="s">
        <v>34</v>
      </c>
      <c r="G285" s="3" t="s">
        <v>72</v>
      </c>
      <c r="H285" s="2" t="s">
        <v>18</v>
      </c>
      <c r="I285" s="3" t="s">
        <v>19</v>
      </c>
      <c r="J285" s="3">
        <v>17502</v>
      </c>
      <c r="K285" s="3">
        <v>1935</v>
      </c>
      <c r="L285" s="3">
        <v>96</v>
      </c>
      <c r="M285" s="4">
        <f t="shared" si="33"/>
        <v>0.11055879328076791</v>
      </c>
      <c r="N285" s="4">
        <f t="shared" si="34"/>
        <v>4.9612403100775193E-2</v>
      </c>
      <c r="O285">
        <v>423</v>
      </c>
      <c r="P285" s="5">
        <v>1</v>
      </c>
      <c r="Q285" s="7">
        <v>1</v>
      </c>
      <c r="R285" t="str">
        <f t="shared" si="40"/>
        <v>нормальный код</v>
      </c>
      <c r="S285" t="str">
        <f t="shared" si="35"/>
        <v>Больше половины</v>
      </c>
      <c r="T285" t="str">
        <f t="shared" si="36"/>
        <v>Больше половины</v>
      </c>
      <c r="U285" t="str">
        <f t="shared" si="37"/>
        <v>нормальный код</v>
      </c>
      <c r="V285" t="str">
        <f t="shared" si="38"/>
        <v>Больше половины</v>
      </c>
      <c r="W285" t="str">
        <f t="shared" si="39"/>
        <v>Больше половины</v>
      </c>
      <c r="X285">
        <v>5</v>
      </c>
    </row>
    <row r="286" spans="1:24" x14ac:dyDescent="0.35">
      <c r="A286" s="1" t="s">
        <v>1521</v>
      </c>
      <c r="B286" s="2" t="s">
        <v>1522</v>
      </c>
      <c r="C286" s="3" t="s">
        <v>55</v>
      </c>
      <c r="D286" s="2" t="s">
        <v>56</v>
      </c>
      <c r="E286" s="3" t="s">
        <v>472</v>
      </c>
      <c r="F286" s="2" t="s">
        <v>34</v>
      </c>
      <c r="G286" s="3" t="s">
        <v>17</v>
      </c>
      <c r="H286" s="2" t="s">
        <v>18</v>
      </c>
      <c r="I286" s="3" t="s">
        <v>19</v>
      </c>
      <c r="J286" s="3">
        <v>17486</v>
      </c>
      <c r="K286" s="3">
        <v>405</v>
      </c>
      <c r="L286" s="3">
        <v>3</v>
      </c>
      <c r="M286" s="4">
        <f t="shared" si="33"/>
        <v>2.316138625185863E-2</v>
      </c>
      <c r="N286" s="4">
        <f t="shared" si="34"/>
        <v>7.4074074074074077E-3</v>
      </c>
      <c r="O286">
        <v>215</v>
      </c>
      <c r="P286" s="5">
        <v>1</v>
      </c>
      <c r="Q286" s="7">
        <v>1</v>
      </c>
      <c r="R286" t="str">
        <f t="shared" si="40"/>
        <v>код для проверки</v>
      </c>
      <c r="S286" t="str">
        <f t="shared" si="35"/>
        <v>Низшая четверть</v>
      </c>
      <c r="T286" t="str">
        <f t="shared" si="36"/>
        <v>Низшая четверть</v>
      </c>
      <c r="U286" t="str">
        <f t="shared" si="37"/>
        <v>код для проверки</v>
      </c>
      <c r="V286" t="str">
        <f t="shared" si="38"/>
        <v>Низшая четверть</v>
      </c>
      <c r="W286" t="str">
        <f t="shared" si="39"/>
        <v>Низшая четверть</v>
      </c>
      <c r="X286">
        <v>14</v>
      </c>
    </row>
    <row r="287" spans="1:24" x14ac:dyDescent="0.35">
      <c r="A287" s="1" t="s">
        <v>1718</v>
      </c>
      <c r="B287" s="2" t="s">
        <v>1719</v>
      </c>
      <c r="C287" s="3" t="s">
        <v>55</v>
      </c>
      <c r="D287" s="2" t="s">
        <v>94</v>
      </c>
      <c r="E287" s="3" t="s">
        <v>95</v>
      </c>
      <c r="F287" s="2" t="s">
        <v>96</v>
      </c>
      <c r="G287" s="3" t="s">
        <v>17</v>
      </c>
      <c r="H287" s="2" t="s">
        <v>97</v>
      </c>
      <c r="I287" s="3" t="s">
        <v>19</v>
      </c>
      <c r="J287" s="3">
        <v>17373</v>
      </c>
      <c r="K287" s="3">
        <v>6668</v>
      </c>
      <c r="L287" s="3">
        <v>93</v>
      </c>
      <c r="M287" s="4">
        <f t="shared" si="33"/>
        <v>0.38381396419731767</v>
      </c>
      <c r="N287" s="4">
        <f t="shared" si="34"/>
        <v>1.3947210557888423E-2</v>
      </c>
      <c r="O287">
        <v>1940</v>
      </c>
      <c r="P287" s="5">
        <v>0.77777777777777779</v>
      </c>
      <c r="Q287" s="7">
        <v>1</v>
      </c>
      <c r="R287" t="str">
        <f t="shared" si="40"/>
        <v>нормальный код</v>
      </c>
      <c r="S287" t="str">
        <f t="shared" si="35"/>
        <v>Больше половины</v>
      </c>
      <c r="T287" t="str">
        <f t="shared" si="36"/>
        <v>Вторая четверть</v>
      </c>
      <c r="U287" t="str">
        <f t="shared" si="37"/>
        <v>нормальный код</v>
      </c>
      <c r="V287" t="str">
        <f t="shared" si="38"/>
        <v>Больше половины</v>
      </c>
      <c r="W287" t="str">
        <f t="shared" si="39"/>
        <v>Больше половины</v>
      </c>
      <c r="X287">
        <v>23</v>
      </c>
    </row>
    <row r="288" spans="1:24" x14ac:dyDescent="0.35">
      <c r="A288" s="1" t="s">
        <v>646</v>
      </c>
      <c r="B288" s="2" t="s">
        <v>647</v>
      </c>
      <c r="C288" s="3" t="s">
        <v>13</v>
      </c>
      <c r="D288" s="2" t="s">
        <v>14</v>
      </c>
      <c r="E288" s="3" t="s">
        <v>15</v>
      </c>
      <c r="F288" s="2" t="s">
        <v>16</v>
      </c>
      <c r="G288" s="3" t="s">
        <v>35</v>
      </c>
      <c r="H288" s="2" t="s">
        <v>18</v>
      </c>
      <c r="I288" s="3" t="s">
        <v>19</v>
      </c>
      <c r="J288" s="3">
        <v>17351</v>
      </c>
      <c r="K288" s="3">
        <v>1643</v>
      </c>
      <c r="L288" s="3">
        <v>22</v>
      </c>
      <c r="M288" s="4">
        <f t="shared" si="33"/>
        <v>9.4691948590859318E-2</v>
      </c>
      <c r="N288" s="4">
        <f t="shared" si="34"/>
        <v>1.3390139987827145E-2</v>
      </c>
      <c r="O288">
        <v>377</v>
      </c>
      <c r="P288" s="5">
        <v>0.8</v>
      </c>
      <c r="Q288" s="7">
        <v>1</v>
      </c>
      <c r="R288" t="str">
        <f t="shared" si="40"/>
        <v>нормальный код</v>
      </c>
      <c r="S288" t="str">
        <f t="shared" si="35"/>
        <v>Вторая четверть</v>
      </c>
      <c r="T288" t="str">
        <f t="shared" si="36"/>
        <v>Вторая четверть</v>
      </c>
      <c r="U288" t="str">
        <f t="shared" si="37"/>
        <v>нормальный код</v>
      </c>
      <c r="V288" t="str">
        <f t="shared" si="38"/>
        <v>Больше половины</v>
      </c>
      <c r="W288" t="str">
        <f t="shared" si="39"/>
        <v>Вторая четверть</v>
      </c>
      <c r="X288">
        <v>7</v>
      </c>
    </row>
    <row r="289" spans="1:24" x14ac:dyDescent="0.35">
      <c r="A289" s="1" t="s">
        <v>529</v>
      </c>
      <c r="B289" s="2" t="s">
        <v>530</v>
      </c>
      <c r="C289" s="3" t="s">
        <v>13</v>
      </c>
      <c r="D289" s="2" t="s">
        <v>121</v>
      </c>
      <c r="E289" s="3" t="s">
        <v>531</v>
      </c>
      <c r="F289" s="2" t="s">
        <v>123</v>
      </c>
      <c r="G289" s="3" t="s">
        <v>17</v>
      </c>
      <c r="H289" s="2" t="s">
        <v>18</v>
      </c>
      <c r="I289" s="3" t="s">
        <v>19</v>
      </c>
      <c r="J289" s="3">
        <v>17121</v>
      </c>
      <c r="K289" s="3">
        <v>1129</v>
      </c>
      <c r="L289" s="3">
        <v>35</v>
      </c>
      <c r="M289" s="4">
        <f t="shared" si="33"/>
        <v>6.5942409905963437E-2</v>
      </c>
      <c r="N289" s="4">
        <f t="shared" si="34"/>
        <v>3.100088573959256E-2</v>
      </c>
      <c r="O289">
        <v>321</v>
      </c>
      <c r="P289" s="5">
        <v>1</v>
      </c>
      <c r="Q289" s="7">
        <v>1</v>
      </c>
      <c r="R289" t="str">
        <f t="shared" si="40"/>
        <v>нормальный код</v>
      </c>
      <c r="S289" t="str">
        <f t="shared" si="35"/>
        <v>Вторая четверть</v>
      </c>
      <c r="T289" t="str">
        <f t="shared" si="36"/>
        <v>Больше половины</v>
      </c>
      <c r="U289" t="str">
        <f t="shared" si="37"/>
        <v>нормальный код</v>
      </c>
      <c r="V289" t="str">
        <f t="shared" si="38"/>
        <v>Вторая четверть</v>
      </c>
      <c r="W289" t="str">
        <f t="shared" si="39"/>
        <v>Больше половины</v>
      </c>
      <c r="X289">
        <v>24</v>
      </c>
    </row>
    <row r="290" spans="1:24" x14ac:dyDescent="0.35">
      <c r="A290" s="1" t="s">
        <v>612</v>
      </c>
      <c r="B290" s="2" t="s">
        <v>613</v>
      </c>
      <c r="C290" s="3" t="s">
        <v>55</v>
      </c>
      <c r="D290" s="2" t="s">
        <v>336</v>
      </c>
      <c r="E290" s="3" t="s">
        <v>337</v>
      </c>
      <c r="F290" s="2" t="s">
        <v>34</v>
      </c>
      <c r="G290" s="3" t="s">
        <v>17</v>
      </c>
      <c r="H290" s="2" t="s">
        <v>18</v>
      </c>
      <c r="I290" s="3" t="s">
        <v>19</v>
      </c>
      <c r="J290" s="3">
        <v>17041</v>
      </c>
      <c r="K290" s="3">
        <v>1683</v>
      </c>
      <c r="L290" s="3">
        <v>192</v>
      </c>
      <c r="M290" s="4">
        <f t="shared" si="33"/>
        <v>9.8761809752948765E-2</v>
      </c>
      <c r="N290" s="4">
        <f t="shared" si="34"/>
        <v>0.1140819964349376</v>
      </c>
      <c r="O290">
        <v>1379</v>
      </c>
      <c r="P290" s="5">
        <v>1</v>
      </c>
      <c r="Q290" s="7">
        <v>1</v>
      </c>
      <c r="R290" t="str">
        <f t="shared" si="40"/>
        <v>нормальный код</v>
      </c>
      <c r="S290" t="str">
        <f t="shared" si="35"/>
        <v>Больше половины</v>
      </c>
      <c r="T290" t="str">
        <f t="shared" si="36"/>
        <v>Больше половины</v>
      </c>
      <c r="U290" t="str">
        <f t="shared" si="37"/>
        <v>нормальный код</v>
      </c>
      <c r="V290" t="str">
        <f t="shared" si="38"/>
        <v>Вторая четверть</v>
      </c>
      <c r="W290" t="str">
        <f t="shared" si="39"/>
        <v>Больше половины</v>
      </c>
      <c r="X290">
        <v>6</v>
      </c>
    </row>
    <row r="291" spans="1:24" x14ac:dyDescent="0.35">
      <c r="A291" s="1" t="s">
        <v>1652</v>
      </c>
      <c r="B291" s="2" t="s">
        <v>1653</v>
      </c>
      <c r="C291" s="3" t="s">
        <v>13</v>
      </c>
      <c r="D291" s="2" t="s">
        <v>412</v>
      </c>
      <c r="E291" s="3" t="s">
        <v>413</v>
      </c>
      <c r="F291" s="2" t="s">
        <v>61</v>
      </c>
      <c r="G291" s="3" t="s">
        <v>17</v>
      </c>
      <c r="H291" s="2" t="s">
        <v>97</v>
      </c>
      <c r="I291" s="3" t="s">
        <v>19</v>
      </c>
      <c r="J291" s="3">
        <v>17026</v>
      </c>
      <c r="K291" s="3">
        <v>1261</v>
      </c>
      <c r="L291" s="3">
        <v>33</v>
      </c>
      <c r="M291" s="4">
        <f t="shared" si="33"/>
        <v>7.4063197462704095E-2</v>
      </c>
      <c r="N291" s="4">
        <f t="shared" si="34"/>
        <v>2.6169706582077717E-2</v>
      </c>
      <c r="O291">
        <v>537</v>
      </c>
      <c r="P291" s="5">
        <v>1</v>
      </c>
      <c r="Q291" s="7">
        <v>1</v>
      </c>
      <c r="R291" t="str">
        <f t="shared" si="40"/>
        <v>нормальный код</v>
      </c>
      <c r="S291" t="str">
        <f t="shared" si="35"/>
        <v>Вторая четверть</v>
      </c>
      <c r="T291" t="str">
        <f t="shared" si="36"/>
        <v>Больше половины</v>
      </c>
      <c r="U291" t="str">
        <f t="shared" si="37"/>
        <v>нормальный код</v>
      </c>
      <c r="V291" t="str">
        <f t="shared" si="38"/>
        <v>Вторая четверть</v>
      </c>
      <c r="W291" t="str">
        <f t="shared" si="39"/>
        <v>Больше половины</v>
      </c>
      <c r="X291">
        <v>9</v>
      </c>
    </row>
    <row r="292" spans="1:24" x14ac:dyDescent="0.35">
      <c r="A292" s="1" t="s">
        <v>690</v>
      </c>
      <c r="B292" s="2" t="s">
        <v>691</v>
      </c>
      <c r="C292" s="3" t="s">
        <v>13</v>
      </c>
      <c r="D292" s="2" t="s">
        <v>69</v>
      </c>
      <c r="E292" s="3" t="s">
        <v>70</v>
      </c>
      <c r="F292" s="2" t="s">
        <v>71</v>
      </c>
      <c r="G292" s="3" t="s">
        <v>72</v>
      </c>
      <c r="H292" s="2" t="s">
        <v>18</v>
      </c>
      <c r="I292" s="3" t="s">
        <v>19</v>
      </c>
      <c r="J292" s="3">
        <v>17025</v>
      </c>
      <c r="K292" s="3">
        <v>1503</v>
      </c>
      <c r="L292" s="3">
        <v>11</v>
      </c>
      <c r="M292" s="4">
        <f t="shared" si="33"/>
        <v>8.8281938325991183E-2</v>
      </c>
      <c r="N292" s="4">
        <f t="shared" si="34"/>
        <v>7.3186959414504324E-3</v>
      </c>
      <c r="O292">
        <v>200</v>
      </c>
      <c r="P292" s="5">
        <v>0.83333333333333337</v>
      </c>
      <c r="Q292" s="7">
        <v>1</v>
      </c>
      <c r="R292" t="str">
        <f t="shared" si="40"/>
        <v>код для проверки</v>
      </c>
      <c r="S292" t="str">
        <f t="shared" si="35"/>
        <v>Вторая четверть</v>
      </c>
      <c r="T292" t="str">
        <f t="shared" si="36"/>
        <v>Низшая четверть</v>
      </c>
      <c r="U292" t="str">
        <f t="shared" si="37"/>
        <v>нормальный код</v>
      </c>
      <c r="V292" t="str">
        <f t="shared" si="38"/>
        <v>Вторая четверть</v>
      </c>
      <c r="W292" t="str">
        <f t="shared" si="39"/>
        <v>Вторая четверть</v>
      </c>
      <c r="X292">
        <v>16</v>
      </c>
    </row>
    <row r="293" spans="1:24" x14ac:dyDescent="0.35">
      <c r="A293" s="1" t="s">
        <v>2480</v>
      </c>
      <c r="B293" s="2" t="s">
        <v>2481</v>
      </c>
      <c r="C293" s="3" t="s">
        <v>13</v>
      </c>
      <c r="D293" s="2" t="s">
        <v>69</v>
      </c>
      <c r="E293" s="3" t="s">
        <v>1783</v>
      </c>
      <c r="F293" s="2" t="s">
        <v>61</v>
      </c>
      <c r="G293" s="3" t="s">
        <v>72</v>
      </c>
      <c r="H293" s="2" t="s">
        <v>18</v>
      </c>
      <c r="I293" s="3" t="s">
        <v>19</v>
      </c>
      <c r="J293" s="3">
        <v>16907</v>
      </c>
      <c r="K293" s="3">
        <v>1542</v>
      </c>
      <c r="L293" s="3">
        <v>27</v>
      </c>
      <c r="M293" s="4">
        <f t="shared" si="33"/>
        <v>9.1204826403264924E-2</v>
      </c>
      <c r="N293" s="4">
        <f t="shared" si="34"/>
        <v>1.7509727626459144E-2</v>
      </c>
      <c r="O293">
        <v>720</v>
      </c>
      <c r="P293" s="5">
        <v>1</v>
      </c>
      <c r="Q293" s="7">
        <v>1</v>
      </c>
      <c r="R293" t="str">
        <f t="shared" si="40"/>
        <v>нормальный код</v>
      </c>
      <c r="S293" t="str">
        <f t="shared" si="35"/>
        <v>Вторая четверть</v>
      </c>
      <c r="T293" t="str">
        <f t="shared" si="36"/>
        <v>Вторая четверть</v>
      </c>
      <c r="U293" t="str">
        <f t="shared" si="37"/>
        <v>нормальный код</v>
      </c>
      <c r="V293" t="str">
        <f t="shared" si="38"/>
        <v>Больше половины</v>
      </c>
      <c r="W293" t="str">
        <f t="shared" si="39"/>
        <v>Больше половины</v>
      </c>
      <c r="X293">
        <v>7</v>
      </c>
    </row>
    <row r="294" spans="1:24" x14ac:dyDescent="0.35">
      <c r="A294" s="1" t="s">
        <v>273</v>
      </c>
      <c r="B294" s="2" t="s">
        <v>274</v>
      </c>
      <c r="C294" s="3" t="s">
        <v>13</v>
      </c>
      <c r="D294" s="2" t="s">
        <v>77</v>
      </c>
      <c r="E294" s="3" t="s">
        <v>89</v>
      </c>
      <c r="F294" s="2" t="s">
        <v>34</v>
      </c>
      <c r="G294" s="3" t="s">
        <v>35</v>
      </c>
      <c r="H294" s="2" t="s">
        <v>18</v>
      </c>
      <c r="I294" s="3" t="s">
        <v>19</v>
      </c>
      <c r="J294" s="3">
        <v>16609</v>
      </c>
      <c r="K294" s="3">
        <v>3520</v>
      </c>
      <c r="L294" s="3">
        <v>27</v>
      </c>
      <c r="M294" s="4">
        <f t="shared" si="33"/>
        <v>0.21193328918056475</v>
      </c>
      <c r="N294" s="4">
        <f t="shared" si="34"/>
        <v>7.6704545454545454E-3</v>
      </c>
      <c r="O294">
        <v>486</v>
      </c>
      <c r="P294" s="5">
        <v>0.8</v>
      </c>
      <c r="Q294" s="7">
        <v>1</v>
      </c>
      <c r="R294" t="str">
        <f t="shared" si="40"/>
        <v>код для проверки</v>
      </c>
      <c r="S294" t="str">
        <f t="shared" si="35"/>
        <v>Больше половины</v>
      </c>
      <c r="T294" t="str">
        <f t="shared" si="36"/>
        <v>Низшая четверть</v>
      </c>
      <c r="U294" t="str">
        <f t="shared" si="37"/>
        <v>код для проверки</v>
      </c>
      <c r="V294" t="str">
        <f t="shared" si="38"/>
        <v>Больше половины</v>
      </c>
      <c r="W294" t="str">
        <f t="shared" si="39"/>
        <v>Низшая четверть</v>
      </c>
      <c r="X294">
        <v>13</v>
      </c>
    </row>
    <row r="295" spans="1:24" x14ac:dyDescent="0.35">
      <c r="A295" s="1" t="s">
        <v>1254</v>
      </c>
      <c r="B295" s="2" t="s">
        <v>1255</v>
      </c>
      <c r="C295" s="3" t="s">
        <v>13</v>
      </c>
      <c r="D295" s="2" t="s">
        <v>69</v>
      </c>
      <c r="E295" s="3" t="s">
        <v>204</v>
      </c>
      <c r="F295" s="2" t="s">
        <v>34</v>
      </c>
      <c r="G295" s="3" t="s">
        <v>72</v>
      </c>
      <c r="H295" s="2" t="s">
        <v>18</v>
      </c>
      <c r="I295" s="3" t="s">
        <v>19</v>
      </c>
      <c r="J295" s="3">
        <v>16569</v>
      </c>
      <c r="K295" s="3">
        <v>1281</v>
      </c>
      <c r="L295" s="3">
        <v>10</v>
      </c>
      <c r="M295" s="4">
        <f t="shared" si="33"/>
        <v>7.731305449936629E-2</v>
      </c>
      <c r="N295" s="4">
        <f t="shared" si="34"/>
        <v>7.8064012490241998E-3</v>
      </c>
      <c r="O295">
        <v>227</v>
      </c>
      <c r="P295" s="5">
        <v>1</v>
      </c>
      <c r="Q295" s="7">
        <v>1</v>
      </c>
      <c r="R295" t="str">
        <f t="shared" si="40"/>
        <v>код для проверки</v>
      </c>
      <c r="S295" t="str">
        <f t="shared" si="35"/>
        <v>Вторая четверть</v>
      </c>
      <c r="T295" t="str">
        <f t="shared" si="36"/>
        <v>Низшая четверть</v>
      </c>
      <c r="U295" t="str">
        <f t="shared" si="37"/>
        <v>нормальный код</v>
      </c>
      <c r="V295" t="str">
        <f t="shared" si="38"/>
        <v>Вторая четверть</v>
      </c>
      <c r="W295" t="str">
        <f t="shared" si="39"/>
        <v>Вторая четверть</v>
      </c>
      <c r="X295">
        <v>27</v>
      </c>
    </row>
    <row r="296" spans="1:24" x14ac:dyDescent="0.35">
      <c r="A296" s="1" t="s">
        <v>348</v>
      </c>
      <c r="B296" s="2" t="s">
        <v>349</v>
      </c>
      <c r="C296" s="3" t="s">
        <v>13</v>
      </c>
      <c r="D296" s="2" t="s">
        <v>77</v>
      </c>
      <c r="E296" s="3" t="s">
        <v>89</v>
      </c>
      <c r="F296" s="2" t="s">
        <v>34</v>
      </c>
      <c r="G296" s="3" t="s">
        <v>35</v>
      </c>
      <c r="H296" s="2" t="s">
        <v>18</v>
      </c>
      <c r="I296" s="3" t="s">
        <v>19</v>
      </c>
      <c r="J296" s="3">
        <v>16406</v>
      </c>
      <c r="K296" s="3">
        <v>6353</v>
      </c>
      <c r="L296" s="3">
        <v>107</v>
      </c>
      <c r="M296" s="4">
        <f t="shared" si="33"/>
        <v>0.38723637693526758</v>
      </c>
      <c r="N296" s="4">
        <f t="shared" si="34"/>
        <v>1.6842436644105147E-2</v>
      </c>
      <c r="O296">
        <v>117</v>
      </c>
      <c r="P296" s="5">
        <v>1</v>
      </c>
      <c r="Q296" s="7">
        <v>1</v>
      </c>
      <c r="R296" t="str">
        <f t="shared" si="40"/>
        <v>нормальный код</v>
      </c>
      <c r="S296" t="str">
        <f t="shared" si="35"/>
        <v>Больше половины</v>
      </c>
      <c r="T296" t="str">
        <f t="shared" si="36"/>
        <v>Вторая четверть</v>
      </c>
      <c r="U296" t="str">
        <f t="shared" si="37"/>
        <v>нормальный код</v>
      </c>
      <c r="V296" t="str">
        <f t="shared" si="38"/>
        <v>Больше половины</v>
      </c>
      <c r="W296" t="str">
        <f t="shared" si="39"/>
        <v>Вторая четверть</v>
      </c>
      <c r="X296">
        <v>13</v>
      </c>
    </row>
    <row r="297" spans="1:24" x14ac:dyDescent="0.35">
      <c r="A297" s="1" t="s">
        <v>440</v>
      </c>
      <c r="B297" s="2" t="s">
        <v>441</v>
      </c>
      <c r="C297" s="3" t="s">
        <v>13</v>
      </c>
      <c r="D297" s="2" t="s">
        <v>155</v>
      </c>
      <c r="E297" s="3" t="s">
        <v>156</v>
      </c>
      <c r="F297" s="2" t="s">
        <v>34</v>
      </c>
      <c r="G297" s="3" t="s">
        <v>35</v>
      </c>
      <c r="H297" s="2" t="s">
        <v>18</v>
      </c>
      <c r="I297" s="3" t="s">
        <v>19</v>
      </c>
      <c r="J297" s="3">
        <v>16402</v>
      </c>
      <c r="K297" s="3">
        <v>499</v>
      </c>
      <c r="L297" s="3">
        <v>19</v>
      </c>
      <c r="M297" s="4">
        <f t="shared" si="33"/>
        <v>3.0423119131813194E-2</v>
      </c>
      <c r="N297" s="4">
        <f t="shared" si="34"/>
        <v>3.8076152304609222E-2</v>
      </c>
      <c r="O297">
        <v>363</v>
      </c>
      <c r="P297" s="5">
        <v>1</v>
      </c>
      <c r="Q297" s="7">
        <v>1</v>
      </c>
      <c r="R297" t="str">
        <f t="shared" si="40"/>
        <v>код для проверки</v>
      </c>
      <c r="S297" t="str">
        <f t="shared" si="35"/>
        <v>Низшая четверть</v>
      </c>
      <c r="T297" t="str">
        <f t="shared" si="36"/>
        <v>Больше половины</v>
      </c>
      <c r="U297" t="str">
        <f t="shared" si="37"/>
        <v>код для проверки</v>
      </c>
      <c r="V297" t="str">
        <f t="shared" si="38"/>
        <v>Низшая четверть</v>
      </c>
      <c r="W297" t="str">
        <f t="shared" si="39"/>
        <v>Больше половины</v>
      </c>
      <c r="X297">
        <v>6</v>
      </c>
    </row>
    <row r="298" spans="1:24" x14ac:dyDescent="0.35">
      <c r="A298" s="1" t="s">
        <v>2256</v>
      </c>
      <c r="B298" s="2" t="s">
        <v>2257</v>
      </c>
      <c r="C298" s="3" t="s">
        <v>13</v>
      </c>
      <c r="D298" s="2" t="s">
        <v>69</v>
      </c>
      <c r="E298" s="3" t="s">
        <v>290</v>
      </c>
      <c r="F298" s="2" t="s">
        <v>34</v>
      </c>
      <c r="G298" s="3" t="s">
        <v>72</v>
      </c>
      <c r="H298" s="2" t="s">
        <v>18</v>
      </c>
      <c r="I298" s="3" t="s">
        <v>19</v>
      </c>
      <c r="J298" s="3">
        <v>16348</v>
      </c>
      <c r="K298" s="3">
        <v>1591</v>
      </c>
      <c r="L298" s="3">
        <v>24</v>
      </c>
      <c r="M298" s="4">
        <f t="shared" si="33"/>
        <v>9.7320773183264014E-2</v>
      </c>
      <c r="N298" s="4">
        <f t="shared" si="34"/>
        <v>1.508485229415462E-2</v>
      </c>
      <c r="O298">
        <v>750</v>
      </c>
      <c r="P298" s="5">
        <v>1</v>
      </c>
      <c r="Q298" s="7">
        <v>1</v>
      </c>
      <c r="R298" t="str">
        <f t="shared" si="40"/>
        <v>нормальный код</v>
      </c>
      <c r="S298" t="str">
        <f t="shared" si="35"/>
        <v>Больше половины</v>
      </c>
      <c r="T298" t="str">
        <f t="shared" si="36"/>
        <v>Вторая четверть</v>
      </c>
      <c r="U298" t="str">
        <f t="shared" si="37"/>
        <v>нормальный код</v>
      </c>
      <c r="V298" t="str">
        <f t="shared" si="38"/>
        <v>Вторая четверть</v>
      </c>
      <c r="W298" t="str">
        <f t="shared" si="39"/>
        <v>Больше половины</v>
      </c>
      <c r="X298">
        <v>11</v>
      </c>
    </row>
    <row r="299" spans="1:24" x14ac:dyDescent="0.35">
      <c r="A299" s="1" t="s">
        <v>1078</v>
      </c>
      <c r="B299" s="2" t="s">
        <v>1079</v>
      </c>
      <c r="C299" s="3" t="s">
        <v>13</v>
      </c>
      <c r="D299" s="2" t="s">
        <v>77</v>
      </c>
      <c r="E299" s="3" t="s">
        <v>172</v>
      </c>
      <c r="F299" s="2" t="s">
        <v>34</v>
      </c>
      <c r="G299" s="3" t="s">
        <v>17</v>
      </c>
      <c r="H299" s="2" t="s">
        <v>18</v>
      </c>
      <c r="I299" s="3" t="s">
        <v>19</v>
      </c>
      <c r="J299" s="3">
        <v>16115</v>
      </c>
      <c r="K299" s="3">
        <v>1149</v>
      </c>
      <c r="L299" s="3">
        <v>13</v>
      </c>
      <c r="M299" s="4">
        <f t="shared" si="33"/>
        <v>7.1300031026993491E-2</v>
      </c>
      <c r="N299" s="4">
        <f t="shared" si="34"/>
        <v>1.1314186248912098E-2</v>
      </c>
      <c r="O299">
        <v>536</v>
      </c>
      <c r="P299" s="5">
        <v>1</v>
      </c>
      <c r="Q299" s="7">
        <v>1</v>
      </c>
      <c r="R299" t="str">
        <f t="shared" si="40"/>
        <v>нормальный код</v>
      </c>
      <c r="S299" t="str">
        <f t="shared" si="35"/>
        <v>Вторая четверть</v>
      </c>
      <c r="T299" t="str">
        <f t="shared" si="36"/>
        <v>Вторая четверть</v>
      </c>
      <c r="U299" t="str">
        <f t="shared" si="37"/>
        <v>нормальный код</v>
      </c>
      <c r="V299" t="str">
        <f t="shared" si="38"/>
        <v>Вторая четверть</v>
      </c>
      <c r="W299" t="str">
        <f t="shared" si="39"/>
        <v>Вторая четверть</v>
      </c>
      <c r="X299">
        <v>18</v>
      </c>
    </row>
    <row r="300" spans="1:24" x14ac:dyDescent="0.35">
      <c r="A300" s="1" t="s">
        <v>1174</v>
      </c>
      <c r="B300" s="2" t="s">
        <v>1175</v>
      </c>
      <c r="C300" s="3" t="s">
        <v>55</v>
      </c>
      <c r="D300" s="2" t="s">
        <v>340</v>
      </c>
      <c r="E300" s="3" t="s">
        <v>341</v>
      </c>
      <c r="F300" s="2" t="s">
        <v>96</v>
      </c>
      <c r="G300" s="3" t="s">
        <v>17</v>
      </c>
      <c r="H300" s="2" t="s">
        <v>97</v>
      </c>
      <c r="I300" s="3" t="s">
        <v>19</v>
      </c>
      <c r="J300" s="3">
        <v>16009</v>
      </c>
      <c r="K300" s="3">
        <v>3698</v>
      </c>
      <c r="L300" s="3">
        <v>27</v>
      </c>
      <c r="M300" s="4">
        <f t="shared" si="33"/>
        <v>0.23099506527578237</v>
      </c>
      <c r="N300" s="4">
        <f t="shared" si="34"/>
        <v>7.3012439156300707E-3</v>
      </c>
      <c r="O300">
        <v>920</v>
      </c>
      <c r="P300" s="5">
        <v>1</v>
      </c>
      <c r="Q300" s="7">
        <v>1</v>
      </c>
      <c r="R300" t="str">
        <f t="shared" si="40"/>
        <v>код для проверки</v>
      </c>
      <c r="S300" t="str">
        <f t="shared" si="35"/>
        <v>Больше половины</v>
      </c>
      <c r="T300" t="str">
        <f t="shared" si="36"/>
        <v>Низшая четверть</v>
      </c>
      <c r="U300" t="str">
        <f t="shared" si="37"/>
        <v>нормальный код</v>
      </c>
      <c r="V300" t="str">
        <f t="shared" si="38"/>
        <v>Больше половины</v>
      </c>
      <c r="W300" t="str">
        <f t="shared" si="39"/>
        <v>Вторая четверть</v>
      </c>
      <c r="X300">
        <v>13</v>
      </c>
    </row>
    <row r="301" spans="1:24" x14ac:dyDescent="0.35">
      <c r="A301" s="1" t="s">
        <v>2083</v>
      </c>
      <c r="B301" s="2" t="s">
        <v>2084</v>
      </c>
      <c r="C301" s="3" t="s">
        <v>13</v>
      </c>
      <c r="D301" s="2" t="s">
        <v>69</v>
      </c>
      <c r="E301" s="3" t="s">
        <v>667</v>
      </c>
      <c r="F301" s="2" t="s">
        <v>61</v>
      </c>
      <c r="G301" s="3" t="s">
        <v>72</v>
      </c>
      <c r="H301" s="2" t="s">
        <v>18</v>
      </c>
      <c r="I301" s="3" t="s">
        <v>19</v>
      </c>
      <c r="J301" s="3">
        <v>15970</v>
      </c>
      <c r="K301" s="3">
        <v>1228</v>
      </c>
      <c r="L301" s="3">
        <v>16</v>
      </c>
      <c r="M301" s="4">
        <f t="shared" si="33"/>
        <v>7.6894176581089546E-2</v>
      </c>
      <c r="N301" s="4">
        <f t="shared" si="34"/>
        <v>1.3029315960912053E-2</v>
      </c>
      <c r="O301">
        <v>465</v>
      </c>
      <c r="P301" s="5">
        <v>1</v>
      </c>
      <c r="Q301" s="7">
        <v>1</v>
      </c>
      <c r="R301" t="str">
        <f t="shared" si="40"/>
        <v>нормальный код</v>
      </c>
      <c r="S301" t="str">
        <f t="shared" si="35"/>
        <v>Вторая четверть</v>
      </c>
      <c r="T301" t="str">
        <f t="shared" si="36"/>
        <v>Вторая четверть</v>
      </c>
      <c r="U301" t="str">
        <f t="shared" si="37"/>
        <v>нормальный код</v>
      </c>
      <c r="V301" t="str">
        <f t="shared" si="38"/>
        <v>Вторая четверть</v>
      </c>
      <c r="W301" t="str">
        <f t="shared" si="39"/>
        <v>Больше половины</v>
      </c>
      <c r="X301">
        <v>11</v>
      </c>
    </row>
    <row r="302" spans="1:24" x14ac:dyDescent="0.35">
      <c r="A302" s="1" t="s">
        <v>857</v>
      </c>
      <c r="B302" s="2" t="s">
        <v>858</v>
      </c>
      <c r="C302" s="3" t="s">
        <v>13</v>
      </c>
      <c r="D302" s="2" t="s">
        <v>69</v>
      </c>
      <c r="E302" s="3" t="s">
        <v>311</v>
      </c>
      <c r="F302" s="2" t="s">
        <v>34</v>
      </c>
      <c r="G302" s="3" t="s">
        <v>72</v>
      </c>
      <c r="H302" s="2" t="s">
        <v>18</v>
      </c>
      <c r="I302" s="3" t="s">
        <v>19</v>
      </c>
      <c r="J302" s="3">
        <v>15964</v>
      </c>
      <c r="K302" s="3">
        <v>1121</v>
      </c>
      <c r="L302" s="3">
        <v>16</v>
      </c>
      <c r="M302" s="4">
        <f t="shared" si="33"/>
        <v>7.0220496116261591E-2</v>
      </c>
      <c r="N302" s="4">
        <f t="shared" si="34"/>
        <v>1.4272970561998216E-2</v>
      </c>
      <c r="O302">
        <v>274</v>
      </c>
      <c r="P302" s="5">
        <v>0.83333333333333337</v>
      </c>
      <c r="Q302" s="7">
        <v>1</v>
      </c>
      <c r="R302" t="str">
        <f t="shared" si="40"/>
        <v>нормальный код</v>
      </c>
      <c r="S302" t="str">
        <f t="shared" si="35"/>
        <v>Вторая четверть</v>
      </c>
      <c r="T302" t="str">
        <f t="shared" si="36"/>
        <v>Вторая четверть</v>
      </c>
      <c r="U302" t="str">
        <f t="shared" si="37"/>
        <v>нормальный код</v>
      </c>
      <c r="V302" t="str">
        <f t="shared" si="38"/>
        <v>Вторая четверть</v>
      </c>
      <c r="W302" t="str">
        <f t="shared" si="39"/>
        <v>Вторая четверть</v>
      </c>
      <c r="X302">
        <v>14</v>
      </c>
    </row>
    <row r="303" spans="1:24" x14ac:dyDescent="0.35">
      <c r="A303" s="1" t="s">
        <v>490</v>
      </c>
      <c r="B303" s="2" t="s">
        <v>491</v>
      </c>
      <c r="C303" s="3" t="s">
        <v>13</v>
      </c>
      <c r="D303" s="2" t="s">
        <v>121</v>
      </c>
      <c r="E303" s="3" t="s">
        <v>492</v>
      </c>
      <c r="F303" s="2" t="s">
        <v>123</v>
      </c>
      <c r="G303" s="3" t="s">
        <v>35</v>
      </c>
      <c r="H303" s="2" t="s">
        <v>18</v>
      </c>
      <c r="I303" s="3" t="s">
        <v>19</v>
      </c>
      <c r="J303" s="3">
        <v>15959</v>
      </c>
      <c r="K303" s="3">
        <v>1011</v>
      </c>
      <c r="L303" s="3">
        <v>25</v>
      </c>
      <c r="M303" s="4">
        <f t="shared" si="33"/>
        <v>6.3349833949495588E-2</v>
      </c>
      <c r="N303" s="4">
        <f t="shared" si="34"/>
        <v>2.4727992087042534E-2</v>
      </c>
      <c r="O303">
        <v>529</v>
      </c>
      <c r="P303" s="5">
        <v>1</v>
      </c>
      <c r="Q303" s="7">
        <v>1</v>
      </c>
      <c r="R303" t="str">
        <f t="shared" si="40"/>
        <v>нормальный код</v>
      </c>
      <c r="S303" t="str">
        <f t="shared" si="35"/>
        <v>Вторая четверть</v>
      </c>
      <c r="T303" t="str">
        <f t="shared" si="36"/>
        <v>Больше половины</v>
      </c>
      <c r="U303" t="str">
        <f t="shared" si="37"/>
        <v>нормальный код</v>
      </c>
      <c r="V303" t="str">
        <f t="shared" si="38"/>
        <v>Вторая четверть</v>
      </c>
      <c r="W303" t="str">
        <f t="shared" si="39"/>
        <v>Больше половины</v>
      </c>
      <c r="X303">
        <v>25</v>
      </c>
    </row>
    <row r="304" spans="1:24" x14ac:dyDescent="0.35">
      <c r="A304" s="1" t="s">
        <v>153</v>
      </c>
      <c r="B304" s="2" t="s">
        <v>154</v>
      </c>
      <c r="C304" s="3" t="s">
        <v>13</v>
      </c>
      <c r="D304" s="2" t="s">
        <v>155</v>
      </c>
      <c r="E304" s="3" t="s">
        <v>156</v>
      </c>
      <c r="F304" s="2" t="s">
        <v>34</v>
      </c>
      <c r="G304" s="3" t="s">
        <v>35</v>
      </c>
      <c r="H304" s="2" t="s">
        <v>18</v>
      </c>
      <c r="I304" s="3" t="s">
        <v>19</v>
      </c>
      <c r="J304" s="3">
        <v>15955</v>
      </c>
      <c r="K304" s="3">
        <v>2058</v>
      </c>
      <c r="L304" s="3">
        <v>14</v>
      </c>
      <c r="M304" s="4">
        <f t="shared" si="33"/>
        <v>0.12898777812597931</v>
      </c>
      <c r="N304" s="4">
        <f t="shared" si="34"/>
        <v>6.8027210884353739E-3</v>
      </c>
      <c r="O304">
        <v>304</v>
      </c>
      <c r="P304" s="5">
        <v>1</v>
      </c>
      <c r="Q304" s="7">
        <v>1</v>
      </c>
      <c r="R304" t="str">
        <f t="shared" si="40"/>
        <v>код для проверки</v>
      </c>
      <c r="S304" t="str">
        <f t="shared" si="35"/>
        <v>Больше половины</v>
      </c>
      <c r="T304" t="str">
        <f t="shared" si="36"/>
        <v>Низшая четверть</v>
      </c>
      <c r="U304" t="str">
        <f t="shared" si="37"/>
        <v>код для проверки</v>
      </c>
      <c r="V304" t="str">
        <f t="shared" si="38"/>
        <v>Больше половины</v>
      </c>
      <c r="W304" t="str">
        <f t="shared" si="39"/>
        <v>Низшая четверть</v>
      </c>
      <c r="X304">
        <v>11</v>
      </c>
    </row>
    <row r="305" spans="1:24" x14ac:dyDescent="0.35">
      <c r="A305" s="1" t="s">
        <v>1059</v>
      </c>
      <c r="B305" s="2" t="s">
        <v>1060</v>
      </c>
      <c r="C305" s="3" t="s">
        <v>13</v>
      </c>
      <c r="D305" s="2" t="s">
        <v>104</v>
      </c>
      <c r="E305" s="3" t="s">
        <v>424</v>
      </c>
      <c r="F305" s="2" t="s">
        <v>34</v>
      </c>
      <c r="G305" s="3" t="s">
        <v>35</v>
      </c>
      <c r="H305" s="2" t="s">
        <v>18</v>
      </c>
      <c r="I305" s="3" t="s">
        <v>19</v>
      </c>
      <c r="J305" s="3">
        <v>15938</v>
      </c>
      <c r="K305" s="3">
        <v>1245</v>
      </c>
      <c r="L305" s="3">
        <v>26</v>
      </c>
      <c r="M305" s="4">
        <f t="shared" si="33"/>
        <v>7.8115196385995733E-2</v>
      </c>
      <c r="N305" s="4">
        <f t="shared" si="34"/>
        <v>2.0883534136546186E-2</v>
      </c>
      <c r="O305">
        <v>705</v>
      </c>
      <c r="P305" s="5">
        <v>1</v>
      </c>
      <c r="Q305" s="7">
        <v>1</v>
      </c>
      <c r="R305" t="str">
        <f t="shared" si="40"/>
        <v>нормальный код</v>
      </c>
      <c r="S305" t="str">
        <f t="shared" si="35"/>
        <v>Вторая четверть</v>
      </c>
      <c r="T305" t="str">
        <f t="shared" si="36"/>
        <v>Больше половины</v>
      </c>
      <c r="U305" t="str">
        <f t="shared" si="37"/>
        <v>нормальный код</v>
      </c>
      <c r="V305" t="str">
        <f t="shared" si="38"/>
        <v>Больше половины</v>
      </c>
      <c r="W305" t="str">
        <f t="shared" si="39"/>
        <v>Вторая четверть</v>
      </c>
      <c r="X305">
        <v>16</v>
      </c>
    </row>
    <row r="306" spans="1:24" x14ac:dyDescent="0.35">
      <c r="A306" s="1" t="s">
        <v>878</v>
      </c>
      <c r="B306" s="2" t="s">
        <v>879</v>
      </c>
      <c r="C306" s="3" t="s">
        <v>13</v>
      </c>
      <c r="D306" s="2" t="s">
        <v>69</v>
      </c>
      <c r="E306" s="3" t="s">
        <v>290</v>
      </c>
      <c r="F306" s="2" t="s">
        <v>34</v>
      </c>
      <c r="G306" s="3" t="s">
        <v>72</v>
      </c>
      <c r="H306" s="2" t="s">
        <v>18</v>
      </c>
      <c r="I306" s="3" t="s">
        <v>19</v>
      </c>
      <c r="J306" s="3">
        <v>15788</v>
      </c>
      <c r="K306" s="3">
        <v>2024</v>
      </c>
      <c r="L306" s="3">
        <v>41</v>
      </c>
      <c r="M306" s="4">
        <f t="shared" si="33"/>
        <v>0.12819863187230809</v>
      </c>
      <c r="N306" s="4">
        <f t="shared" si="34"/>
        <v>2.0256916996047432E-2</v>
      </c>
      <c r="O306">
        <v>823</v>
      </c>
      <c r="P306" s="5">
        <v>1</v>
      </c>
      <c r="Q306" s="7">
        <v>1</v>
      </c>
      <c r="R306" t="str">
        <f t="shared" si="40"/>
        <v>нормальный код</v>
      </c>
      <c r="S306" t="str">
        <f t="shared" si="35"/>
        <v>Больше половины</v>
      </c>
      <c r="T306" t="str">
        <f t="shared" si="36"/>
        <v>Больше половины</v>
      </c>
      <c r="U306" t="str">
        <f t="shared" si="37"/>
        <v>нормальный код</v>
      </c>
      <c r="V306" t="str">
        <f t="shared" si="38"/>
        <v>Больше половины</v>
      </c>
      <c r="W306" t="str">
        <f t="shared" si="39"/>
        <v>Больше половины</v>
      </c>
      <c r="X306">
        <v>11</v>
      </c>
    </row>
    <row r="307" spans="1:24" x14ac:dyDescent="0.35">
      <c r="A307" s="1" t="s">
        <v>1198</v>
      </c>
      <c r="B307" s="2" t="s">
        <v>1199</v>
      </c>
      <c r="C307" s="3" t="s">
        <v>55</v>
      </c>
      <c r="D307" s="2" t="s">
        <v>94</v>
      </c>
      <c r="E307" s="3" t="s">
        <v>95</v>
      </c>
      <c r="F307" s="2" t="s">
        <v>96</v>
      </c>
      <c r="G307" s="3" t="s">
        <v>17</v>
      </c>
      <c r="H307" s="2" t="s">
        <v>97</v>
      </c>
      <c r="I307" s="3" t="s">
        <v>19</v>
      </c>
      <c r="J307" s="3">
        <v>15721</v>
      </c>
      <c r="K307" s="3">
        <v>5810</v>
      </c>
      <c r="L307" s="3">
        <v>19</v>
      </c>
      <c r="M307" s="4">
        <f t="shared" si="33"/>
        <v>0.36956936581642391</v>
      </c>
      <c r="N307" s="4">
        <f t="shared" si="34"/>
        <v>3.2702237521514631E-3</v>
      </c>
      <c r="O307">
        <v>1962</v>
      </c>
      <c r="P307" s="5">
        <v>0.55555555555555558</v>
      </c>
      <c r="Q307" s="7">
        <v>1</v>
      </c>
      <c r="R307" t="str">
        <f t="shared" si="40"/>
        <v>код для проверки</v>
      </c>
      <c r="S307" t="str">
        <f t="shared" si="35"/>
        <v>Больше половины</v>
      </c>
      <c r="T307" t="str">
        <f t="shared" si="36"/>
        <v>Низшая четверть</v>
      </c>
      <c r="U307" t="str">
        <f t="shared" si="37"/>
        <v>код для проверки</v>
      </c>
      <c r="V307" t="str">
        <f t="shared" si="38"/>
        <v>Больше половины</v>
      </c>
      <c r="W307" t="str">
        <f t="shared" si="39"/>
        <v>Низшая четверть</v>
      </c>
      <c r="X307">
        <v>27</v>
      </c>
    </row>
    <row r="308" spans="1:24" x14ac:dyDescent="0.35">
      <c r="A308" s="1" t="s">
        <v>672</v>
      </c>
      <c r="B308" s="2" t="s">
        <v>673</v>
      </c>
      <c r="C308" s="3" t="s">
        <v>55</v>
      </c>
      <c r="D308" s="2" t="s">
        <v>295</v>
      </c>
      <c r="E308" s="3" t="s">
        <v>674</v>
      </c>
      <c r="F308" s="2" t="s">
        <v>16</v>
      </c>
      <c r="G308" s="3" t="s">
        <v>17</v>
      </c>
      <c r="H308" s="2" t="s">
        <v>97</v>
      </c>
      <c r="I308" s="3" t="s">
        <v>19</v>
      </c>
      <c r="J308" s="3">
        <v>15559</v>
      </c>
      <c r="K308" s="3">
        <v>5099</v>
      </c>
      <c r="L308" s="3">
        <v>111</v>
      </c>
      <c r="M308" s="4">
        <f t="shared" si="33"/>
        <v>0.327720290507102</v>
      </c>
      <c r="N308" s="4">
        <f t="shared" si="34"/>
        <v>2.1768974308687978E-2</v>
      </c>
      <c r="O308">
        <v>531</v>
      </c>
      <c r="P308" s="5">
        <v>1</v>
      </c>
      <c r="Q308" s="7">
        <v>1</v>
      </c>
      <c r="R308" t="str">
        <f t="shared" si="40"/>
        <v>нормальный код</v>
      </c>
      <c r="S308" t="str">
        <f t="shared" si="35"/>
        <v>Больше половины</v>
      </c>
      <c r="T308" t="str">
        <f t="shared" si="36"/>
        <v>Больше половины</v>
      </c>
      <c r="U308" t="str">
        <f t="shared" si="37"/>
        <v>нормальный код</v>
      </c>
      <c r="V308" t="str">
        <f t="shared" si="38"/>
        <v>Больше половины</v>
      </c>
      <c r="W308" t="str">
        <f t="shared" si="39"/>
        <v>Вторая четверть</v>
      </c>
      <c r="X308">
        <v>11</v>
      </c>
    </row>
    <row r="309" spans="1:24" x14ac:dyDescent="0.35">
      <c r="A309" s="1" t="s">
        <v>1826</v>
      </c>
      <c r="B309" s="2" t="s">
        <v>1827</v>
      </c>
      <c r="C309" s="3" t="s">
        <v>55</v>
      </c>
      <c r="D309" s="2" t="s">
        <v>295</v>
      </c>
      <c r="E309" s="3" t="s">
        <v>1373</v>
      </c>
      <c r="F309" s="2" t="s">
        <v>71</v>
      </c>
      <c r="G309" s="3" t="s">
        <v>17</v>
      </c>
      <c r="H309" s="2" t="s">
        <v>97</v>
      </c>
      <c r="I309" s="3" t="s">
        <v>19</v>
      </c>
      <c r="J309" s="3">
        <v>15548</v>
      </c>
      <c r="K309" s="3">
        <v>1645</v>
      </c>
      <c r="L309" s="3">
        <v>9</v>
      </c>
      <c r="M309" s="4">
        <f t="shared" si="33"/>
        <v>0.1058013892462053</v>
      </c>
      <c r="N309" s="4">
        <f t="shared" si="34"/>
        <v>5.47112462006079E-3</v>
      </c>
      <c r="O309">
        <v>307</v>
      </c>
      <c r="P309" s="5">
        <v>1</v>
      </c>
      <c r="Q309" s="7">
        <v>1</v>
      </c>
      <c r="R309" t="str">
        <f t="shared" si="40"/>
        <v>код для проверки</v>
      </c>
      <c r="S309" t="str">
        <f t="shared" si="35"/>
        <v>Больше половины</v>
      </c>
      <c r="T309" t="str">
        <f t="shared" si="36"/>
        <v>Низшая четверть</v>
      </c>
      <c r="U309" t="str">
        <f t="shared" si="37"/>
        <v>нормальный код</v>
      </c>
      <c r="V309" t="str">
        <f t="shared" si="38"/>
        <v>Больше половины</v>
      </c>
      <c r="W309" t="str">
        <f t="shared" si="39"/>
        <v>Вторая четверть</v>
      </c>
      <c r="X309">
        <v>12</v>
      </c>
    </row>
    <row r="310" spans="1:24" x14ac:dyDescent="0.35">
      <c r="A310" s="1" t="s">
        <v>827</v>
      </c>
      <c r="B310" s="2" t="s">
        <v>828</v>
      </c>
      <c r="C310" s="3" t="s">
        <v>13</v>
      </c>
      <c r="D310" s="2" t="s">
        <v>32</v>
      </c>
      <c r="E310" s="3" t="s">
        <v>33</v>
      </c>
      <c r="F310" s="2" t="s">
        <v>34</v>
      </c>
      <c r="G310" s="3" t="s">
        <v>35</v>
      </c>
      <c r="H310" s="2" t="s">
        <v>18</v>
      </c>
      <c r="I310" s="3" t="s">
        <v>19</v>
      </c>
      <c r="J310" s="3">
        <v>15429</v>
      </c>
      <c r="K310" s="3">
        <v>1929</v>
      </c>
      <c r="L310" s="3">
        <v>41</v>
      </c>
      <c r="M310" s="4">
        <f t="shared" si="33"/>
        <v>0.12502430488041999</v>
      </c>
      <c r="N310" s="4">
        <f t="shared" si="34"/>
        <v>2.1254536029030584E-2</v>
      </c>
      <c r="O310">
        <v>553</v>
      </c>
      <c r="P310" s="5">
        <v>1</v>
      </c>
      <c r="Q310" s="7">
        <v>1</v>
      </c>
      <c r="R310" t="str">
        <f t="shared" si="40"/>
        <v>нормальный код</v>
      </c>
      <c r="S310" t="str">
        <f t="shared" si="35"/>
        <v>Больше половины</v>
      </c>
      <c r="T310" t="str">
        <f t="shared" si="36"/>
        <v>Больше половины</v>
      </c>
      <c r="U310" t="str">
        <f t="shared" si="37"/>
        <v>нормальный код</v>
      </c>
      <c r="V310" t="str">
        <f t="shared" si="38"/>
        <v>Больше половины</v>
      </c>
      <c r="W310" t="str">
        <f t="shared" si="39"/>
        <v>Вторая четверть</v>
      </c>
      <c r="X310">
        <v>13</v>
      </c>
    </row>
    <row r="311" spans="1:24" x14ac:dyDescent="0.35">
      <c r="A311" s="1" t="s">
        <v>2098</v>
      </c>
      <c r="B311" s="2" t="s">
        <v>2099</v>
      </c>
      <c r="C311" s="3" t="s">
        <v>13</v>
      </c>
      <c r="D311" s="2" t="s">
        <v>69</v>
      </c>
      <c r="E311" s="3" t="s">
        <v>204</v>
      </c>
      <c r="F311" s="2" t="s">
        <v>34</v>
      </c>
      <c r="G311" s="3" t="s">
        <v>72</v>
      </c>
      <c r="H311" s="2" t="s">
        <v>18</v>
      </c>
      <c r="I311" s="3" t="s">
        <v>19</v>
      </c>
      <c r="J311" s="3">
        <v>15379</v>
      </c>
      <c r="K311" s="3">
        <v>1339</v>
      </c>
      <c r="L311" s="3">
        <v>20</v>
      </c>
      <c r="M311" s="4">
        <f t="shared" si="33"/>
        <v>8.7066779374471687E-2</v>
      </c>
      <c r="N311" s="4">
        <f t="shared" si="34"/>
        <v>1.4936519790888723E-2</v>
      </c>
      <c r="O311">
        <v>366</v>
      </c>
      <c r="P311" s="5">
        <v>1</v>
      </c>
      <c r="Q311" s="7">
        <v>1</v>
      </c>
      <c r="R311" t="str">
        <f t="shared" si="40"/>
        <v>нормальный код</v>
      </c>
      <c r="S311" t="str">
        <f t="shared" si="35"/>
        <v>Вторая четверть</v>
      </c>
      <c r="T311" t="str">
        <f t="shared" si="36"/>
        <v>Вторая четверть</v>
      </c>
      <c r="U311" t="str">
        <f t="shared" si="37"/>
        <v>нормальный код</v>
      </c>
      <c r="V311" t="str">
        <f t="shared" si="38"/>
        <v>Вторая четверть</v>
      </c>
      <c r="W311" t="str">
        <f t="shared" si="39"/>
        <v>Вторая четверть</v>
      </c>
      <c r="X311">
        <v>25</v>
      </c>
    </row>
    <row r="312" spans="1:24" x14ac:dyDescent="0.35">
      <c r="A312" s="1" t="s">
        <v>882</v>
      </c>
      <c r="B312" s="2" t="s">
        <v>883</v>
      </c>
      <c r="C312" s="3" t="s">
        <v>55</v>
      </c>
      <c r="D312" s="2" t="s">
        <v>56</v>
      </c>
      <c r="E312" s="3" t="s">
        <v>770</v>
      </c>
      <c r="F312" s="2" t="s">
        <v>34</v>
      </c>
      <c r="G312" s="3" t="s">
        <v>17</v>
      </c>
      <c r="H312" s="2" t="s">
        <v>18</v>
      </c>
      <c r="I312" s="3" t="s">
        <v>19</v>
      </c>
      <c r="J312" s="3">
        <v>15364</v>
      </c>
      <c r="K312" s="3">
        <v>984</v>
      </c>
      <c r="L312" s="3">
        <v>77</v>
      </c>
      <c r="M312" s="4">
        <f t="shared" si="33"/>
        <v>6.4045821400676911E-2</v>
      </c>
      <c r="N312" s="4">
        <f t="shared" si="34"/>
        <v>7.8252032520325199E-2</v>
      </c>
      <c r="O312">
        <v>1156</v>
      </c>
      <c r="P312" s="5">
        <v>1</v>
      </c>
      <c r="Q312" s="7">
        <v>1</v>
      </c>
      <c r="R312" t="str">
        <f t="shared" si="40"/>
        <v>нормальный код</v>
      </c>
      <c r="S312" t="str">
        <f t="shared" si="35"/>
        <v>Вторая четверть</v>
      </c>
      <c r="T312" t="str">
        <f t="shared" si="36"/>
        <v>Больше половины</v>
      </c>
      <c r="U312" t="str">
        <f t="shared" si="37"/>
        <v>нормальный код</v>
      </c>
      <c r="V312" t="str">
        <f t="shared" si="38"/>
        <v>Больше половины</v>
      </c>
      <c r="W312" t="str">
        <f t="shared" si="39"/>
        <v>Больше половины</v>
      </c>
      <c r="X312">
        <v>22</v>
      </c>
    </row>
    <row r="313" spans="1:24" x14ac:dyDescent="0.35">
      <c r="A313" s="1" t="s">
        <v>162</v>
      </c>
      <c r="B313" s="2" t="s">
        <v>163</v>
      </c>
      <c r="C313" s="3" t="s">
        <v>13</v>
      </c>
      <c r="D313" s="2" t="s">
        <v>164</v>
      </c>
      <c r="E313" s="3" t="s">
        <v>165</v>
      </c>
      <c r="F313" s="2" t="s">
        <v>44</v>
      </c>
      <c r="G313" s="3" t="s">
        <v>35</v>
      </c>
      <c r="H313" s="2" t="s">
        <v>18</v>
      </c>
      <c r="I313" s="3" t="s">
        <v>19</v>
      </c>
      <c r="J313" s="3">
        <v>15238</v>
      </c>
      <c r="K313" s="3">
        <v>1978</v>
      </c>
      <c r="L313" s="3">
        <v>21</v>
      </c>
      <c r="M313" s="4">
        <f t="shared" si="33"/>
        <v>0.12980706129413308</v>
      </c>
      <c r="N313" s="4">
        <f t="shared" si="34"/>
        <v>1.0616784630940344E-2</v>
      </c>
      <c r="O313">
        <v>32</v>
      </c>
      <c r="P313" s="5">
        <v>1</v>
      </c>
      <c r="Q313" s="7">
        <v>1</v>
      </c>
      <c r="R313" t="str">
        <f t="shared" si="40"/>
        <v>нормальный код</v>
      </c>
      <c r="S313" t="str">
        <f t="shared" si="35"/>
        <v>Больше половины</v>
      </c>
      <c r="T313" t="str">
        <f t="shared" si="36"/>
        <v>Вторая четверть</v>
      </c>
      <c r="U313" t="str">
        <f t="shared" si="37"/>
        <v>нормальный код</v>
      </c>
      <c r="V313" t="str">
        <f t="shared" si="38"/>
        <v>Больше половины</v>
      </c>
      <c r="W313" t="str">
        <f t="shared" si="39"/>
        <v>Больше половины</v>
      </c>
      <c r="X313">
        <v>7</v>
      </c>
    </row>
    <row r="314" spans="1:24" x14ac:dyDescent="0.35">
      <c r="A314" s="1" t="s">
        <v>1388</v>
      </c>
      <c r="B314" s="2" t="s">
        <v>1389</v>
      </c>
      <c r="C314" s="3" t="s">
        <v>13</v>
      </c>
      <c r="D314" s="2" t="s">
        <v>77</v>
      </c>
      <c r="E314" s="3" t="s">
        <v>380</v>
      </c>
      <c r="F314" s="2" t="s">
        <v>61</v>
      </c>
      <c r="G314" s="3" t="s">
        <v>17</v>
      </c>
      <c r="H314" s="2" t="s">
        <v>18</v>
      </c>
      <c r="I314" s="3" t="s">
        <v>19</v>
      </c>
      <c r="J314" s="3">
        <v>14965</v>
      </c>
      <c r="K314" s="3">
        <v>1170</v>
      </c>
      <c r="L314" s="3">
        <v>24</v>
      </c>
      <c r="M314" s="4">
        <f t="shared" si="33"/>
        <v>7.8182425659873031E-2</v>
      </c>
      <c r="N314" s="4">
        <f t="shared" si="34"/>
        <v>2.0512820512820513E-2</v>
      </c>
      <c r="O314">
        <v>296</v>
      </c>
      <c r="P314" s="5">
        <v>1</v>
      </c>
      <c r="Q314" s="7">
        <v>1</v>
      </c>
      <c r="R314" t="str">
        <f t="shared" si="40"/>
        <v>нормальный код</v>
      </c>
      <c r="S314" t="str">
        <f t="shared" si="35"/>
        <v>Вторая четверть</v>
      </c>
      <c r="T314" t="str">
        <f t="shared" si="36"/>
        <v>Больше половины</v>
      </c>
      <c r="U314" t="str">
        <f t="shared" si="37"/>
        <v>нормальный код</v>
      </c>
      <c r="V314" t="str">
        <f t="shared" si="38"/>
        <v>Больше половины</v>
      </c>
      <c r="W314" t="str">
        <f t="shared" si="39"/>
        <v>Больше половины</v>
      </c>
      <c r="X314">
        <v>18</v>
      </c>
    </row>
    <row r="315" spans="1:24" x14ac:dyDescent="0.35">
      <c r="A315" s="1" t="s">
        <v>397</v>
      </c>
      <c r="B315" s="2" t="s">
        <v>398</v>
      </c>
      <c r="C315" s="3" t="s">
        <v>13</v>
      </c>
      <c r="D315" s="2" t="s">
        <v>143</v>
      </c>
      <c r="E315" s="3" t="s">
        <v>144</v>
      </c>
      <c r="F315" s="2" t="s">
        <v>34</v>
      </c>
      <c r="G315" s="3" t="s">
        <v>35</v>
      </c>
      <c r="H315" s="2" t="s">
        <v>18</v>
      </c>
      <c r="I315" s="3" t="s">
        <v>19</v>
      </c>
      <c r="J315" s="3">
        <v>14939</v>
      </c>
      <c r="K315" s="3">
        <v>1316</v>
      </c>
      <c r="L315" s="3">
        <v>41</v>
      </c>
      <c r="M315" s="4">
        <f t="shared" si="33"/>
        <v>8.8091572394403905E-2</v>
      </c>
      <c r="N315" s="4">
        <f t="shared" si="34"/>
        <v>3.115501519756839E-2</v>
      </c>
      <c r="O315">
        <v>489</v>
      </c>
      <c r="P315" s="5">
        <v>1</v>
      </c>
      <c r="Q315" s="7">
        <v>1</v>
      </c>
      <c r="R315" t="str">
        <f t="shared" si="40"/>
        <v>нормальный код</v>
      </c>
      <c r="S315" t="str">
        <f t="shared" si="35"/>
        <v>Вторая четверть</v>
      </c>
      <c r="T315" t="str">
        <f t="shared" si="36"/>
        <v>Больше половины</v>
      </c>
      <c r="U315" t="str">
        <f t="shared" si="37"/>
        <v>нормальный код</v>
      </c>
      <c r="V315" t="str">
        <f t="shared" si="38"/>
        <v>Больше половины</v>
      </c>
      <c r="W315" t="str">
        <f t="shared" si="39"/>
        <v>Больше половины</v>
      </c>
      <c r="X315">
        <v>25</v>
      </c>
    </row>
    <row r="316" spans="1:24" x14ac:dyDescent="0.35">
      <c r="A316" s="1" t="s">
        <v>2030</v>
      </c>
      <c r="B316" s="2" t="s">
        <v>2031</v>
      </c>
      <c r="C316" s="3" t="s">
        <v>55</v>
      </c>
      <c r="D316" s="2" t="s">
        <v>1049</v>
      </c>
      <c r="E316" s="3" t="s">
        <v>1050</v>
      </c>
      <c r="F316" s="2" t="s">
        <v>34</v>
      </c>
      <c r="G316" s="3" t="s">
        <v>17</v>
      </c>
      <c r="H316" s="2" t="s">
        <v>18</v>
      </c>
      <c r="I316" s="3" t="s">
        <v>19</v>
      </c>
      <c r="J316" s="3">
        <v>14903</v>
      </c>
      <c r="K316" s="3">
        <v>3278</v>
      </c>
      <c r="L316" s="3">
        <v>189</v>
      </c>
      <c r="M316" s="4">
        <f t="shared" si="33"/>
        <v>0.21995571361470845</v>
      </c>
      <c r="N316" s="4">
        <f t="shared" si="34"/>
        <v>5.7657107992678459E-2</v>
      </c>
      <c r="O316">
        <v>48</v>
      </c>
      <c r="P316" s="5">
        <v>1</v>
      </c>
      <c r="Q316" s="7">
        <v>1</v>
      </c>
      <c r="R316" t="str">
        <f t="shared" si="40"/>
        <v>нормальный код</v>
      </c>
      <c r="S316" t="str">
        <f t="shared" si="35"/>
        <v>Больше половины</v>
      </c>
      <c r="T316" t="str">
        <f t="shared" si="36"/>
        <v>Больше половины</v>
      </c>
      <c r="U316" t="str">
        <f t="shared" si="37"/>
        <v>нормальный код</v>
      </c>
      <c r="V316" t="str">
        <f t="shared" si="38"/>
        <v>Больше половины</v>
      </c>
      <c r="W316" t="str">
        <f t="shared" si="39"/>
        <v>Больше половины</v>
      </c>
      <c r="X316">
        <v>11</v>
      </c>
    </row>
    <row r="317" spans="1:24" x14ac:dyDescent="0.35">
      <c r="A317" s="1" t="s">
        <v>200</v>
      </c>
      <c r="B317" s="2" t="s">
        <v>201</v>
      </c>
      <c r="C317" s="3" t="s">
        <v>55</v>
      </c>
      <c r="D317" s="2" t="s">
        <v>94</v>
      </c>
      <c r="E317" s="3" t="s">
        <v>95</v>
      </c>
      <c r="F317" s="2" t="s">
        <v>96</v>
      </c>
      <c r="G317" s="3" t="s">
        <v>17</v>
      </c>
      <c r="H317" s="2" t="s">
        <v>97</v>
      </c>
      <c r="I317" s="3" t="s">
        <v>19</v>
      </c>
      <c r="J317" s="3">
        <v>14903</v>
      </c>
      <c r="K317" s="3">
        <v>3060</v>
      </c>
      <c r="L317" s="3">
        <v>6</v>
      </c>
      <c r="M317" s="4">
        <f t="shared" si="33"/>
        <v>0.20532778635174126</v>
      </c>
      <c r="N317" s="4">
        <f t="shared" si="34"/>
        <v>1.9607843137254902E-3</v>
      </c>
      <c r="O317">
        <v>1811</v>
      </c>
      <c r="P317" s="5">
        <v>0.55555555555555558</v>
      </c>
      <c r="Q317" s="7">
        <v>1</v>
      </c>
      <c r="R317" t="str">
        <f t="shared" si="40"/>
        <v>код для проверки</v>
      </c>
      <c r="S317" t="str">
        <f t="shared" si="35"/>
        <v>Больше половины</v>
      </c>
      <c r="T317" t="str">
        <f t="shared" si="36"/>
        <v>Низшая четверть</v>
      </c>
      <c r="U317" t="str">
        <f t="shared" si="37"/>
        <v>код для проверки</v>
      </c>
      <c r="V317" t="str">
        <f t="shared" si="38"/>
        <v>Больше половины</v>
      </c>
      <c r="W317" t="str">
        <f t="shared" si="39"/>
        <v>Низшая четверть</v>
      </c>
      <c r="X317">
        <v>20</v>
      </c>
    </row>
    <row r="318" spans="1:24" x14ac:dyDescent="0.35">
      <c r="A318" s="1" t="s">
        <v>1593</v>
      </c>
      <c r="B318" s="2" t="s">
        <v>1594</v>
      </c>
      <c r="C318" s="3" t="s">
        <v>13</v>
      </c>
      <c r="D318" s="2" t="s">
        <v>143</v>
      </c>
      <c r="E318" s="3" t="s">
        <v>144</v>
      </c>
      <c r="F318" s="2" t="s">
        <v>34</v>
      </c>
      <c r="G318" s="3" t="s">
        <v>1595</v>
      </c>
      <c r="H318" s="2" t="s">
        <v>18</v>
      </c>
      <c r="I318" s="3" t="s">
        <v>19</v>
      </c>
      <c r="J318" s="3">
        <v>14864</v>
      </c>
      <c r="K318" s="3">
        <v>791</v>
      </c>
      <c r="L318" s="3">
        <v>48</v>
      </c>
      <c r="M318" s="4">
        <f t="shared" si="33"/>
        <v>5.321582346609257E-2</v>
      </c>
      <c r="N318" s="4">
        <f t="shared" si="34"/>
        <v>6.0682680151706699E-2</v>
      </c>
      <c r="O318">
        <v>1273</v>
      </c>
      <c r="P318" s="5">
        <v>1</v>
      </c>
      <c r="Q318" s="7">
        <v>1</v>
      </c>
      <c r="R318" t="str">
        <f t="shared" si="40"/>
        <v>нормальный код</v>
      </c>
      <c r="S318" t="str">
        <f t="shared" si="35"/>
        <v>Вторая четверть</v>
      </c>
      <c r="T318" t="str">
        <f t="shared" si="36"/>
        <v>Больше половины</v>
      </c>
      <c r="U318" t="str">
        <f t="shared" si="37"/>
        <v>нормальный код</v>
      </c>
      <c r="V318" t="str">
        <f t="shared" si="38"/>
        <v>Вторая четверть</v>
      </c>
      <c r="W318" t="str">
        <f t="shared" si="39"/>
        <v>Больше половины</v>
      </c>
      <c r="X318">
        <v>23</v>
      </c>
    </row>
    <row r="319" spans="1:24" x14ac:dyDescent="0.35">
      <c r="A319" s="1" t="s">
        <v>1323</v>
      </c>
      <c r="B319" s="2" t="s">
        <v>1324</v>
      </c>
      <c r="C319" s="3" t="s">
        <v>55</v>
      </c>
      <c r="D319" s="2" t="s">
        <v>295</v>
      </c>
      <c r="E319" s="3" t="s">
        <v>674</v>
      </c>
      <c r="F319" s="2" t="s">
        <v>16</v>
      </c>
      <c r="G319" s="3" t="s">
        <v>17</v>
      </c>
      <c r="H319" s="2" t="s">
        <v>97</v>
      </c>
      <c r="I319" s="3" t="s">
        <v>19</v>
      </c>
      <c r="J319" s="3">
        <v>14790</v>
      </c>
      <c r="K319" s="3">
        <v>4255</v>
      </c>
      <c r="L319" s="3">
        <v>49</v>
      </c>
      <c r="M319" s="4">
        <f t="shared" si="33"/>
        <v>0.28769438810006759</v>
      </c>
      <c r="N319" s="4">
        <f t="shared" si="34"/>
        <v>1.1515863689776733E-2</v>
      </c>
      <c r="O319">
        <v>599</v>
      </c>
      <c r="P319" s="5">
        <v>1</v>
      </c>
      <c r="Q319" s="7">
        <v>1</v>
      </c>
      <c r="R319" t="str">
        <f t="shared" si="40"/>
        <v>нормальный код</v>
      </c>
      <c r="S319" t="str">
        <f t="shared" si="35"/>
        <v>Больше половины</v>
      </c>
      <c r="T319" t="str">
        <f t="shared" si="36"/>
        <v>Вторая четверть</v>
      </c>
      <c r="U319" t="str">
        <f t="shared" si="37"/>
        <v>нормальный код</v>
      </c>
      <c r="V319" t="str">
        <f t="shared" si="38"/>
        <v>Больше половины</v>
      </c>
      <c r="W319" t="str">
        <f t="shared" si="39"/>
        <v>Вторая четверть</v>
      </c>
      <c r="X319">
        <v>18</v>
      </c>
    </row>
    <row r="320" spans="1:24" x14ac:dyDescent="0.35">
      <c r="A320" s="1" t="s">
        <v>908</v>
      </c>
      <c r="B320" s="2" t="s">
        <v>909</v>
      </c>
      <c r="C320" s="3" t="s">
        <v>55</v>
      </c>
      <c r="D320" s="2" t="s">
        <v>94</v>
      </c>
      <c r="E320" s="3" t="s">
        <v>95</v>
      </c>
      <c r="F320" s="2" t="s">
        <v>96</v>
      </c>
      <c r="G320" s="3" t="s">
        <v>17</v>
      </c>
      <c r="H320" s="2" t="s">
        <v>97</v>
      </c>
      <c r="I320" s="3" t="s">
        <v>19</v>
      </c>
      <c r="J320" s="3">
        <v>14527</v>
      </c>
      <c r="K320" s="3">
        <v>17981</v>
      </c>
      <c r="L320" s="3">
        <v>109</v>
      </c>
      <c r="M320" s="4">
        <f t="shared" si="33"/>
        <v>1.2377641632821643</v>
      </c>
      <c r="N320" s="4">
        <f t="shared" si="34"/>
        <v>6.0619542850786938E-3</v>
      </c>
      <c r="O320">
        <v>2539</v>
      </c>
      <c r="P320" s="5">
        <v>0.66666666666666663</v>
      </c>
      <c r="Q320" s="7">
        <v>1</v>
      </c>
      <c r="R320" t="str">
        <f t="shared" si="40"/>
        <v>код для проверки</v>
      </c>
      <c r="S320" t="str">
        <f t="shared" si="35"/>
        <v>Больше половины</v>
      </c>
      <c r="T320" t="str">
        <f t="shared" si="36"/>
        <v>Низшая четверть</v>
      </c>
      <c r="U320" t="str">
        <f t="shared" si="37"/>
        <v>нормальный код</v>
      </c>
      <c r="V320" t="str">
        <f t="shared" si="38"/>
        <v>Больше половины</v>
      </c>
      <c r="W320" t="str">
        <f t="shared" si="39"/>
        <v>Вторая четверть</v>
      </c>
      <c r="X320">
        <v>16</v>
      </c>
    </row>
    <row r="321" spans="1:24" x14ac:dyDescent="0.35">
      <c r="A321" s="1" t="s">
        <v>626</v>
      </c>
      <c r="B321" s="2" t="s">
        <v>627</v>
      </c>
      <c r="C321" s="3" t="s">
        <v>13</v>
      </c>
      <c r="D321" s="2" t="s">
        <v>77</v>
      </c>
      <c r="E321" s="3" t="s">
        <v>89</v>
      </c>
      <c r="F321" s="2" t="s">
        <v>34</v>
      </c>
      <c r="G321" s="3" t="s">
        <v>35</v>
      </c>
      <c r="H321" s="2" t="s">
        <v>18</v>
      </c>
      <c r="I321" s="3" t="s">
        <v>19</v>
      </c>
      <c r="J321" s="3">
        <v>14318</v>
      </c>
      <c r="K321" s="3">
        <v>886</v>
      </c>
      <c r="L321" s="3">
        <v>18</v>
      </c>
      <c r="M321" s="4">
        <f t="shared" si="33"/>
        <v>6.1880150859058528E-2</v>
      </c>
      <c r="N321" s="4">
        <f t="shared" si="34"/>
        <v>2.0316027088036117E-2</v>
      </c>
      <c r="O321">
        <v>21</v>
      </c>
      <c r="P321" s="5">
        <v>0.8</v>
      </c>
      <c r="Q321" s="7">
        <v>1</v>
      </c>
      <c r="R321" t="str">
        <f t="shared" si="40"/>
        <v>нормальный код</v>
      </c>
      <c r="S321" t="str">
        <f t="shared" si="35"/>
        <v>Вторая четверть</v>
      </c>
      <c r="T321" t="str">
        <f t="shared" si="36"/>
        <v>Больше половины</v>
      </c>
      <c r="U321" t="str">
        <f t="shared" si="37"/>
        <v>нормальный код</v>
      </c>
      <c r="V321" t="str">
        <f t="shared" si="38"/>
        <v>Вторая четверть</v>
      </c>
      <c r="W321" t="str">
        <f t="shared" si="39"/>
        <v>Вторая четверть</v>
      </c>
      <c r="X321">
        <v>11</v>
      </c>
    </row>
    <row r="322" spans="1:24" x14ac:dyDescent="0.35">
      <c r="A322" s="1" t="s">
        <v>1017</v>
      </c>
      <c r="B322" s="2" t="s">
        <v>1018</v>
      </c>
      <c r="C322" s="3" t="s">
        <v>55</v>
      </c>
      <c r="D322" s="2" t="s">
        <v>94</v>
      </c>
      <c r="E322" s="3" t="s">
        <v>95</v>
      </c>
      <c r="F322" s="2" t="s">
        <v>96</v>
      </c>
      <c r="G322" s="3" t="s">
        <v>17</v>
      </c>
      <c r="H322" s="2" t="s">
        <v>97</v>
      </c>
      <c r="I322" s="3" t="s">
        <v>19</v>
      </c>
      <c r="J322" s="3">
        <v>14160</v>
      </c>
      <c r="K322" s="3">
        <v>3436</v>
      </c>
      <c r="L322" s="3">
        <v>54</v>
      </c>
      <c r="M322" s="4">
        <f t="shared" si="33"/>
        <v>0.24265536723163841</v>
      </c>
      <c r="N322" s="4">
        <f t="shared" si="34"/>
        <v>1.5715948777648429E-2</v>
      </c>
      <c r="O322">
        <v>4220</v>
      </c>
      <c r="P322" s="5">
        <v>0.77777777777777779</v>
      </c>
      <c r="Q322" s="7">
        <v>1</v>
      </c>
      <c r="R322" t="str">
        <f t="shared" si="40"/>
        <v>нормальный код</v>
      </c>
      <c r="S322" t="str">
        <f t="shared" si="35"/>
        <v>Больше половины</v>
      </c>
      <c r="T322" t="str">
        <f t="shared" si="36"/>
        <v>Вторая четверть</v>
      </c>
      <c r="U322" t="str">
        <f t="shared" si="37"/>
        <v>нормальный код</v>
      </c>
      <c r="V322" t="str">
        <f t="shared" si="38"/>
        <v>Больше половины</v>
      </c>
      <c r="W322" t="str">
        <f t="shared" si="39"/>
        <v>Больше половины</v>
      </c>
      <c r="X322">
        <v>15</v>
      </c>
    </row>
    <row r="323" spans="1:24" x14ac:dyDescent="0.35">
      <c r="A323" s="1" t="s">
        <v>58</v>
      </c>
      <c r="B323" s="2" t="s">
        <v>59</v>
      </c>
      <c r="C323" s="3" t="s">
        <v>55</v>
      </c>
      <c r="D323" s="2" t="s">
        <v>56</v>
      </c>
      <c r="E323" s="3" t="s">
        <v>60</v>
      </c>
      <c r="F323" s="2" t="s">
        <v>61</v>
      </c>
      <c r="G323" s="3" t="s">
        <v>17</v>
      </c>
      <c r="H323" s="2" t="s">
        <v>18</v>
      </c>
      <c r="I323" s="3" t="s">
        <v>19</v>
      </c>
      <c r="J323" s="3">
        <v>14120</v>
      </c>
      <c r="K323" s="3">
        <v>740</v>
      </c>
      <c r="L323" s="3">
        <v>7</v>
      </c>
      <c r="M323" s="4">
        <f t="shared" si="33"/>
        <v>5.2407932011331447E-2</v>
      </c>
      <c r="N323" s="4">
        <f t="shared" si="34"/>
        <v>9.45945945945946E-3</v>
      </c>
      <c r="O323">
        <v>208</v>
      </c>
      <c r="P323" s="5">
        <v>1</v>
      </c>
      <c r="Q323" s="7">
        <v>1</v>
      </c>
      <c r="R323" t="str">
        <f t="shared" si="40"/>
        <v>код для проверки</v>
      </c>
      <c r="S323" t="str">
        <f t="shared" si="35"/>
        <v>Вторая четверть</v>
      </c>
      <c r="T323" t="str">
        <f t="shared" si="36"/>
        <v>Низшая четверть</v>
      </c>
      <c r="U323" t="str">
        <f t="shared" si="37"/>
        <v>нормальный код</v>
      </c>
      <c r="V323" t="str">
        <f t="shared" si="38"/>
        <v>Вторая четверть</v>
      </c>
      <c r="W323" t="str">
        <f t="shared" si="39"/>
        <v>Вторая четверть</v>
      </c>
      <c r="X323">
        <v>27</v>
      </c>
    </row>
    <row r="324" spans="1:24" x14ac:dyDescent="0.35">
      <c r="A324" s="1" t="s">
        <v>2338</v>
      </c>
      <c r="B324" s="2" t="s">
        <v>2339</v>
      </c>
      <c r="C324" s="3" t="s">
        <v>55</v>
      </c>
      <c r="D324" s="2" t="s">
        <v>1874</v>
      </c>
      <c r="E324" s="3" t="s">
        <v>1875</v>
      </c>
      <c r="F324" s="2" t="s">
        <v>34</v>
      </c>
      <c r="G324" s="3" t="s">
        <v>17</v>
      </c>
      <c r="H324" s="2" t="s">
        <v>97</v>
      </c>
      <c r="I324" s="3" t="s">
        <v>19</v>
      </c>
      <c r="J324" s="3">
        <v>14030</v>
      </c>
      <c r="K324" s="3">
        <v>405</v>
      </c>
      <c r="L324" s="3">
        <v>0</v>
      </c>
      <c r="M324" s="4">
        <f t="shared" ref="M324:M387" si="41">IFERROR(K324/J324,0)</f>
        <v>2.886671418389166E-2</v>
      </c>
      <c r="N324" s="4">
        <f t="shared" ref="N324:N387" si="42">IFERROR(L324/K324,0)</f>
        <v>0</v>
      </c>
      <c r="O324">
        <v>1850</v>
      </c>
      <c r="P324" s="5">
        <v>1</v>
      </c>
      <c r="Q324" s="7">
        <v>1</v>
      </c>
      <c r="R324" t="str">
        <f t="shared" si="40"/>
        <v>код для проверки</v>
      </c>
      <c r="S324" t="str">
        <f t="shared" ref="S324:S387" si="43">IF(M324&lt;$S$1*0.5,"Низшая четверть",IF(M324&lt;$S$1,"Вторая четверть","Больше половины"))</f>
        <v>Низшая четверть</v>
      </c>
      <c r="T324" t="str">
        <f t="shared" ref="T324:T387" si="44">IF(N324&lt;$T$1*0.5,"Низшая четверть",IF(N324&lt;$T$1,"Вторая четверть","Больше половины"))</f>
        <v>Низшая четверть</v>
      </c>
      <c r="U324" t="str">
        <f t="shared" ref="U324:U387" si="45">IF(OR(M324&lt;SUMIFS(K:K,Q:Q,1,E:E,E324)/SUMIFS(J:J,Q:Q,1,E:E,E324)*0.5,N324&lt;SUMIFS(L:L,Q:Q,1,E:E,E324)/SUMIFS(K:K,Q:Q,1,E:E,E324)*0.5),"код для проверки","нормальный код")</f>
        <v>код для проверки</v>
      </c>
      <c r="V324" t="str">
        <f t="shared" ref="V324:V387" si="46">IF(M324&lt;SUMIFS(K:K,Q:Q,1,E:E,E324)/SUMIFS(J:J,Q:Q,1,E:E,E324)*0.5,"Низшая четверть",IF(M324&lt;SUMIFS(K:K,Q:Q,1,E:E,E324)/SUMIFS(J:J,Q:Q,1,E:E,E324),"Вторая четверть","Больше половины"))</f>
        <v>Вторая четверть</v>
      </c>
      <c r="W324" t="str">
        <f t="shared" ref="W324:W387" si="47">IF(N324&lt;SUMIFS(L:L,Q:Q,1,E:E,E324)/SUMIFS(K:K,Q:Q,1,E:E,E324)*0.5,"Низшая четверть",IF(N324&lt;SUMIFS(L:L,Q:Q,1,E:E,E324)/SUMIFS(K:K,Q:Q,1,E:E,E324),"Вторая четверть","Больше половины"))</f>
        <v>Низшая четверть</v>
      </c>
      <c r="X324">
        <v>16</v>
      </c>
    </row>
    <row r="325" spans="1:24" x14ac:dyDescent="0.35">
      <c r="A325" s="1" t="s">
        <v>1232</v>
      </c>
      <c r="B325" s="2" t="s">
        <v>1233</v>
      </c>
      <c r="C325" s="3" t="s">
        <v>55</v>
      </c>
      <c r="D325" s="2" t="s">
        <v>56</v>
      </c>
      <c r="E325" s="3" t="s">
        <v>60</v>
      </c>
      <c r="F325" s="2" t="s">
        <v>61</v>
      </c>
      <c r="G325" s="3" t="s">
        <v>17</v>
      </c>
      <c r="H325" s="2" t="s">
        <v>18</v>
      </c>
      <c r="I325" s="3" t="s">
        <v>19</v>
      </c>
      <c r="J325" s="3">
        <v>13589</v>
      </c>
      <c r="K325" s="3">
        <v>439</v>
      </c>
      <c r="L325" s="3">
        <v>2</v>
      </c>
      <c r="M325" s="4">
        <f t="shared" si="41"/>
        <v>3.2305541246596514E-2</v>
      </c>
      <c r="N325" s="4">
        <f t="shared" si="42"/>
        <v>4.5558086560364463E-3</v>
      </c>
      <c r="O325">
        <v>419</v>
      </c>
      <c r="P325" s="5">
        <v>1</v>
      </c>
      <c r="Q325" s="7">
        <v>1</v>
      </c>
      <c r="R325" t="str">
        <f t="shared" si="40"/>
        <v>код для проверки</v>
      </c>
      <c r="S325" t="str">
        <f t="shared" si="43"/>
        <v>Низшая четверть</v>
      </c>
      <c r="T325" t="str">
        <f t="shared" si="44"/>
        <v>Низшая четверть</v>
      </c>
      <c r="U325" t="str">
        <f t="shared" si="45"/>
        <v>код для проверки</v>
      </c>
      <c r="V325" t="str">
        <f t="shared" si="46"/>
        <v>Вторая четверть</v>
      </c>
      <c r="W325" t="str">
        <f t="shared" si="47"/>
        <v>Низшая четверть</v>
      </c>
      <c r="X325">
        <v>25</v>
      </c>
    </row>
    <row r="326" spans="1:24" x14ac:dyDescent="0.35">
      <c r="A326" s="1" t="s">
        <v>1820</v>
      </c>
      <c r="B326" s="2" t="s">
        <v>1821</v>
      </c>
      <c r="C326" s="3" t="s">
        <v>55</v>
      </c>
      <c r="D326" s="2" t="s">
        <v>1049</v>
      </c>
      <c r="E326" s="3" t="s">
        <v>1050</v>
      </c>
      <c r="F326" s="2" t="s">
        <v>34</v>
      </c>
      <c r="G326" s="3" t="s">
        <v>17</v>
      </c>
      <c r="H326" s="2" t="s">
        <v>18</v>
      </c>
      <c r="I326" s="3" t="s">
        <v>19</v>
      </c>
      <c r="J326" s="3">
        <v>13538</v>
      </c>
      <c r="K326" s="3">
        <v>2762</v>
      </c>
      <c r="L326" s="3">
        <v>91</v>
      </c>
      <c r="M326" s="4">
        <f t="shared" si="41"/>
        <v>0.20401831880632293</v>
      </c>
      <c r="N326" s="4">
        <f t="shared" si="42"/>
        <v>3.2947139753801591E-2</v>
      </c>
      <c r="O326">
        <v>511</v>
      </c>
      <c r="P326" s="5">
        <v>1</v>
      </c>
      <c r="Q326" s="7">
        <v>1</v>
      </c>
      <c r="R326" t="str">
        <f t="shared" si="40"/>
        <v>нормальный код</v>
      </c>
      <c r="S326" t="str">
        <f t="shared" si="43"/>
        <v>Больше половины</v>
      </c>
      <c r="T326" t="str">
        <f t="shared" si="44"/>
        <v>Больше половины</v>
      </c>
      <c r="U326" t="str">
        <f t="shared" si="45"/>
        <v>нормальный код</v>
      </c>
      <c r="V326" t="str">
        <f t="shared" si="46"/>
        <v>Больше половины</v>
      </c>
      <c r="W326" t="str">
        <f t="shared" si="47"/>
        <v>Вторая четверть</v>
      </c>
      <c r="X326">
        <v>11</v>
      </c>
    </row>
    <row r="327" spans="1:24" x14ac:dyDescent="0.35">
      <c r="A327" s="1" t="s">
        <v>686</v>
      </c>
      <c r="B327" s="2" t="s">
        <v>687</v>
      </c>
      <c r="C327" s="3" t="s">
        <v>13</v>
      </c>
      <c r="D327" s="2" t="s">
        <v>85</v>
      </c>
      <c r="E327" s="3" t="s">
        <v>86</v>
      </c>
      <c r="F327" s="2" t="s">
        <v>71</v>
      </c>
      <c r="G327" s="3" t="s">
        <v>35</v>
      </c>
      <c r="H327" s="2" t="s">
        <v>18</v>
      </c>
      <c r="I327" s="3" t="s">
        <v>19</v>
      </c>
      <c r="J327" s="3">
        <v>13521</v>
      </c>
      <c r="K327" s="3">
        <v>2041</v>
      </c>
      <c r="L327" s="3">
        <v>38</v>
      </c>
      <c r="M327" s="4">
        <f t="shared" si="41"/>
        <v>0.15095037349308482</v>
      </c>
      <c r="N327" s="4">
        <f t="shared" si="42"/>
        <v>1.8618324350808426E-2</v>
      </c>
      <c r="O327">
        <v>349</v>
      </c>
      <c r="P327" s="5">
        <v>1</v>
      </c>
      <c r="Q327" s="7">
        <v>1</v>
      </c>
      <c r="R327" t="str">
        <f t="shared" si="40"/>
        <v>нормальный код</v>
      </c>
      <c r="S327" t="str">
        <f t="shared" si="43"/>
        <v>Больше половины</v>
      </c>
      <c r="T327" t="str">
        <f t="shared" si="44"/>
        <v>Вторая четверть</v>
      </c>
      <c r="U327" t="str">
        <f t="shared" si="45"/>
        <v>нормальный код</v>
      </c>
      <c r="V327" t="str">
        <f t="shared" si="46"/>
        <v>Больше половины</v>
      </c>
      <c r="W327" t="str">
        <f t="shared" si="47"/>
        <v>Больше половины</v>
      </c>
      <c r="X327">
        <v>18</v>
      </c>
    </row>
    <row r="328" spans="1:24" x14ac:dyDescent="0.35">
      <c r="A328" s="1" t="s">
        <v>701</v>
      </c>
      <c r="B328" s="2" t="s">
        <v>702</v>
      </c>
      <c r="C328" s="3" t="s">
        <v>13</v>
      </c>
      <c r="D328" s="2" t="s">
        <v>85</v>
      </c>
      <c r="E328" s="3" t="s">
        <v>599</v>
      </c>
      <c r="F328" s="2" t="s">
        <v>34</v>
      </c>
      <c r="G328" s="3" t="s">
        <v>35</v>
      </c>
      <c r="H328" s="2" t="s">
        <v>18</v>
      </c>
      <c r="I328" s="3" t="s">
        <v>19</v>
      </c>
      <c r="J328" s="3">
        <v>13511</v>
      </c>
      <c r="K328" s="3">
        <v>614</v>
      </c>
      <c r="L328" s="3">
        <v>9</v>
      </c>
      <c r="M328" s="4">
        <f t="shared" si="41"/>
        <v>4.5444452668196286E-2</v>
      </c>
      <c r="N328" s="4">
        <f t="shared" si="42"/>
        <v>1.4657980456026058E-2</v>
      </c>
      <c r="O328">
        <v>634</v>
      </c>
      <c r="P328" s="5">
        <v>1</v>
      </c>
      <c r="Q328" s="7">
        <v>1</v>
      </c>
      <c r="R328" t="str">
        <f t="shared" si="40"/>
        <v>код для проверки</v>
      </c>
      <c r="S328" t="str">
        <f t="shared" si="43"/>
        <v>Низшая четверть</v>
      </c>
      <c r="T328" t="str">
        <f t="shared" si="44"/>
        <v>Вторая четверть</v>
      </c>
      <c r="U328" t="str">
        <f t="shared" si="45"/>
        <v>нормальный код</v>
      </c>
      <c r="V328" t="str">
        <f t="shared" si="46"/>
        <v>Вторая четверть</v>
      </c>
      <c r="W328" t="str">
        <f t="shared" si="47"/>
        <v>Вторая четверть</v>
      </c>
      <c r="X328">
        <v>13</v>
      </c>
    </row>
    <row r="329" spans="1:24" x14ac:dyDescent="0.35">
      <c r="A329" s="1" t="s">
        <v>422</v>
      </c>
      <c r="B329" s="2" t="s">
        <v>423</v>
      </c>
      <c r="C329" s="3" t="s">
        <v>13</v>
      </c>
      <c r="D329" s="2" t="s">
        <v>104</v>
      </c>
      <c r="E329" s="3" t="s">
        <v>424</v>
      </c>
      <c r="F329" s="2" t="s">
        <v>34</v>
      </c>
      <c r="G329" s="3" t="s">
        <v>35</v>
      </c>
      <c r="H329" s="2" t="s">
        <v>18</v>
      </c>
      <c r="I329" s="3" t="s">
        <v>19</v>
      </c>
      <c r="J329" s="3">
        <v>13471</v>
      </c>
      <c r="K329" s="3">
        <v>953</v>
      </c>
      <c r="L329" s="3">
        <v>11</v>
      </c>
      <c r="M329" s="4">
        <f t="shared" si="41"/>
        <v>7.0744562393289287E-2</v>
      </c>
      <c r="N329" s="4">
        <f t="shared" si="42"/>
        <v>1.1542497376705142E-2</v>
      </c>
      <c r="O329">
        <v>341</v>
      </c>
      <c r="P329" s="5">
        <v>1</v>
      </c>
      <c r="Q329" s="7">
        <v>1</v>
      </c>
      <c r="R329" t="str">
        <f t="shared" si="40"/>
        <v>нормальный код</v>
      </c>
      <c r="S329" t="str">
        <f t="shared" si="43"/>
        <v>Вторая четверть</v>
      </c>
      <c r="T329" t="str">
        <f t="shared" si="44"/>
        <v>Вторая четверть</v>
      </c>
      <c r="U329" t="str">
        <f t="shared" si="45"/>
        <v>нормальный код</v>
      </c>
      <c r="V329" t="str">
        <f t="shared" si="46"/>
        <v>Вторая четверть</v>
      </c>
      <c r="W329" t="str">
        <f t="shared" si="47"/>
        <v>Вторая четверть</v>
      </c>
      <c r="X329">
        <v>16</v>
      </c>
    </row>
    <row r="330" spans="1:24" x14ac:dyDescent="0.35">
      <c r="A330" s="1" t="s">
        <v>137</v>
      </c>
      <c r="B330" s="2" t="s">
        <v>138</v>
      </c>
      <c r="C330" s="3" t="s">
        <v>13</v>
      </c>
      <c r="D330" s="2" t="s">
        <v>42</v>
      </c>
      <c r="E330" s="3" t="s">
        <v>43</v>
      </c>
      <c r="F330" s="2" t="s">
        <v>44</v>
      </c>
      <c r="G330" s="3" t="s">
        <v>17</v>
      </c>
      <c r="H330" s="2" t="s">
        <v>18</v>
      </c>
      <c r="I330" s="3" t="s">
        <v>19</v>
      </c>
      <c r="J330" s="3">
        <v>13446</v>
      </c>
      <c r="K330" s="3">
        <v>1331</v>
      </c>
      <c r="L330" s="3">
        <v>16</v>
      </c>
      <c r="M330" s="4">
        <f t="shared" si="41"/>
        <v>9.8988546779711445E-2</v>
      </c>
      <c r="N330" s="4">
        <f t="shared" si="42"/>
        <v>1.2021036814425245E-2</v>
      </c>
      <c r="O330">
        <v>15</v>
      </c>
      <c r="P330" s="5">
        <v>0.8</v>
      </c>
      <c r="Q330" s="7">
        <v>1</v>
      </c>
      <c r="R330" t="str">
        <f t="shared" si="40"/>
        <v>нормальный код</v>
      </c>
      <c r="S330" t="str">
        <f t="shared" si="43"/>
        <v>Больше половины</v>
      </c>
      <c r="T330" t="str">
        <f t="shared" si="44"/>
        <v>Вторая четверть</v>
      </c>
      <c r="U330" t="str">
        <f t="shared" si="45"/>
        <v>нормальный код</v>
      </c>
      <c r="V330" t="str">
        <f t="shared" si="46"/>
        <v>Больше половины</v>
      </c>
      <c r="W330" t="str">
        <f t="shared" si="47"/>
        <v>Больше половины</v>
      </c>
      <c r="X330">
        <v>15</v>
      </c>
    </row>
    <row r="331" spans="1:24" x14ac:dyDescent="0.35">
      <c r="A331" s="1" t="s">
        <v>1617</v>
      </c>
      <c r="B331" s="2" t="s">
        <v>1618</v>
      </c>
      <c r="C331" s="3" t="s">
        <v>55</v>
      </c>
      <c r="D331" s="2" t="s">
        <v>295</v>
      </c>
      <c r="E331" s="3" t="s">
        <v>674</v>
      </c>
      <c r="F331" s="2" t="s">
        <v>16</v>
      </c>
      <c r="G331" s="3" t="s">
        <v>17</v>
      </c>
      <c r="H331" s="2" t="s">
        <v>97</v>
      </c>
      <c r="I331" s="3" t="s">
        <v>19</v>
      </c>
      <c r="J331" s="3">
        <v>13444</v>
      </c>
      <c r="K331" s="3">
        <v>4436</v>
      </c>
      <c r="L331" s="3">
        <v>124</v>
      </c>
      <c r="M331" s="4">
        <f t="shared" si="41"/>
        <v>0.32996132103540615</v>
      </c>
      <c r="N331" s="4">
        <f t="shared" si="42"/>
        <v>2.7953110910730387E-2</v>
      </c>
      <c r="O331">
        <v>491</v>
      </c>
      <c r="P331" s="5">
        <v>1</v>
      </c>
      <c r="Q331" s="7">
        <v>1</v>
      </c>
      <c r="R331" t="str">
        <f t="shared" si="40"/>
        <v>нормальный код</v>
      </c>
      <c r="S331" t="str">
        <f t="shared" si="43"/>
        <v>Больше половины</v>
      </c>
      <c r="T331" t="str">
        <f t="shared" si="44"/>
        <v>Больше половины</v>
      </c>
      <c r="U331" t="str">
        <f t="shared" si="45"/>
        <v>нормальный код</v>
      </c>
      <c r="V331" t="str">
        <f t="shared" si="46"/>
        <v>Больше половины</v>
      </c>
      <c r="W331" t="str">
        <f t="shared" si="47"/>
        <v>Больше половины</v>
      </c>
      <c r="X331">
        <v>13</v>
      </c>
    </row>
    <row r="332" spans="1:24" x14ac:dyDescent="0.35">
      <c r="A332" s="1" t="s">
        <v>334</v>
      </c>
      <c r="B332" s="2" t="s">
        <v>335</v>
      </c>
      <c r="C332" s="3" t="s">
        <v>55</v>
      </c>
      <c r="D332" s="2" t="s">
        <v>336</v>
      </c>
      <c r="E332" s="3" t="s">
        <v>337</v>
      </c>
      <c r="F332" s="2" t="s">
        <v>34</v>
      </c>
      <c r="G332" s="3" t="s">
        <v>17</v>
      </c>
      <c r="H332" s="2" t="s">
        <v>18</v>
      </c>
      <c r="I332" s="3" t="s">
        <v>19</v>
      </c>
      <c r="J332" s="3">
        <v>13341</v>
      </c>
      <c r="K332" s="3">
        <v>1473</v>
      </c>
      <c r="L332" s="3">
        <v>117</v>
      </c>
      <c r="M332" s="4">
        <f t="shared" si="41"/>
        <v>0.11041151337980661</v>
      </c>
      <c r="N332" s="4">
        <f t="shared" si="42"/>
        <v>7.9429735234215884E-2</v>
      </c>
      <c r="O332">
        <v>1613</v>
      </c>
      <c r="P332" s="5">
        <v>1</v>
      </c>
      <c r="Q332" s="7">
        <v>1</v>
      </c>
      <c r="R332" t="str">
        <f t="shared" si="40"/>
        <v>нормальный код</v>
      </c>
      <c r="S332" t="str">
        <f t="shared" si="43"/>
        <v>Больше половины</v>
      </c>
      <c r="T332" t="str">
        <f t="shared" si="44"/>
        <v>Больше половины</v>
      </c>
      <c r="U332" t="str">
        <f t="shared" si="45"/>
        <v>нормальный код</v>
      </c>
      <c r="V332" t="str">
        <f t="shared" si="46"/>
        <v>Больше половины</v>
      </c>
      <c r="W332" t="str">
        <f t="shared" si="47"/>
        <v>Вторая четверть</v>
      </c>
      <c r="X332">
        <v>6</v>
      </c>
    </row>
    <row r="333" spans="1:24" x14ac:dyDescent="0.35">
      <c r="A333" s="1" t="s">
        <v>940</v>
      </c>
      <c r="B333" s="2" t="s">
        <v>941</v>
      </c>
      <c r="C333" s="3" t="s">
        <v>55</v>
      </c>
      <c r="D333" s="2" t="s">
        <v>56</v>
      </c>
      <c r="E333" s="3" t="s">
        <v>472</v>
      </c>
      <c r="F333" s="2" t="s">
        <v>34</v>
      </c>
      <c r="G333" s="3" t="s">
        <v>17</v>
      </c>
      <c r="H333" s="2" t="s">
        <v>18</v>
      </c>
      <c r="I333" s="3" t="s">
        <v>19</v>
      </c>
      <c r="J333" s="3">
        <v>13316</v>
      </c>
      <c r="K333" s="3">
        <v>625</v>
      </c>
      <c r="L333" s="3">
        <v>28</v>
      </c>
      <c r="M333" s="4">
        <f t="shared" si="41"/>
        <v>4.6936016821868431E-2</v>
      </c>
      <c r="N333" s="4">
        <f t="shared" si="42"/>
        <v>4.48E-2</v>
      </c>
      <c r="O333">
        <v>1176</v>
      </c>
      <c r="P333" s="5">
        <v>0.83333333333333337</v>
      </c>
      <c r="Q333" s="7">
        <v>1</v>
      </c>
      <c r="R333" t="str">
        <f t="shared" si="40"/>
        <v>код для проверки</v>
      </c>
      <c r="S333" t="str">
        <f t="shared" si="43"/>
        <v>Низшая четверть</v>
      </c>
      <c r="T333" t="str">
        <f t="shared" si="44"/>
        <v>Больше половины</v>
      </c>
      <c r="U333" t="str">
        <f t="shared" si="45"/>
        <v>нормальный код</v>
      </c>
      <c r="V333" t="str">
        <f t="shared" si="46"/>
        <v>Больше половины</v>
      </c>
      <c r="W333" t="str">
        <f t="shared" si="47"/>
        <v>Вторая четверть</v>
      </c>
      <c r="X333">
        <v>7</v>
      </c>
    </row>
    <row r="334" spans="1:24" x14ac:dyDescent="0.35">
      <c r="A334" s="1" t="s">
        <v>873</v>
      </c>
      <c r="B334" s="2" t="s">
        <v>874</v>
      </c>
      <c r="C334" s="3" t="s">
        <v>13</v>
      </c>
      <c r="D334" s="2" t="s">
        <v>104</v>
      </c>
      <c r="E334" s="3" t="s">
        <v>875</v>
      </c>
      <c r="F334" s="2" t="s">
        <v>71</v>
      </c>
      <c r="G334" s="3" t="s">
        <v>35</v>
      </c>
      <c r="H334" s="2" t="s">
        <v>18</v>
      </c>
      <c r="I334" s="3" t="s">
        <v>19</v>
      </c>
      <c r="J334" s="3">
        <v>13248</v>
      </c>
      <c r="K334" s="3">
        <v>1219</v>
      </c>
      <c r="L334" s="3">
        <v>19</v>
      </c>
      <c r="M334" s="4">
        <f t="shared" si="41"/>
        <v>9.2013888888888895E-2</v>
      </c>
      <c r="N334" s="4">
        <f t="shared" si="42"/>
        <v>1.5586546349466776E-2</v>
      </c>
      <c r="O334">
        <v>85</v>
      </c>
      <c r="P334" s="5">
        <v>1</v>
      </c>
      <c r="Q334" s="7">
        <v>1</v>
      </c>
      <c r="R334" t="str">
        <f t="shared" si="40"/>
        <v>нормальный код</v>
      </c>
      <c r="S334" t="str">
        <f t="shared" si="43"/>
        <v>Вторая четверть</v>
      </c>
      <c r="T334" t="str">
        <f t="shared" si="44"/>
        <v>Вторая четверть</v>
      </c>
      <c r="U334" t="str">
        <f t="shared" si="45"/>
        <v>нормальный код</v>
      </c>
      <c r="V334" t="str">
        <f t="shared" si="46"/>
        <v>Вторая четверть</v>
      </c>
      <c r="W334" t="str">
        <f t="shared" si="47"/>
        <v>Вторая четверть</v>
      </c>
      <c r="X334">
        <v>15</v>
      </c>
    </row>
    <row r="335" spans="1:24" x14ac:dyDescent="0.35">
      <c r="A335" s="1" t="s">
        <v>2482</v>
      </c>
      <c r="B335" s="2" t="s">
        <v>2483</v>
      </c>
      <c r="C335" s="3" t="s">
        <v>55</v>
      </c>
      <c r="D335" s="2" t="s">
        <v>1221</v>
      </c>
      <c r="E335" s="3" t="s">
        <v>1450</v>
      </c>
      <c r="F335" s="2" t="s">
        <v>61</v>
      </c>
      <c r="G335" s="3" t="s">
        <v>17</v>
      </c>
      <c r="H335" s="2" t="s">
        <v>18</v>
      </c>
      <c r="I335" s="3" t="s">
        <v>19</v>
      </c>
      <c r="J335" s="3">
        <v>13188</v>
      </c>
      <c r="K335" s="3">
        <v>262</v>
      </c>
      <c r="L335" s="3">
        <v>4</v>
      </c>
      <c r="M335" s="4">
        <f t="shared" si="41"/>
        <v>1.9866545344252352E-2</v>
      </c>
      <c r="N335" s="4">
        <f t="shared" si="42"/>
        <v>1.5267175572519083E-2</v>
      </c>
      <c r="O335">
        <v>564</v>
      </c>
      <c r="P335" s="5">
        <v>1</v>
      </c>
      <c r="Q335" s="7">
        <v>1</v>
      </c>
      <c r="R335" t="str">
        <f t="shared" si="40"/>
        <v>код для проверки</v>
      </c>
      <c r="S335" t="str">
        <f t="shared" si="43"/>
        <v>Низшая четверть</v>
      </c>
      <c r="T335" t="str">
        <f t="shared" si="44"/>
        <v>Вторая четверть</v>
      </c>
      <c r="U335" t="str">
        <f t="shared" si="45"/>
        <v>нормальный код</v>
      </c>
      <c r="V335" t="str">
        <f t="shared" si="46"/>
        <v>Вторая четверть</v>
      </c>
      <c r="W335" t="str">
        <f t="shared" si="47"/>
        <v>Вторая четверть</v>
      </c>
      <c r="X335">
        <v>20</v>
      </c>
    </row>
    <row r="336" spans="1:24" x14ac:dyDescent="0.35">
      <c r="A336" s="1" t="s">
        <v>863</v>
      </c>
      <c r="B336" s="2" t="s">
        <v>864</v>
      </c>
      <c r="C336" s="3" t="s">
        <v>55</v>
      </c>
      <c r="D336" s="2" t="s">
        <v>94</v>
      </c>
      <c r="E336" s="3" t="s">
        <v>95</v>
      </c>
      <c r="F336" s="2" t="s">
        <v>96</v>
      </c>
      <c r="G336" s="3" t="s">
        <v>17</v>
      </c>
      <c r="H336" s="2" t="s">
        <v>97</v>
      </c>
      <c r="I336" s="3" t="s">
        <v>19</v>
      </c>
      <c r="J336" s="3">
        <v>13136</v>
      </c>
      <c r="K336" s="3">
        <v>3245</v>
      </c>
      <c r="L336" s="3">
        <v>12</v>
      </c>
      <c r="M336" s="4">
        <f t="shared" si="41"/>
        <v>0.24703105968331304</v>
      </c>
      <c r="N336" s="4">
        <f t="shared" si="42"/>
        <v>3.6979969183359015E-3</v>
      </c>
      <c r="O336">
        <v>1283</v>
      </c>
      <c r="P336" s="5">
        <v>0.55555555555555558</v>
      </c>
      <c r="Q336" s="7">
        <v>1</v>
      </c>
      <c r="R336" t="str">
        <f t="shared" si="40"/>
        <v>код для проверки</v>
      </c>
      <c r="S336" t="str">
        <f t="shared" si="43"/>
        <v>Больше половины</v>
      </c>
      <c r="T336" t="str">
        <f t="shared" si="44"/>
        <v>Низшая четверть</v>
      </c>
      <c r="U336" t="str">
        <f t="shared" si="45"/>
        <v>код для проверки</v>
      </c>
      <c r="V336" t="str">
        <f t="shared" si="46"/>
        <v>Больше половины</v>
      </c>
      <c r="W336" t="str">
        <f t="shared" si="47"/>
        <v>Низшая четверть</v>
      </c>
      <c r="X336">
        <v>24</v>
      </c>
    </row>
    <row r="337" spans="1:24" x14ac:dyDescent="0.35">
      <c r="A337" s="1" t="s">
        <v>1596</v>
      </c>
      <c r="B337" s="2" t="s">
        <v>1597</v>
      </c>
      <c r="C337" s="3" t="s">
        <v>55</v>
      </c>
      <c r="D337" s="2" t="s">
        <v>94</v>
      </c>
      <c r="E337" s="3" t="s">
        <v>812</v>
      </c>
      <c r="F337" s="2" t="s">
        <v>96</v>
      </c>
      <c r="G337" s="3" t="s">
        <v>17</v>
      </c>
      <c r="H337" s="2" t="s">
        <v>18</v>
      </c>
      <c r="I337" s="3" t="s">
        <v>19</v>
      </c>
      <c r="J337" s="3">
        <v>13033</v>
      </c>
      <c r="K337" s="3">
        <v>1241</v>
      </c>
      <c r="L337" s="3">
        <v>8</v>
      </c>
      <c r="M337" s="4">
        <f t="shared" si="41"/>
        <v>9.5219826594030541E-2</v>
      </c>
      <c r="N337" s="4">
        <f t="shared" si="42"/>
        <v>6.4464141821112004E-3</v>
      </c>
      <c r="O337">
        <v>1243</v>
      </c>
      <c r="P337" s="5">
        <v>1</v>
      </c>
      <c r="Q337" s="7">
        <v>1</v>
      </c>
      <c r="R337" t="str">
        <f t="shared" si="40"/>
        <v>код для проверки</v>
      </c>
      <c r="S337" t="str">
        <f t="shared" si="43"/>
        <v>Больше половины</v>
      </c>
      <c r="T337" t="str">
        <f t="shared" si="44"/>
        <v>Низшая четверть</v>
      </c>
      <c r="U337" t="str">
        <f t="shared" si="45"/>
        <v>нормальный код</v>
      </c>
      <c r="V337" t="str">
        <f t="shared" si="46"/>
        <v>Вторая четверть</v>
      </c>
      <c r="W337" t="str">
        <f t="shared" si="47"/>
        <v>Вторая четверть</v>
      </c>
      <c r="X337">
        <v>8</v>
      </c>
    </row>
    <row r="338" spans="1:24" x14ac:dyDescent="0.35">
      <c r="A338" s="1" t="s">
        <v>346</v>
      </c>
      <c r="B338" s="2" t="s">
        <v>347</v>
      </c>
      <c r="C338" s="3" t="s">
        <v>13</v>
      </c>
      <c r="D338" s="2" t="s">
        <v>155</v>
      </c>
      <c r="E338" s="3" t="s">
        <v>156</v>
      </c>
      <c r="F338" s="2" t="s">
        <v>34</v>
      </c>
      <c r="G338" s="3" t="s">
        <v>35</v>
      </c>
      <c r="H338" s="2" t="s">
        <v>18</v>
      </c>
      <c r="I338" s="3" t="s">
        <v>19</v>
      </c>
      <c r="J338" s="3">
        <v>12981</v>
      </c>
      <c r="K338" s="3">
        <v>1318</v>
      </c>
      <c r="L338" s="3">
        <v>7</v>
      </c>
      <c r="M338" s="4">
        <f t="shared" si="41"/>
        <v>0.10153300978352978</v>
      </c>
      <c r="N338" s="4">
        <f t="shared" si="42"/>
        <v>5.3110773899848257E-3</v>
      </c>
      <c r="O338">
        <v>497</v>
      </c>
      <c r="P338" s="5">
        <v>1</v>
      </c>
      <c r="Q338" s="7">
        <v>1</v>
      </c>
      <c r="R338" t="str">
        <f t="shared" ref="R338:R401" si="48">IF(OR(M338&lt;$S$1*0.5,N338&lt;$T$1*0.5),"код для проверки","нормальный код")</f>
        <v>код для проверки</v>
      </c>
      <c r="S338" t="str">
        <f t="shared" si="43"/>
        <v>Больше половины</v>
      </c>
      <c r="T338" t="str">
        <f t="shared" si="44"/>
        <v>Низшая четверть</v>
      </c>
      <c r="U338" t="str">
        <f t="shared" si="45"/>
        <v>код для проверки</v>
      </c>
      <c r="V338" t="str">
        <f t="shared" si="46"/>
        <v>Больше половины</v>
      </c>
      <c r="W338" t="str">
        <f t="shared" si="47"/>
        <v>Низшая четверть</v>
      </c>
      <c r="X338">
        <v>25</v>
      </c>
    </row>
    <row r="339" spans="1:24" x14ac:dyDescent="0.35">
      <c r="A339" s="1" t="s">
        <v>1898</v>
      </c>
      <c r="B339" s="2" t="s">
        <v>1899</v>
      </c>
      <c r="C339" s="3" t="s">
        <v>55</v>
      </c>
      <c r="D339" s="2" t="s">
        <v>1874</v>
      </c>
      <c r="E339" s="3" t="s">
        <v>1875</v>
      </c>
      <c r="F339" s="2" t="s">
        <v>34</v>
      </c>
      <c r="G339" s="3" t="s">
        <v>17</v>
      </c>
      <c r="H339" s="2" t="s">
        <v>97</v>
      </c>
      <c r="I339" s="3" t="s">
        <v>19</v>
      </c>
      <c r="J339" s="3">
        <v>12954</v>
      </c>
      <c r="K339" s="3">
        <v>313</v>
      </c>
      <c r="L339" s="3">
        <v>1</v>
      </c>
      <c r="M339" s="4">
        <f t="shared" si="41"/>
        <v>2.4162420873861355E-2</v>
      </c>
      <c r="N339" s="4">
        <f t="shared" si="42"/>
        <v>3.1948881789137379E-3</v>
      </c>
      <c r="O339">
        <v>3897</v>
      </c>
      <c r="P339" s="5">
        <v>1</v>
      </c>
      <c r="Q339" s="7">
        <v>1</v>
      </c>
      <c r="R339" t="str">
        <f t="shared" si="48"/>
        <v>код для проверки</v>
      </c>
      <c r="S339" t="str">
        <f t="shared" si="43"/>
        <v>Низшая четверть</v>
      </c>
      <c r="T339" t="str">
        <f t="shared" si="44"/>
        <v>Низшая четверть</v>
      </c>
      <c r="U339" t="str">
        <f t="shared" si="45"/>
        <v>код для проверки</v>
      </c>
      <c r="V339" t="str">
        <f t="shared" si="46"/>
        <v>Вторая четверть</v>
      </c>
      <c r="W339" t="str">
        <f t="shared" si="47"/>
        <v>Низшая четверть</v>
      </c>
      <c r="X339">
        <v>17</v>
      </c>
    </row>
    <row r="340" spans="1:24" x14ac:dyDescent="0.35">
      <c r="A340" s="1" t="s">
        <v>369</v>
      </c>
      <c r="B340" s="2" t="s">
        <v>370</v>
      </c>
      <c r="C340" s="3" t="s">
        <v>13</v>
      </c>
      <c r="D340" s="2" t="s">
        <v>69</v>
      </c>
      <c r="E340" s="3" t="s">
        <v>371</v>
      </c>
      <c r="F340" s="2" t="s">
        <v>96</v>
      </c>
      <c r="G340" s="3" t="s">
        <v>72</v>
      </c>
      <c r="H340" s="2" t="s">
        <v>18</v>
      </c>
      <c r="I340" s="3" t="s">
        <v>19</v>
      </c>
      <c r="J340" s="3">
        <v>12884</v>
      </c>
      <c r="K340" s="3">
        <v>1322</v>
      </c>
      <c r="L340" s="3">
        <v>18</v>
      </c>
      <c r="M340" s="4">
        <f t="shared" si="41"/>
        <v>0.10260788574976715</v>
      </c>
      <c r="N340" s="4">
        <f t="shared" si="42"/>
        <v>1.3615733736762481E-2</v>
      </c>
      <c r="O340">
        <v>1190</v>
      </c>
      <c r="P340" s="5">
        <v>1</v>
      </c>
      <c r="Q340" s="7">
        <v>1</v>
      </c>
      <c r="R340" t="str">
        <f t="shared" si="48"/>
        <v>нормальный код</v>
      </c>
      <c r="S340" t="str">
        <f t="shared" si="43"/>
        <v>Больше половины</v>
      </c>
      <c r="T340" t="str">
        <f t="shared" si="44"/>
        <v>Вторая четверть</v>
      </c>
      <c r="U340" t="str">
        <f t="shared" si="45"/>
        <v>нормальный код</v>
      </c>
      <c r="V340" t="str">
        <f t="shared" si="46"/>
        <v>Вторая четверть</v>
      </c>
      <c r="W340" t="str">
        <f t="shared" si="47"/>
        <v>Вторая четверть</v>
      </c>
      <c r="X340">
        <v>13</v>
      </c>
    </row>
    <row r="341" spans="1:24" x14ac:dyDescent="0.35">
      <c r="A341" s="1" t="s">
        <v>166</v>
      </c>
      <c r="B341" s="2" t="s">
        <v>167</v>
      </c>
      <c r="C341" s="3" t="s">
        <v>13</v>
      </c>
      <c r="D341" s="2" t="s">
        <v>77</v>
      </c>
      <c r="E341" s="3" t="s">
        <v>89</v>
      </c>
      <c r="F341" s="2" t="s">
        <v>34</v>
      </c>
      <c r="G341" s="3" t="s">
        <v>17</v>
      </c>
      <c r="H341" s="2" t="s">
        <v>18</v>
      </c>
      <c r="I341" s="3" t="s">
        <v>19</v>
      </c>
      <c r="J341" s="3">
        <v>12864</v>
      </c>
      <c r="K341" s="3">
        <v>618</v>
      </c>
      <c r="L341" s="3">
        <v>20</v>
      </c>
      <c r="M341" s="4">
        <f t="shared" si="41"/>
        <v>4.8041044776119403E-2</v>
      </c>
      <c r="N341" s="4">
        <f t="shared" si="42"/>
        <v>3.2362459546925564E-2</v>
      </c>
      <c r="O341">
        <v>464</v>
      </c>
      <c r="P341" s="5">
        <v>1</v>
      </c>
      <c r="Q341" s="7">
        <v>1</v>
      </c>
      <c r="R341" t="str">
        <f t="shared" si="48"/>
        <v>нормальный код</v>
      </c>
      <c r="S341" t="str">
        <f t="shared" si="43"/>
        <v>Вторая четверть</v>
      </c>
      <c r="T341" t="str">
        <f t="shared" si="44"/>
        <v>Больше половины</v>
      </c>
      <c r="U341" t="str">
        <f t="shared" si="45"/>
        <v>код для проверки</v>
      </c>
      <c r="V341" t="str">
        <f t="shared" si="46"/>
        <v>Низшая четверть</v>
      </c>
      <c r="W341" t="str">
        <f t="shared" si="47"/>
        <v>Больше половины</v>
      </c>
      <c r="X341">
        <v>7</v>
      </c>
    </row>
    <row r="342" spans="1:24" x14ac:dyDescent="0.35">
      <c r="A342" s="1" t="s">
        <v>892</v>
      </c>
      <c r="B342" s="2" t="s">
        <v>893</v>
      </c>
      <c r="C342" s="3" t="s">
        <v>13</v>
      </c>
      <c r="D342" s="2" t="s">
        <v>32</v>
      </c>
      <c r="E342" s="3" t="s">
        <v>33</v>
      </c>
      <c r="F342" s="2" t="s">
        <v>34</v>
      </c>
      <c r="G342" s="3" t="s">
        <v>17</v>
      </c>
      <c r="H342" s="2" t="s">
        <v>18</v>
      </c>
      <c r="I342" s="3" t="s">
        <v>19</v>
      </c>
      <c r="J342" s="3">
        <v>12860</v>
      </c>
      <c r="K342" s="3">
        <v>1134</v>
      </c>
      <c r="L342" s="3">
        <v>63</v>
      </c>
      <c r="M342" s="4">
        <f t="shared" si="41"/>
        <v>8.8180404354587863E-2</v>
      </c>
      <c r="N342" s="4">
        <f t="shared" si="42"/>
        <v>5.5555555555555552E-2</v>
      </c>
      <c r="O342">
        <v>435</v>
      </c>
      <c r="P342" s="5">
        <v>1</v>
      </c>
      <c r="Q342" s="7">
        <v>1</v>
      </c>
      <c r="R342" t="str">
        <f t="shared" si="48"/>
        <v>нормальный код</v>
      </c>
      <c r="S342" t="str">
        <f t="shared" si="43"/>
        <v>Вторая четверть</v>
      </c>
      <c r="T342" t="str">
        <f t="shared" si="44"/>
        <v>Больше половины</v>
      </c>
      <c r="U342" t="str">
        <f t="shared" si="45"/>
        <v>нормальный код</v>
      </c>
      <c r="V342" t="str">
        <f t="shared" si="46"/>
        <v>Вторая четверть</v>
      </c>
      <c r="W342" t="str">
        <f t="shared" si="47"/>
        <v>Больше половины</v>
      </c>
      <c r="X342">
        <v>10</v>
      </c>
    </row>
    <row r="343" spans="1:24" x14ac:dyDescent="0.35">
      <c r="A343" s="1" t="s">
        <v>284</v>
      </c>
      <c r="B343" s="2" t="s">
        <v>285</v>
      </c>
      <c r="C343" s="3" t="s">
        <v>13</v>
      </c>
      <c r="D343" s="2" t="s">
        <v>69</v>
      </c>
      <c r="E343" s="3" t="s">
        <v>227</v>
      </c>
      <c r="F343" s="2" t="s">
        <v>34</v>
      </c>
      <c r="G343" s="3" t="s">
        <v>72</v>
      </c>
      <c r="H343" s="2" t="s">
        <v>18</v>
      </c>
      <c r="I343" s="3" t="s">
        <v>19</v>
      </c>
      <c r="J343" s="3">
        <v>12815</v>
      </c>
      <c r="K343" s="3">
        <v>831</v>
      </c>
      <c r="L343" s="3">
        <v>10</v>
      </c>
      <c r="M343" s="4">
        <f t="shared" si="41"/>
        <v>6.4845883730003898E-2</v>
      </c>
      <c r="N343" s="4">
        <f t="shared" si="42"/>
        <v>1.2033694344163659E-2</v>
      </c>
      <c r="O343">
        <v>427</v>
      </c>
      <c r="P343" s="5">
        <v>1</v>
      </c>
      <c r="Q343" s="7">
        <v>1</v>
      </c>
      <c r="R343" t="str">
        <f t="shared" si="48"/>
        <v>нормальный код</v>
      </c>
      <c r="S343" t="str">
        <f t="shared" si="43"/>
        <v>Вторая четверть</v>
      </c>
      <c r="T343" t="str">
        <f t="shared" si="44"/>
        <v>Вторая четверть</v>
      </c>
      <c r="U343" t="str">
        <f t="shared" si="45"/>
        <v>нормальный код</v>
      </c>
      <c r="V343" t="str">
        <f t="shared" si="46"/>
        <v>Вторая четверть</v>
      </c>
      <c r="W343" t="str">
        <f t="shared" si="47"/>
        <v>Больше половины</v>
      </c>
      <c r="X343">
        <v>15</v>
      </c>
    </row>
    <row r="344" spans="1:24" x14ac:dyDescent="0.35">
      <c r="A344" s="1" t="s">
        <v>2058</v>
      </c>
      <c r="B344" s="2" t="s">
        <v>2059</v>
      </c>
      <c r="C344" s="3" t="s">
        <v>13</v>
      </c>
      <c r="D344" s="2" t="s">
        <v>77</v>
      </c>
      <c r="E344" s="3" t="s">
        <v>1592</v>
      </c>
      <c r="F344" s="2" t="s">
        <v>96</v>
      </c>
      <c r="G344" s="3" t="s">
        <v>17</v>
      </c>
      <c r="H344" s="2" t="s">
        <v>18</v>
      </c>
      <c r="I344" s="3" t="s">
        <v>19</v>
      </c>
      <c r="J344" s="3">
        <v>12720</v>
      </c>
      <c r="K344" s="3">
        <v>1397</v>
      </c>
      <c r="L344" s="3">
        <v>29</v>
      </c>
      <c r="M344" s="4">
        <f t="shared" si="41"/>
        <v>0.10982704402515724</v>
      </c>
      <c r="N344" s="4">
        <f t="shared" si="42"/>
        <v>2.0758768790264854E-2</v>
      </c>
      <c r="O344">
        <v>1186</v>
      </c>
      <c r="P344" s="5">
        <v>1</v>
      </c>
      <c r="Q344" s="7">
        <v>1</v>
      </c>
      <c r="R344" t="str">
        <f t="shared" si="48"/>
        <v>нормальный код</v>
      </c>
      <c r="S344" t="str">
        <f t="shared" si="43"/>
        <v>Больше половины</v>
      </c>
      <c r="T344" t="str">
        <f t="shared" si="44"/>
        <v>Больше половины</v>
      </c>
      <c r="U344" t="str">
        <f t="shared" si="45"/>
        <v>нормальный код</v>
      </c>
      <c r="V344" t="str">
        <f t="shared" si="46"/>
        <v>Больше половины</v>
      </c>
      <c r="W344" t="str">
        <f t="shared" si="47"/>
        <v>Вторая четверть</v>
      </c>
      <c r="X344">
        <v>19</v>
      </c>
    </row>
    <row r="345" spans="1:24" x14ac:dyDescent="0.35">
      <c r="A345" s="1" t="s">
        <v>194</v>
      </c>
      <c r="B345" s="2" t="s">
        <v>195</v>
      </c>
      <c r="C345" s="3" t="s">
        <v>13</v>
      </c>
      <c r="D345" s="2" t="s">
        <v>32</v>
      </c>
      <c r="E345" s="3" t="s">
        <v>33</v>
      </c>
      <c r="F345" s="2" t="s">
        <v>34</v>
      </c>
      <c r="G345" s="3" t="s">
        <v>35</v>
      </c>
      <c r="H345" s="2" t="s">
        <v>18</v>
      </c>
      <c r="I345" s="3" t="s">
        <v>19</v>
      </c>
      <c r="J345" s="3">
        <v>12686</v>
      </c>
      <c r="K345" s="3">
        <v>676</v>
      </c>
      <c r="L345" s="3">
        <v>26</v>
      </c>
      <c r="M345" s="4">
        <f t="shared" si="41"/>
        <v>5.328708812864575E-2</v>
      </c>
      <c r="N345" s="4">
        <f t="shared" si="42"/>
        <v>3.8461538461538464E-2</v>
      </c>
      <c r="O345">
        <v>124</v>
      </c>
      <c r="P345" s="5">
        <v>0.6</v>
      </c>
      <c r="Q345" s="7">
        <v>1</v>
      </c>
      <c r="R345" t="str">
        <f t="shared" si="48"/>
        <v>нормальный код</v>
      </c>
      <c r="S345" t="str">
        <f t="shared" si="43"/>
        <v>Вторая четверть</v>
      </c>
      <c r="T345" t="str">
        <f t="shared" si="44"/>
        <v>Больше половины</v>
      </c>
      <c r="U345" t="str">
        <f t="shared" si="45"/>
        <v>код для проверки</v>
      </c>
      <c r="V345" t="str">
        <f t="shared" si="46"/>
        <v>Низшая четверть</v>
      </c>
      <c r="W345" t="str">
        <f t="shared" si="47"/>
        <v>Больше половины</v>
      </c>
      <c r="X345">
        <v>16</v>
      </c>
    </row>
    <row r="346" spans="1:24" x14ac:dyDescent="0.35">
      <c r="A346" s="1" t="s">
        <v>1278</v>
      </c>
      <c r="B346" s="2" t="s">
        <v>1279</v>
      </c>
      <c r="C346" s="3" t="s">
        <v>55</v>
      </c>
      <c r="D346" s="2" t="s">
        <v>56</v>
      </c>
      <c r="E346" s="3" t="s">
        <v>472</v>
      </c>
      <c r="F346" s="2" t="s">
        <v>34</v>
      </c>
      <c r="G346" s="3" t="s">
        <v>17</v>
      </c>
      <c r="H346" s="2" t="s">
        <v>18</v>
      </c>
      <c r="I346" s="3" t="s">
        <v>19</v>
      </c>
      <c r="J346" s="3">
        <v>12670</v>
      </c>
      <c r="K346" s="3">
        <v>760</v>
      </c>
      <c r="L346" s="3">
        <v>54</v>
      </c>
      <c r="M346" s="4">
        <f t="shared" si="41"/>
        <v>5.9984214680347279E-2</v>
      </c>
      <c r="N346" s="4">
        <f t="shared" si="42"/>
        <v>7.1052631578947367E-2</v>
      </c>
      <c r="O346">
        <v>293</v>
      </c>
      <c r="P346" s="5">
        <v>1</v>
      </c>
      <c r="Q346" s="7">
        <v>1</v>
      </c>
      <c r="R346" t="str">
        <f t="shared" si="48"/>
        <v>нормальный код</v>
      </c>
      <c r="S346" t="str">
        <f t="shared" si="43"/>
        <v>Вторая четверть</v>
      </c>
      <c r="T346" t="str">
        <f t="shared" si="44"/>
        <v>Больше половины</v>
      </c>
      <c r="U346" t="str">
        <f t="shared" si="45"/>
        <v>нормальный код</v>
      </c>
      <c r="V346" t="str">
        <f t="shared" si="46"/>
        <v>Больше половины</v>
      </c>
      <c r="W346" t="str">
        <f t="shared" si="47"/>
        <v>Больше половины</v>
      </c>
      <c r="X346">
        <v>8</v>
      </c>
    </row>
    <row r="347" spans="1:24" x14ac:dyDescent="0.35">
      <c r="A347" s="1" t="s">
        <v>541</v>
      </c>
      <c r="B347" s="2" t="s">
        <v>542</v>
      </c>
      <c r="C347" s="3" t="s">
        <v>13</v>
      </c>
      <c r="D347" s="2" t="s">
        <v>155</v>
      </c>
      <c r="E347" s="3" t="s">
        <v>156</v>
      </c>
      <c r="F347" s="2" t="s">
        <v>34</v>
      </c>
      <c r="G347" s="3" t="s">
        <v>35</v>
      </c>
      <c r="H347" s="2" t="s">
        <v>18</v>
      </c>
      <c r="I347" s="3" t="s">
        <v>19</v>
      </c>
      <c r="J347" s="3">
        <v>12617</v>
      </c>
      <c r="K347" s="3">
        <v>1559</v>
      </c>
      <c r="L347" s="3">
        <v>18</v>
      </c>
      <c r="M347" s="4">
        <f t="shared" si="41"/>
        <v>0.1235634461440913</v>
      </c>
      <c r="N347" s="4">
        <f t="shared" si="42"/>
        <v>1.1545862732520847E-2</v>
      </c>
      <c r="O347">
        <v>952</v>
      </c>
      <c r="P347" s="5">
        <v>1</v>
      </c>
      <c r="Q347" s="7">
        <v>1</v>
      </c>
      <c r="R347" t="str">
        <f t="shared" si="48"/>
        <v>нормальный код</v>
      </c>
      <c r="S347" t="str">
        <f t="shared" si="43"/>
        <v>Больше половины</v>
      </c>
      <c r="T347" t="str">
        <f t="shared" si="44"/>
        <v>Вторая четверть</v>
      </c>
      <c r="U347" t="str">
        <f t="shared" si="45"/>
        <v>нормальный код</v>
      </c>
      <c r="V347" t="str">
        <f t="shared" si="46"/>
        <v>Больше половины</v>
      </c>
      <c r="W347" t="str">
        <f t="shared" si="47"/>
        <v>Вторая четверть</v>
      </c>
      <c r="X347">
        <v>25</v>
      </c>
    </row>
    <row r="348" spans="1:24" x14ac:dyDescent="0.35">
      <c r="A348" s="1" t="s">
        <v>2226</v>
      </c>
      <c r="B348" s="2" t="s">
        <v>2227</v>
      </c>
      <c r="C348" s="3" t="s">
        <v>13</v>
      </c>
      <c r="D348" s="2" t="s">
        <v>69</v>
      </c>
      <c r="E348" s="3" t="s">
        <v>1511</v>
      </c>
      <c r="F348" s="2" t="s">
        <v>34</v>
      </c>
      <c r="G348" s="3" t="s">
        <v>72</v>
      </c>
      <c r="H348" s="2" t="s">
        <v>18</v>
      </c>
      <c r="I348" s="3" t="s">
        <v>19</v>
      </c>
      <c r="J348" s="3">
        <v>12535</v>
      </c>
      <c r="K348" s="3">
        <v>2408</v>
      </c>
      <c r="L348" s="3">
        <v>98</v>
      </c>
      <c r="M348" s="4">
        <f t="shared" si="41"/>
        <v>0.1921021140805744</v>
      </c>
      <c r="N348" s="4">
        <f t="shared" si="42"/>
        <v>4.0697674418604654E-2</v>
      </c>
      <c r="O348">
        <v>541</v>
      </c>
      <c r="P348" s="5">
        <v>1</v>
      </c>
      <c r="Q348" s="7">
        <v>1</v>
      </c>
      <c r="R348" t="str">
        <f t="shared" si="48"/>
        <v>нормальный код</v>
      </c>
      <c r="S348" t="str">
        <f t="shared" si="43"/>
        <v>Больше половины</v>
      </c>
      <c r="T348" t="str">
        <f t="shared" si="44"/>
        <v>Больше половины</v>
      </c>
      <c r="U348" t="str">
        <f t="shared" si="45"/>
        <v>нормальный код</v>
      </c>
      <c r="V348" t="str">
        <f t="shared" si="46"/>
        <v>Вторая четверть</v>
      </c>
      <c r="W348" t="str">
        <f t="shared" si="47"/>
        <v>Больше половины</v>
      </c>
      <c r="X348">
        <v>14</v>
      </c>
    </row>
    <row r="349" spans="1:24" x14ac:dyDescent="0.35">
      <c r="A349" s="1" t="s">
        <v>836</v>
      </c>
      <c r="B349" s="2" t="s">
        <v>837</v>
      </c>
      <c r="C349" s="3" t="s">
        <v>55</v>
      </c>
      <c r="D349" s="2" t="s">
        <v>56</v>
      </c>
      <c r="E349" s="3" t="s">
        <v>472</v>
      </c>
      <c r="F349" s="2" t="s">
        <v>34</v>
      </c>
      <c r="G349" s="3" t="s">
        <v>17</v>
      </c>
      <c r="H349" s="2" t="s">
        <v>18</v>
      </c>
      <c r="I349" s="3" t="s">
        <v>19</v>
      </c>
      <c r="J349" s="3">
        <v>12507</v>
      </c>
      <c r="K349" s="3">
        <v>1203</v>
      </c>
      <c r="L349" s="3">
        <v>34</v>
      </c>
      <c r="M349" s="4">
        <f t="shared" si="41"/>
        <v>9.6186135763972169E-2</v>
      </c>
      <c r="N349" s="4">
        <f t="shared" si="42"/>
        <v>2.8262676641729011E-2</v>
      </c>
      <c r="O349">
        <v>274</v>
      </c>
      <c r="P349" s="5">
        <v>1</v>
      </c>
      <c r="Q349" s="7">
        <v>1</v>
      </c>
      <c r="R349" t="str">
        <f t="shared" si="48"/>
        <v>нормальный код</v>
      </c>
      <c r="S349" t="str">
        <f t="shared" si="43"/>
        <v>Больше половины</v>
      </c>
      <c r="T349" t="str">
        <f t="shared" si="44"/>
        <v>Больше половины</v>
      </c>
      <c r="U349" t="str">
        <f t="shared" si="45"/>
        <v>нормальный код</v>
      </c>
      <c r="V349" t="str">
        <f t="shared" si="46"/>
        <v>Больше половины</v>
      </c>
      <c r="W349" t="str">
        <f t="shared" si="47"/>
        <v>Вторая четверть</v>
      </c>
      <c r="X349">
        <v>24</v>
      </c>
    </row>
    <row r="350" spans="1:24" x14ac:dyDescent="0.35">
      <c r="A350" s="1" t="s">
        <v>1481</v>
      </c>
      <c r="B350" s="2" t="s">
        <v>1482</v>
      </c>
      <c r="C350" s="3" t="s">
        <v>55</v>
      </c>
      <c r="D350" s="2" t="s">
        <v>295</v>
      </c>
      <c r="E350" s="3" t="s">
        <v>674</v>
      </c>
      <c r="F350" s="2" t="s">
        <v>16</v>
      </c>
      <c r="G350" s="3" t="s">
        <v>17</v>
      </c>
      <c r="H350" s="2" t="s">
        <v>97</v>
      </c>
      <c r="I350" s="3" t="s">
        <v>19</v>
      </c>
      <c r="J350" s="3">
        <v>12444</v>
      </c>
      <c r="K350" s="3">
        <v>3678</v>
      </c>
      <c r="L350" s="3">
        <v>48</v>
      </c>
      <c r="M350" s="4">
        <f t="shared" si="41"/>
        <v>0.29556412729026038</v>
      </c>
      <c r="N350" s="4">
        <f t="shared" si="42"/>
        <v>1.3050570962479609E-2</v>
      </c>
      <c r="O350">
        <v>487</v>
      </c>
      <c r="P350" s="5">
        <v>1</v>
      </c>
      <c r="Q350" s="7">
        <v>1</v>
      </c>
      <c r="R350" t="str">
        <f t="shared" si="48"/>
        <v>нормальный код</v>
      </c>
      <c r="S350" t="str">
        <f t="shared" si="43"/>
        <v>Больше половины</v>
      </c>
      <c r="T350" t="str">
        <f t="shared" si="44"/>
        <v>Вторая четверть</v>
      </c>
      <c r="U350" t="str">
        <f t="shared" si="45"/>
        <v>нормальный код</v>
      </c>
      <c r="V350" t="str">
        <f t="shared" si="46"/>
        <v>Больше половины</v>
      </c>
      <c r="W350" t="str">
        <f t="shared" si="47"/>
        <v>Вторая четверть</v>
      </c>
      <c r="X350">
        <v>9</v>
      </c>
    </row>
    <row r="351" spans="1:24" x14ac:dyDescent="0.35">
      <c r="A351" s="1" t="s">
        <v>483</v>
      </c>
      <c r="B351" s="2" t="s">
        <v>484</v>
      </c>
      <c r="C351" s="3" t="s">
        <v>13</v>
      </c>
      <c r="D351" s="2" t="s">
        <v>164</v>
      </c>
      <c r="E351" s="3" t="s">
        <v>485</v>
      </c>
      <c r="F351" s="2" t="s">
        <v>123</v>
      </c>
      <c r="G351" s="3" t="s">
        <v>35</v>
      </c>
      <c r="H351" s="2" t="s">
        <v>18</v>
      </c>
      <c r="I351" s="3" t="s">
        <v>19</v>
      </c>
      <c r="J351" s="3">
        <v>12303</v>
      </c>
      <c r="K351" s="3">
        <v>647</v>
      </c>
      <c r="L351" s="3">
        <v>12</v>
      </c>
      <c r="M351" s="4">
        <f t="shared" si="41"/>
        <v>5.2588799479801676E-2</v>
      </c>
      <c r="N351" s="4">
        <f t="shared" si="42"/>
        <v>1.8547140649149921E-2</v>
      </c>
      <c r="O351">
        <v>99</v>
      </c>
      <c r="P351" s="5">
        <v>1</v>
      </c>
      <c r="Q351" s="7">
        <v>1</v>
      </c>
      <c r="R351" t="str">
        <f t="shared" si="48"/>
        <v>нормальный код</v>
      </c>
      <c r="S351" t="str">
        <f t="shared" si="43"/>
        <v>Вторая четверть</v>
      </c>
      <c r="T351" t="str">
        <f t="shared" si="44"/>
        <v>Вторая четверть</v>
      </c>
      <c r="U351" t="str">
        <f t="shared" si="45"/>
        <v>нормальный код</v>
      </c>
      <c r="V351" t="str">
        <f t="shared" si="46"/>
        <v>Вторая четверть</v>
      </c>
      <c r="W351" t="str">
        <f t="shared" si="47"/>
        <v>Вторая четверть</v>
      </c>
      <c r="X351">
        <v>20</v>
      </c>
    </row>
    <row r="352" spans="1:24" x14ac:dyDescent="0.35">
      <c r="A352" s="1" t="s">
        <v>2032</v>
      </c>
      <c r="B352" s="2" t="s">
        <v>2033</v>
      </c>
      <c r="C352" s="3" t="s">
        <v>13</v>
      </c>
      <c r="D352" s="2" t="s">
        <v>69</v>
      </c>
      <c r="E352" s="3" t="s">
        <v>204</v>
      </c>
      <c r="F352" s="2" t="s">
        <v>34</v>
      </c>
      <c r="G352" s="3" t="s">
        <v>72</v>
      </c>
      <c r="H352" s="2" t="s">
        <v>18</v>
      </c>
      <c r="I352" s="3" t="s">
        <v>19</v>
      </c>
      <c r="J352" s="3">
        <v>12299</v>
      </c>
      <c r="K352" s="3">
        <v>1880</v>
      </c>
      <c r="L352" s="3">
        <v>43</v>
      </c>
      <c r="M352" s="4">
        <f t="shared" si="41"/>
        <v>0.15285795593137652</v>
      </c>
      <c r="N352" s="4">
        <f t="shared" si="42"/>
        <v>2.2872340425531913E-2</v>
      </c>
      <c r="O352">
        <v>470</v>
      </c>
      <c r="P352" s="5">
        <v>1</v>
      </c>
      <c r="Q352" s="7">
        <v>1</v>
      </c>
      <c r="R352" t="str">
        <f t="shared" si="48"/>
        <v>нормальный код</v>
      </c>
      <c r="S352" t="str">
        <f t="shared" si="43"/>
        <v>Больше половины</v>
      </c>
      <c r="T352" t="str">
        <f t="shared" si="44"/>
        <v>Больше половины</v>
      </c>
      <c r="U352" t="str">
        <f t="shared" si="45"/>
        <v>нормальный код</v>
      </c>
      <c r="V352" t="str">
        <f t="shared" si="46"/>
        <v>Больше половины</v>
      </c>
      <c r="W352" t="str">
        <f t="shared" si="47"/>
        <v>Больше половины</v>
      </c>
      <c r="X352">
        <v>23</v>
      </c>
    </row>
    <row r="353" spans="1:24" x14ac:dyDescent="0.35">
      <c r="A353" s="1" t="s">
        <v>1459</v>
      </c>
      <c r="B353" s="2" t="s">
        <v>1460</v>
      </c>
      <c r="C353" s="3" t="s">
        <v>55</v>
      </c>
      <c r="D353" s="2" t="s">
        <v>340</v>
      </c>
      <c r="E353" s="3" t="s">
        <v>341</v>
      </c>
      <c r="F353" s="2" t="s">
        <v>96</v>
      </c>
      <c r="G353" s="3" t="s">
        <v>17</v>
      </c>
      <c r="H353" s="2" t="s">
        <v>97</v>
      </c>
      <c r="I353" s="3" t="s">
        <v>19</v>
      </c>
      <c r="J353" s="3">
        <v>12269</v>
      </c>
      <c r="K353" s="3">
        <v>1983</v>
      </c>
      <c r="L353" s="3">
        <v>17</v>
      </c>
      <c r="M353" s="4">
        <f t="shared" si="41"/>
        <v>0.16162686445513083</v>
      </c>
      <c r="N353" s="4">
        <f t="shared" si="42"/>
        <v>8.5728693898134145E-3</v>
      </c>
      <c r="O353">
        <v>644</v>
      </c>
      <c r="P353" s="5">
        <v>1</v>
      </c>
      <c r="Q353" s="7">
        <v>1</v>
      </c>
      <c r="R353" t="str">
        <f t="shared" si="48"/>
        <v>код для проверки</v>
      </c>
      <c r="S353" t="str">
        <f t="shared" si="43"/>
        <v>Больше половины</v>
      </c>
      <c r="T353" t="str">
        <f t="shared" si="44"/>
        <v>Низшая четверть</v>
      </c>
      <c r="U353" t="str">
        <f t="shared" si="45"/>
        <v>нормальный код</v>
      </c>
      <c r="V353" t="str">
        <f t="shared" si="46"/>
        <v>Больше половины</v>
      </c>
      <c r="W353" t="str">
        <f t="shared" si="47"/>
        <v>Вторая четверть</v>
      </c>
      <c r="X353">
        <v>13</v>
      </c>
    </row>
    <row r="354" spans="1:24" x14ac:dyDescent="0.35">
      <c r="A354" s="1" t="s">
        <v>1374</v>
      </c>
      <c r="B354" s="2" t="s">
        <v>1375</v>
      </c>
      <c r="C354" s="3" t="s">
        <v>13</v>
      </c>
      <c r="D354" s="2" t="s">
        <v>630</v>
      </c>
      <c r="E354" s="3" t="s">
        <v>685</v>
      </c>
      <c r="F354" s="2" t="s">
        <v>61</v>
      </c>
      <c r="G354" s="3" t="s">
        <v>17</v>
      </c>
      <c r="H354" s="2" t="s">
        <v>97</v>
      </c>
      <c r="I354" s="3" t="s">
        <v>19</v>
      </c>
      <c r="J354" s="3">
        <v>12195</v>
      </c>
      <c r="K354" s="3">
        <v>747</v>
      </c>
      <c r="L354" s="3">
        <v>23</v>
      </c>
      <c r="M354" s="4">
        <f t="shared" si="41"/>
        <v>6.1254612546125464E-2</v>
      </c>
      <c r="N354" s="4">
        <f t="shared" si="42"/>
        <v>3.0789825970548863E-2</v>
      </c>
      <c r="O354">
        <v>481</v>
      </c>
      <c r="P354" s="5">
        <v>1</v>
      </c>
      <c r="Q354" s="7">
        <v>1</v>
      </c>
      <c r="R354" t="str">
        <f t="shared" si="48"/>
        <v>нормальный код</v>
      </c>
      <c r="S354" t="str">
        <f t="shared" si="43"/>
        <v>Вторая четверть</v>
      </c>
      <c r="T354" t="str">
        <f t="shared" si="44"/>
        <v>Больше половины</v>
      </c>
      <c r="U354" t="str">
        <f t="shared" si="45"/>
        <v>нормальный код</v>
      </c>
      <c r="V354" t="str">
        <f t="shared" si="46"/>
        <v>Вторая четверть</v>
      </c>
      <c r="W354" t="str">
        <f t="shared" si="47"/>
        <v>Больше половины</v>
      </c>
      <c r="X354">
        <v>9</v>
      </c>
    </row>
    <row r="355" spans="1:24" x14ac:dyDescent="0.35">
      <c r="A355" s="1" t="s">
        <v>425</v>
      </c>
      <c r="B355" s="2" t="s">
        <v>426</v>
      </c>
      <c r="C355" s="3" t="s">
        <v>13</v>
      </c>
      <c r="D355" s="2" t="s">
        <v>77</v>
      </c>
      <c r="E355" s="3" t="s">
        <v>427</v>
      </c>
      <c r="F355" s="2" t="s">
        <v>71</v>
      </c>
      <c r="G355" s="3" t="s">
        <v>35</v>
      </c>
      <c r="H355" s="2" t="s">
        <v>18</v>
      </c>
      <c r="I355" s="3" t="s">
        <v>19</v>
      </c>
      <c r="J355" s="3">
        <v>12184</v>
      </c>
      <c r="K355" s="3">
        <v>918</v>
      </c>
      <c r="L355" s="3">
        <v>14</v>
      </c>
      <c r="M355" s="4">
        <f t="shared" si="41"/>
        <v>7.5344714379514122E-2</v>
      </c>
      <c r="N355" s="4">
        <f t="shared" si="42"/>
        <v>1.5250544662309368E-2</v>
      </c>
      <c r="O355">
        <v>65</v>
      </c>
      <c r="P355" s="5">
        <v>1</v>
      </c>
      <c r="Q355" s="7">
        <v>1</v>
      </c>
      <c r="R355" t="str">
        <f t="shared" si="48"/>
        <v>нормальный код</v>
      </c>
      <c r="S355" t="str">
        <f t="shared" si="43"/>
        <v>Вторая четверть</v>
      </c>
      <c r="T355" t="str">
        <f t="shared" si="44"/>
        <v>Вторая четверть</v>
      </c>
      <c r="U355" t="str">
        <f t="shared" si="45"/>
        <v>нормальный код</v>
      </c>
      <c r="V355" t="str">
        <f t="shared" si="46"/>
        <v>Вторая четверть</v>
      </c>
      <c r="W355" t="str">
        <f t="shared" si="47"/>
        <v>Больше половины</v>
      </c>
      <c r="X355">
        <v>19</v>
      </c>
    </row>
    <row r="356" spans="1:24" x14ac:dyDescent="0.35">
      <c r="A356" s="1" t="s">
        <v>1929</v>
      </c>
      <c r="B356" s="2" t="s">
        <v>1930</v>
      </c>
      <c r="C356" s="3" t="s">
        <v>13</v>
      </c>
      <c r="D356" s="2" t="s">
        <v>69</v>
      </c>
      <c r="E356" s="3" t="s">
        <v>290</v>
      </c>
      <c r="F356" s="2" t="s">
        <v>34</v>
      </c>
      <c r="G356" s="3" t="s">
        <v>72</v>
      </c>
      <c r="H356" s="2" t="s">
        <v>18</v>
      </c>
      <c r="I356" s="3" t="s">
        <v>19</v>
      </c>
      <c r="J356" s="3">
        <v>12170</v>
      </c>
      <c r="K356" s="3">
        <v>1517</v>
      </c>
      <c r="L356" s="3">
        <v>20</v>
      </c>
      <c r="M356" s="4">
        <f t="shared" si="41"/>
        <v>0.12465078060805258</v>
      </c>
      <c r="N356" s="4">
        <f t="shared" si="42"/>
        <v>1.3183915622940013E-2</v>
      </c>
      <c r="O356">
        <v>107</v>
      </c>
      <c r="P356" s="5">
        <v>1</v>
      </c>
      <c r="Q356" s="7">
        <v>1</v>
      </c>
      <c r="R356" t="str">
        <f t="shared" si="48"/>
        <v>нормальный код</v>
      </c>
      <c r="S356" t="str">
        <f t="shared" si="43"/>
        <v>Больше половины</v>
      </c>
      <c r="T356" t="str">
        <f t="shared" si="44"/>
        <v>Вторая четверть</v>
      </c>
      <c r="U356" t="str">
        <f t="shared" si="45"/>
        <v>нормальный код</v>
      </c>
      <c r="V356" t="str">
        <f t="shared" si="46"/>
        <v>Больше половины</v>
      </c>
      <c r="W356" t="str">
        <f t="shared" si="47"/>
        <v>Вторая четверть</v>
      </c>
      <c r="X356">
        <v>12</v>
      </c>
    </row>
    <row r="357" spans="1:24" x14ac:dyDescent="0.35">
      <c r="A357" s="1" t="s">
        <v>157</v>
      </c>
      <c r="B357" s="2" t="s">
        <v>158</v>
      </c>
      <c r="C357" s="3" t="s">
        <v>13</v>
      </c>
      <c r="D357" s="2" t="s">
        <v>69</v>
      </c>
      <c r="E357" s="3" t="s">
        <v>159</v>
      </c>
      <c r="F357" s="2" t="s">
        <v>34</v>
      </c>
      <c r="G357" s="3" t="s">
        <v>72</v>
      </c>
      <c r="H357" s="2" t="s">
        <v>18</v>
      </c>
      <c r="I357" s="3" t="s">
        <v>19</v>
      </c>
      <c r="J357" s="3">
        <v>12052</v>
      </c>
      <c r="K357" s="3">
        <v>1141</v>
      </c>
      <c r="L357" s="3">
        <v>14</v>
      </c>
      <c r="M357" s="4">
        <f t="shared" si="41"/>
        <v>9.4673083305675407E-2</v>
      </c>
      <c r="N357" s="4">
        <f t="shared" si="42"/>
        <v>1.2269938650306749E-2</v>
      </c>
      <c r="O357">
        <v>397</v>
      </c>
      <c r="P357" s="5">
        <v>1</v>
      </c>
      <c r="Q357" s="7">
        <v>1</v>
      </c>
      <c r="R357" t="str">
        <f t="shared" si="48"/>
        <v>нормальный код</v>
      </c>
      <c r="S357" t="str">
        <f t="shared" si="43"/>
        <v>Вторая четверть</v>
      </c>
      <c r="T357" t="str">
        <f t="shared" si="44"/>
        <v>Вторая четверть</v>
      </c>
      <c r="U357" t="str">
        <f t="shared" si="45"/>
        <v>код для проверки</v>
      </c>
      <c r="V357" t="str">
        <f t="shared" si="46"/>
        <v>Больше половины</v>
      </c>
      <c r="W357" t="str">
        <f t="shared" si="47"/>
        <v>Низшая четверть</v>
      </c>
      <c r="X357">
        <v>7</v>
      </c>
    </row>
    <row r="358" spans="1:24" x14ac:dyDescent="0.35">
      <c r="A358" s="1" t="s">
        <v>638</v>
      </c>
      <c r="B358" s="2" t="s">
        <v>639</v>
      </c>
      <c r="C358" s="3" t="s">
        <v>13</v>
      </c>
      <c r="D358" s="2" t="s">
        <v>69</v>
      </c>
      <c r="E358" s="3" t="s">
        <v>70</v>
      </c>
      <c r="F358" s="2" t="s">
        <v>71</v>
      </c>
      <c r="G358" s="3" t="s">
        <v>72</v>
      </c>
      <c r="H358" s="2" t="s">
        <v>18</v>
      </c>
      <c r="I358" s="3" t="s">
        <v>19</v>
      </c>
      <c r="J358" s="3">
        <v>12047</v>
      </c>
      <c r="K358" s="3">
        <v>1247</v>
      </c>
      <c r="L358" s="3">
        <v>20</v>
      </c>
      <c r="M358" s="4">
        <f t="shared" si="41"/>
        <v>0.10351124761351374</v>
      </c>
      <c r="N358" s="4">
        <f t="shared" si="42"/>
        <v>1.6038492381716118E-2</v>
      </c>
      <c r="O358">
        <v>126</v>
      </c>
      <c r="P358" s="5">
        <v>1</v>
      </c>
      <c r="Q358" s="7">
        <v>1</v>
      </c>
      <c r="R358" t="str">
        <f t="shared" si="48"/>
        <v>нормальный код</v>
      </c>
      <c r="S358" t="str">
        <f t="shared" si="43"/>
        <v>Больше половины</v>
      </c>
      <c r="T358" t="str">
        <f t="shared" si="44"/>
        <v>Вторая четверть</v>
      </c>
      <c r="U358" t="str">
        <f t="shared" si="45"/>
        <v>нормальный код</v>
      </c>
      <c r="V358" t="str">
        <f t="shared" si="46"/>
        <v>Вторая четверть</v>
      </c>
      <c r="W358" t="str">
        <f t="shared" si="47"/>
        <v>Больше половины</v>
      </c>
      <c r="X358">
        <v>16</v>
      </c>
    </row>
    <row r="359" spans="1:24" x14ac:dyDescent="0.35">
      <c r="A359" s="1" t="s">
        <v>1872</v>
      </c>
      <c r="B359" s="2" t="s">
        <v>1873</v>
      </c>
      <c r="C359" s="3" t="s">
        <v>55</v>
      </c>
      <c r="D359" s="2" t="s">
        <v>1874</v>
      </c>
      <c r="E359" s="3" t="s">
        <v>1875</v>
      </c>
      <c r="F359" s="2" t="s">
        <v>34</v>
      </c>
      <c r="G359" s="3" t="s">
        <v>17</v>
      </c>
      <c r="H359" s="2" t="s">
        <v>97</v>
      </c>
      <c r="I359" s="3" t="s">
        <v>19</v>
      </c>
      <c r="J359" s="3">
        <v>11981</v>
      </c>
      <c r="K359" s="3">
        <v>297</v>
      </c>
      <c r="L359" s="3">
        <v>3</v>
      </c>
      <c r="M359" s="4">
        <f t="shared" si="41"/>
        <v>2.4789249645271679E-2</v>
      </c>
      <c r="N359" s="4">
        <f t="shared" si="42"/>
        <v>1.0101010101010102E-2</v>
      </c>
      <c r="O359">
        <v>1396</v>
      </c>
      <c r="P359" s="5">
        <v>0.8</v>
      </c>
      <c r="Q359" s="7">
        <v>1</v>
      </c>
      <c r="R359" t="str">
        <f t="shared" si="48"/>
        <v>код для проверки</v>
      </c>
      <c r="S359" t="str">
        <f t="shared" si="43"/>
        <v>Низшая четверть</v>
      </c>
      <c r="T359" t="str">
        <f t="shared" si="44"/>
        <v>Низшая четверть</v>
      </c>
      <c r="U359" t="str">
        <f t="shared" si="45"/>
        <v>нормальный код</v>
      </c>
      <c r="V359" t="str">
        <f t="shared" si="46"/>
        <v>Вторая четверть</v>
      </c>
      <c r="W359" t="str">
        <f t="shared" si="47"/>
        <v>Больше половины</v>
      </c>
      <c r="X359">
        <v>13</v>
      </c>
    </row>
    <row r="360" spans="1:24" x14ac:dyDescent="0.35">
      <c r="A360" s="1" t="s">
        <v>1143</v>
      </c>
      <c r="B360" s="2" t="s">
        <v>1144</v>
      </c>
      <c r="C360" s="3" t="s">
        <v>55</v>
      </c>
      <c r="D360" s="2" t="s">
        <v>340</v>
      </c>
      <c r="E360" s="3" t="s">
        <v>341</v>
      </c>
      <c r="F360" s="2" t="s">
        <v>96</v>
      </c>
      <c r="G360" s="3" t="s">
        <v>17</v>
      </c>
      <c r="H360" s="2" t="s">
        <v>97</v>
      </c>
      <c r="I360" s="3" t="s">
        <v>19</v>
      </c>
      <c r="J360" s="3">
        <v>11853</v>
      </c>
      <c r="K360" s="3">
        <v>2348</v>
      </c>
      <c r="L360" s="3">
        <v>31</v>
      </c>
      <c r="M360" s="4">
        <f t="shared" si="41"/>
        <v>0.19809330971062178</v>
      </c>
      <c r="N360" s="4">
        <f t="shared" si="42"/>
        <v>1.3202725724020443E-2</v>
      </c>
      <c r="O360">
        <v>1360</v>
      </c>
      <c r="P360" s="5">
        <v>1</v>
      </c>
      <c r="Q360" s="7">
        <v>1</v>
      </c>
      <c r="R360" t="str">
        <f t="shared" si="48"/>
        <v>нормальный код</v>
      </c>
      <c r="S360" t="str">
        <f t="shared" si="43"/>
        <v>Больше половины</v>
      </c>
      <c r="T360" t="str">
        <f t="shared" si="44"/>
        <v>Вторая четверть</v>
      </c>
      <c r="U360" t="str">
        <f t="shared" si="45"/>
        <v>нормальный код</v>
      </c>
      <c r="V360" t="str">
        <f t="shared" si="46"/>
        <v>Больше половины</v>
      </c>
      <c r="W360" t="str">
        <f t="shared" si="47"/>
        <v>Вторая четверть</v>
      </c>
      <c r="X360">
        <v>13</v>
      </c>
    </row>
    <row r="361" spans="1:24" x14ac:dyDescent="0.35">
      <c r="A361" s="1" t="s">
        <v>305</v>
      </c>
      <c r="B361" s="2" t="s">
        <v>306</v>
      </c>
      <c r="C361" s="3" t="s">
        <v>13</v>
      </c>
      <c r="D361" s="2" t="s">
        <v>164</v>
      </c>
      <c r="E361" s="3" t="s">
        <v>256</v>
      </c>
      <c r="F361" s="2" t="s">
        <v>123</v>
      </c>
      <c r="G361" s="3" t="s">
        <v>35</v>
      </c>
      <c r="H361" s="2" t="s">
        <v>18</v>
      </c>
      <c r="I361" s="3" t="s">
        <v>19</v>
      </c>
      <c r="J361" s="3">
        <v>11852</v>
      </c>
      <c r="K361" s="3">
        <v>792</v>
      </c>
      <c r="L361" s="3">
        <v>10</v>
      </c>
      <c r="M361" s="4">
        <f t="shared" si="41"/>
        <v>6.682416469794128E-2</v>
      </c>
      <c r="N361" s="4">
        <f t="shared" si="42"/>
        <v>1.2626262626262626E-2</v>
      </c>
      <c r="O361">
        <v>172</v>
      </c>
      <c r="P361" s="5">
        <v>1</v>
      </c>
      <c r="Q361" s="7">
        <v>1</v>
      </c>
      <c r="R361" t="str">
        <f t="shared" si="48"/>
        <v>нормальный код</v>
      </c>
      <c r="S361" t="str">
        <f t="shared" si="43"/>
        <v>Вторая четверть</v>
      </c>
      <c r="T361" t="str">
        <f t="shared" si="44"/>
        <v>Вторая четверть</v>
      </c>
      <c r="U361" t="str">
        <f t="shared" si="45"/>
        <v>нормальный код</v>
      </c>
      <c r="V361" t="str">
        <f t="shared" si="46"/>
        <v>Вторая четверть</v>
      </c>
      <c r="W361" t="str">
        <f t="shared" si="47"/>
        <v>Вторая четверть</v>
      </c>
      <c r="X361">
        <v>18</v>
      </c>
    </row>
    <row r="362" spans="1:24" x14ac:dyDescent="0.35">
      <c r="A362" s="1" t="s">
        <v>511</v>
      </c>
      <c r="B362" s="2" t="s">
        <v>512</v>
      </c>
      <c r="C362" s="3" t="s">
        <v>13</v>
      </c>
      <c r="D362" s="2" t="s">
        <v>69</v>
      </c>
      <c r="E362" s="3" t="s">
        <v>311</v>
      </c>
      <c r="F362" s="2" t="s">
        <v>34</v>
      </c>
      <c r="G362" s="3" t="s">
        <v>72</v>
      </c>
      <c r="H362" s="2" t="s">
        <v>18</v>
      </c>
      <c r="I362" s="3" t="s">
        <v>19</v>
      </c>
      <c r="J362" s="3">
        <v>11846</v>
      </c>
      <c r="K362" s="3">
        <v>941</v>
      </c>
      <c r="L362" s="3">
        <v>15</v>
      </c>
      <c r="M362" s="4">
        <f t="shared" si="41"/>
        <v>7.943609657268276E-2</v>
      </c>
      <c r="N362" s="4">
        <f t="shared" si="42"/>
        <v>1.5940488841657812E-2</v>
      </c>
      <c r="O362">
        <v>273</v>
      </c>
      <c r="P362" s="5">
        <v>0.83333333333333337</v>
      </c>
      <c r="Q362" s="7">
        <v>1</v>
      </c>
      <c r="R362" t="str">
        <f t="shared" si="48"/>
        <v>нормальный код</v>
      </c>
      <c r="S362" t="str">
        <f t="shared" si="43"/>
        <v>Вторая четверть</v>
      </c>
      <c r="T362" t="str">
        <f t="shared" si="44"/>
        <v>Вторая четверть</v>
      </c>
      <c r="U362" t="str">
        <f t="shared" si="45"/>
        <v>нормальный код</v>
      </c>
      <c r="V362" t="str">
        <f t="shared" si="46"/>
        <v>Больше половины</v>
      </c>
      <c r="W362" t="str">
        <f t="shared" si="47"/>
        <v>Вторая четверть</v>
      </c>
      <c r="X362">
        <v>14</v>
      </c>
    </row>
    <row r="363" spans="1:24" x14ac:dyDescent="0.35">
      <c r="A363" s="1" t="s">
        <v>67</v>
      </c>
      <c r="B363" s="2" t="s">
        <v>68</v>
      </c>
      <c r="C363" s="3" t="s">
        <v>13</v>
      </c>
      <c r="D363" s="2" t="s">
        <v>69</v>
      </c>
      <c r="E363" s="3" t="s">
        <v>70</v>
      </c>
      <c r="F363" s="2" t="s">
        <v>71</v>
      </c>
      <c r="G363" s="3" t="s">
        <v>72</v>
      </c>
      <c r="H363" s="2" t="s">
        <v>18</v>
      </c>
      <c r="I363" s="3" t="s">
        <v>19</v>
      </c>
      <c r="J363" s="3">
        <v>11530</v>
      </c>
      <c r="K363" s="3">
        <v>2486</v>
      </c>
      <c r="L363" s="3">
        <v>14</v>
      </c>
      <c r="M363" s="4">
        <f t="shared" si="41"/>
        <v>0.21561144839549001</v>
      </c>
      <c r="N363" s="4">
        <f t="shared" si="42"/>
        <v>5.6315366049879325E-3</v>
      </c>
      <c r="O363">
        <v>352</v>
      </c>
      <c r="P363" s="5">
        <v>1</v>
      </c>
      <c r="Q363" s="7">
        <v>1</v>
      </c>
      <c r="R363" t="str">
        <f t="shared" si="48"/>
        <v>код для проверки</v>
      </c>
      <c r="S363" t="str">
        <f t="shared" si="43"/>
        <v>Больше половины</v>
      </c>
      <c r="T363" t="str">
        <f t="shared" si="44"/>
        <v>Низшая четверть</v>
      </c>
      <c r="U363" t="str">
        <f t="shared" si="45"/>
        <v>нормальный код</v>
      </c>
      <c r="V363" t="str">
        <f t="shared" si="46"/>
        <v>Больше половины</v>
      </c>
      <c r="W363" t="str">
        <f t="shared" si="47"/>
        <v>Вторая четверть</v>
      </c>
      <c r="X363">
        <v>17</v>
      </c>
    </row>
    <row r="364" spans="1:24" x14ac:dyDescent="0.35">
      <c r="A364" s="1" t="s">
        <v>888</v>
      </c>
      <c r="B364" s="2" t="s">
        <v>889</v>
      </c>
      <c r="C364" s="3" t="s">
        <v>55</v>
      </c>
      <c r="D364" s="2" t="s">
        <v>340</v>
      </c>
      <c r="E364" s="3" t="s">
        <v>341</v>
      </c>
      <c r="F364" s="2" t="s">
        <v>96</v>
      </c>
      <c r="G364" s="3" t="s">
        <v>17</v>
      </c>
      <c r="H364" s="2" t="s">
        <v>97</v>
      </c>
      <c r="I364" s="3" t="s">
        <v>19</v>
      </c>
      <c r="J364" s="3">
        <v>11507</v>
      </c>
      <c r="K364" s="3">
        <v>2669</v>
      </c>
      <c r="L364" s="3">
        <v>23</v>
      </c>
      <c r="M364" s="4">
        <f t="shared" si="41"/>
        <v>0.23194577213869819</v>
      </c>
      <c r="N364" s="4">
        <f t="shared" si="42"/>
        <v>8.6174597227426011E-3</v>
      </c>
      <c r="O364">
        <v>811</v>
      </c>
      <c r="P364" s="5">
        <v>1</v>
      </c>
      <c r="Q364" s="7">
        <v>1</v>
      </c>
      <c r="R364" t="str">
        <f t="shared" si="48"/>
        <v>код для проверки</v>
      </c>
      <c r="S364" t="str">
        <f t="shared" si="43"/>
        <v>Больше половины</v>
      </c>
      <c r="T364" t="str">
        <f t="shared" si="44"/>
        <v>Низшая четверть</v>
      </c>
      <c r="U364" t="str">
        <f t="shared" si="45"/>
        <v>нормальный код</v>
      </c>
      <c r="V364" t="str">
        <f t="shared" si="46"/>
        <v>Больше половины</v>
      </c>
      <c r="W364" t="str">
        <f t="shared" si="47"/>
        <v>Вторая четверть</v>
      </c>
      <c r="X364">
        <v>14</v>
      </c>
    </row>
    <row r="365" spans="1:24" x14ac:dyDescent="0.35">
      <c r="A365" s="1" t="s">
        <v>876</v>
      </c>
      <c r="B365" s="2" t="s">
        <v>877</v>
      </c>
      <c r="C365" s="3" t="s">
        <v>13</v>
      </c>
      <c r="D365" s="2" t="s">
        <v>32</v>
      </c>
      <c r="E365" s="3" t="s">
        <v>33</v>
      </c>
      <c r="F365" s="2" t="s">
        <v>34</v>
      </c>
      <c r="G365" s="3" t="s">
        <v>35</v>
      </c>
      <c r="H365" s="2" t="s">
        <v>18</v>
      </c>
      <c r="I365" s="3" t="s">
        <v>19</v>
      </c>
      <c r="J365" s="3">
        <v>11473</v>
      </c>
      <c r="K365" s="3">
        <v>1639</v>
      </c>
      <c r="L365" s="3">
        <v>39</v>
      </c>
      <c r="M365" s="4">
        <f t="shared" si="41"/>
        <v>0.14285714285714285</v>
      </c>
      <c r="N365" s="4">
        <f t="shared" si="42"/>
        <v>2.3794996949359364E-2</v>
      </c>
      <c r="O365">
        <v>450</v>
      </c>
      <c r="P365" s="5">
        <v>1</v>
      </c>
      <c r="Q365" s="7">
        <v>1</v>
      </c>
      <c r="R365" t="str">
        <f t="shared" si="48"/>
        <v>нормальный код</v>
      </c>
      <c r="S365" t="str">
        <f t="shared" si="43"/>
        <v>Больше половины</v>
      </c>
      <c r="T365" t="str">
        <f t="shared" si="44"/>
        <v>Больше половины</v>
      </c>
      <c r="U365" t="str">
        <f t="shared" si="45"/>
        <v>нормальный код</v>
      </c>
      <c r="V365" t="str">
        <f t="shared" si="46"/>
        <v>Больше половины</v>
      </c>
      <c r="W365" t="str">
        <f t="shared" si="47"/>
        <v>Вторая четверть</v>
      </c>
      <c r="X365">
        <v>13</v>
      </c>
    </row>
    <row r="366" spans="1:24" x14ac:dyDescent="0.35">
      <c r="A366" s="1" t="s">
        <v>921</v>
      </c>
      <c r="B366" s="2" t="s">
        <v>922</v>
      </c>
      <c r="C366" s="3" t="s">
        <v>13</v>
      </c>
      <c r="D366" s="2" t="s">
        <v>69</v>
      </c>
      <c r="E366" s="3" t="s">
        <v>923</v>
      </c>
      <c r="F366" s="2" t="s">
        <v>34</v>
      </c>
      <c r="G366" s="3" t="s">
        <v>72</v>
      </c>
      <c r="H366" s="2" t="s">
        <v>18</v>
      </c>
      <c r="I366" s="3" t="s">
        <v>19</v>
      </c>
      <c r="J366" s="3">
        <v>11381</v>
      </c>
      <c r="K366" s="3">
        <v>832</v>
      </c>
      <c r="L366" s="3">
        <v>6</v>
      </c>
      <c r="M366" s="4">
        <f t="shared" si="41"/>
        <v>7.3104296634742119E-2</v>
      </c>
      <c r="N366" s="4">
        <f t="shared" si="42"/>
        <v>7.2115384615384619E-3</v>
      </c>
      <c r="O366">
        <v>586</v>
      </c>
      <c r="P366" s="5">
        <v>1</v>
      </c>
      <c r="Q366" s="7">
        <v>1</v>
      </c>
      <c r="R366" t="str">
        <f t="shared" si="48"/>
        <v>код для проверки</v>
      </c>
      <c r="S366" t="str">
        <f t="shared" si="43"/>
        <v>Вторая четверть</v>
      </c>
      <c r="T366" t="str">
        <f t="shared" si="44"/>
        <v>Низшая четверть</v>
      </c>
      <c r="U366" t="str">
        <f t="shared" si="45"/>
        <v>нормальный код</v>
      </c>
      <c r="V366" t="str">
        <f t="shared" si="46"/>
        <v>Больше половины</v>
      </c>
      <c r="W366" t="str">
        <f t="shared" si="47"/>
        <v>Больше половины</v>
      </c>
      <c r="X366">
        <v>10</v>
      </c>
    </row>
    <row r="367" spans="1:24" x14ac:dyDescent="0.35">
      <c r="A367" s="1" t="s">
        <v>1862</v>
      </c>
      <c r="B367" s="2" t="s">
        <v>1863</v>
      </c>
      <c r="C367" s="3" t="s">
        <v>55</v>
      </c>
      <c r="D367" s="2" t="s">
        <v>295</v>
      </c>
      <c r="E367" s="3" t="s">
        <v>1373</v>
      </c>
      <c r="F367" s="2" t="s">
        <v>71</v>
      </c>
      <c r="G367" s="3" t="s">
        <v>17</v>
      </c>
      <c r="H367" s="2" t="s">
        <v>97</v>
      </c>
      <c r="I367" s="3" t="s">
        <v>19</v>
      </c>
      <c r="J367" s="3">
        <v>11331</v>
      </c>
      <c r="K367" s="3">
        <v>735</v>
      </c>
      <c r="L367" s="3">
        <v>16</v>
      </c>
      <c r="M367" s="4">
        <f t="shared" si="41"/>
        <v>6.4866296002118087E-2</v>
      </c>
      <c r="N367" s="4">
        <f t="shared" si="42"/>
        <v>2.1768707482993196E-2</v>
      </c>
      <c r="O367">
        <v>217</v>
      </c>
      <c r="P367" s="5">
        <v>1</v>
      </c>
      <c r="Q367" s="7">
        <v>1</v>
      </c>
      <c r="R367" t="str">
        <f t="shared" si="48"/>
        <v>нормальный код</v>
      </c>
      <c r="S367" t="str">
        <f t="shared" si="43"/>
        <v>Вторая четверть</v>
      </c>
      <c r="T367" t="str">
        <f t="shared" si="44"/>
        <v>Больше половины</v>
      </c>
      <c r="U367" t="str">
        <f t="shared" si="45"/>
        <v>нормальный код</v>
      </c>
      <c r="V367" t="str">
        <f t="shared" si="46"/>
        <v>Вторая четверть</v>
      </c>
      <c r="W367" t="str">
        <f t="shared" si="47"/>
        <v>Больше половины</v>
      </c>
      <c r="X367">
        <v>9</v>
      </c>
    </row>
    <row r="368" spans="1:24" x14ac:dyDescent="0.35">
      <c r="A368" s="1" t="s">
        <v>1896</v>
      </c>
      <c r="B368" s="2" t="s">
        <v>1897</v>
      </c>
      <c r="C368" s="3" t="s">
        <v>55</v>
      </c>
      <c r="D368" s="2" t="s">
        <v>1874</v>
      </c>
      <c r="E368" s="3" t="s">
        <v>1875</v>
      </c>
      <c r="F368" s="2" t="s">
        <v>34</v>
      </c>
      <c r="G368" s="3" t="s">
        <v>17</v>
      </c>
      <c r="H368" s="2" t="s">
        <v>97</v>
      </c>
      <c r="I368" s="3" t="s">
        <v>19</v>
      </c>
      <c r="J368" s="3">
        <v>11315</v>
      </c>
      <c r="K368" s="3">
        <v>234</v>
      </c>
      <c r="L368" s="3">
        <v>3</v>
      </c>
      <c r="M368" s="4">
        <f t="shared" si="41"/>
        <v>2.0680512593901901E-2</v>
      </c>
      <c r="N368" s="4">
        <f t="shared" si="42"/>
        <v>1.282051282051282E-2</v>
      </c>
      <c r="O368">
        <v>1045</v>
      </c>
      <c r="P368" s="5">
        <v>0.8</v>
      </c>
      <c r="Q368" s="7">
        <v>1</v>
      </c>
      <c r="R368" t="str">
        <f t="shared" si="48"/>
        <v>код для проверки</v>
      </c>
      <c r="S368" t="str">
        <f t="shared" si="43"/>
        <v>Низшая четверть</v>
      </c>
      <c r="T368" t="str">
        <f t="shared" si="44"/>
        <v>Вторая четверть</v>
      </c>
      <c r="U368" t="str">
        <f t="shared" si="45"/>
        <v>нормальный код</v>
      </c>
      <c r="V368" t="str">
        <f t="shared" si="46"/>
        <v>Вторая четверть</v>
      </c>
      <c r="W368" t="str">
        <f t="shared" si="47"/>
        <v>Больше половины</v>
      </c>
      <c r="X368">
        <v>12</v>
      </c>
    </row>
    <row r="369" spans="1:24" x14ac:dyDescent="0.35">
      <c r="A369" s="1" t="s">
        <v>132</v>
      </c>
      <c r="B369" s="2" t="s">
        <v>133</v>
      </c>
      <c r="C369" s="3" t="s">
        <v>55</v>
      </c>
      <c r="D369" s="2" t="s">
        <v>56</v>
      </c>
      <c r="E369" s="3" t="s">
        <v>60</v>
      </c>
      <c r="F369" s="2" t="s">
        <v>61</v>
      </c>
      <c r="G369" s="3" t="s">
        <v>17</v>
      </c>
      <c r="H369" s="2" t="s">
        <v>18</v>
      </c>
      <c r="I369" s="3" t="s">
        <v>19</v>
      </c>
      <c r="J369" s="3">
        <v>11100</v>
      </c>
      <c r="K369" s="3">
        <v>525</v>
      </c>
      <c r="L369" s="3">
        <v>10</v>
      </c>
      <c r="M369" s="4">
        <f t="shared" si="41"/>
        <v>4.72972972972973E-2</v>
      </c>
      <c r="N369" s="4">
        <f t="shared" si="42"/>
        <v>1.9047619047619049E-2</v>
      </c>
      <c r="O369">
        <v>544</v>
      </c>
      <c r="P369" s="5">
        <v>1</v>
      </c>
      <c r="Q369" s="7">
        <v>1</v>
      </c>
      <c r="R369" t="str">
        <f t="shared" si="48"/>
        <v>код для проверки</v>
      </c>
      <c r="S369" t="str">
        <f t="shared" si="43"/>
        <v>Низшая четверть</v>
      </c>
      <c r="T369" t="str">
        <f t="shared" si="44"/>
        <v>Вторая четверть</v>
      </c>
      <c r="U369" t="str">
        <f t="shared" si="45"/>
        <v>нормальный код</v>
      </c>
      <c r="V369" t="str">
        <f t="shared" si="46"/>
        <v>Вторая четверть</v>
      </c>
      <c r="W369" t="str">
        <f t="shared" si="47"/>
        <v>Больше половины</v>
      </c>
      <c r="X369">
        <v>27</v>
      </c>
    </row>
    <row r="370" spans="1:24" x14ac:dyDescent="0.35">
      <c r="A370" s="1" t="s">
        <v>275</v>
      </c>
      <c r="B370" s="2" t="s">
        <v>276</v>
      </c>
      <c r="C370" s="3" t="s">
        <v>13</v>
      </c>
      <c r="D370" s="2" t="s">
        <v>164</v>
      </c>
      <c r="E370" s="3" t="s">
        <v>277</v>
      </c>
      <c r="F370" s="2" t="s">
        <v>123</v>
      </c>
      <c r="G370" s="3" t="s">
        <v>35</v>
      </c>
      <c r="H370" s="2" t="s">
        <v>18</v>
      </c>
      <c r="I370" s="3" t="s">
        <v>19</v>
      </c>
      <c r="J370" s="3">
        <v>11089</v>
      </c>
      <c r="K370" s="3">
        <v>778</v>
      </c>
      <c r="L370" s="3">
        <v>10</v>
      </c>
      <c r="M370" s="4">
        <f t="shared" si="41"/>
        <v>7.0159617639101807E-2</v>
      </c>
      <c r="N370" s="4">
        <f t="shared" si="42"/>
        <v>1.2853470437017995E-2</v>
      </c>
      <c r="O370">
        <v>254</v>
      </c>
      <c r="P370" s="5">
        <v>1</v>
      </c>
      <c r="Q370" s="7">
        <v>1</v>
      </c>
      <c r="R370" t="str">
        <f t="shared" si="48"/>
        <v>нормальный код</v>
      </c>
      <c r="S370" t="str">
        <f t="shared" si="43"/>
        <v>Вторая четверть</v>
      </c>
      <c r="T370" t="str">
        <f t="shared" si="44"/>
        <v>Вторая четверть</v>
      </c>
      <c r="U370" t="str">
        <f t="shared" si="45"/>
        <v>нормальный код</v>
      </c>
      <c r="V370" t="str">
        <f t="shared" si="46"/>
        <v>Вторая четверть</v>
      </c>
      <c r="W370" t="str">
        <f t="shared" si="47"/>
        <v>Больше половины</v>
      </c>
      <c r="X370">
        <v>17</v>
      </c>
    </row>
    <row r="371" spans="1:24" x14ac:dyDescent="0.35">
      <c r="A371" s="1" t="s">
        <v>438</v>
      </c>
      <c r="B371" s="2" t="s">
        <v>439</v>
      </c>
      <c r="C371" s="3" t="s">
        <v>13</v>
      </c>
      <c r="D371" s="2" t="s">
        <v>32</v>
      </c>
      <c r="E371" s="3" t="s">
        <v>33</v>
      </c>
      <c r="F371" s="2" t="s">
        <v>34</v>
      </c>
      <c r="G371" s="3" t="s">
        <v>17</v>
      </c>
      <c r="H371" s="2" t="s">
        <v>18</v>
      </c>
      <c r="I371" s="3" t="s">
        <v>19</v>
      </c>
      <c r="J371" s="3">
        <v>11077</v>
      </c>
      <c r="K371" s="3">
        <v>839</v>
      </c>
      <c r="L371" s="3">
        <v>33</v>
      </c>
      <c r="M371" s="4">
        <f t="shared" si="41"/>
        <v>7.5742529565766908E-2</v>
      </c>
      <c r="N371" s="4">
        <f t="shared" si="42"/>
        <v>3.9332538736591177E-2</v>
      </c>
      <c r="O371">
        <v>505</v>
      </c>
      <c r="P371" s="5">
        <v>1</v>
      </c>
      <c r="Q371" s="7">
        <v>1</v>
      </c>
      <c r="R371" t="str">
        <f t="shared" si="48"/>
        <v>нормальный код</v>
      </c>
      <c r="S371" t="str">
        <f t="shared" si="43"/>
        <v>Вторая четверть</v>
      </c>
      <c r="T371" t="str">
        <f t="shared" si="44"/>
        <v>Больше половины</v>
      </c>
      <c r="U371" t="str">
        <f t="shared" si="45"/>
        <v>нормальный код</v>
      </c>
      <c r="V371" t="str">
        <f t="shared" si="46"/>
        <v>Вторая четверть</v>
      </c>
      <c r="W371" t="str">
        <f t="shared" si="47"/>
        <v>Больше половины</v>
      </c>
      <c r="X371">
        <v>14</v>
      </c>
    </row>
    <row r="372" spans="1:24" x14ac:dyDescent="0.35">
      <c r="A372" s="1" t="s">
        <v>110</v>
      </c>
      <c r="B372" s="2" t="s">
        <v>111</v>
      </c>
      <c r="C372" s="3" t="s">
        <v>55</v>
      </c>
      <c r="D372" s="2" t="s">
        <v>56</v>
      </c>
      <c r="E372" s="3" t="s">
        <v>112</v>
      </c>
      <c r="F372" s="2" t="s">
        <v>34</v>
      </c>
      <c r="G372" s="3" t="s">
        <v>17</v>
      </c>
      <c r="H372" s="2" t="s">
        <v>18</v>
      </c>
      <c r="I372" s="3" t="s">
        <v>19</v>
      </c>
      <c r="J372" s="3">
        <v>11051</v>
      </c>
      <c r="K372" s="3">
        <v>739</v>
      </c>
      <c r="L372" s="3">
        <v>17</v>
      </c>
      <c r="M372" s="4">
        <f t="shared" si="41"/>
        <v>6.687177630983622E-2</v>
      </c>
      <c r="N372" s="4">
        <f t="shared" si="42"/>
        <v>2.3004059539918808E-2</v>
      </c>
      <c r="O372">
        <v>423</v>
      </c>
      <c r="P372" s="5">
        <v>1</v>
      </c>
      <c r="Q372" s="7">
        <v>1</v>
      </c>
      <c r="R372" t="str">
        <f t="shared" si="48"/>
        <v>нормальный код</v>
      </c>
      <c r="S372" t="str">
        <f t="shared" si="43"/>
        <v>Вторая четверть</v>
      </c>
      <c r="T372" t="str">
        <f t="shared" si="44"/>
        <v>Больше половины</v>
      </c>
      <c r="U372" t="str">
        <f t="shared" si="45"/>
        <v>нормальный код</v>
      </c>
      <c r="V372" t="str">
        <f t="shared" si="46"/>
        <v>Вторая четверть</v>
      </c>
      <c r="W372" t="str">
        <f t="shared" si="47"/>
        <v>Больше половины</v>
      </c>
      <c r="X372">
        <v>16</v>
      </c>
    </row>
    <row r="373" spans="1:24" x14ac:dyDescent="0.35">
      <c r="A373" s="1" t="s">
        <v>381</v>
      </c>
      <c r="B373" s="2" t="s">
        <v>382</v>
      </c>
      <c r="C373" s="3" t="s">
        <v>13</v>
      </c>
      <c r="D373" s="2" t="s">
        <v>77</v>
      </c>
      <c r="E373" s="3" t="s">
        <v>78</v>
      </c>
      <c r="F373" s="2" t="s">
        <v>34</v>
      </c>
      <c r="G373" s="3" t="s">
        <v>35</v>
      </c>
      <c r="H373" s="2" t="s">
        <v>18</v>
      </c>
      <c r="I373" s="3" t="s">
        <v>19</v>
      </c>
      <c r="J373" s="3">
        <v>11030</v>
      </c>
      <c r="K373" s="3">
        <v>1396</v>
      </c>
      <c r="L373" s="3">
        <v>23</v>
      </c>
      <c r="M373" s="4">
        <f t="shared" si="41"/>
        <v>0.12656391659111513</v>
      </c>
      <c r="N373" s="4">
        <f t="shared" si="42"/>
        <v>1.6475644699140399E-2</v>
      </c>
      <c r="O373">
        <v>139</v>
      </c>
      <c r="P373" s="5">
        <v>1</v>
      </c>
      <c r="Q373" s="7">
        <v>1</v>
      </c>
      <c r="R373" t="str">
        <f t="shared" si="48"/>
        <v>нормальный код</v>
      </c>
      <c r="S373" t="str">
        <f t="shared" si="43"/>
        <v>Больше половины</v>
      </c>
      <c r="T373" t="str">
        <f t="shared" si="44"/>
        <v>Вторая четверть</v>
      </c>
      <c r="U373" t="str">
        <f t="shared" si="45"/>
        <v>нормальный код</v>
      </c>
      <c r="V373" t="str">
        <f t="shared" si="46"/>
        <v>Больше половины</v>
      </c>
      <c r="W373" t="str">
        <f t="shared" si="47"/>
        <v>Вторая четверть</v>
      </c>
      <c r="X373">
        <v>15</v>
      </c>
    </row>
    <row r="374" spans="1:24" x14ac:dyDescent="0.35">
      <c r="A374" s="1" t="s">
        <v>430</v>
      </c>
      <c r="B374" s="2" t="s">
        <v>431</v>
      </c>
      <c r="C374" s="3" t="s">
        <v>55</v>
      </c>
      <c r="D374" s="2" t="s">
        <v>336</v>
      </c>
      <c r="E374" s="3" t="s">
        <v>337</v>
      </c>
      <c r="F374" s="2" t="s">
        <v>34</v>
      </c>
      <c r="G374" s="3" t="s">
        <v>17</v>
      </c>
      <c r="H374" s="2" t="s">
        <v>18</v>
      </c>
      <c r="I374" s="3" t="s">
        <v>19</v>
      </c>
      <c r="J374" s="3">
        <v>10705</v>
      </c>
      <c r="K374" s="3">
        <v>1187</v>
      </c>
      <c r="L374" s="3">
        <v>100</v>
      </c>
      <c r="M374" s="4">
        <f t="shared" si="41"/>
        <v>0.11088276506305465</v>
      </c>
      <c r="N374" s="4">
        <f t="shared" si="42"/>
        <v>8.4245998315080034E-2</v>
      </c>
      <c r="O374">
        <v>3432</v>
      </c>
      <c r="P374" s="5">
        <v>1</v>
      </c>
      <c r="Q374" s="7">
        <v>1</v>
      </c>
      <c r="R374" t="str">
        <f t="shared" si="48"/>
        <v>нормальный код</v>
      </c>
      <c r="S374" t="str">
        <f t="shared" si="43"/>
        <v>Больше половины</v>
      </c>
      <c r="T374" t="str">
        <f t="shared" si="44"/>
        <v>Больше половины</v>
      </c>
      <c r="U374" t="str">
        <f t="shared" si="45"/>
        <v>нормальный код</v>
      </c>
      <c r="V374" t="str">
        <f t="shared" si="46"/>
        <v>Больше половины</v>
      </c>
      <c r="W374" t="str">
        <f t="shared" si="47"/>
        <v>Вторая четверть</v>
      </c>
      <c r="X374">
        <v>6</v>
      </c>
    </row>
    <row r="375" spans="1:24" x14ac:dyDescent="0.35">
      <c r="A375" s="1" t="s">
        <v>2046</v>
      </c>
      <c r="B375" s="2" t="s">
        <v>2047</v>
      </c>
      <c r="C375" s="3" t="s">
        <v>13</v>
      </c>
      <c r="D375" s="2" t="s">
        <v>69</v>
      </c>
      <c r="E375" s="3" t="s">
        <v>159</v>
      </c>
      <c r="F375" s="2" t="s">
        <v>34</v>
      </c>
      <c r="G375" s="3" t="s">
        <v>72</v>
      </c>
      <c r="H375" s="2" t="s">
        <v>18</v>
      </c>
      <c r="I375" s="3" t="s">
        <v>19</v>
      </c>
      <c r="J375" s="3">
        <v>10665</v>
      </c>
      <c r="K375" s="3">
        <v>1047</v>
      </c>
      <c r="L375" s="3">
        <v>18</v>
      </c>
      <c r="M375" s="4">
        <f t="shared" si="41"/>
        <v>9.8171589310829824E-2</v>
      </c>
      <c r="N375" s="4">
        <f t="shared" si="42"/>
        <v>1.7191977077363897E-2</v>
      </c>
      <c r="O375">
        <v>873</v>
      </c>
      <c r="P375" s="5">
        <v>1</v>
      </c>
      <c r="Q375" s="7">
        <v>1</v>
      </c>
      <c r="R375" t="str">
        <f t="shared" si="48"/>
        <v>нормальный код</v>
      </c>
      <c r="S375" t="str">
        <f t="shared" si="43"/>
        <v>Больше половины</v>
      </c>
      <c r="T375" t="str">
        <f t="shared" si="44"/>
        <v>Вторая четверть</v>
      </c>
      <c r="U375" t="str">
        <f t="shared" si="45"/>
        <v>нормальный код</v>
      </c>
      <c r="V375" t="str">
        <f t="shared" si="46"/>
        <v>Больше половины</v>
      </c>
      <c r="W375" t="str">
        <f t="shared" si="47"/>
        <v>Вторая четверть</v>
      </c>
      <c r="X375">
        <v>5</v>
      </c>
    </row>
    <row r="376" spans="1:24" x14ac:dyDescent="0.35">
      <c r="A376" s="1" t="s">
        <v>486</v>
      </c>
      <c r="B376" s="2" t="s">
        <v>487</v>
      </c>
      <c r="C376" s="3" t="s">
        <v>13</v>
      </c>
      <c r="D376" s="2" t="s">
        <v>69</v>
      </c>
      <c r="E376" s="3" t="s">
        <v>316</v>
      </c>
      <c r="F376" s="2" t="s">
        <v>34</v>
      </c>
      <c r="G376" s="3" t="s">
        <v>72</v>
      </c>
      <c r="H376" s="2" t="s">
        <v>18</v>
      </c>
      <c r="I376" s="3" t="s">
        <v>19</v>
      </c>
      <c r="J376" s="3">
        <v>10665</v>
      </c>
      <c r="K376" s="3">
        <v>733</v>
      </c>
      <c r="L376" s="3">
        <v>18</v>
      </c>
      <c r="M376" s="4">
        <f t="shared" si="41"/>
        <v>6.8729488982653533E-2</v>
      </c>
      <c r="N376" s="4">
        <f t="shared" si="42"/>
        <v>2.4556616643929059E-2</v>
      </c>
      <c r="O376">
        <v>488</v>
      </c>
      <c r="P376" s="5">
        <v>1</v>
      </c>
      <c r="Q376" s="7">
        <v>1</v>
      </c>
      <c r="R376" t="str">
        <f t="shared" si="48"/>
        <v>нормальный код</v>
      </c>
      <c r="S376" t="str">
        <f t="shared" si="43"/>
        <v>Вторая четверть</v>
      </c>
      <c r="T376" t="str">
        <f t="shared" si="44"/>
        <v>Больше половины</v>
      </c>
      <c r="U376" t="str">
        <f t="shared" si="45"/>
        <v>нормальный код</v>
      </c>
      <c r="V376" t="str">
        <f t="shared" si="46"/>
        <v>Больше половины</v>
      </c>
      <c r="W376" t="str">
        <f t="shared" si="47"/>
        <v>Вторая четверть</v>
      </c>
      <c r="X376">
        <v>12</v>
      </c>
    </row>
    <row r="377" spans="1:24" x14ac:dyDescent="0.35">
      <c r="A377" s="1" t="s">
        <v>1357</v>
      </c>
      <c r="B377" s="2" t="s">
        <v>1358</v>
      </c>
      <c r="C377" s="3" t="s">
        <v>13</v>
      </c>
      <c r="D377" s="2" t="s">
        <v>85</v>
      </c>
      <c r="E377" s="3" t="s">
        <v>599</v>
      </c>
      <c r="F377" s="2" t="s">
        <v>34</v>
      </c>
      <c r="G377" s="3" t="s">
        <v>17</v>
      </c>
      <c r="H377" s="2" t="s">
        <v>18</v>
      </c>
      <c r="I377" s="3" t="s">
        <v>19</v>
      </c>
      <c r="J377" s="3">
        <v>10642</v>
      </c>
      <c r="K377" s="3">
        <v>698</v>
      </c>
      <c r="L377" s="3">
        <v>42</v>
      </c>
      <c r="M377" s="4">
        <f t="shared" si="41"/>
        <v>6.5589174967111447E-2</v>
      </c>
      <c r="N377" s="4">
        <f t="shared" si="42"/>
        <v>6.0171919770773637E-2</v>
      </c>
      <c r="O377">
        <v>427</v>
      </c>
      <c r="P377" s="5">
        <v>1</v>
      </c>
      <c r="Q377" s="7">
        <v>1</v>
      </c>
      <c r="R377" t="str">
        <f t="shared" si="48"/>
        <v>нормальный код</v>
      </c>
      <c r="S377" t="str">
        <f t="shared" si="43"/>
        <v>Вторая четверть</v>
      </c>
      <c r="T377" t="str">
        <f t="shared" si="44"/>
        <v>Больше половины</v>
      </c>
      <c r="U377" t="str">
        <f t="shared" si="45"/>
        <v>нормальный код</v>
      </c>
      <c r="V377" t="str">
        <f t="shared" si="46"/>
        <v>Больше половины</v>
      </c>
      <c r="W377" t="str">
        <f t="shared" si="47"/>
        <v>Больше половины</v>
      </c>
      <c r="X377">
        <v>13</v>
      </c>
    </row>
    <row r="378" spans="1:24" x14ac:dyDescent="0.35">
      <c r="A378" s="1" t="s">
        <v>2336</v>
      </c>
      <c r="B378" s="2" t="s">
        <v>2337</v>
      </c>
      <c r="C378" s="3" t="s">
        <v>55</v>
      </c>
      <c r="D378" s="2" t="s">
        <v>1874</v>
      </c>
      <c r="E378" s="3" t="s">
        <v>1875</v>
      </c>
      <c r="F378" s="2" t="s">
        <v>34</v>
      </c>
      <c r="G378" s="3" t="s">
        <v>17</v>
      </c>
      <c r="H378" s="2" t="s">
        <v>97</v>
      </c>
      <c r="I378" s="3" t="s">
        <v>19</v>
      </c>
      <c r="J378" s="3">
        <v>10540</v>
      </c>
      <c r="K378" s="3">
        <v>254</v>
      </c>
      <c r="L378" s="3">
        <v>4</v>
      </c>
      <c r="M378" s="4">
        <f t="shared" si="41"/>
        <v>2.4098671726755217E-2</v>
      </c>
      <c r="N378" s="4">
        <f t="shared" si="42"/>
        <v>1.5748031496062992E-2</v>
      </c>
      <c r="O378">
        <v>1645</v>
      </c>
      <c r="P378" s="5">
        <v>1</v>
      </c>
      <c r="Q378" s="7">
        <v>1</v>
      </c>
      <c r="R378" t="str">
        <f t="shared" si="48"/>
        <v>код для проверки</v>
      </c>
      <c r="S378" t="str">
        <f t="shared" si="43"/>
        <v>Низшая четверть</v>
      </c>
      <c r="T378" t="str">
        <f t="shared" si="44"/>
        <v>Вторая четверть</v>
      </c>
      <c r="U378" t="str">
        <f t="shared" si="45"/>
        <v>нормальный код</v>
      </c>
      <c r="V378" t="str">
        <f t="shared" si="46"/>
        <v>Вторая четверть</v>
      </c>
      <c r="W378" t="str">
        <f t="shared" si="47"/>
        <v>Больше половины</v>
      </c>
      <c r="X378">
        <v>20</v>
      </c>
    </row>
    <row r="379" spans="1:24" x14ac:dyDescent="0.35">
      <c r="A379" s="1" t="s">
        <v>1151</v>
      </c>
      <c r="B379" s="2" t="s">
        <v>1152</v>
      </c>
      <c r="C379" s="3" t="s">
        <v>13</v>
      </c>
      <c r="D379" s="2" t="s">
        <v>77</v>
      </c>
      <c r="E379" s="3" t="s">
        <v>78</v>
      </c>
      <c r="F379" s="2" t="s">
        <v>34</v>
      </c>
      <c r="G379" s="3" t="s">
        <v>35</v>
      </c>
      <c r="H379" s="2" t="s">
        <v>18</v>
      </c>
      <c r="I379" s="3" t="s">
        <v>19</v>
      </c>
      <c r="J379" s="3">
        <v>10533</v>
      </c>
      <c r="K379" s="3">
        <v>833</v>
      </c>
      <c r="L379" s="3">
        <v>39</v>
      </c>
      <c r="M379" s="4">
        <f t="shared" si="41"/>
        <v>7.9084781163960879E-2</v>
      </c>
      <c r="N379" s="4">
        <f t="shared" si="42"/>
        <v>4.6818727490996401E-2</v>
      </c>
      <c r="O379">
        <v>331</v>
      </c>
      <c r="P379" s="5">
        <v>0.8</v>
      </c>
      <c r="Q379" s="7">
        <v>1</v>
      </c>
      <c r="R379" t="str">
        <f t="shared" si="48"/>
        <v>нормальный код</v>
      </c>
      <c r="S379" t="str">
        <f t="shared" si="43"/>
        <v>Вторая четверть</v>
      </c>
      <c r="T379" t="str">
        <f t="shared" si="44"/>
        <v>Больше половины</v>
      </c>
      <c r="U379" t="str">
        <f t="shared" si="45"/>
        <v>нормальный код</v>
      </c>
      <c r="V379" t="str">
        <f t="shared" si="46"/>
        <v>Больше половины</v>
      </c>
      <c r="W379" t="str">
        <f t="shared" si="47"/>
        <v>Больше половины</v>
      </c>
      <c r="X379">
        <v>12</v>
      </c>
    </row>
    <row r="380" spans="1:24" x14ac:dyDescent="0.35">
      <c r="A380" s="1" t="s">
        <v>906</v>
      </c>
      <c r="B380" s="2" t="s">
        <v>907</v>
      </c>
      <c r="C380" s="3" t="s">
        <v>13</v>
      </c>
      <c r="D380" s="2" t="s">
        <v>32</v>
      </c>
      <c r="E380" s="3" t="s">
        <v>33</v>
      </c>
      <c r="F380" s="2" t="s">
        <v>34</v>
      </c>
      <c r="G380" s="3" t="s">
        <v>35</v>
      </c>
      <c r="H380" s="2" t="s">
        <v>18</v>
      </c>
      <c r="I380" s="3" t="s">
        <v>19</v>
      </c>
      <c r="J380" s="3">
        <v>10483</v>
      </c>
      <c r="K380" s="3">
        <v>1950</v>
      </c>
      <c r="L380" s="3">
        <v>68</v>
      </c>
      <c r="M380" s="4">
        <f t="shared" si="41"/>
        <v>0.18601545359152916</v>
      </c>
      <c r="N380" s="4">
        <f t="shared" si="42"/>
        <v>3.487179487179487E-2</v>
      </c>
      <c r="O380">
        <v>561</v>
      </c>
      <c r="P380" s="5">
        <v>0.8</v>
      </c>
      <c r="Q380" s="7">
        <v>1</v>
      </c>
      <c r="R380" t="str">
        <f t="shared" si="48"/>
        <v>нормальный код</v>
      </c>
      <c r="S380" t="str">
        <f t="shared" si="43"/>
        <v>Больше половины</v>
      </c>
      <c r="T380" t="str">
        <f t="shared" si="44"/>
        <v>Больше половины</v>
      </c>
      <c r="U380" t="str">
        <f t="shared" si="45"/>
        <v>нормальный код</v>
      </c>
      <c r="V380" t="str">
        <f t="shared" si="46"/>
        <v>Больше половины</v>
      </c>
      <c r="W380" t="str">
        <f t="shared" si="47"/>
        <v>Больше половины</v>
      </c>
      <c r="X380">
        <v>13</v>
      </c>
    </row>
    <row r="381" spans="1:24" x14ac:dyDescent="0.35">
      <c r="A381" s="1" t="s">
        <v>367</v>
      </c>
      <c r="B381" s="2" t="s">
        <v>368</v>
      </c>
      <c r="C381" s="3" t="s">
        <v>13</v>
      </c>
      <c r="D381" s="2" t="s">
        <v>22</v>
      </c>
      <c r="E381" s="3" t="s">
        <v>272</v>
      </c>
      <c r="F381" s="2" t="s">
        <v>123</v>
      </c>
      <c r="G381" s="3" t="s">
        <v>35</v>
      </c>
      <c r="H381" s="2" t="s">
        <v>18</v>
      </c>
      <c r="I381" s="3" t="s">
        <v>19</v>
      </c>
      <c r="J381" s="3">
        <v>10374</v>
      </c>
      <c r="K381" s="3">
        <v>921</v>
      </c>
      <c r="L381" s="3">
        <v>12</v>
      </c>
      <c r="M381" s="4">
        <f t="shared" si="41"/>
        <v>8.8779641411220356E-2</v>
      </c>
      <c r="N381" s="4">
        <f t="shared" si="42"/>
        <v>1.3029315960912053E-2</v>
      </c>
      <c r="O381">
        <v>416</v>
      </c>
      <c r="P381" s="5">
        <v>1</v>
      </c>
      <c r="Q381" s="7">
        <v>1</v>
      </c>
      <c r="R381" t="str">
        <f t="shared" si="48"/>
        <v>нормальный код</v>
      </c>
      <c r="S381" t="str">
        <f t="shared" si="43"/>
        <v>Вторая четверть</v>
      </c>
      <c r="T381" t="str">
        <f t="shared" si="44"/>
        <v>Вторая четверть</v>
      </c>
      <c r="U381" t="str">
        <f t="shared" si="45"/>
        <v>нормальный код</v>
      </c>
      <c r="V381" t="str">
        <f t="shared" si="46"/>
        <v>Больше половины</v>
      </c>
      <c r="W381" t="str">
        <f t="shared" si="47"/>
        <v>Вторая четверть</v>
      </c>
      <c r="X381">
        <v>23</v>
      </c>
    </row>
    <row r="382" spans="1:24" x14ac:dyDescent="0.35">
      <c r="A382" s="1" t="s">
        <v>407</v>
      </c>
      <c r="B382" s="2" t="s">
        <v>408</v>
      </c>
      <c r="C382" s="3" t="s">
        <v>13</v>
      </c>
      <c r="D382" s="2" t="s">
        <v>121</v>
      </c>
      <c r="E382" s="3" t="s">
        <v>409</v>
      </c>
      <c r="F382" s="2" t="s">
        <v>71</v>
      </c>
      <c r="G382" s="3" t="s">
        <v>35</v>
      </c>
      <c r="H382" s="2" t="s">
        <v>18</v>
      </c>
      <c r="I382" s="3" t="s">
        <v>19</v>
      </c>
      <c r="J382" s="3">
        <v>10341</v>
      </c>
      <c r="K382" s="3">
        <v>884</v>
      </c>
      <c r="L382" s="3">
        <v>5</v>
      </c>
      <c r="M382" s="4">
        <f t="shared" si="41"/>
        <v>8.5484962769558068E-2</v>
      </c>
      <c r="N382" s="4">
        <f t="shared" si="42"/>
        <v>5.6561085972850677E-3</v>
      </c>
      <c r="O382">
        <v>485</v>
      </c>
      <c r="P382" s="5">
        <v>1</v>
      </c>
      <c r="Q382" s="7">
        <v>1</v>
      </c>
      <c r="R382" t="str">
        <f t="shared" si="48"/>
        <v>код для проверки</v>
      </c>
      <c r="S382" t="str">
        <f t="shared" si="43"/>
        <v>Вторая четверть</v>
      </c>
      <c r="T382" t="str">
        <f t="shared" si="44"/>
        <v>Низшая четверть</v>
      </c>
      <c r="U382" t="str">
        <f t="shared" si="45"/>
        <v>нормальный код</v>
      </c>
      <c r="V382" t="str">
        <f t="shared" si="46"/>
        <v>Больше половины</v>
      </c>
      <c r="W382" t="str">
        <f t="shared" si="47"/>
        <v>Больше половины</v>
      </c>
      <c r="X382">
        <v>14</v>
      </c>
    </row>
    <row r="383" spans="1:24" x14ac:dyDescent="0.35">
      <c r="A383" s="1" t="s">
        <v>1145</v>
      </c>
      <c r="B383" s="2" t="s">
        <v>1146</v>
      </c>
      <c r="C383" s="3" t="s">
        <v>13</v>
      </c>
      <c r="D383" s="2" t="s">
        <v>630</v>
      </c>
      <c r="E383" s="3" t="s">
        <v>685</v>
      </c>
      <c r="F383" s="2" t="s">
        <v>61</v>
      </c>
      <c r="G383" s="3" t="s">
        <v>17</v>
      </c>
      <c r="H383" s="2" t="s">
        <v>97</v>
      </c>
      <c r="I383" s="3" t="s">
        <v>19</v>
      </c>
      <c r="J383" s="3">
        <v>10286</v>
      </c>
      <c r="K383" s="3">
        <v>833</v>
      </c>
      <c r="L383" s="3">
        <v>33</v>
      </c>
      <c r="M383" s="4">
        <f t="shared" si="41"/>
        <v>8.0983861559401127E-2</v>
      </c>
      <c r="N383" s="4">
        <f t="shared" si="42"/>
        <v>3.9615846338535411E-2</v>
      </c>
      <c r="O383">
        <v>550</v>
      </c>
      <c r="P383" s="5">
        <v>1</v>
      </c>
      <c r="Q383" s="7">
        <v>1</v>
      </c>
      <c r="R383" t="str">
        <f t="shared" si="48"/>
        <v>нормальный код</v>
      </c>
      <c r="S383" t="str">
        <f t="shared" si="43"/>
        <v>Вторая четверть</v>
      </c>
      <c r="T383" t="str">
        <f t="shared" si="44"/>
        <v>Больше половины</v>
      </c>
      <c r="U383" t="str">
        <f t="shared" si="45"/>
        <v>нормальный код</v>
      </c>
      <c r="V383" t="str">
        <f t="shared" si="46"/>
        <v>Вторая четверть</v>
      </c>
      <c r="W383" t="str">
        <f t="shared" si="47"/>
        <v>Больше половины</v>
      </c>
      <c r="X383">
        <v>10</v>
      </c>
    </row>
    <row r="384" spans="1:24" x14ac:dyDescent="0.35">
      <c r="A384" s="1" t="s">
        <v>352</v>
      </c>
      <c r="B384" s="2" t="s">
        <v>353</v>
      </c>
      <c r="C384" s="3" t="s">
        <v>55</v>
      </c>
      <c r="D384" s="2" t="s">
        <v>336</v>
      </c>
      <c r="E384" s="3" t="s">
        <v>337</v>
      </c>
      <c r="F384" s="2" t="s">
        <v>34</v>
      </c>
      <c r="G384" s="3" t="s">
        <v>17</v>
      </c>
      <c r="H384" s="2" t="s">
        <v>18</v>
      </c>
      <c r="I384" s="3" t="s">
        <v>19</v>
      </c>
      <c r="J384" s="3">
        <v>10166</v>
      </c>
      <c r="K384" s="3">
        <v>1040</v>
      </c>
      <c r="L384" s="3">
        <v>80</v>
      </c>
      <c r="M384" s="4">
        <f t="shared" si="41"/>
        <v>0.10230179028132992</v>
      </c>
      <c r="N384" s="4">
        <f t="shared" si="42"/>
        <v>7.6923076923076927E-2</v>
      </c>
      <c r="O384">
        <v>2598</v>
      </c>
      <c r="P384" s="5">
        <v>1</v>
      </c>
      <c r="Q384" s="7">
        <v>1</v>
      </c>
      <c r="R384" t="str">
        <f t="shared" si="48"/>
        <v>нормальный код</v>
      </c>
      <c r="S384" t="str">
        <f t="shared" si="43"/>
        <v>Больше половины</v>
      </c>
      <c r="T384" t="str">
        <f t="shared" si="44"/>
        <v>Больше половины</v>
      </c>
      <c r="U384" t="str">
        <f t="shared" si="45"/>
        <v>нормальный код</v>
      </c>
      <c r="V384" t="str">
        <f t="shared" si="46"/>
        <v>Вторая четверть</v>
      </c>
      <c r="W384" t="str">
        <f t="shared" si="47"/>
        <v>Вторая четверть</v>
      </c>
      <c r="X384">
        <v>6</v>
      </c>
    </row>
    <row r="385" spans="1:24" x14ac:dyDescent="0.35">
      <c r="A385" s="1" t="s">
        <v>280</v>
      </c>
      <c r="B385" s="2" t="s">
        <v>281</v>
      </c>
      <c r="C385" s="3" t="s">
        <v>13</v>
      </c>
      <c r="D385" s="2" t="s">
        <v>32</v>
      </c>
      <c r="E385" s="3" t="s">
        <v>33</v>
      </c>
      <c r="F385" s="2" t="s">
        <v>34</v>
      </c>
      <c r="G385" s="3" t="s">
        <v>35</v>
      </c>
      <c r="H385" s="2" t="s">
        <v>18</v>
      </c>
      <c r="I385" s="3" t="s">
        <v>19</v>
      </c>
      <c r="J385" s="3">
        <v>10165</v>
      </c>
      <c r="K385" s="3">
        <v>635</v>
      </c>
      <c r="L385" s="3">
        <v>10</v>
      </c>
      <c r="M385" s="4">
        <f t="shared" si="41"/>
        <v>6.246925725528775E-2</v>
      </c>
      <c r="N385" s="4">
        <f t="shared" si="42"/>
        <v>1.5748031496062992E-2</v>
      </c>
      <c r="O385">
        <v>144</v>
      </c>
      <c r="P385" s="5">
        <v>0.6</v>
      </c>
      <c r="Q385" s="7">
        <v>1</v>
      </c>
      <c r="R385" t="str">
        <f t="shared" si="48"/>
        <v>нормальный код</v>
      </c>
      <c r="S385" t="str">
        <f t="shared" si="43"/>
        <v>Вторая четверть</v>
      </c>
      <c r="T385" t="str">
        <f t="shared" si="44"/>
        <v>Вторая четверть</v>
      </c>
      <c r="U385" t="str">
        <f t="shared" si="45"/>
        <v>нормальный код</v>
      </c>
      <c r="V385" t="str">
        <f t="shared" si="46"/>
        <v>Вторая четверть</v>
      </c>
      <c r="W385" t="str">
        <f t="shared" si="47"/>
        <v>Вторая четверть</v>
      </c>
      <c r="X385">
        <v>13</v>
      </c>
    </row>
    <row r="386" spans="1:24" x14ac:dyDescent="0.35">
      <c r="A386" s="1" t="s">
        <v>238</v>
      </c>
      <c r="B386" s="2" t="s">
        <v>239</v>
      </c>
      <c r="C386" s="3" t="s">
        <v>13</v>
      </c>
      <c r="D386" s="2" t="s">
        <v>121</v>
      </c>
      <c r="E386" s="3" t="s">
        <v>122</v>
      </c>
      <c r="F386" s="2" t="s">
        <v>123</v>
      </c>
      <c r="G386" s="3" t="s">
        <v>35</v>
      </c>
      <c r="H386" s="2" t="s">
        <v>18</v>
      </c>
      <c r="I386" s="3" t="s">
        <v>19</v>
      </c>
      <c r="J386" s="3">
        <v>10094</v>
      </c>
      <c r="K386" s="3">
        <v>614</v>
      </c>
      <c r="L386" s="3">
        <v>7</v>
      </c>
      <c r="M386" s="4">
        <f t="shared" si="41"/>
        <v>6.0828214781058057E-2</v>
      </c>
      <c r="N386" s="4">
        <f t="shared" si="42"/>
        <v>1.1400651465798045E-2</v>
      </c>
      <c r="O386">
        <v>320</v>
      </c>
      <c r="P386" s="5">
        <v>1</v>
      </c>
      <c r="Q386" s="7">
        <v>1</v>
      </c>
      <c r="R386" t="str">
        <f t="shared" si="48"/>
        <v>нормальный код</v>
      </c>
      <c r="S386" t="str">
        <f t="shared" si="43"/>
        <v>Вторая четверть</v>
      </c>
      <c r="T386" t="str">
        <f t="shared" si="44"/>
        <v>Вторая четверть</v>
      </c>
      <c r="U386" t="str">
        <f t="shared" si="45"/>
        <v>нормальный код</v>
      </c>
      <c r="V386" t="str">
        <f t="shared" si="46"/>
        <v>Вторая четверть</v>
      </c>
      <c r="W386" t="str">
        <f t="shared" si="47"/>
        <v>Вторая четверть</v>
      </c>
      <c r="X386">
        <v>22</v>
      </c>
    </row>
    <row r="387" spans="1:24" x14ac:dyDescent="0.35">
      <c r="A387" s="1" t="s">
        <v>2484</v>
      </c>
      <c r="B387" s="2" t="s">
        <v>2485</v>
      </c>
      <c r="C387" s="3" t="s">
        <v>13</v>
      </c>
      <c r="D387" s="2" t="s">
        <v>69</v>
      </c>
      <c r="E387" s="3" t="s">
        <v>455</v>
      </c>
      <c r="F387" s="2" t="s">
        <v>34</v>
      </c>
      <c r="G387" s="3" t="s">
        <v>72</v>
      </c>
      <c r="H387" s="2" t="s">
        <v>18</v>
      </c>
      <c r="I387" s="3" t="s">
        <v>19</v>
      </c>
      <c r="J387" s="3">
        <v>10059</v>
      </c>
      <c r="K387" s="3">
        <v>225</v>
      </c>
      <c r="L387" s="3">
        <v>4</v>
      </c>
      <c r="M387" s="4">
        <f t="shared" si="41"/>
        <v>2.2368028631076647E-2</v>
      </c>
      <c r="N387" s="4">
        <f t="shared" si="42"/>
        <v>1.7777777777777778E-2</v>
      </c>
      <c r="O387">
        <v>335</v>
      </c>
      <c r="P387" s="5">
        <v>1</v>
      </c>
      <c r="Q387" s="7">
        <v>1</v>
      </c>
      <c r="R387" t="str">
        <f t="shared" si="48"/>
        <v>код для проверки</v>
      </c>
      <c r="S387" t="str">
        <f t="shared" si="43"/>
        <v>Низшая четверть</v>
      </c>
      <c r="T387" t="str">
        <f t="shared" si="44"/>
        <v>Вторая четверть</v>
      </c>
      <c r="U387" t="str">
        <f t="shared" si="45"/>
        <v>код для проверки</v>
      </c>
      <c r="V387" t="str">
        <f t="shared" si="46"/>
        <v>Низшая четверть</v>
      </c>
      <c r="W387" t="str">
        <f t="shared" si="47"/>
        <v>Вторая четверть</v>
      </c>
      <c r="X387">
        <v>24</v>
      </c>
    </row>
    <row r="388" spans="1:24" x14ac:dyDescent="0.35">
      <c r="A388" s="1" t="s">
        <v>1325</v>
      </c>
      <c r="B388" s="2" t="s">
        <v>1326</v>
      </c>
      <c r="C388" s="3" t="s">
        <v>55</v>
      </c>
      <c r="D388" s="2" t="s">
        <v>295</v>
      </c>
      <c r="E388" s="3" t="s">
        <v>674</v>
      </c>
      <c r="F388" s="2" t="s">
        <v>16</v>
      </c>
      <c r="G388" s="3" t="s">
        <v>17</v>
      </c>
      <c r="H388" s="2" t="s">
        <v>97</v>
      </c>
      <c r="I388" s="3" t="s">
        <v>19</v>
      </c>
      <c r="J388" s="3">
        <v>10056</v>
      </c>
      <c r="K388" s="3">
        <v>3849</v>
      </c>
      <c r="L388" s="3">
        <v>56</v>
      </c>
      <c r="M388" s="4">
        <f t="shared" ref="M388:M451" si="49">IFERROR(K388/J388,0)</f>
        <v>0.38275656324582341</v>
      </c>
      <c r="N388" s="4">
        <f t="shared" ref="N388:N451" si="50">IFERROR(L388/K388,0)</f>
        <v>1.4549233567160301E-2</v>
      </c>
      <c r="O388">
        <v>630</v>
      </c>
      <c r="P388" s="5">
        <v>1</v>
      </c>
      <c r="Q388" s="7">
        <v>1</v>
      </c>
      <c r="R388" t="str">
        <f t="shared" si="48"/>
        <v>нормальный код</v>
      </c>
      <c r="S388" t="str">
        <f t="shared" ref="S388:S451" si="51">IF(M388&lt;$S$1*0.5,"Низшая четверть",IF(M388&lt;$S$1,"Вторая четверть","Больше половины"))</f>
        <v>Больше половины</v>
      </c>
      <c r="T388" t="str">
        <f t="shared" ref="T388:T451" si="52">IF(N388&lt;$T$1*0.5,"Низшая четверть",IF(N388&lt;$T$1,"Вторая четверть","Больше половины"))</f>
        <v>Вторая четверть</v>
      </c>
      <c r="U388" t="str">
        <f t="shared" ref="U388:U451" si="53">IF(OR(M388&lt;SUMIFS(K:K,Q:Q,1,E:E,E388)/SUMIFS(J:J,Q:Q,1,E:E,E388)*0.5,N388&lt;SUMIFS(L:L,Q:Q,1,E:E,E388)/SUMIFS(K:K,Q:Q,1,E:E,E388)*0.5),"код для проверки","нормальный код")</f>
        <v>нормальный код</v>
      </c>
      <c r="V388" t="str">
        <f t="shared" ref="V388:V451" si="54">IF(M388&lt;SUMIFS(K:K,Q:Q,1,E:E,E388)/SUMIFS(J:J,Q:Q,1,E:E,E388)*0.5,"Низшая четверть",IF(M388&lt;SUMIFS(K:K,Q:Q,1,E:E,E388)/SUMIFS(J:J,Q:Q,1,E:E,E388),"Вторая четверть","Больше половины"))</f>
        <v>Больше половины</v>
      </c>
      <c r="W388" t="str">
        <f t="shared" ref="W388:W451" si="55">IF(N388&lt;SUMIFS(L:L,Q:Q,1,E:E,E388)/SUMIFS(K:K,Q:Q,1,E:E,E388)*0.5,"Низшая четверть",IF(N388&lt;SUMIFS(L:L,Q:Q,1,E:E,E388)/SUMIFS(K:K,Q:Q,1,E:E,E388),"Вторая четверть","Больше половины"))</f>
        <v>Вторая четверть</v>
      </c>
      <c r="X388">
        <v>14</v>
      </c>
    </row>
    <row r="389" spans="1:24" x14ac:dyDescent="0.35">
      <c r="A389" s="1" t="s">
        <v>1137</v>
      </c>
      <c r="B389" s="2" t="s">
        <v>1138</v>
      </c>
      <c r="C389" s="3" t="s">
        <v>55</v>
      </c>
      <c r="D389" s="2" t="s">
        <v>340</v>
      </c>
      <c r="E389" s="3" t="s">
        <v>341</v>
      </c>
      <c r="F389" s="2" t="s">
        <v>96</v>
      </c>
      <c r="G389" s="3" t="s">
        <v>17</v>
      </c>
      <c r="H389" s="2" t="s">
        <v>97</v>
      </c>
      <c r="I389" s="3" t="s">
        <v>19</v>
      </c>
      <c r="J389" s="3">
        <v>9983</v>
      </c>
      <c r="K389" s="3">
        <v>1041</v>
      </c>
      <c r="L389" s="3">
        <v>11</v>
      </c>
      <c r="M389" s="4">
        <f t="shared" si="49"/>
        <v>0.10427727136131423</v>
      </c>
      <c r="N389" s="4">
        <f t="shared" si="50"/>
        <v>1.0566762728146013E-2</v>
      </c>
      <c r="O389">
        <v>412</v>
      </c>
      <c r="P389" s="5">
        <v>1</v>
      </c>
      <c r="Q389" s="7">
        <v>1</v>
      </c>
      <c r="R389" t="str">
        <f t="shared" si="48"/>
        <v>нормальный код</v>
      </c>
      <c r="S389" t="str">
        <f t="shared" si="51"/>
        <v>Больше половины</v>
      </c>
      <c r="T389" t="str">
        <f t="shared" si="52"/>
        <v>Вторая четверть</v>
      </c>
      <c r="U389" t="str">
        <f t="shared" si="53"/>
        <v>нормальный код</v>
      </c>
      <c r="V389" t="str">
        <f t="shared" si="54"/>
        <v>Вторая четверть</v>
      </c>
      <c r="W389" t="str">
        <f t="shared" si="55"/>
        <v>Вторая четверть</v>
      </c>
      <c r="X389">
        <v>15</v>
      </c>
    </row>
    <row r="390" spans="1:24" x14ac:dyDescent="0.35">
      <c r="A390" s="1" t="s">
        <v>2486</v>
      </c>
      <c r="B390" s="2" t="s">
        <v>2487</v>
      </c>
      <c r="C390" s="3" t="s">
        <v>13</v>
      </c>
      <c r="D390" s="2" t="s">
        <v>69</v>
      </c>
      <c r="E390" s="3" t="s">
        <v>1783</v>
      </c>
      <c r="F390" s="2" t="s">
        <v>61</v>
      </c>
      <c r="G390" s="3" t="s">
        <v>72</v>
      </c>
      <c r="H390" s="2" t="s">
        <v>18</v>
      </c>
      <c r="I390" s="3" t="s">
        <v>19</v>
      </c>
      <c r="J390" s="3">
        <v>9950</v>
      </c>
      <c r="K390" s="3">
        <v>718</v>
      </c>
      <c r="L390" s="3">
        <v>4</v>
      </c>
      <c r="M390" s="4">
        <f t="shared" si="49"/>
        <v>7.21608040201005E-2</v>
      </c>
      <c r="N390" s="4">
        <f t="shared" si="50"/>
        <v>5.5710306406685237E-3</v>
      </c>
      <c r="O390">
        <v>655</v>
      </c>
      <c r="P390" s="5">
        <v>1</v>
      </c>
      <c r="Q390" s="7">
        <v>1</v>
      </c>
      <c r="R390" t="str">
        <f t="shared" si="48"/>
        <v>код для проверки</v>
      </c>
      <c r="S390" t="str">
        <f t="shared" si="51"/>
        <v>Вторая четверть</v>
      </c>
      <c r="T390" t="str">
        <f t="shared" si="52"/>
        <v>Низшая четверть</v>
      </c>
      <c r="U390" t="str">
        <f t="shared" si="53"/>
        <v>код для проверки</v>
      </c>
      <c r="V390" t="str">
        <f t="shared" si="54"/>
        <v>Вторая четверть</v>
      </c>
      <c r="W390" t="str">
        <f t="shared" si="55"/>
        <v>Низшая четверть</v>
      </c>
      <c r="X390">
        <v>6</v>
      </c>
    </row>
    <row r="391" spans="1:24" x14ac:dyDescent="0.35">
      <c r="A391" s="1" t="s">
        <v>1746</v>
      </c>
      <c r="B391" s="2" t="s">
        <v>1747</v>
      </c>
      <c r="C391" s="3" t="s">
        <v>55</v>
      </c>
      <c r="D391" s="2" t="s">
        <v>295</v>
      </c>
      <c r="E391" s="3" t="s">
        <v>1373</v>
      </c>
      <c r="F391" s="2" t="s">
        <v>71</v>
      </c>
      <c r="G391" s="3" t="s">
        <v>17</v>
      </c>
      <c r="H391" s="2" t="s">
        <v>97</v>
      </c>
      <c r="I391" s="3" t="s">
        <v>19</v>
      </c>
      <c r="J391" s="3">
        <v>9944</v>
      </c>
      <c r="K391" s="3">
        <v>1734</v>
      </c>
      <c r="L391" s="3">
        <v>3</v>
      </c>
      <c r="M391" s="4">
        <f t="shared" si="49"/>
        <v>0.1743765084473049</v>
      </c>
      <c r="N391" s="4">
        <f t="shared" si="50"/>
        <v>1.7301038062283738E-3</v>
      </c>
      <c r="O391">
        <v>500</v>
      </c>
      <c r="P391" s="5">
        <v>1</v>
      </c>
      <c r="Q391" s="7">
        <v>1</v>
      </c>
      <c r="R391" t="str">
        <f t="shared" si="48"/>
        <v>код для проверки</v>
      </c>
      <c r="S391" t="str">
        <f t="shared" si="51"/>
        <v>Больше половины</v>
      </c>
      <c r="T391" t="str">
        <f t="shared" si="52"/>
        <v>Низшая четверть</v>
      </c>
      <c r="U391" t="str">
        <f t="shared" si="53"/>
        <v>код для проверки</v>
      </c>
      <c r="V391" t="str">
        <f t="shared" si="54"/>
        <v>Больше половины</v>
      </c>
      <c r="W391" t="str">
        <f t="shared" si="55"/>
        <v>Низшая четверть</v>
      </c>
      <c r="X391">
        <v>14</v>
      </c>
    </row>
    <row r="392" spans="1:24" x14ac:dyDescent="0.35">
      <c r="A392" s="1" t="s">
        <v>247</v>
      </c>
      <c r="B392" s="2" t="s">
        <v>248</v>
      </c>
      <c r="C392" s="3" t="s">
        <v>13</v>
      </c>
      <c r="D392" s="2" t="s">
        <v>49</v>
      </c>
      <c r="E392" s="3" t="s">
        <v>50</v>
      </c>
      <c r="F392" s="2" t="s">
        <v>34</v>
      </c>
      <c r="G392" s="3" t="s">
        <v>17</v>
      </c>
      <c r="H392" s="2" t="s">
        <v>18</v>
      </c>
      <c r="I392" s="3" t="s">
        <v>19</v>
      </c>
      <c r="J392" s="3">
        <v>9869</v>
      </c>
      <c r="K392" s="3">
        <v>718</v>
      </c>
      <c r="L392" s="3">
        <v>22</v>
      </c>
      <c r="M392" s="4">
        <f t="shared" si="49"/>
        <v>7.2753065153510987E-2</v>
      </c>
      <c r="N392" s="4">
        <f t="shared" si="50"/>
        <v>3.0640668523676879E-2</v>
      </c>
      <c r="O392">
        <v>401</v>
      </c>
      <c r="P392" s="5">
        <v>0.8</v>
      </c>
      <c r="Q392" s="7">
        <v>1</v>
      </c>
      <c r="R392" t="str">
        <f t="shared" si="48"/>
        <v>нормальный код</v>
      </c>
      <c r="S392" t="str">
        <f t="shared" si="51"/>
        <v>Вторая четверть</v>
      </c>
      <c r="T392" t="str">
        <f t="shared" si="52"/>
        <v>Больше половины</v>
      </c>
      <c r="U392" t="str">
        <f t="shared" si="53"/>
        <v>нормальный код</v>
      </c>
      <c r="V392" t="str">
        <f t="shared" si="54"/>
        <v>Больше половины</v>
      </c>
      <c r="W392" t="str">
        <f t="shared" si="55"/>
        <v>Вторая четверть</v>
      </c>
      <c r="X392">
        <v>18</v>
      </c>
    </row>
    <row r="393" spans="1:24" x14ac:dyDescent="0.35">
      <c r="A393" s="1" t="s">
        <v>1436</v>
      </c>
      <c r="B393" s="2" t="s">
        <v>1437</v>
      </c>
      <c r="C393" s="3" t="s">
        <v>55</v>
      </c>
      <c r="D393" s="2" t="s">
        <v>94</v>
      </c>
      <c r="E393" s="3" t="s">
        <v>95</v>
      </c>
      <c r="F393" s="2" t="s">
        <v>96</v>
      </c>
      <c r="G393" s="3" t="s">
        <v>17</v>
      </c>
      <c r="H393" s="2" t="s">
        <v>97</v>
      </c>
      <c r="I393" s="3" t="s">
        <v>19</v>
      </c>
      <c r="J393" s="3">
        <v>9718</v>
      </c>
      <c r="K393" s="3">
        <v>7012</v>
      </c>
      <c r="L393" s="3">
        <v>58</v>
      </c>
      <c r="M393" s="4">
        <f t="shared" si="49"/>
        <v>0.72154764354805512</v>
      </c>
      <c r="N393" s="4">
        <f t="shared" si="50"/>
        <v>8.2715345122646895E-3</v>
      </c>
      <c r="O393">
        <v>2666</v>
      </c>
      <c r="P393" s="5">
        <v>0.77777777777777779</v>
      </c>
      <c r="Q393" s="7">
        <v>1</v>
      </c>
      <c r="R393" t="str">
        <f t="shared" si="48"/>
        <v>код для проверки</v>
      </c>
      <c r="S393" t="str">
        <f t="shared" si="51"/>
        <v>Больше половины</v>
      </c>
      <c r="T393" t="str">
        <f t="shared" si="52"/>
        <v>Низшая четверть</v>
      </c>
      <c r="U393" t="str">
        <f t="shared" si="53"/>
        <v>нормальный код</v>
      </c>
      <c r="V393" t="str">
        <f t="shared" si="54"/>
        <v>Больше половины</v>
      </c>
      <c r="W393" t="str">
        <f t="shared" si="55"/>
        <v>Вторая четверть</v>
      </c>
      <c r="X393">
        <v>21</v>
      </c>
    </row>
    <row r="394" spans="1:24" x14ac:dyDescent="0.35">
      <c r="A394" s="1" t="s">
        <v>1043</v>
      </c>
      <c r="B394" s="2" t="s">
        <v>1044</v>
      </c>
      <c r="C394" s="3" t="s">
        <v>55</v>
      </c>
      <c r="D394" s="2" t="s">
        <v>147</v>
      </c>
      <c r="E394" s="3" t="s">
        <v>207</v>
      </c>
      <c r="F394" s="2" t="s">
        <v>34</v>
      </c>
      <c r="G394" s="3" t="s">
        <v>17</v>
      </c>
      <c r="H394" s="2" t="s">
        <v>18</v>
      </c>
      <c r="I394" s="3" t="s">
        <v>19</v>
      </c>
      <c r="J394" s="3">
        <v>9672</v>
      </c>
      <c r="K394" s="3">
        <v>1735</v>
      </c>
      <c r="L394" s="3">
        <v>37</v>
      </c>
      <c r="M394" s="4">
        <f t="shared" si="49"/>
        <v>0.17938378825475601</v>
      </c>
      <c r="N394" s="4">
        <f t="shared" si="50"/>
        <v>2.132564841498559E-2</v>
      </c>
      <c r="O394">
        <v>293</v>
      </c>
      <c r="P394" s="5">
        <v>1</v>
      </c>
      <c r="Q394" s="7">
        <v>1</v>
      </c>
      <c r="R394" t="str">
        <f t="shared" si="48"/>
        <v>нормальный код</v>
      </c>
      <c r="S394" t="str">
        <f t="shared" si="51"/>
        <v>Больше половины</v>
      </c>
      <c r="T394" t="str">
        <f t="shared" si="52"/>
        <v>Больше половины</v>
      </c>
      <c r="U394" t="str">
        <f t="shared" si="53"/>
        <v>нормальный код</v>
      </c>
      <c r="V394" t="str">
        <f t="shared" si="54"/>
        <v>Больше половины</v>
      </c>
      <c r="W394" t="str">
        <f t="shared" si="55"/>
        <v>Больше половины</v>
      </c>
      <c r="X394">
        <v>25</v>
      </c>
    </row>
    <row r="395" spans="1:24" x14ac:dyDescent="0.35">
      <c r="A395" s="1" t="s">
        <v>1994</v>
      </c>
      <c r="B395" s="2" t="s">
        <v>1995</v>
      </c>
      <c r="C395" s="3" t="s">
        <v>13</v>
      </c>
      <c r="D395" s="2" t="s">
        <v>69</v>
      </c>
      <c r="E395" s="3" t="s">
        <v>159</v>
      </c>
      <c r="F395" s="2" t="s">
        <v>34</v>
      </c>
      <c r="G395" s="3" t="s">
        <v>72</v>
      </c>
      <c r="H395" s="2" t="s">
        <v>18</v>
      </c>
      <c r="I395" s="3" t="s">
        <v>19</v>
      </c>
      <c r="J395" s="3">
        <v>9599</v>
      </c>
      <c r="K395" s="3">
        <v>1320</v>
      </c>
      <c r="L395" s="3">
        <v>24</v>
      </c>
      <c r="M395" s="4">
        <f t="shared" si="49"/>
        <v>0.13751432440879258</v>
      </c>
      <c r="N395" s="4">
        <f t="shared" si="50"/>
        <v>1.8181818181818181E-2</v>
      </c>
      <c r="O395">
        <v>699</v>
      </c>
      <c r="P395" s="5">
        <v>1</v>
      </c>
      <c r="Q395" s="7">
        <v>1</v>
      </c>
      <c r="R395" t="str">
        <f t="shared" si="48"/>
        <v>нормальный код</v>
      </c>
      <c r="S395" t="str">
        <f t="shared" si="51"/>
        <v>Больше половины</v>
      </c>
      <c r="T395" t="str">
        <f t="shared" si="52"/>
        <v>Вторая четверть</v>
      </c>
      <c r="U395" t="str">
        <f t="shared" si="53"/>
        <v>нормальный код</v>
      </c>
      <c r="V395" t="str">
        <f t="shared" si="54"/>
        <v>Больше половины</v>
      </c>
      <c r="W395" t="str">
        <f t="shared" si="55"/>
        <v>Вторая четверть</v>
      </c>
      <c r="X395">
        <v>5</v>
      </c>
    </row>
    <row r="396" spans="1:24" x14ac:dyDescent="0.35">
      <c r="A396" s="1" t="s">
        <v>410</v>
      </c>
      <c r="B396" s="2" t="s">
        <v>411</v>
      </c>
      <c r="C396" s="3" t="s">
        <v>13</v>
      </c>
      <c r="D396" s="2" t="s">
        <v>412</v>
      </c>
      <c r="E396" s="3" t="s">
        <v>413</v>
      </c>
      <c r="F396" s="2" t="s">
        <v>61</v>
      </c>
      <c r="G396" s="3" t="s">
        <v>17</v>
      </c>
      <c r="H396" s="2" t="s">
        <v>97</v>
      </c>
      <c r="I396" s="3" t="s">
        <v>19</v>
      </c>
      <c r="J396" s="3">
        <v>9573</v>
      </c>
      <c r="K396" s="3">
        <v>1038</v>
      </c>
      <c r="L396" s="3">
        <v>14</v>
      </c>
      <c r="M396" s="4">
        <f t="shared" si="49"/>
        <v>0.10842995926041993</v>
      </c>
      <c r="N396" s="4">
        <f t="shared" si="50"/>
        <v>1.348747591522158E-2</v>
      </c>
      <c r="O396">
        <v>413</v>
      </c>
      <c r="P396" s="5">
        <v>1</v>
      </c>
      <c r="Q396" s="7">
        <v>1</v>
      </c>
      <c r="R396" t="str">
        <f t="shared" si="48"/>
        <v>нормальный код</v>
      </c>
      <c r="S396" t="str">
        <f t="shared" si="51"/>
        <v>Больше половины</v>
      </c>
      <c r="T396" t="str">
        <f t="shared" si="52"/>
        <v>Вторая четверть</v>
      </c>
      <c r="U396" t="str">
        <f t="shared" si="53"/>
        <v>нормальный код</v>
      </c>
      <c r="V396" t="str">
        <f t="shared" si="54"/>
        <v>Больше половины</v>
      </c>
      <c r="W396" t="str">
        <f t="shared" si="55"/>
        <v>Вторая четверть</v>
      </c>
      <c r="X396">
        <v>9</v>
      </c>
    </row>
    <row r="397" spans="1:24" x14ac:dyDescent="0.35">
      <c r="A397" s="1" t="s">
        <v>509</v>
      </c>
      <c r="B397" s="2" t="s">
        <v>510</v>
      </c>
      <c r="C397" s="3" t="s">
        <v>13</v>
      </c>
      <c r="D397" s="2" t="s">
        <v>164</v>
      </c>
      <c r="E397" s="3" t="s">
        <v>374</v>
      </c>
      <c r="F397" s="2" t="s">
        <v>71</v>
      </c>
      <c r="G397" s="3" t="s">
        <v>35</v>
      </c>
      <c r="H397" s="2" t="s">
        <v>18</v>
      </c>
      <c r="I397" s="3" t="s">
        <v>19</v>
      </c>
      <c r="J397" s="3">
        <v>9514</v>
      </c>
      <c r="K397" s="3">
        <v>1221</v>
      </c>
      <c r="L397" s="3">
        <v>23</v>
      </c>
      <c r="M397" s="4">
        <f t="shared" si="49"/>
        <v>0.12833718730292201</v>
      </c>
      <c r="N397" s="4">
        <f t="shared" si="50"/>
        <v>1.8837018837018837E-2</v>
      </c>
      <c r="O397">
        <v>200</v>
      </c>
      <c r="P397" s="5">
        <v>1</v>
      </c>
      <c r="Q397" s="7">
        <v>1</v>
      </c>
      <c r="R397" t="str">
        <f t="shared" si="48"/>
        <v>нормальный код</v>
      </c>
      <c r="S397" t="str">
        <f t="shared" si="51"/>
        <v>Больше половины</v>
      </c>
      <c r="T397" t="str">
        <f t="shared" si="52"/>
        <v>Вторая четверть</v>
      </c>
      <c r="U397" t="str">
        <f t="shared" si="53"/>
        <v>нормальный код</v>
      </c>
      <c r="V397" t="str">
        <f t="shared" si="54"/>
        <v>Больше половины</v>
      </c>
      <c r="W397" t="str">
        <f t="shared" si="55"/>
        <v>Больше половины</v>
      </c>
      <c r="X397">
        <v>21</v>
      </c>
    </row>
    <row r="398" spans="1:24" x14ac:dyDescent="0.35">
      <c r="A398" s="1" t="s">
        <v>1940</v>
      </c>
      <c r="B398" s="2" t="s">
        <v>1941</v>
      </c>
      <c r="C398" s="3" t="s">
        <v>13</v>
      </c>
      <c r="D398" s="2" t="s">
        <v>69</v>
      </c>
      <c r="E398" s="3" t="s">
        <v>1942</v>
      </c>
      <c r="F398" s="2" t="s">
        <v>96</v>
      </c>
      <c r="G398" s="3" t="s">
        <v>72</v>
      </c>
      <c r="H398" s="2" t="s">
        <v>18</v>
      </c>
      <c r="I398" s="3" t="s">
        <v>19</v>
      </c>
      <c r="J398" s="3">
        <v>9506</v>
      </c>
      <c r="K398" s="3">
        <v>571</v>
      </c>
      <c r="L398" s="3">
        <v>17</v>
      </c>
      <c r="M398" s="4">
        <f t="shared" si="49"/>
        <v>6.0067325899431936E-2</v>
      </c>
      <c r="N398" s="4">
        <f t="shared" si="50"/>
        <v>2.9772329246935202E-2</v>
      </c>
      <c r="O398">
        <v>230</v>
      </c>
      <c r="P398" s="5">
        <v>1</v>
      </c>
      <c r="Q398" s="7">
        <v>1</v>
      </c>
      <c r="R398" t="str">
        <f t="shared" si="48"/>
        <v>нормальный код</v>
      </c>
      <c r="S398" t="str">
        <f t="shared" si="51"/>
        <v>Вторая четверть</v>
      </c>
      <c r="T398" t="str">
        <f t="shared" si="52"/>
        <v>Больше половины</v>
      </c>
      <c r="U398" t="str">
        <f t="shared" si="53"/>
        <v>нормальный код</v>
      </c>
      <c r="V398" t="str">
        <f t="shared" si="54"/>
        <v>Больше половины</v>
      </c>
      <c r="W398" t="str">
        <f t="shared" si="55"/>
        <v>Больше половины</v>
      </c>
      <c r="X398">
        <v>11</v>
      </c>
    </row>
    <row r="399" spans="1:24" x14ac:dyDescent="0.35">
      <c r="A399" s="1" t="s">
        <v>1382</v>
      </c>
      <c r="B399" s="2" t="s">
        <v>1383</v>
      </c>
      <c r="C399" s="3" t="s">
        <v>55</v>
      </c>
      <c r="D399" s="2" t="s">
        <v>340</v>
      </c>
      <c r="E399" s="3" t="s">
        <v>341</v>
      </c>
      <c r="F399" s="2" t="s">
        <v>96</v>
      </c>
      <c r="G399" s="3" t="s">
        <v>17</v>
      </c>
      <c r="H399" s="2" t="s">
        <v>97</v>
      </c>
      <c r="I399" s="3" t="s">
        <v>19</v>
      </c>
      <c r="J399" s="3">
        <v>9427</v>
      </c>
      <c r="K399" s="3">
        <v>2788</v>
      </c>
      <c r="L399" s="3">
        <v>17</v>
      </c>
      <c r="M399" s="4">
        <f t="shared" si="49"/>
        <v>0.29574626074042643</v>
      </c>
      <c r="N399" s="4">
        <f t="shared" si="50"/>
        <v>6.0975609756097563E-3</v>
      </c>
      <c r="O399">
        <v>842</v>
      </c>
      <c r="P399" s="5">
        <v>1</v>
      </c>
      <c r="Q399" s="7">
        <v>1</v>
      </c>
      <c r="R399" t="str">
        <f t="shared" si="48"/>
        <v>код для проверки</v>
      </c>
      <c r="S399" t="str">
        <f t="shared" si="51"/>
        <v>Больше половины</v>
      </c>
      <c r="T399" t="str">
        <f t="shared" si="52"/>
        <v>Низшая четверть</v>
      </c>
      <c r="U399" t="str">
        <f t="shared" si="53"/>
        <v>код для проверки</v>
      </c>
      <c r="V399" t="str">
        <f t="shared" si="54"/>
        <v>Больше половины</v>
      </c>
      <c r="W399" t="str">
        <f t="shared" si="55"/>
        <v>Низшая четверть</v>
      </c>
      <c r="X399">
        <v>16</v>
      </c>
    </row>
    <row r="400" spans="1:24" x14ac:dyDescent="0.35">
      <c r="A400" s="1" t="s">
        <v>1141</v>
      </c>
      <c r="B400" s="2" t="s">
        <v>1142</v>
      </c>
      <c r="C400" s="3" t="s">
        <v>13</v>
      </c>
      <c r="D400" s="2" t="s">
        <v>14</v>
      </c>
      <c r="E400" s="3" t="s">
        <v>366</v>
      </c>
      <c r="F400" s="2" t="s">
        <v>123</v>
      </c>
      <c r="G400" s="3" t="s">
        <v>35</v>
      </c>
      <c r="H400" s="2" t="s">
        <v>18</v>
      </c>
      <c r="I400" s="3" t="s">
        <v>19</v>
      </c>
      <c r="J400" s="3">
        <v>9264</v>
      </c>
      <c r="K400" s="3">
        <v>930</v>
      </c>
      <c r="L400" s="3">
        <v>25</v>
      </c>
      <c r="M400" s="4">
        <f t="shared" si="49"/>
        <v>0.10038860103626943</v>
      </c>
      <c r="N400" s="4">
        <f t="shared" si="50"/>
        <v>2.6881720430107527E-2</v>
      </c>
      <c r="O400">
        <v>272</v>
      </c>
      <c r="P400" s="5">
        <v>1</v>
      </c>
      <c r="Q400" s="7">
        <v>1</v>
      </c>
      <c r="R400" t="str">
        <f t="shared" si="48"/>
        <v>нормальный код</v>
      </c>
      <c r="S400" t="str">
        <f t="shared" si="51"/>
        <v>Больше половины</v>
      </c>
      <c r="T400" t="str">
        <f t="shared" si="52"/>
        <v>Больше половины</v>
      </c>
      <c r="U400" t="str">
        <f t="shared" si="53"/>
        <v>нормальный код</v>
      </c>
      <c r="V400" t="str">
        <f t="shared" si="54"/>
        <v>Больше половины</v>
      </c>
      <c r="W400" t="str">
        <f t="shared" si="55"/>
        <v>Больше половины</v>
      </c>
      <c r="X400">
        <v>21</v>
      </c>
    </row>
    <row r="401" spans="1:24" x14ac:dyDescent="0.35">
      <c r="A401" s="1" t="s">
        <v>259</v>
      </c>
      <c r="B401" s="2" t="s">
        <v>260</v>
      </c>
      <c r="C401" s="3" t="s">
        <v>13</v>
      </c>
      <c r="D401" s="2" t="s">
        <v>77</v>
      </c>
      <c r="E401" s="3" t="s">
        <v>89</v>
      </c>
      <c r="F401" s="2" t="s">
        <v>34</v>
      </c>
      <c r="G401" s="3" t="s">
        <v>17</v>
      </c>
      <c r="H401" s="2" t="s">
        <v>18</v>
      </c>
      <c r="I401" s="3" t="s">
        <v>19</v>
      </c>
      <c r="J401" s="3">
        <v>9199</v>
      </c>
      <c r="K401" s="3">
        <v>919</v>
      </c>
      <c r="L401" s="3">
        <v>4</v>
      </c>
      <c r="M401" s="4">
        <f t="shared" si="49"/>
        <v>9.9902163278617243E-2</v>
      </c>
      <c r="N401" s="4">
        <f t="shared" si="50"/>
        <v>4.3525571273122961E-3</v>
      </c>
      <c r="O401">
        <v>563</v>
      </c>
      <c r="P401" s="5">
        <v>1</v>
      </c>
      <c r="Q401" s="7">
        <v>1</v>
      </c>
      <c r="R401" t="str">
        <f t="shared" si="48"/>
        <v>код для проверки</v>
      </c>
      <c r="S401" t="str">
        <f t="shared" si="51"/>
        <v>Больше половины</v>
      </c>
      <c r="T401" t="str">
        <f t="shared" si="52"/>
        <v>Низшая четверть</v>
      </c>
      <c r="U401" t="str">
        <f t="shared" si="53"/>
        <v>код для проверки</v>
      </c>
      <c r="V401" t="str">
        <f t="shared" si="54"/>
        <v>Вторая четверть</v>
      </c>
      <c r="W401" t="str">
        <f t="shared" si="55"/>
        <v>Низшая четверть</v>
      </c>
      <c r="X401">
        <v>12</v>
      </c>
    </row>
    <row r="402" spans="1:24" x14ac:dyDescent="0.35">
      <c r="A402" s="1" t="s">
        <v>242</v>
      </c>
      <c r="B402" s="2" t="s">
        <v>243</v>
      </c>
      <c r="C402" s="3" t="s">
        <v>13</v>
      </c>
      <c r="D402" s="2" t="s">
        <v>155</v>
      </c>
      <c r="E402" s="3" t="s">
        <v>244</v>
      </c>
      <c r="F402" s="2" t="s">
        <v>34</v>
      </c>
      <c r="G402" s="3" t="s">
        <v>35</v>
      </c>
      <c r="H402" s="2" t="s">
        <v>18</v>
      </c>
      <c r="I402" s="3" t="s">
        <v>19</v>
      </c>
      <c r="J402" s="3">
        <v>9030</v>
      </c>
      <c r="K402" s="3">
        <v>760</v>
      </c>
      <c r="L402" s="3">
        <v>7</v>
      </c>
      <c r="M402" s="4">
        <f t="shared" si="49"/>
        <v>8.416389811738649E-2</v>
      </c>
      <c r="N402" s="4">
        <f t="shared" si="50"/>
        <v>9.2105263157894728E-3</v>
      </c>
      <c r="O402">
        <v>29</v>
      </c>
      <c r="P402" s="5">
        <v>0.6</v>
      </c>
      <c r="Q402" s="7">
        <v>1</v>
      </c>
      <c r="R402" t="str">
        <f t="shared" ref="R402:R426" si="56">IF(OR(M402&lt;$S$1*0.5,N402&lt;$T$1*0.5),"код для проверки","нормальный код")</f>
        <v>код для проверки</v>
      </c>
      <c r="S402" t="str">
        <f t="shared" si="51"/>
        <v>Вторая четверть</v>
      </c>
      <c r="T402" t="str">
        <f t="shared" si="52"/>
        <v>Низшая четверть</v>
      </c>
      <c r="U402" t="str">
        <f t="shared" si="53"/>
        <v>нормальный код</v>
      </c>
      <c r="V402" t="str">
        <f t="shared" si="54"/>
        <v>Вторая четверть</v>
      </c>
      <c r="W402" t="str">
        <f t="shared" si="55"/>
        <v>Вторая четверть</v>
      </c>
      <c r="X402">
        <v>18</v>
      </c>
    </row>
    <row r="403" spans="1:24" x14ac:dyDescent="0.35">
      <c r="A403" s="1" t="s">
        <v>1053</v>
      </c>
      <c r="B403" s="2" t="s">
        <v>1054</v>
      </c>
      <c r="C403" s="3" t="s">
        <v>13</v>
      </c>
      <c r="D403" s="2" t="s">
        <v>85</v>
      </c>
      <c r="E403" s="3" t="s">
        <v>831</v>
      </c>
      <c r="F403" s="2" t="s">
        <v>34</v>
      </c>
      <c r="G403" s="3" t="s">
        <v>35</v>
      </c>
      <c r="H403" s="2" t="s">
        <v>18</v>
      </c>
      <c r="I403" s="3" t="s">
        <v>19</v>
      </c>
      <c r="J403" s="3">
        <v>9028</v>
      </c>
      <c r="K403" s="3">
        <v>1434</v>
      </c>
      <c r="L403" s="3">
        <v>31</v>
      </c>
      <c r="M403" s="4">
        <f t="shared" si="49"/>
        <v>0.15883916703588835</v>
      </c>
      <c r="N403" s="4">
        <f t="shared" si="50"/>
        <v>2.1617852161785217E-2</v>
      </c>
      <c r="O403">
        <v>468</v>
      </c>
      <c r="P403" s="5">
        <v>1</v>
      </c>
      <c r="Q403" s="7">
        <v>1</v>
      </c>
      <c r="R403" t="str">
        <f t="shared" si="56"/>
        <v>нормальный код</v>
      </c>
      <c r="S403" t="str">
        <f t="shared" si="51"/>
        <v>Больше половины</v>
      </c>
      <c r="T403" t="str">
        <f t="shared" si="52"/>
        <v>Больше половины</v>
      </c>
      <c r="U403" t="str">
        <f t="shared" si="53"/>
        <v>нормальный код</v>
      </c>
      <c r="V403" t="str">
        <f t="shared" si="54"/>
        <v>Больше половины</v>
      </c>
      <c r="W403" t="str">
        <f t="shared" si="55"/>
        <v>Больше половины</v>
      </c>
      <c r="X403">
        <v>20</v>
      </c>
    </row>
    <row r="404" spans="1:24" x14ac:dyDescent="0.35">
      <c r="A404" s="1" t="s">
        <v>2020</v>
      </c>
      <c r="B404" s="2" t="s">
        <v>2021</v>
      </c>
      <c r="C404" s="3" t="s">
        <v>13</v>
      </c>
      <c r="D404" s="2" t="s">
        <v>69</v>
      </c>
      <c r="E404" s="3" t="s">
        <v>210</v>
      </c>
      <c r="F404" s="2" t="s">
        <v>34</v>
      </c>
      <c r="G404" s="3" t="s">
        <v>72</v>
      </c>
      <c r="H404" s="2" t="s">
        <v>18</v>
      </c>
      <c r="I404" s="3" t="s">
        <v>19</v>
      </c>
      <c r="J404" s="3">
        <v>9026</v>
      </c>
      <c r="K404" s="3">
        <v>1303</v>
      </c>
      <c r="L404" s="3">
        <v>39</v>
      </c>
      <c r="M404" s="4">
        <f t="shared" si="49"/>
        <v>0.14436073565255927</v>
      </c>
      <c r="N404" s="4">
        <f t="shared" si="50"/>
        <v>2.9930928626247123E-2</v>
      </c>
      <c r="O404">
        <v>668</v>
      </c>
      <c r="P404" s="5">
        <v>1</v>
      </c>
      <c r="Q404" s="7">
        <v>1</v>
      </c>
      <c r="R404" t="str">
        <f t="shared" si="56"/>
        <v>нормальный код</v>
      </c>
      <c r="S404" t="str">
        <f t="shared" si="51"/>
        <v>Больше половины</v>
      </c>
      <c r="T404" t="str">
        <f t="shared" si="52"/>
        <v>Больше половины</v>
      </c>
      <c r="U404" t="str">
        <f t="shared" si="53"/>
        <v>нормальный код</v>
      </c>
      <c r="V404" t="str">
        <f t="shared" si="54"/>
        <v>Больше половины</v>
      </c>
      <c r="W404" t="str">
        <f t="shared" si="55"/>
        <v>Вторая четверть</v>
      </c>
      <c r="X404">
        <v>15</v>
      </c>
    </row>
    <row r="405" spans="1:24" x14ac:dyDescent="0.35">
      <c r="A405" s="1" t="s">
        <v>821</v>
      </c>
      <c r="B405" s="2" t="s">
        <v>822</v>
      </c>
      <c r="C405" s="3" t="s">
        <v>13</v>
      </c>
      <c r="D405" s="2" t="s">
        <v>155</v>
      </c>
      <c r="E405" s="3" t="s">
        <v>156</v>
      </c>
      <c r="F405" s="2" t="s">
        <v>34</v>
      </c>
      <c r="G405" s="3" t="s">
        <v>17</v>
      </c>
      <c r="H405" s="2" t="s">
        <v>18</v>
      </c>
      <c r="I405" s="3" t="s">
        <v>19</v>
      </c>
      <c r="J405" s="3">
        <v>9012</v>
      </c>
      <c r="K405" s="3">
        <v>1415</v>
      </c>
      <c r="L405" s="3">
        <v>12</v>
      </c>
      <c r="M405" s="4">
        <f t="shared" si="49"/>
        <v>0.15701287172658676</v>
      </c>
      <c r="N405" s="4">
        <f t="shared" si="50"/>
        <v>8.4805653710247342E-3</v>
      </c>
      <c r="O405">
        <v>621</v>
      </c>
      <c r="P405" s="5">
        <v>1</v>
      </c>
      <c r="Q405" s="7">
        <v>1</v>
      </c>
      <c r="R405" t="str">
        <f t="shared" si="56"/>
        <v>код для проверки</v>
      </c>
      <c r="S405" t="str">
        <f t="shared" si="51"/>
        <v>Больше половины</v>
      </c>
      <c r="T405" t="str">
        <f t="shared" si="52"/>
        <v>Низшая четверть</v>
      </c>
      <c r="U405" t="str">
        <f t="shared" si="53"/>
        <v>код для проверки</v>
      </c>
      <c r="V405" t="str">
        <f t="shared" si="54"/>
        <v>Больше половины</v>
      </c>
      <c r="W405" t="str">
        <f t="shared" si="55"/>
        <v>Низшая четверть</v>
      </c>
      <c r="X405">
        <v>18</v>
      </c>
    </row>
    <row r="406" spans="1:24" x14ac:dyDescent="0.35">
      <c r="A406" s="1" t="s">
        <v>286</v>
      </c>
      <c r="B406" s="2" t="s">
        <v>287</v>
      </c>
      <c r="C406" s="3" t="s">
        <v>13</v>
      </c>
      <c r="D406" s="2" t="s">
        <v>77</v>
      </c>
      <c r="E406" s="3" t="s">
        <v>89</v>
      </c>
      <c r="F406" s="2" t="s">
        <v>34</v>
      </c>
      <c r="G406" s="3" t="s">
        <v>17</v>
      </c>
      <c r="H406" s="2" t="s">
        <v>18</v>
      </c>
      <c r="I406" s="3" t="s">
        <v>19</v>
      </c>
      <c r="J406" s="3">
        <v>8837</v>
      </c>
      <c r="K406" s="3">
        <v>1506</v>
      </c>
      <c r="L406" s="3">
        <v>14</v>
      </c>
      <c r="M406" s="4">
        <f t="shared" si="49"/>
        <v>0.17041982573271472</v>
      </c>
      <c r="N406" s="4">
        <f t="shared" si="50"/>
        <v>9.2961487383798145E-3</v>
      </c>
      <c r="O406">
        <v>736</v>
      </c>
      <c r="P406" s="5">
        <v>1</v>
      </c>
      <c r="Q406" s="7">
        <v>1</v>
      </c>
      <c r="R406" t="str">
        <f t="shared" si="56"/>
        <v>код для проверки</v>
      </c>
      <c r="S406" t="str">
        <f t="shared" si="51"/>
        <v>Больше половины</v>
      </c>
      <c r="T406" t="str">
        <f t="shared" si="52"/>
        <v>Низшая четверть</v>
      </c>
      <c r="U406" t="str">
        <f t="shared" si="53"/>
        <v>код для проверки</v>
      </c>
      <c r="V406" t="str">
        <f t="shared" si="54"/>
        <v>Больше половины</v>
      </c>
      <c r="W406" t="str">
        <f t="shared" si="55"/>
        <v>Низшая четверть</v>
      </c>
      <c r="X406">
        <v>13</v>
      </c>
    </row>
    <row r="407" spans="1:24" x14ac:dyDescent="0.35">
      <c r="A407" s="1" t="s">
        <v>859</v>
      </c>
      <c r="B407" s="2" t="s">
        <v>860</v>
      </c>
      <c r="C407" s="3" t="s">
        <v>13</v>
      </c>
      <c r="D407" s="2" t="s">
        <v>22</v>
      </c>
      <c r="E407" s="3" t="s">
        <v>272</v>
      </c>
      <c r="F407" s="2" t="s">
        <v>123</v>
      </c>
      <c r="G407" s="3" t="s">
        <v>17</v>
      </c>
      <c r="H407" s="2" t="s">
        <v>18</v>
      </c>
      <c r="I407" s="3" t="s">
        <v>19</v>
      </c>
      <c r="J407" s="3">
        <v>8802</v>
      </c>
      <c r="K407" s="3">
        <v>866</v>
      </c>
      <c r="L407" s="3">
        <v>21</v>
      </c>
      <c r="M407" s="4">
        <f t="shared" si="49"/>
        <v>9.8386730288570784E-2</v>
      </c>
      <c r="N407" s="4">
        <f t="shared" si="50"/>
        <v>2.4249422632794459E-2</v>
      </c>
      <c r="O407">
        <v>232</v>
      </c>
      <c r="P407" s="5">
        <v>1</v>
      </c>
      <c r="Q407" s="7">
        <v>1</v>
      </c>
      <c r="R407" t="str">
        <f t="shared" si="56"/>
        <v>нормальный код</v>
      </c>
      <c r="S407" t="str">
        <f t="shared" si="51"/>
        <v>Больше половины</v>
      </c>
      <c r="T407" t="str">
        <f t="shared" si="52"/>
        <v>Больше половины</v>
      </c>
      <c r="U407" t="str">
        <f t="shared" si="53"/>
        <v>нормальный код</v>
      </c>
      <c r="V407" t="str">
        <f t="shared" si="54"/>
        <v>Больше половины</v>
      </c>
      <c r="W407" t="str">
        <f t="shared" si="55"/>
        <v>Больше половины</v>
      </c>
      <c r="X407">
        <v>21</v>
      </c>
    </row>
    <row r="408" spans="1:24" x14ac:dyDescent="0.35">
      <c r="A408" s="1" t="s">
        <v>766</v>
      </c>
      <c r="B408" s="2" t="s">
        <v>767</v>
      </c>
      <c r="C408" s="3" t="s">
        <v>13</v>
      </c>
      <c r="D408" s="2" t="s">
        <v>412</v>
      </c>
      <c r="E408" s="3" t="s">
        <v>413</v>
      </c>
      <c r="F408" s="2" t="s">
        <v>61</v>
      </c>
      <c r="G408" s="3" t="s">
        <v>17</v>
      </c>
      <c r="H408" s="2" t="s">
        <v>97</v>
      </c>
      <c r="I408" s="3" t="s">
        <v>19</v>
      </c>
      <c r="J408" s="3">
        <v>8785</v>
      </c>
      <c r="K408" s="3">
        <v>782</v>
      </c>
      <c r="L408" s="3">
        <v>22</v>
      </c>
      <c r="M408" s="4">
        <f t="shared" si="49"/>
        <v>8.901536710301651E-2</v>
      </c>
      <c r="N408" s="4">
        <f t="shared" si="50"/>
        <v>2.8132992327365727E-2</v>
      </c>
      <c r="O408">
        <v>535</v>
      </c>
      <c r="P408" s="5">
        <v>1</v>
      </c>
      <c r="Q408" s="7">
        <v>1</v>
      </c>
      <c r="R408" t="str">
        <f t="shared" si="56"/>
        <v>нормальный код</v>
      </c>
      <c r="S408" t="str">
        <f t="shared" si="51"/>
        <v>Вторая четверть</v>
      </c>
      <c r="T408" t="str">
        <f t="shared" si="52"/>
        <v>Больше половины</v>
      </c>
      <c r="U408" t="str">
        <f t="shared" si="53"/>
        <v>нормальный код</v>
      </c>
      <c r="V408" t="str">
        <f t="shared" si="54"/>
        <v>Вторая четверть</v>
      </c>
      <c r="W408" t="str">
        <f t="shared" si="55"/>
        <v>Больше половины</v>
      </c>
      <c r="X408">
        <v>9</v>
      </c>
    </row>
    <row r="409" spans="1:24" x14ac:dyDescent="0.35">
      <c r="A409" s="1" t="s">
        <v>679</v>
      </c>
      <c r="B409" s="2" t="s">
        <v>680</v>
      </c>
      <c r="C409" s="3" t="s">
        <v>13</v>
      </c>
      <c r="D409" s="2" t="s">
        <v>85</v>
      </c>
      <c r="E409" s="3" t="s">
        <v>86</v>
      </c>
      <c r="F409" s="2" t="s">
        <v>71</v>
      </c>
      <c r="G409" s="3" t="s">
        <v>35</v>
      </c>
      <c r="H409" s="2" t="s">
        <v>18</v>
      </c>
      <c r="I409" s="3" t="s">
        <v>19</v>
      </c>
      <c r="J409" s="3">
        <v>8760</v>
      </c>
      <c r="K409" s="3">
        <v>2186</v>
      </c>
      <c r="L409" s="3">
        <v>22</v>
      </c>
      <c r="M409" s="4">
        <f t="shared" si="49"/>
        <v>0.2495433789954338</v>
      </c>
      <c r="N409" s="4">
        <f t="shared" si="50"/>
        <v>1.0064043915827997E-2</v>
      </c>
      <c r="O409">
        <v>311</v>
      </c>
      <c r="P409" s="5">
        <v>1</v>
      </c>
      <c r="Q409" s="7">
        <v>1</v>
      </c>
      <c r="R409" t="str">
        <f t="shared" si="56"/>
        <v>код для проверки</v>
      </c>
      <c r="S409" t="str">
        <f t="shared" si="51"/>
        <v>Больше половины</v>
      </c>
      <c r="T409" t="str">
        <f t="shared" si="52"/>
        <v>Низшая четверть</v>
      </c>
      <c r="U409" t="str">
        <f t="shared" si="53"/>
        <v>нормальный код</v>
      </c>
      <c r="V409" t="str">
        <f t="shared" si="54"/>
        <v>Больше половины</v>
      </c>
      <c r="W409" t="str">
        <f t="shared" si="55"/>
        <v>Вторая четверть</v>
      </c>
      <c r="X409">
        <v>18</v>
      </c>
    </row>
    <row r="410" spans="1:24" x14ac:dyDescent="0.35">
      <c r="A410" s="1" t="s">
        <v>436</v>
      </c>
      <c r="B410" s="2" t="s">
        <v>437</v>
      </c>
      <c r="C410" s="3" t="s">
        <v>13</v>
      </c>
      <c r="D410" s="2" t="s">
        <v>69</v>
      </c>
      <c r="E410" s="3" t="s">
        <v>371</v>
      </c>
      <c r="F410" s="2" t="s">
        <v>96</v>
      </c>
      <c r="G410" s="3" t="s">
        <v>72</v>
      </c>
      <c r="H410" s="2" t="s">
        <v>18</v>
      </c>
      <c r="I410" s="3" t="s">
        <v>19</v>
      </c>
      <c r="J410" s="3">
        <v>8715</v>
      </c>
      <c r="K410" s="3">
        <v>826</v>
      </c>
      <c r="L410" s="3">
        <v>19</v>
      </c>
      <c r="M410" s="4">
        <f t="shared" si="49"/>
        <v>9.4779116465863456E-2</v>
      </c>
      <c r="N410" s="4">
        <f t="shared" si="50"/>
        <v>2.3002421307506054E-2</v>
      </c>
      <c r="O410">
        <v>1630</v>
      </c>
      <c r="P410" s="5">
        <v>1</v>
      </c>
      <c r="Q410" s="7">
        <v>1</v>
      </c>
      <c r="R410" t="str">
        <f t="shared" si="56"/>
        <v>нормальный код</v>
      </c>
      <c r="S410" t="str">
        <f t="shared" si="51"/>
        <v>Больше половины</v>
      </c>
      <c r="T410" t="str">
        <f t="shared" si="52"/>
        <v>Больше половины</v>
      </c>
      <c r="U410" t="str">
        <f t="shared" si="53"/>
        <v>нормальный код</v>
      </c>
      <c r="V410" t="str">
        <f t="shared" si="54"/>
        <v>Вторая четверть</v>
      </c>
      <c r="W410" t="str">
        <f t="shared" si="55"/>
        <v>Больше половины</v>
      </c>
      <c r="X410">
        <v>14</v>
      </c>
    </row>
    <row r="411" spans="1:24" x14ac:dyDescent="0.35">
      <c r="A411" s="1" t="s">
        <v>1838</v>
      </c>
      <c r="B411" s="2" t="s">
        <v>1839</v>
      </c>
      <c r="C411" s="3" t="s">
        <v>55</v>
      </c>
      <c r="D411" s="2" t="s">
        <v>295</v>
      </c>
      <c r="E411" s="3" t="s">
        <v>1373</v>
      </c>
      <c r="F411" s="2" t="s">
        <v>71</v>
      </c>
      <c r="G411" s="3" t="s">
        <v>17</v>
      </c>
      <c r="H411" s="2" t="s">
        <v>97</v>
      </c>
      <c r="I411" s="3" t="s">
        <v>19</v>
      </c>
      <c r="J411" s="3">
        <v>8678</v>
      </c>
      <c r="K411" s="3">
        <v>750</v>
      </c>
      <c r="L411" s="3">
        <v>18</v>
      </c>
      <c r="M411" s="4">
        <f t="shared" si="49"/>
        <v>8.6425443650610737E-2</v>
      </c>
      <c r="N411" s="4">
        <f t="shared" si="50"/>
        <v>2.4E-2</v>
      </c>
      <c r="O411">
        <v>292</v>
      </c>
      <c r="P411" s="5">
        <v>1</v>
      </c>
      <c r="Q411" s="7">
        <v>1</v>
      </c>
      <c r="R411" t="str">
        <f t="shared" si="56"/>
        <v>нормальный код</v>
      </c>
      <c r="S411" t="str">
        <f t="shared" si="51"/>
        <v>Вторая четверть</v>
      </c>
      <c r="T411" t="str">
        <f t="shared" si="52"/>
        <v>Больше половины</v>
      </c>
      <c r="U411" t="str">
        <f t="shared" si="53"/>
        <v>нормальный код</v>
      </c>
      <c r="V411" t="str">
        <f t="shared" si="54"/>
        <v>Больше половины</v>
      </c>
      <c r="W411" t="str">
        <f t="shared" si="55"/>
        <v>Больше половины</v>
      </c>
      <c r="X411">
        <v>16</v>
      </c>
    </row>
    <row r="412" spans="1:24" x14ac:dyDescent="0.35">
      <c r="A412" s="1" t="s">
        <v>1242</v>
      </c>
      <c r="B412" s="2" t="s">
        <v>1243</v>
      </c>
      <c r="C412" s="3" t="s">
        <v>55</v>
      </c>
      <c r="D412" s="2" t="s">
        <v>56</v>
      </c>
      <c r="E412" s="3" t="s">
        <v>253</v>
      </c>
      <c r="F412" s="2" t="s">
        <v>34</v>
      </c>
      <c r="G412" s="3" t="s">
        <v>17</v>
      </c>
      <c r="H412" s="2" t="s">
        <v>18</v>
      </c>
      <c r="I412" s="3" t="s">
        <v>19</v>
      </c>
      <c r="J412" s="3">
        <v>8626</v>
      </c>
      <c r="K412" s="3">
        <v>541</v>
      </c>
      <c r="L412" s="3">
        <v>22</v>
      </c>
      <c r="M412" s="4">
        <f t="shared" si="49"/>
        <v>6.2717366102480868E-2</v>
      </c>
      <c r="N412" s="4">
        <f t="shared" si="50"/>
        <v>4.0665434380776341E-2</v>
      </c>
      <c r="O412">
        <v>710</v>
      </c>
      <c r="P412" s="5">
        <v>1</v>
      </c>
      <c r="Q412" s="7">
        <v>1</v>
      </c>
      <c r="R412" t="str">
        <f t="shared" si="56"/>
        <v>нормальный код</v>
      </c>
      <c r="S412" t="str">
        <f t="shared" si="51"/>
        <v>Вторая четверть</v>
      </c>
      <c r="T412" t="str">
        <f t="shared" si="52"/>
        <v>Больше половины</v>
      </c>
      <c r="U412" t="str">
        <f t="shared" si="53"/>
        <v>нормальный код</v>
      </c>
      <c r="V412" t="str">
        <f t="shared" si="54"/>
        <v>Больше половины</v>
      </c>
      <c r="W412" t="str">
        <f t="shared" si="55"/>
        <v>Вторая четверть</v>
      </c>
      <c r="X412">
        <v>17</v>
      </c>
    </row>
    <row r="413" spans="1:24" x14ac:dyDescent="0.35">
      <c r="A413" s="1" t="s">
        <v>614</v>
      </c>
      <c r="B413" s="2" t="s">
        <v>615</v>
      </c>
      <c r="C413" s="3" t="s">
        <v>55</v>
      </c>
      <c r="D413" s="2" t="s">
        <v>56</v>
      </c>
      <c r="E413" s="3" t="s">
        <v>60</v>
      </c>
      <c r="F413" s="2" t="s">
        <v>61</v>
      </c>
      <c r="G413" s="3" t="s">
        <v>17</v>
      </c>
      <c r="H413" s="2" t="s">
        <v>18</v>
      </c>
      <c r="I413" s="3" t="s">
        <v>19</v>
      </c>
      <c r="J413" s="3">
        <v>8596</v>
      </c>
      <c r="K413" s="3">
        <v>566</v>
      </c>
      <c r="L413" s="3">
        <v>9</v>
      </c>
      <c r="M413" s="4">
        <f t="shared" si="49"/>
        <v>6.5844578873894832E-2</v>
      </c>
      <c r="N413" s="4">
        <f t="shared" si="50"/>
        <v>1.5901060070671377E-2</v>
      </c>
      <c r="O413">
        <v>452</v>
      </c>
      <c r="P413" s="5">
        <v>1</v>
      </c>
      <c r="Q413" s="7">
        <v>1</v>
      </c>
      <c r="R413" t="str">
        <f t="shared" si="56"/>
        <v>нормальный код</v>
      </c>
      <c r="S413" t="str">
        <f t="shared" si="51"/>
        <v>Вторая четверть</v>
      </c>
      <c r="T413" t="str">
        <f t="shared" si="52"/>
        <v>Вторая четверть</v>
      </c>
      <c r="U413" t="str">
        <f t="shared" si="53"/>
        <v>нормальный код</v>
      </c>
      <c r="V413" t="str">
        <f t="shared" si="54"/>
        <v>Больше половины</v>
      </c>
      <c r="W413" t="str">
        <f t="shared" si="55"/>
        <v>Больше половины</v>
      </c>
      <c r="X413">
        <v>23</v>
      </c>
    </row>
    <row r="414" spans="1:24" x14ac:dyDescent="0.35">
      <c r="A414" s="1" t="s">
        <v>1276</v>
      </c>
      <c r="B414" s="2" t="s">
        <v>1277</v>
      </c>
      <c r="C414" s="3" t="s">
        <v>13</v>
      </c>
      <c r="D414" s="2" t="s">
        <v>69</v>
      </c>
      <c r="E414" s="3" t="s">
        <v>190</v>
      </c>
      <c r="F414" s="2" t="s">
        <v>34</v>
      </c>
      <c r="G414" s="3" t="s">
        <v>72</v>
      </c>
      <c r="H414" s="2" t="s">
        <v>18</v>
      </c>
      <c r="I414" s="3" t="s">
        <v>19</v>
      </c>
      <c r="J414" s="3">
        <v>8530</v>
      </c>
      <c r="K414" s="3">
        <v>706</v>
      </c>
      <c r="L414" s="3">
        <v>11</v>
      </c>
      <c r="M414" s="4">
        <f t="shared" si="49"/>
        <v>8.2766705744431415E-2</v>
      </c>
      <c r="N414" s="4">
        <f t="shared" si="50"/>
        <v>1.5580736543909348E-2</v>
      </c>
      <c r="O414">
        <v>133</v>
      </c>
      <c r="P414" s="5">
        <v>0.75</v>
      </c>
      <c r="Q414" s="7">
        <v>1</v>
      </c>
      <c r="R414" t="str">
        <f t="shared" si="56"/>
        <v>нормальный код</v>
      </c>
      <c r="S414" t="str">
        <f t="shared" si="51"/>
        <v>Вторая четверть</v>
      </c>
      <c r="T414" t="str">
        <f t="shared" si="52"/>
        <v>Вторая четверть</v>
      </c>
      <c r="U414" t="str">
        <f t="shared" si="53"/>
        <v>нормальный код</v>
      </c>
      <c r="V414" t="str">
        <f t="shared" si="54"/>
        <v>Больше половины</v>
      </c>
      <c r="W414" t="str">
        <f t="shared" si="55"/>
        <v>Больше половины</v>
      </c>
      <c r="X414">
        <v>17</v>
      </c>
    </row>
    <row r="415" spans="1:24" x14ac:dyDescent="0.35">
      <c r="A415" s="1" t="s">
        <v>991</v>
      </c>
      <c r="B415" s="2" t="s">
        <v>992</v>
      </c>
      <c r="C415" s="3" t="s">
        <v>13</v>
      </c>
      <c r="D415" s="2" t="s">
        <v>22</v>
      </c>
      <c r="E415" s="3" t="s">
        <v>272</v>
      </c>
      <c r="F415" s="2" t="s">
        <v>123</v>
      </c>
      <c r="G415" s="3" t="s">
        <v>35</v>
      </c>
      <c r="H415" s="2" t="s">
        <v>18</v>
      </c>
      <c r="I415" s="3" t="s">
        <v>19</v>
      </c>
      <c r="J415" s="3">
        <v>8457</v>
      </c>
      <c r="K415" s="3">
        <v>1590</v>
      </c>
      <c r="L415" s="3">
        <v>15</v>
      </c>
      <c r="M415" s="4">
        <f t="shared" si="49"/>
        <v>0.18800993260021284</v>
      </c>
      <c r="N415" s="4">
        <f t="shared" si="50"/>
        <v>9.433962264150943E-3</v>
      </c>
      <c r="O415">
        <v>395</v>
      </c>
      <c r="P415" s="5">
        <v>1</v>
      </c>
      <c r="Q415" s="7">
        <v>1</v>
      </c>
      <c r="R415" t="str">
        <f t="shared" si="56"/>
        <v>код для проверки</v>
      </c>
      <c r="S415" t="str">
        <f t="shared" si="51"/>
        <v>Больше половины</v>
      </c>
      <c r="T415" t="str">
        <f t="shared" si="52"/>
        <v>Низшая четверть</v>
      </c>
      <c r="U415" t="str">
        <f t="shared" si="53"/>
        <v>нормальный код</v>
      </c>
      <c r="V415" t="str">
        <f t="shared" si="54"/>
        <v>Больше половины</v>
      </c>
      <c r="W415" t="str">
        <f t="shared" si="55"/>
        <v>Вторая четверть</v>
      </c>
      <c r="X415">
        <v>10</v>
      </c>
    </row>
    <row r="416" spans="1:24" x14ac:dyDescent="0.35">
      <c r="A416" s="1" t="s">
        <v>1157</v>
      </c>
      <c r="B416" s="2" t="s">
        <v>1158</v>
      </c>
      <c r="C416" s="3" t="s">
        <v>13</v>
      </c>
      <c r="D416" s="2" t="s">
        <v>77</v>
      </c>
      <c r="E416" s="3" t="s">
        <v>1159</v>
      </c>
      <c r="F416" s="2" t="s">
        <v>34</v>
      </c>
      <c r="G416" s="3" t="s">
        <v>17</v>
      </c>
      <c r="H416" s="2" t="s">
        <v>18</v>
      </c>
      <c r="I416" s="3" t="s">
        <v>19</v>
      </c>
      <c r="J416" s="3">
        <v>8440</v>
      </c>
      <c r="K416" s="3">
        <v>733</v>
      </c>
      <c r="L416" s="3">
        <v>15</v>
      </c>
      <c r="M416" s="4">
        <f t="shared" si="49"/>
        <v>8.6848341232227483E-2</v>
      </c>
      <c r="N416" s="4">
        <f t="shared" si="50"/>
        <v>2.0463847203274217E-2</v>
      </c>
      <c r="O416">
        <v>570</v>
      </c>
      <c r="P416" s="5">
        <v>1</v>
      </c>
      <c r="Q416" s="7">
        <v>1</v>
      </c>
      <c r="R416" t="str">
        <f t="shared" si="56"/>
        <v>нормальный код</v>
      </c>
      <c r="S416" t="str">
        <f t="shared" si="51"/>
        <v>Вторая четверть</v>
      </c>
      <c r="T416" t="str">
        <f t="shared" si="52"/>
        <v>Больше половины</v>
      </c>
      <c r="U416" t="str">
        <f t="shared" si="53"/>
        <v>код для проверки</v>
      </c>
      <c r="V416" t="str">
        <f t="shared" si="54"/>
        <v>Больше половины</v>
      </c>
      <c r="W416" t="str">
        <f t="shared" si="55"/>
        <v>Низшая четверть</v>
      </c>
      <c r="X416">
        <v>20</v>
      </c>
    </row>
    <row r="417" spans="1:24" x14ac:dyDescent="0.35">
      <c r="A417" s="1" t="s">
        <v>815</v>
      </c>
      <c r="B417" s="2" t="s">
        <v>816</v>
      </c>
      <c r="C417" s="3" t="s">
        <v>13</v>
      </c>
      <c r="D417" s="2" t="s">
        <v>567</v>
      </c>
      <c r="E417" s="3" t="s">
        <v>568</v>
      </c>
      <c r="F417" s="2" t="s">
        <v>34</v>
      </c>
      <c r="G417" s="3" t="s">
        <v>17</v>
      </c>
      <c r="H417" s="2" t="s">
        <v>18</v>
      </c>
      <c r="I417" s="3" t="s">
        <v>19</v>
      </c>
      <c r="J417" s="3">
        <v>8440</v>
      </c>
      <c r="K417" s="3">
        <v>2905</v>
      </c>
      <c r="L417" s="3">
        <v>47</v>
      </c>
      <c r="M417" s="4">
        <f t="shared" si="49"/>
        <v>0.34419431279620855</v>
      </c>
      <c r="N417" s="4">
        <f t="shared" si="50"/>
        <v>1.6179001721170396E-2</v>
      </c>
      <c r="O417">
        <v>585</v>
      </c>
      <c r="P417" s="5">
        <v>0.9</v>
      </c>
      <c r="Q417" s="7">
        <v>1</v>
      </c>
      <c r="R417" t="str">
        <f t="shared" si="56"/>
        <v>нормальный код</v>
      </c>
      <c r="S417" t="str">
        <f t="shared" si="51"/>
        <v>Больше половины</v>
      </c>
      <c r="T417" t="str">
        <f t="shared" si="52"/>
        <v>Вторая четверть</v>
      </c>
      <c r="U417" t="str">
        <f t="shared" si="53"/>
        <v>нормальный код</v>
      </c>
      <c r="V417" t="str">
        <f t="shared" si="54"/>
        <v>Больше половины</v>
      </c>
      <c r="W417" t="str">
        <f t="shared" si="55"/>
        <v>Вторая четверть</v>
      </c>
      <c r="X417">
        <v>16</v>
      </c>
    </row>
    <row r="418" spans="1:24" x14ac:dyDescent="0.35">
      <c r="A418" s="1" t="s">
        <v>414</v>
      </c>
      <c r="B418" s="2" t="s">
        <v>415</v>
      </c>
      <c r="C418" s="3" t="s">
        <v>13</v>
      </c>
      <c r="D418" s="2" t="s">
        <v>77</v>
      </c>
      <c r="E418" s="3" t="s">
        <v>78</v>
      </c>
      <c r="F418" s="2" t="s">
        <v>34</v>
      </c>
      <c r="G418" s="3" t="s">
        <v>17</v>
      </c>
      <c r="H418" s="2" t="s">
        <v>18</v>
      </c>
      <c r="I418" s="3" t="s">
        <v>19</v>
      </c>
      <c r="J418" s="3">
        <v>8213</v>
      </c>
      <c r="K418" s="3">
        <v>855</v>
      </c>
      <c r="L418" s="3">
        <v>31</v>
      </c>
      <c r="M418" s="4">
        <f t="shared" si="49"/>
        <v>0.10410325094362596</v>
      </c>
      <c r="N418" s="4">
        <f t="shared" si="50"/>
        <v>3.6257309941520467E-2</v>
      </c>
      <c r="O418">
        <v>399</v>
      </c>
      <c r="P418" s="5">
        <v>1</v>
      </c>
      <c r="Q418" s="7">
        <v>1</v>
      </c>
      <c r="R418" t="str">
        <f t="shared" si="56"/>
        <v>нормальный код</v>
      </c>
      <c r="S418" t="str">
        <f t="shared" si="51"/>
        <v>Больше половины</v>
      </c>
      <c r="T418" t="str">
        <f t="shared" si="52"/>
        <v>Больше половины</v>
      </c>
      <c r="U418" t="str">
        <f t="shared" si="53"/>
        <v>нормальный код</v>
      </c>
      <c r="V418" t="str">
        <f t="shared" si="54"/>
        <v>Больше половины</v>
      </c>
      <c r="W418" t="str">
        <f t="shared" si="55"/>
        <v>Больше половины</v>
      </c>
      <c r="X418">
        <v>19</v>
      </c>
    </row>
    <row r="419" spans="1:24" x14ac:dyDescent="0.35">
      <c r="A419" s="1" t="s">
        <v>1217</v>
      </c>
      <c r="B419" s="2" t="s">
        <v>1218</v>
      </c>
      <c r="C419" s="3" t="s">
        <v>13</v>
      </c>
      <c r="D419" s="2" t="s">
        <v>14</v>
      </c>
      <c r="E419" s="3" t="s">
        <v>366</v>
      </c>
      <c r="F419" s="2" t="s">
        <v>123</v>
      </c>
      <c r="G419" s="3" t="s">
        <v>35</v>
      </c>
      <c r="H419" s="2" t="s">
        <v>18</v>
      </c>
      <c r="I419" s="3" t="s">
        <v>19</v>
      </c>
      <c r="J419" s="3">
        <v>8107</v>
      </c>
      <c r="K419" s="3">
        <v>746</v>
      </c>
      <c r="L419" s="3">
        <v>7</v>
      </c>
      <c r="M419" s="4">
        <f t="shared" si="49"/>
        <v>9.2019242629826081E-2</v>
      </c>
      <c r="N419" s="4">
        <f t="shared" si="50"/>
        <v>9.3833780160857902E-3</v>
      </c>
      <c r="O419">
        <v>218</v>
      </c>
      <c r="P419" s="5">
        <v>1</v>
      </c>
      <c r="Q419" s="7">
        <v>1</v>
      </c>
      <c r="R419" t="str">
        <f t="shared" si="56"/>
        <v>код для проверки</v>
      </c>
      <c r="S419" t="str">
        <f t="shared" si="51"/>
        <v>Вторая четверть</v>
      </c>
      <c r="T419" t="str">
        <f t="shared" si="52"/>
        <v>Низшая четверть</v>
      </c>
      <c r="U419" t="str">
        <f t="shared" si="53"/>
        <v>нормальный код</v>
      </c>
      <c r="V419" t="str">
        <f t="shared" si="54"/>
        <v>Больше половины</v>
      </c>
      <c r="W419" t="str">
        <f t="shared" si="55"/>
        <v>Вторая четверть</v>
      </c>
      <c r="X419">
        <v>17</v>
      </c>
    </row>
    <row r="420" spans="1:24" x14ac:dyDescent="0.35">
      <c r="A420" s="1" t="s">
        <v>803</v>
      </c>
      <c r="B420" s="2" t="s">
        <v>804</v>
      </c>
      <c r="C420" s="3" t="s">
        <v>13</v>
      </c>
      <c r="D420" s="2" t="s">
        <v>69</v>
      </c>
      <c r="E420" s="3" t="s">
        <v>805</v>
      </c>
      <c r="F420" s="2" t="s">
        <v>34</v>
      </c>
      <c r="G420" s="3" t="s">
        <v>72</v>
      </c>
      <c r="H420" s="2" t="s">
        <v>18</v>
      </c>
      <c r="I420" s="3" t="s">
        <v>19</v>
      </c>
      <c r="J420" s="3">
        <v>8107</v>
      </c>
      <c r="K420" s="3">
        <v>762</v>
      </c>
      <c r="L420" s="3">
        <v>11</v>
      </c>
      <c r="M420" s="4">
        <f t="shared" si="49"/>
        <v>9.3992845688910823E-2</v>
      </c>
      <c r="N420" s="4">
        <f t="shared" si="50"/>
        <v>1.4435695538057743E-2</v>
      </c>
      <c r="O420">
        <v>140</v>
      </c>
      <c r="P420" s="5">
        <v>1</v>
      </c>
      <c r="Q420" s="7">
        <v>1</v>
      </c>
      <c r="R420" t="str">
        <f t="shared" si="56"/>
        <v>нормальный код</v>
      </c>
      <c r="S420" t="str">
        <f t="shared" si="51"/>
        <v>Вторая четверть</v>
      </c>
      <c r="T420" t="str">
        <f t="shared" si="52"/>
        <v>Вторая четверть</v>
      </c>
      <c r="U420" t="str">
        <f t="shared" si="53"/>
        <v>нормальный код</v>
      </c>
      <c r="V420" t="str">
        <f t="shared" si="54"/>
        <v>Вторая четверть</v>
      </c>
      <c r="W420" t="str">
        <f t="shared" si="55"/>
        <v>Вторая четверть</v>
      </c>
      <c r="X420">
        <v>15</v>
      </c>
    </row>
    <row r="421" spans="1:24" x14ac:dyDescent="0.35">
      <c r="A421" s="1" t="s">
        <v>307</v>
      </c>
      <c r="B421" s="2" t="s">
        <v>308</v>
      </c>
      <c r="C421" s="3" t="s">
        <v>13</v>
      </c>
      <c r="D421" s="2" t="s">
        <v>85</v>
      </c>
      <c r="E421" s="3" t="s">
        <v>86</v>
      </c>
      <c r="F421" s="2" t="s">
        <v>71</v>
      </c>
      <c r="G421" s="3" t="s">
        <v>35</v>
      </c>
      <c r="H421" s="2" t="s">
        <v>18</v>
      </c>
      <c r="I421" s="3" t="s">
        <v>19</v>
      </c>
      <c r="J421" s="3">
        <v>8074</v>
      </c>
      <c r="K421" s="3">
        <v>1867</v>
      </c>
      <c r="L421" s="3">
        <v>18</v>
      </c>
      <c r="M421" s="4">
        <f t="shared" si="49"/>
        <v>0.23123606638593014</v>
      </c>
      <c r="N421" s="4">
        <f t="shared" si="50"/>
        <v>9.6411355115158005E-3</v>
      </c>
      <c r="O421">
        <v>274</v>
      </c>
      <c r="P421" s="5">
        <v>1</v>
      </c>
      <c r="Q421" s="7">
        <v>1</v>
      </c>
      <c r="R421" t="str">
        <f t="shared" si="56"/>
        <v>код для проверки</v>
      </c>
      <c r="S421" t="str">
        <f t="shared" si="51"/>
        <v>Больше половины</v>
      </c>
      <c r="T421" t="str">
        <f t="shared" si="52"/>
        <v>Низшая четверть</v>
      </c>
      <c r="U421" t="str">
        <f t="shared" si="53"/>
        <v>нормальный код</v>
      </c>
      <c r="V421" t="str">
        <f t="shared" si="54"/>
        <v>Больше половины</v>
      </c>
      <c r="W421" t="str">
        <f t="shared" si="55"/>
        <v>Вторая четверть</v>
      </c>
      <c r="X421">
        <v>13</v>
      </c>
    </row>
    <row r="422" spans="1:24" x14ac:dyDescent="0.35">
      <c r="A422" s="1" t="s">
        <v>967</v>
      </c>
      <c r="B422" s="2" t="s">
        <v>968</v>
      </c>
      <c r="C422" s="3" t="s">
        <v>13</v>
      </c>
      <c r="D422" s="2" t="s">
        <v>69</v>
      </c>
      <c r="E422" s="3" t="s">
        <v>969</v>
      </c>
      <c r="F422" s="2" t="s">
        <v>96</v>
      </c>
      <c r="G422" s="3" t="s">
        <v>72</v>
      </c>
      <c r="H422" s="2" t="s">
        <v>18</v>
      </c>
      <c r="I422" s="3" t="s">
        <v>19</v>
      </c>
      <c r="J422" s="3">
        <v>8052</v>
      </c>
      <c r="K422" s="3">
        <v>1677</v>
      </c>
      <c r="L422" s="3">
        <v>14</v>
      </c>
      <c r="M422" s="4">
        <f t="shared" si="49"/>
        <v>0.20827123695976155</v>
      </c>
      <c r="N422" s="4">
        <f t="shared" si="50"/>
        <v>8.348240906380441E-3</v>
      </c>
      <c r="O422">
        <v>235</v>
      </c>
      <c r="P422" s="5">
        <v>0.8</v>
      </c>
      <c r="Q422" s="7">
        <v>1</v>
      </c>
      <c r="R422" t="str">
        <f t="shared" si="56"/>
        <v>код для проверки</v>
      </c>
      <c r="S422" t="str">
        <f t="shared" si="51"/>
        <v>Больше половины</v>
      </c>
      <c r="T422" t="str">
        <f t="shared" si="52"/>
        <v>Низшая четверть</v>
      </c>
      <c r="U422" t="str">
        <f t="shared" si="53"/>
        <v>нормальный код</v>
      </c>
      <c r="V422" t="str">
        <f t="shared" si="54"/>
        <v>Больше половины</v>
      </c>
      <c r="W422" t="str">
        <f t="shared" si="55"/>
        <v>Вторая четверть</v>
      </c>
      <c r="X422">
        <v>14</v>
      </c>
    </row>
    <row r="423" spans="1:24" x14ac:dyDescent="0.35">
      <c r="A423" s="1" t="s">
        <v>813</v>
      </c>
      <c r="B423" s="2" t="s">
        <v>814</v>
      </c>
      <c r="C423" s="3" t="s">
        <v>55</v>
      </c>
      <c r="D423" s="2" t="s">
        <v>147</v>
      </c>
      <c r="E423" s="3" t="s">
        <v>207</v>
      </c>
      <c r="F423" s="2" t="s">
        <v>34</v>
      </c>
      <c r="G423" s="3" t="s">
        <v>17</v>
      </c>
      <c r="H423" s="2" t="s">
        <v>18</v>
      </c>
      <c r="I423" s="3" t="s">
        <v>19</v>
      </c>
      <c r="J423" s="3">
        <v>7997</v>
      </c>
      <c r="K423" s="3">
        <v>1725</v>
      </c>
      <c r="L423" s="3">
        <v>28</v>
      </c>
      <c r="M423" s="4">
        <f t="shared" si="49"/>
        <v>0.21570588970864074</v>
      </c>
      <c r="N423" s="4">
        <f t="shared" si="50"/>
        <v>1.6231884057971015E-2</v>
      </c>
      <c r="O423">
        <v>167</v>
      </c>
      <c r="P423" s="5">
        <v>1</v>
      </c>
      <c r="Q423" s="7">
        <v>1</v>
      </c>
      <c r="R423" t="str">
        <f t="shared" si="56"/>
        <v>нормальный код</v>
      </c>
      <c r="S423" t="str">
        <f t="shared" si="51"/>
        <v>Больше половины</v>
      </c>
      <c r="T423" t="str">
        <f t="shared" si="52"/>
        <v>Вторая четверть</v>
      </c>
      <c r="U423" t="str">
        <f t="shared" si="53"/>
        <v>нормальный код</v>
      </c>
      <c r="V423" t="str">
        <f t="shared" si="54"/>
        <v>Больше половины</v>
      </c>
      <c r="W423" t="str">
        <f t="shared" si="55"/>
        <v>Больше половины</v>
      </c>
      <c r="X423">
        <v>24</v>
      </c>
    </row>
    <row r="424" spans="1:24" x14ac:dyDescent="0.35">
      <c r="A424" s="1" t="s">
        <v>2488</v>
      </c>
      <c r="B424" s="2" t="s">
        <v>2489</v>
      </c>
      <c r="C424" s="3" t="s">
        <v>13</v>
      </c>
      <c r="D424" s="2" t="s">
        <v>77</v>
      </c>
      <c r="E424" s="3" t="s">
        <v>980</v>
      </c>
      <c r="F424" s="2" t="s">
        <v>96</v>
      </c>
      <c r="G424" s="3" t="s">
        <v>35</v>
      </c>
      <c r="H424" s="2" t="s">
        <v>1223</v>
      </c>
      <c r="I424" s="3" t="s">
        <v>19</v>
      </c>
      <c r="J424" s="3">
        <v>7993</v>
      </c>
      <c r="K424" s="3">
        <v>707</v>
      </c>
      <c r="L424" s="3">
        <v>21</v>
      </c>
      <c r="M424" s="4">
        <f t="shared" si="49"/>
        <v>8.8452395846365564E-2</v>
      </c>
      <c r="N424" s="4">
        <f t="shared" si="50"/>
        <v>2.9702970297029702E-2</v>
      </c>
      <c r="O424">
        <v>577</v>
      </c>
      <c r="P424" s="5">
        <v>1</v>
      </c>
      <c r="Q424" s="7">
        <v>1</v>
      </c>
      <c r="R424" t="str">
        <f t="shared" si="56"/>
        <v>нормальный код</v>
      </c>
      <c r="S424" t="str">
        <f t="shared" si="51"/>
        <v>Вторая четверть</v>
      </c>
      <c r="T424" t="str">
        <f t="shared" si="52"/>
        <v>Больше половины</v>
      </c>
      <c r="U424" t="str">
        <f t="shared" si="53"/>
        <v>нормальный код</v>
      </c>
      <c r="V424" t="str">
        <f t="shared" si="54"/>
        <v>Больше половины</v>
      </c>
      <c r="W424" t="str">
        <f t="shared" si="55"/>
        <v>Больше половины</v>
      </c>
      <c r="X424">
        <v>9</v>
      </c>
    </row>
    <row r="425" spans="1:24" x14ac:dyDescent="0.35">
      <c r="A425" s="1" t="s">
        <v>1611</v>
      </c>
      <c r="B425" s="2" t="s">
        <v>1612</v>
      </c>
      <c r="C425" s="3" t="s">
        <v>13</v>
      </c>
      <c r="D425" s="2" t="s">
        <v>49</v>
      </c>
      <c r="E425" s="3" t="s">
        <v>50</v>
      </c>
      <c r="F425" s="2" t="s">
        <v>34</v>
      </c>
      <c r="G425" s="3" t="s">
        <v>35</v>
      </c>
      <c r="H425" s="2" t="s">
        <v>18</v>
      </c>
      <c r="I425" s="3" t="s">
        <v>19</v>
      </c>
      <c r="J425" s="3">
        <v>7975</v>
      </c>
      <c r="K425" s="3">
        <v>3291</v>
      </c>
      <c r="L425" s="3">
        <v>51</v>
      </c>
      <c r="M425" s="4">
        <f t="shared" si="49"/>
        <v>0.41266457680250784</v>
      </c>
      <c r="N425" s="4">
        <f t="shared" si="50"/>
        <v>1.5496809480401094E-2</v>
      </c>
      <c r="O425">
        <v>253</v>
      </c>
      <c r="P425" s="5">
        <v>1</v>
      </c>
      <c r="Q425" s="7">
        <v>1</v>
      </c>
      <c r="R425" t="str">
        <f t="shared" si="56"/>
        <v>нормальный код</v>
      </c>
      <c r="S425" t="str">
        <f t="shared" si="51"/>
        <v>Больше половины</v>
      </c>
      <c r="T425" t="str">
        <f t="shared" si="52"/>
        <v>Вторая четверть</v>
      </c>
      <c r="U425" t="str">
        <f t="shared" si="53"/>
        <v>код для проверки</v>
      </c>
      <c r="V425" t="str">
        <f t="shared" si="54"/>
        <v>Больше половины</v>
      </c>
      <c r="W425" t="str">
        <f t="shared" si="55"/>
        <v>Низшая четверть</v>
      </c>
      <c r="X425">
        <v>26</v>
      </c>
    </row>
    <row r="426" spans="1:24" x14ac:dyDescent="0.35">
      <c r="A426" s="1" t="s">
        <v>622</v>
      </c>
      <c r="B426" s="2" t="s">
        <v>623</v>
      </c>
      <c r="C426" s="3" t="s">
        <v>13</v>
      </c>
      <c r="D426" s="2" t="s">
        <v>77</v>
      </c>
      <c r="E426" s="3" t="s">
        <v>89</v>
      </c>
      <c r="F426" s="2" t="s">
        <v>34</v>
      </c>
      <c r="G426" s="3" t="s">
        <v>17</v>
      </c>
      <c r="H426" s="2" t="s">
        <v>18</v>
      </c>
      <c r="I426" s="3" t="s">
        <v>19</v>
      </c>
      <c r="J426" s="3">
        <v>7958</v>
      </c>
      <c r="K426" s="3">
        <v>1084</v>
      </c>
      <c r="L426" s="3">
        <v>26</v>
      </c>
      <c r="M426" s="4">
        <f t="shared" si="49"/>
        <v>0.13621512942950489</v>
      </c>
      <c r="N426" s="4">
        <f t="shared" si="50"/>
        <v>2.3985239852398525E-2</v>
      </c>
      <c r="O426">
        <v>551</v>
      </c>
      <c r="P426" s="5">
        <v>1</v>
      </c>
      <c r="Q426" s="7">
        <v>1</v>
      </c>
      <c r="R426" t="str">
        <f t="shared" si="56"/>
        <v>нормальный код</v>
      </c>
      <c r="S426" t="str">
        <f t="shared" si="51"/>
        <v>Больше половины</v>
      </c>
      <c r="T426" t="str">
        <f t="shared" si="52"/>
        <v>Больше половины</v>
      </c>
      <c r="U426" t="str">
        <f t="shared" si="53"/>
        <v>нормальный код</v>
      </c>
      <c r="V426" t="str">
        <f t="shared" si="54"/>
        <v>Больше половины</v>
      </c>
      <c r="W426" t="str">
        <f t="shared" si="55"/>
        <v>Больше половины</v>
      </c>
      <c r="X426">
        <v>6</v>
      </c>
    </row>
    <row r="427" spans="1:24" x14ac:dyDescent="0.35">
      <c r="A427" s="1" t="s">
        <v>303</v>
      </c>
      <c r="B427" s="2" t="s">
        <v>304</v>
      </c>
      <c r="C427" s="3" t="s">
        <v>55</v>
      </c>
      <c r="D427" s="2" t="s">
        <v>56</v>
      </c>
      <c r="E427" s="3" t="s">
        <v>57</v>
      </c>
      <c r="F427" s="2" t="s">
        <v>34</v>
      </c>
      <c r="G427" s="3" t="s">
        <v>17</v>
      </c>
      <c r="H427" s="2" t="s">
        <v>18</v>
      </c>
      <c r="I427" s="3" t="s">
        <v>19</v>
      </c>
      <c r="J427" s="3">
        <v>7941</v>
      </c>
      <c r="K427" s="3">
        <v>132</v>
      </c>
      <c r="L427" s="3">
        <v>2</v>
      </c>
      <c r="M427" s="4">
        <f t="shared" si="49"/>
        <v>1.6622591613146959E-2</v>
      </c>
      <c r="N427" s="4">
        <f t="shared" si="50"/>
        <v>1.5151515151515152E-2</v>
      </c>
      <c r="O427">
        <v>0</v>
      </c>
      <c r="P427" s="5">
        <v>0.4</v>
      </c>
      <c r="Q427" s="7">
        <v>0</v>
      </c>
      <c r="R427" t="s">
        <v>2350</v>
      </c>
      <c r="S427" t="str">
        <f t="shared" si="51"/>
        <v>Низшая четверть</v>
      </c>
      <c r="T427" t="str">
        <f t="shared" si="52"/>
        <v>Вторая четверть</v>
      </c>
      <c r="U427" t="str">
        <f t="shared" si="53"/>
        <v>код для проверки</v>
      </c>
      <c r="V427" t="str">
        <f t="shared" si="54"/>
        <v>Низшая четверть</v>
      </c>
      <c r="W427" t="str">
        <f t="shared" si="55"/>
        <v>Больше половины</v>
      </c>
      <c r="X427">
        <v>6</v>
      </c>
    </row>
    <row r="428" spans="1:24" x14ac:dyDescent="0.35">
      <c r="A428" s="1" t="s">
        <v>1876</v>
      </c>
      <c r="B428" s="2" t="s">
        <v>1877</v>
      </c>
      <c r="C428" s="3" t="s">
        <v>55</v>
      </c>
      <c r="D428" s="2" t="s">
        <v>340</v>
      </c>
      <c r="E428" s="3" t="s">
        <v>341</v>
      </c>
      <c r="F428" s="2" t="s">
        <v>96</v>
      </c>
      <c r="G428" s="3" t="s">
        <v>17</v>
      </c>
      <c r="H428" s="2" t="s">
        <v>97</v>
      </c>
      <c r="I428" s="3" t="s">
        <v>19</v>
      </c>
      <c r="J428" s="3">
        <v>7933</v>
      </c>
      <c r="K428" s="3">
        <v>764</v>
      </c>
      <c r="L428" s="3">
        <v>44</v>
      </c>
      <c r="M428" s="4">
        <f t="shared" si="49"/>
        <v>9.6306567502836254E-2</v>
      </c>
      <c r="N428" s="4">
        <f t="shared" si="50"/>
        <v>5.7591623036649213E-2</v>
      </c>
      <c r="O428">
        <v>904</v>
      </c>
      <c r="P428" s="5">
        <v>1</v>
      </c>
      <c r="Q428" s="7">
        <v>1</v>
      </c>
      <c r="R428" t="str">
        <f t="shared" ref="R428:R491" si="57">IF(OR(M428&lt;$S$1*0.5,N428&lt;$T$1*0.5),"код для проверки","нормальный код")</f>
        <v>нормальный код</v>
      </c>
      <c r="S428" t="str">
        <f t="shared" si="51"/>
        <v>Больше половины</v>
      </c>
      <c r="T428" t="str">
        <f t="shared" si="52"/>
        <v>Больше половины</v>
      </c>
      <c r="U428" t="str">
        <f t="shared" si="53"/>
        <v>нормальный код</v>
      </c>
      <c r="V428" t="str">
        <f t="shared" si="54"/>
        <v>Вторая четверть</v>
      </c>
      <c r="W428" t="str">
        <f t="shared" si="55"/>
        <v>Больше половины</v>
      </c>
      <c r="X428">
        <v>12</v>
      </c>
    </row>
    <row r="429" spans="1:24" x14ac:dyDescent="0.35">
      <c r="A429" s="1" t="s">
        <v>1790</v>
      </c>
      <c r="B429" s="2" t="s">
        <v>1791</v>
      </c>
      <c r="C429" s="3" t="s">
        <v>55</v>
      </c>
      <c r="D429" s="2" t="s">
        <v>340</v>
      </c>
      <c r="E429" s="3" t="s">
        <v>341</v>
      </c>
      <c r="F429" s="2" t="s">
        <v>96</v>
      </c>
      <c r="G429" s="3" t="s">
        <v>17</v>
      </c>
      <c r="H429" s="2" t="s">
        <v>97</v>
      </c>
      <c r="I429" s="3" t="s">
        <v>19</v>
      </c>
      <c r="J429" s="3">
        <v>7900</v>
      </c>
      <c r="K429" s="3">
        <v>2032</v>
      </c>
      <c r="L429" s="3">
        <v>11</v>
      </c>
      <c r="M429" s="4">
        <f t="shared" si="49"/>
        <v>0.25721518987341774</v>
      </c>
      <c r="N429" s="4">
        <f t="shared" si="50"/>
        <v>5.4133858267716535E-3</v>
      </c>
      <c r="O429">
        <v>991</v>
      </c>
      <c r="P429" s="5">
        <v>1</v>
      </c>
      <c r="Q429" s="7">
        <v>1</v>
      </c>
      <c r="R429" t="str">
        <f t="shared" si="57"/>
        <v>код для проверки</v>
      </c>
      <c r="S429" t="str">
        <f t="shared" si="51"/>
        <v>Больше половины</v>
      </c>
      <c r="T429" t="str">
        <f t="shared" si="52"/>
        <v>Низшая четверть</v>
      </c>
      <c r="U429" t="str">
        <f t="shared" si="53"/>
        <v>код для проверки</v>
      </c>
      <c r="V429" t="str">
        <f t="shared" si="54"/>
        <v>Больше половины</v>
      </c>
      <c r="W429" t="str">
        <f t="shared" si="55"/>
        <v>Низшая четверть</v>
      </c>
      <c r="X429">
        <v>14</v>
      </c>
    </row>
    <row r="430" spans="1:24" x14ac:dyDescent="0.35">
      <c r="A430" s="1" t="s">
        <v>385</v>
      </c>
      <c r="B430" s="2" t="s">
        <v>386</v>
      </c>
      <c r="C430" s="3" t="s">
        <v>13</v>
      </c>
      <c r="D430" s="2" t="s">
        <v>77</v>
      </c>
      <c r="E430" s="3" t="s">
        <v>89</v>
      </c>
      <c r="F430" s="2" t="s">
        <v>34</v>
      </c>
      <c r="G430" s="3" t="s">
        <v>35</v>
      </c>
      <c r="H430" s="2" t="s">
        <v>18</v>
      </c>
      <c r="I430" s="3" t="s">
        <v>19</v>
      </c>
      <c r="J430" s="3">
        <v>7885</v>
      </c>
      <c r="K430" s="3">
        <v>573</v>
      </c>
      <c r="L430" s="3">
        <v>14</v>
      </c>
      <c r="M430" s="4">
        <f t="shared" si="49"/>
        <v>7.2669625871908686E-2</v>
      </c>
      <c r="N430" s="4">
        <f t="shared" si="50"/>
        <v>2.4432809773123908E-2</v>
      </c>
      <c r="O430">
        <v>454</v>
      </c>
      <c r="P430" s="5">
        <v>1</v>
      </c>
      <c r="Q430" s="7">
        <v>1</v>
      </c>
      <c r="R430" t="str">
        <f t="shared" si="57"/>
        <v>нормальный код</v>
      </c>
      <c r="S430" t="str">
        <f t="shared" si="51"/>
        <v>Вторая четверть</v>
      </c>
      <c r="T430" t="str">
        <f t="shared" si="52"/>
        <v>Больше половины</v>
      </c>
      <c r="U430" t="str">
        <f t="shared" si="53"/>
        <v>нормальный код</v>
      </c>
      <c r="V430" t="str">
        <f t="shared" si="54"/>
        <v>Вторая четверть</v>
      </c>
      <c r="W430" t="str">
        <f t="shared" si="55"/>
        <v>Больше половины</v>
      </c>
      <c r="X430">
        <v>12</v>
      </c>
    </row>
    <row r="431" spans="1:24" x14ac:dyDescent="0.35">
      <c r="A431" s="1" t="s">
        <v>2073</v>
      </c>
      <c r="B431" s="2" t="s">
        <v>2074</v>
      </c>
      <c r="C431" s="3" t="s">
        <v>13</v>
      </c>
      <c r="D431" s="2" t="s">
        <v>49</v>
      </c>
      <c r="E431" s="3" t="s">
        <v>50</v>
      </c>
      <c r="F431" s="2" t="s">
        <v>34</v>
      </c>
      <c r="G431" s="3" t="s">
        <v>17</v>
      </c>
      <c r="H431" s="2" t="s">
        <v>18</v>
      </c>
      <c r="I431" s="3" t="s">
        <v>19</v>
      </c>
      <c r="J431" s="3">
        <v>7854</v>
      </c>
      <c r="K431" s="3">
        <v>1925</v>
      </c>
      <c r="L431" s="3">
        <v>64</v>
      </c>
      <c r="M431" s="4">
        <f t="shared" si="49"/>
        <v>0.24509803921568626</v>
      </c>
      <c r="N431" s="4">
        <f t="shared" si="50"/>
        <v>3.3246753246753247E-2</v>
      </c>
      <c r="O431">
        <v>1063</v>
      </c>
      <c r="P431" s="5">
        <v>0.875</v>
      </c>
      <c r="Q431" s="7">
        <v>1</v>
      </c>
      <c r="R431" t="str">
        <f t="shared" si="57"/>
        <v>нормальный код</v>
      </c>
      <c r="S431" t="str">
        <f t="shared" si="51"/>
        <v>Больше половины</v>
      </c>
      <c r="T431" t="str">
        <f t="shared" si="52"/>
        <v>Больше половины</v>
      </c>
      <c r="U431" t="str">
        <f t="shared" si="53"/>
        <v>нормальный код</v>
      </c>
      <c r="V431" t="str">
        <f t="shared" si="54"/>
        <v>Больше половины</v>
      </c>
      <c r="W431" t="str">
        <f t="shared" si="55"/>
        <v>Вторая четверть</v>
      </c>
      <c r="X431">
        <v>25</v>
      </c>
    </row>
    <row r="432" spans="1:24" x14ac:dyDescent="0.35">
      <c r="A432" s="1" t="s">
        <v>1097</v>
      </c>
      <c r="B432" s="2" t="s">
        <v>1098</v>
      </c>
      <c r="C432" s="3" t="s">
        <v>55</v>
      </c>
      <c r="D432" s="2" t="s">
        <v>56</v>
      </c>
      <c r="E432" s="3" t="s">
        <v>700</v>
      </c>
      <c r="F432" s="2" t="s">
        <v>96</v>
      </c>
      <c r="G432" s="3" t="s">
        <v>17</v>
      </c>
      <c r="H432" s="2" t="s">
        <v>18</v>
      </c>
      <c r="I432" s="3" t="s">
        <v>19</v>
      </c>
      <c r="J432" s="3">
        <v>7790</v>
      </c>
      <c r="K432" s="3">
        <v>1425</v>
      </c>
      <c r="L432" s="3">
        <v>45</v>
      </c>
      <c r="M432" s="4">
        <f t="shared" si="49"/>
        <v>0.18292682926829268</v>
      </c>
      <c r="N432" s="4">
        <f t="shared" si="50"/>
        <v>3.1578947368421054E-2</v>
      </c>
      <c r="O432">
        <v>818</v>
      </c>
      <c r="P432" s="5">
        <v>1</v>
      </c>
      <c r="Q432" s="7">
        <v>1</v>
      </c>
      <c r="R432" t="str">
        <f t="shared" si="57"/>
        <v>нормальный код</v>
      </c>
      <c r="S432" t="str">
        <f t="shared" si="51"/>
        <v>Больше половины</v>
      </c>
      <c r="T432" t="str">
        <f t="shared" si="52"/>
        <v>Больше половины</v>
      </c>
      <c r="U432" t="str">
        <f t="shared" si="53"/>
        <v>нормальный код</v>
      </c>
      <c r="V432" t="str">
        <f t="shared" si="54"/>
        <v>Больше половины</v>
      </c>
      <c r="W432" t="str">
        <f t="shared" si="55"/>
        <v>Вторая четверть</v>
      </c>
      <c r="X432">
        <v>18</v>
      </c>
    </row>
    <row r="433" spans="1:24" x14ac:dyDescent="0.35">
      <c r="A433" s="1" t="s">
        <v>1093</v>
      </c>
      <c r="B433" s="2" t="s">
        <v>1094</v>
      </c>
      <c r="C433" s="3" t="s">
        <v>13</v>
      </c>
      <c r="D433" s="2" t="s">
        <v>32</v>
      </c>
      <c r="E433" s="3" t="s">
        <v>136</v>
      </c>
      <c r="F433" s="2" t="s">
        <v>34</v>
      </c>
      <c r="G433" s="3" t="s">
        <v>17</v>
      </c>
      <c r="H433" s="2" t="s">
        <v>18</v>
      </c>
      <c r="I433" s="3" t="s">
        <v>19</v>
      </c>
      <c r="J433" s="3">
        <v>7775</v>
      </c>
      <c r="K433" s="3">
        <v>2154</v>
      </c>
      <c r="L433" s="3">
        <v>90</v>
      </c>
      <c r="M433" s="4">
        <f t="shared" si="49"/>
        <v>0.27704180064308681</v>
      </c>
      <c r="N433" s="4">
        <f t="shared" si="50"/>
        <v>4.1782729805013928E-2</v>
      </c>
      <c r="O433">
        <v>829</v>
      </c>
      <c r="P433" s="5">
        <v>1</v>
      </c>
      <c r="Q433" s="7">
        <v>1</v>
      </c>
      <c r="R433" t="str">
        <f t="shared" si="57"/>
        <v>нормальный код</v>
      </c>
      <c r="S433" t="str">
        <f t="shared" si="51"/>
        <v>Больше половины</v>
      </c>
      <c r="T433" t="str">
        <f t="shared" si="52"/>
        <v>Больше половины</v>
      </c>
      <c r="U433" t="str">
        <f t="shared" si="53"/>
        <v>код для проверки</v>
      </c>
      <c r="V433" t="str">
        <f t="shared" si="54"/>
        <v>Больше половины</v>
      </c>
      <c r="W433" t="str">
        <f t="shared" si="55"/>
        <v>Низшая четверть</v>
      </c>
      <c r="X433">
        <v>5</v>
      </c>
    </row>
    <row r="434" spans="1:24" x14ac:dyDescent="0.35">
      <c r="A434" s="1" t="s">
        <v>362</v>
      </c>
      <c r="B434" s="2" t="s">
        <v>363</v>
      </c>
      <c r="C434" s="3" t="s">
        <v>55</v>
      </c>
      <c r="D434" s="2" t="s">
        <v>56</v>
      </c>
      <c r="E434" s="3" t="s">
        <v>57</v>
      </c>
      <c r="F434" s="2" t="s">
        <v>34</v>
      </c>
      <c r="G434" s="3" t="s">
        <v>17</v>
      </c>
      <c r="H434" s="2" t="s">
        <v>18</v>
      </c>
      <c r="I434" s="3" t="s">
        <v>19</v>
      </c>
      <c r="J434" s="3">
        <v>7608</v>
      </c>
      <c r="K434" s="3">
        <v>107</v>
      </c>
      <c r="L434" s="3">
        <v>1</v>
      </c>
      <c r="M434" s="4">
        <f t="shared" si="49"/>
        <v>1.4064143007360672E-2</v>
      </c>
      <c r="N434" s="4">
        <f t="shared" si="50"/>
        <v>9.3457943925233638E-3</v>
      </c>
      <c r="O434">
        <v>99</v>
      </c>
      <c r="P434" s="5">
        <v>0.4</v>
      </c>
      <c r="Q434" s="7">
        <v>1</v>
      </c>
      <c r="R434" t="str">
        <f t="shared" si="57"/>
        <v>код для проверки</v>
      </c>
      <c r="S434" t="str">
        <f t="shared" si="51"/>
        <v>Низшая четверть</v>
      </c>
      <c r="T434" t="str">
        <f t="shared" si="52"/>
        <v>Низшая четверть</v>
      </c>
      <c r="U434" t="str">
        <f t="shared" si="53"/>
        <v>код для проверки</v>
      </c>
      <c r="V434" t="str">
        <f t="shared" si="54"/>
        <v>Низшая четверть</v>
      </c>
      <c r="W434" t="str">
        <f t="shared" si="55"/>
        <v>Вторая четверть</v>
      </c>
      <c r="X434">
        <v>7</v>
      </c>
    </row>
    <row r="435" spans="1:24" x14ac:dyDescent="0.35">
      <c r="A435" s="1" t="s">
        <v>1045</v>
      </c>
      <c r="B435" s="2" t="s">
        <v>1046</v>
      </c>
      <c r="C435" s="3" t="s">
        <v>55</v>
      </c>
      <c r="D435" s="2" t="s">
        <v>56</v>
      </c>
      <c r="E435" s="3" t="s">
        <v>700</v>
      </c>
      <c r="F435" s="2" t="s">
        <v>96</v>
      </c>
      <c r="G435" s="3" t="s">
        <v>17</v>
      </c>
      <c r="H435" s="2" t="s">
        <v>18</v>
      </c>
      <c r="I435" s="3" t="s">
        <v>19</v>
      </c>
      <c r="J435" s="3">
        <v>7573</v>
      </c>
      <c r="K435" s="3">
        <v>1209</v>
      </c>
      <c r="L435" s="3">
        <v>40</v>
      </c>
      <c r="M435" s="4">
        <f t="shared" si="49"/>
        <v>0.15964611118447114</v>
      </c>
      <c r="N435" s="4">
        <f t="shared" si="50"/>
        <v>3.3085194375516956E-2</v>
      </c>
      <c r="O435">
        <v>789</v>
      </c>
      <c r="P435" s="5">
        <v>1</v>
      </c>
      <c r="Q435" s="7">
        <v>1</v>
      </c>
      <c r="R435" t="str">
        <f t="shared" si="57"/>
        <v>нормальный код</v>
      </c>
      <c r="S435" t="str">
        <f t="shared" si="51"/>
        <v>Больше половины</v>
      </c>
      <c r="T435" t="str">
        <f t="shared" si="52"/>
        <v>Больше половины</v>
      </c>
      <c r="U435" t="str">
        <f t="shared" si="53"/>
        <v>нормальный код</v>
      </c>
      <c r="V435" t="str">
        <f t="shared" si="54"/>
        <v>Больше половины</v>
      </c>
      <c r="W435" t="str">
        <f t="shared" si="55"/>
        <v>Вторая четверть</v>
      </c>
      <c r="X435">
        <v>19</v>
      </c>
    </row>
    <row r="436" spans="1:24" x14ac:dyDescent="0.35">
      <c r="A436" s="1" t="s">
        <v>230</v>
      </c>
      <c r="B436" s="2" t="s">
        <v>231</v>
      </c>
      <c r="C436" s="3" t="s">
        <v>13</v>
      </c>
      <c r="D436" s="2" t="s">
        <v>77</v>
      </c>
      <c r="E436" s="3" t="s">
        <v>193</v>
      </c>
      <c r="F436" s="2" t="s">
        <v>34</v>
      </c>
      <c r="G436" s="3" t="s">
        <v>17</v>
      </c>
      <c r="H436" s="2" t="s">
        <v>18</v>
      </c>
      <c r="I436" s="3" t="s">
        <v>19</v>
      </c>
      <c r="J436" s="3">
        <v>7572</v>
      </c>
      <c r="K436" s="3">
        <v>395</v>
      </c>
      <c r="L436" s="3">
        <v>6</v>
      </c>
      <c r="M436" s="4">
        <f t="shared" si="49"/>
        <v>5.2165874273639723E-2</v>
      </c>
      <c r="N436" s="4">
        <f t="shared" si="50"/>
        <v>1.5189873417721518E-2</v>
      </c>
      <c r="O436">
        <v>128</v>
      </c>
      <c r="P436" s="5">
        <v>0.6</v>
      </c>
      <c r="Q436" s="7">
        <v>1</v>
      </c>
      <c r="R436" t="str">
        <f t="shared" si="57"/>
        <v>нормальный код</v>
      </c>
      <c r="S436" t="str">
        <f t="shared" si="51"/>
        <v>Вторая четверть</v>
      </c>
      <c r="T436" t="str">
        <f t="shared" si="52"/>
        <v>Вторая четверть</v>
      </c>
      <c r="U436" t="str">
        <f t="shared" si="53"/>
        <v>нормальный код</v>
      </c>
      <c r="V436" t="str">
        <f t="shared" si="54"/>
        <v>Вторая четверть</v>
      </c>
      <c r="W436" t="str">
        <f t="shared" si="55"/>
        <v>Больше половины</v>
      </c>
      <c r="X436">
        <v>19</v>
      </c>
    </row>
    <row r="437" spans="1:24" x14ac:dyDescent="0.35">
      <c r="A437" s="1" t="s">
        <v>1708</v>
      </c>
      <c r="B437" s="2" t="s">
        <v>1709</v>
      </c>
      <c r="C437" s="3" t="s">
        <v>55</v>
      </c>
      <c r="D437" s="2" t="s">
        <v>94</v>
      </c>
      <c r="E437" s="3" t="s">
        <v>95</v>
      </c>
      <c r="F437" s="2" t="s">
        <v>96</v>
      </c>
      <c r="G437" s="3" t="s">
        <v>17</v>
      </c>
      <c r="H437" s="2" t="s">
        <v>97</v>
      </c>
      <c r="I437" s="3" t="s">
        <v>19</v>
      </c>
      <c r="J437" s="3">
        <v>7567</v>
      </c>
      <c r="K437" s="3">
        <v>6462</v>
      </c>
      <c r="L437" s="3">
        <v>33</v>
      </c>
      <c r="M437" s="4">
        <f t="shared" si="49"/>
        <v>0.85397119069644511</v>
      </c>
      <c r="N437" s="4">
        <f t="shared" si="50"/>
        <v>5.1067780872794798E-3</v>
      </c>
      <c r="O437">
        <v>5105</v>
      </c>
      <c r="P437" s="5">
        <v>0.77777777777777779</v>
      </c>
      <c r="Q437" s="7">
        <v>1</v>
      </c>
      <c r="R437" t="str">
        <f t="shared" si="57"/>
        <v>код для проверки</v>
      </c>
      <c r="S437" t="str">
        <f t="shared" si="51"/>
        <v>Больше половины</v>
      </c>
      <c r="T437" t="str">
        <f t="shared" si="52"/>
        <v>Низшая четверть</v>
      </c>
      <c r="U437" t="str">
        <f t="shared" si="53"/>
        <v>код для проверки</v>
      </c>
      <c r="V437" t="str">
        <f t="shared" si="54"/>
        <v>Больше половины</v>
      </c>
      <c r="W437" t="str">
        <f t="shared" si="55"/>
        <v>Низшая четверть</v>
      </c>
      <c r="X437">
        <v>22</v>
      </c>
    </row>
    <row r="438" spans="1:24" x14ac:dyDescent="0.35">
      <c r="A438" s="1" t="s">
        <v>634</v>
      </c>
      <c r="B438" s="2" t="s">
        <v>635</v>
      </c>
      <c r="C438" s="3" t="s">
        <v>13</v>
      </c>
      <c r="D438" s="2" t="s">
        <v>32</v>
      </c>
      <c r="E438" s="3" t="s">
        <v>33</v>
      </c>
      <c r="F438" s="2" t="s">
        <v>34</v>
      </c>
      <c r="G438" s="3" t="s">
        <v>35</v>
      </c>
      <c r="H438" s="2" t="s">
        <v>18</v>
      </c>
      <c r="I438" s="3" t="s">
        <v>19</v>
      </c>
      <c r="J438" s="3">
        <v>7518</v>
      </c>
      <c r="K438" s="3">
        <v>1403</v>
      </c>
      <c r="L438" s="3">
        <v>8</v>
      </c>
      <c r="M438" s="4">
        <f t="shared" si="49"/>
        <v>0.18661878159084863</v>
      </c>
      <c r="N438" s="4">
        <f t="shared" si="50"/>
        <v>5.7020669992872419E-3</v>
      </c>
      <c r="O438">
        <v>149</v>
      </c>
      <c r="P438" s="5">
        <v>1</v>
      </c>
      <c r="Q438" s="7">
        <v>1</v>
      </c>
      <c r="R438" t="str">
        <f t="shared" si="57"/>
        <v>код для проверки</v>
      </c>
      <c r="S438" t="str">
        <f t="shared" si="51"/>
        <v>Больше половины</v>
      </c>
      <c r="T438" t="str">
        <f t="shared" si="52"/>
        <v>Низшая четверть</v>
      </c>
      <c r="U438" t="str">
        <f t="shared" si="53"/>
        <v>код для проверки</v>
      </c>
      <c r="V438" t="str">
        <f t="shared" si="54"/>
        <v>Больше половины</v>
      </c>
      <c r="W438" t="str">
        <f t="shared" si="55"/>
        <v>Низшая четверть</v>
      </c>
      <c r="X438">
        <v>9</v>
      </c>
    </row>
    <row r="439" spans="1:24" x14ac:dyDescent="0.35">
      <c r="A439" s="1" t="s">
        <v>464</v>
      </c>
      <c r="B439" s="2" t="s">
        <v>465</v>
      </c>
      <c r="C439" s="3" t="s">
        <v>13</v>
      </c>
      <c r="D439" s="2" t="s">
        <v>77</v>
      </c>
      <c r="E439" s="3" t="s">
        <v>172</v>
      </c>
      <c r="F439" s="2" t="s">
        <v>34</v>
      </c>
      <c r="G439" s="3" t="s">
        <v>17</v>
      </c>
      <c r="H439" s="2" t="s">
        <v>18</v>
      </c>
      <c r="I439" s="3" t="s">
        <v>19</v>
      </c>
      <c r="J439" s="3">
        <v>7497</v>
      </c>
      <c r="K439" s="3">
        <v>610</v>
      </c>
      <c r="L439" s="3">
        <v>8</v>
      </c>
      <c r="M439" s="4">
        <f t="shared" si="49"/>
        <v>8.1365879685207421E-2</v>
      </c>
      <c r="N439" s="4">
        <f t="shared" si="50"/>
        <v>1.3114754098360656E-2</v>
      </c>
      <c r="O439">
        <v>351</v>
      </c>
      <c r="P439" s="5">
        <v>1</v>
      </c>
      <c r="Q439" s="7">
        <v>1</v>
      </c>
      <c r="R439" t="str">
        <f t="shared" si="57"/>
        <v>нормальный код</v>
      </c>
      <c r="S439" t="str">
        <f t="shared" si="51"/>
        <v>Вторая четверть</v>
      </c>
      <c r="T439" t="str">
        <f t="shared" si="52"/>
        <v>Вторая четверть</v>
      </c>
      <c r="U439" t="str">
        <f t="shared" si="53"/>
        <v>нормальный код</v>
      </c>
      <c r="V439" t="str">
        <f t="shared" si="54"/>
        <v>Вторая четверть</v>
      </c>
      <c r="W439" t="str">
        <f t="shared" si="55"/>
        <v>Вторая четверть</v>
      </c>
      <c r="X439">
        <v>19</v>
      </c>
    </row>
    <row r="440" spans="1:24" x14ac:dyDescent="0.35">
      <c r="A440" s="1" t="s">
        <v>934</v>
      </c>
      <c r="B440" s="2" t="s">
        <v>935</v>
      </c>
      <c r="C440" s="3" t="s">
        <v>13</v>
      </c>
      <c r="D440" s="2" t="s">
        <v>164</v>
      </c>
      <c r="E440" s="3" t="s">
        <v>374</v>
      </c>
      <c r="F440" s="2" t="s">
        <v>71</v>
      </c>
      <c r="G440" s="3" t="s">
        <v>35</v>
      </c>
      <c r="H440" s="2" t="s">
        <v>18</v>
      </c>
      <c r="I440" s="3" t="s">
        <v>19</v>
      </c>
      <c r="J440" s="3">
        <v>7479</v>
      </c>
      <c r="K440" s="3">
        <v>708</v>
      </c>
      <c r="L440" s="3">
        <v>4</v>
      </c>
      <c r="M440" s="4">
        <f t="shared" si="49"/>
        <v>9.4665062174087447E-2</v>
      </c>
      <c r="N440" s="4">
        <f t="shared" si="50"/>
        <v>5.6497175141242938E-3</v>
      </c>
      <c r="O440">
        <v>174</v>
      </c>
      <c r="P440" s="5">
        <v>1</v>
      </c>
      <c r="Q440" s="7">
        <v>1</v>
      </c>
      <c r="R440" t="str">
        <f t="shared" si="57"/>
        <v>код для проверки</v>
      </c>
      <c r="S440" t="str">
        <f t="shared" si="51"/>
        <v>Вторая четверть</v>
      </c>
      <c r="T440" t="str">
        <f t="shared" si="52"/>
        <v>Низшая четверть</v>
      </c>
      <c r="U440" t="str">
        <f t="shared" si="53"/>
        <v>код для проверки</v>
      </c>
      <c r="V440" t="str">
        <f t="shared" si="54"/>
        <v>Больше половины</v>
      </c>
      <c r="W440" t="str">
        <f t="shared" si="55"/>
        <v>Низшая четверть</v>
      </c>
      <c r="X440">
        <v>21</v>
      </c>
    </row>
    <row r="441" spans="1:24" x14ac:dyDescent="0.35">
      <c r="A441" s="1" t="s">
        <v>1166</v>
      </c>
      <c r="B441" s="2" t="s">
        <v>1167</v>
      </c>
      <c r="C441" s="3" t="s">
        <v>55</v>
      </c>
      <c r="D441" s="2" t="s">
        <v>56</v>
      </c>
      <c r="E441" s="3" t="s">
        <v>112</v>
      </c>
      <c r="F441" s="2" t="s">
        <v>34</v>
      </c>
      <c r="G441" s="3" t="s">
        <v>17</v>
      </c>
      <c r="H441" s="2" t="s">
        <v>18</v>
      </c>
      <c r="I441" s="3" t="s">
        <v>19</v>
      </c>
      <c r="J441" s="3">
        <v>7369</v>
      </c>
      <c r="K441" s="3">
        <v>537</v>
      </c>
      <c r="L441" s="3">
        <v>10</v>
      </c>
      <c r="M441" s="4">
        <f t="shared" si="49"/>
        <v>7.287284570498033E-2</v>
      </c>
      <c r="N441" s="4">
        <f t="shared" si="50"/>
        <v>1.86219739292365E-2</v>
      </c>
      <c r="O441">
        <v>364</v>
      </c>
      <c r="P441" s="5">
        <v>1</v>
      </c>
      <c r="Q441" s="7">
        <v>1</v>
      </c>
      <c r="R441" t="str">
        <f t="shared" si="57"/>
        <v>нормальный код</v>
      </c>
      <c r="S441" t="str">
        <f t="shared" si="51"/>
        <v>Вторая четверть</v>
      </c>
      <c r="T441" t="str">
        <f t="shared" si="52"/>
        <v>Вторая четверть</v>
      </c>
      <c r="U441" t="str">
        <f t="shared" si="53"/>
        <v>нормальный код</v>
      </c>
      <c r="V441" t="str">
        <f t="shared" si="54"/>
        <v>Вторая четверть</v>
      </c>
      <c r="W441" t="str">
        <f t="shared" si="55"/>
        <v>Вторая четверть</v>
      </c>
      <c r="X441">
        <v>15</v>
      </c>
    </row>
    <row r="442" spans="1:24" x14ac:dyDescent="0.35">
      <c r="A442" s="1" t="s">
        <v>2000</v>
      </c>
      <c r="B442" s="2" t="s">
        <v>2001</v>
      </c>
      <c r="C442" s="3" t="s">
        <v>13</v>
      </c>
      <c r="D442" s="2" t="s">
        <v>69</v>
      </c>
      <c r="E442" s="3" t="s">
        <v>159</v>
      </c>
      <c r="F442" s="2" t="s">
        <v>34</v>
      </c>
      <c r="G442" s="3" t="s">
        <v>72</v>
      </c>
      <c r="H442" s="2" t="s">
        <v>18</v>
      </c>
      <c r="I442" s="3" t="s">
        <v>19</v>
      </c>
      <c r="J442" s="3">
        <v>7356</v>
      </c>
      <c r="K442" s="3">
        <v>974</v>
      </c>
      <c r="L442" s="3">
        <v>17</v>
      </c>
      <c r="M442" s="4">
        <f t="shared" si="49"/>
        <v>0.13240891789015768</v>
      </c>
      <c r="N442" s="4">
        <f t="shared" si="50"/>
        <v>1.7453798767967144E-2</v>
      </c>
      <c r="O442">
        <v>815</v>
      </c>
      <c r="P442" s="5">
        <v>1</v>
      </c>
      <c r="Q442" s="7">
        <v>1</v>
      </c>
      <c r="R442" t="str">
        <f t="shared" si="57"/>
        <v>нормальный код</v>
      </c>
      <c r="S442" t="str">
        <f t="shared" si="51"/>
        <v>Больше половины</v>
      </c>
      <c r="T442" t="str">
        <f t="shared" si="52"/>
        <v>Вторая четверть</v>
      </c>
      <c r="U442" t="str">
        <f t="shared" si="53"/>
        <v>нормальный код</v>
      </c>
      <c r="V442" t="str">
        <f t="shared" si="54"/>
        <v>Больше половины</v>
      </c>
      <c r="W442" t="str">
        <f t="shared" si="55"/>
        <v>Вторая четверть</v>
      </c>
      <c r="X442">
        <v>5</v>
      </c>
    </row>
    <row r="443" spans="1:24" x14ac:dyDescent="0.35">
      <c r="A443" s="1" t="s">
        <v>2132</v>
      </c>
      <c r="B443" s="2" t="s">
        <v>2133</v>
      </c>
      <c r="C443" s="3" t="s">
        <v>13</v>
      </c>
      <c r="D443" s="2" t="s">
        <v>69</v>
      </c>
      <c r="E443" s="3" t="s">
        <v>455</v>
      </c>
      <c r="F443" s="2" t="s">
        <v>34</v>
      </c>
      <c r="G443" s="3" t="s">
        <v>72</v>
      </c>
      <c r="H443" s="2" t="s">
        <v>18</v>
      </c>
      <c r="I443" s="3" t="s">
        <v>19</v>
      </c>
      <c r="J443" s="3">
        <v>7304</v>
      </c>
      <c r="K443" s="3">
        <v>1356</v>
      </c>
      <c r="L443" s="3">
        <v>43</v>
      </c>
      <c r="M443" s="4">
        <f t="shared" si="49"/>
        <v>0.18565169769989048</v>
      </c>
      <c r="N443" s="4">
        <f t="shared" si="50"/>
        <v>3.1710914454277289E-2</v>
      </c>
      <c r="O443">
        <v>193</v>
      </c>
      <c r="P443" s="5">
        <v>1</v>
      </c>
      <c r="Q443" s="7">
        <v>1</v>
      </c>
      <c r="R443" t="str">
        <f t="shared" si="57"/>
        <v>нормальный код</v>
      </c>
      <c r="S443" t="str">
        <f t="shared" si="51"/>
        <v>Больше половины</v>
      </c>
      <c r="T443" t="str">
        <f t="shared" si="52"/>
        <v>Больше половины</v>
      </c>
      <c r="U443" t="str">
        <f t="shared" si="53"/>
        <v>нормальный код</v>
      </c>
      <c r="V443" t="str">
        <f t="shared" si="54"/>
        <v>Больше половины</v>
      </c>
      <c r="W443" t="str">
        <f t="shared" si="55"/>
        <v>Больше половины</v>
      </c>
      <c r="X443">
        <v>15</v>
      </c>
    </row>
    <row r="444" spans="1:24" x14ac:dyDescent="0.35">
      <c r="A444" s="1" t="s">
        <v>245</v>
      </c>
      <c r="B444" s="2" t="s">
        <v>246</v>
      </c>
      <c r="C444" s="3" t="s">
        <v>13</v>
      </c>
      <c r="D444" s="2" t="s">
        <v>77</v>
      </c>
      <c r="E444" s="3" t="s">
        <v>193</v>
      </c>
      <c r="F444" s="2" t="s">
        <v>34</v>
      </c>
      <c r="G444" s="3" t="s">
        <v>17</v>
      </c>
      <c r="H444" s="2" t="s">
        <v>18</v>
      </c>
      <c r="I444" s="3" t="s">
        <v>19</v>
      </c>
      <c r="J444" s="3">
        <v>7251</v>
      </c>
      <c r="K444" s="3">
        <v>550</v>
      </c>
      <c r="L444" s="3">
        <v>7</v>
      </c>
      <c r="M444" s="4">
        <f t="shared" si="49"/>
        <v>7.5851606674941383E-2</v>
      </c>
      <c r="N444" s="4">
        <f t="shared" si="50"/>
        <v>1.2727272727272728E-2</v>
      </c>
      <c r="O444">
        <v>370</v>
      </c>
      <c r="P444" s="5">
        <v>1</v>
      </c>
      <c r="Q444" s="7">
        <v>1</v>
      </c>
      <c r="R444" t="str">
        <f t="shared" si="57"/>
        <v>нормальный код</v>
      </c>
      <c r="S444" t="str">
        <f t="shared" si="51"/>
        <v>Вторая четверть</v>
      </c>
      <c r="T444" t="str">
        <f t="shared" si="52"/>
        <v>Вторая четверть</v>
      </c>
      <c r="U444" t="str">
        <f t="shared" si="53"/>
        <v>нормальный код</v>
      </c>
      <c r="V444" t="str">
        <f t="shared" si="54"/>
        <v>Вторая четверть</v>
      </c>
      <c r="W444" t="str">
        <f t="shared" si="55"/>
        <v>Вторая четверть</v>
      </c>
      <c r="X444">
        <v>25</v>
      </c>
    </row>
    <row r="445" spans="1:24" x14ac:dyDescent="0.35">
      <c r="A445" s="1" t="s">
        <v>2490</v>
      </c>
      <c r="B445" s="2" t="s">
        <v>2491</v>
      </c>
      <c r="C445" s="3" t="s">
        <v>13</v>
      </c>
      <c r="D445" s="2" t="s">
        <v>77</v>
      </c>
      <c r="E445" s="3" t="s">
        <v>89</v>
      </c>
      <c r="F445" s="2" t="s">
        <v>34</v>
      </c>
      <c r="G445" s="3" t="s">
        <v>35</v>
      </c>
      <c r="H445" s="2" t="s">
        <v>18</v>
      </c>
      <c r="I445" s="3" t="s">
        <v>19</v>
      </c>
      <c r="J445" s="3">
        <v>7138</v>
      </c>
      <c r="K445" s="3">
        <v>1707</v>
      </c>
      <c r="L445" s="3">
        <v>7</v>
      </c>
      <c r="M445" s="4">
        <f t="shared" si="49"/>
        <v>0.23914261697954609</v>
      </c>
      <c r="N445" s="4">
        <f t="shared" si="50"/>
        <v>4.1007615700058581E-3</v>
      </c>
      <c r="O445">
        <v>861</v>
      </c>
      <c r="P445" s="5">
        <v>1</v>
      </c>
      <c r="Q445" s="7">
        <v>1</v>
      </c>
      <c r="R445" t="str">
        <f t="shared" si="57"/>
        <v>код для проверки</v>
      </c>
      <c r="S445" t="str">
        <f t="shared" si="51"/>
        <v>Больше половины</v>
      </c>
      <c r="T445" t="str">
        <f t="shared" si="52"/>
        <v>Низшая четверть</v>
      </c>
      <c r="U445" t="str">
        <f t="shared" si="53"/>
        <v>код для проверки</v>
      </c>
      <c r="V445" t="str">
        <f t="shared" si="54"/>
        <v>Больше половины</v>
      </c>
      <c r="W445" t="str">
        <f t="shared" si="55"/>
        <v>Низшая четверть</v>
      </c>
      <c r="X445">
        <v>17</v>
      </c>
    </row>
    <row r="446" spans="1:24" x14ac:dyDescent="0.35">
      <c r="A446" s="1" t="s">
        <v>795</v>
      </c>
      <c r="B446" s="2" t="s">
        <v>796</v>
      </c>
      <c r="C446" s="3" t="s">
        <v>13</v>
      </c>
      <c r="D446" s="2" t="s">
        <v>155</v>
      </c>
      <c r="E446" s="3" t="s">
        <v>244</v>
      </c>
      <c r="F446" s="2" t="s">
        <v>34</v>
      </c>
      <c r="G446" s="3" t="s">
        <v>35</v>
      </c>
      <c r="H446" s="2" t="s">
        <v>18</v>
      </c>
      <c r="I446" s="3" t="s">
        <v>19</v>
      </c>
      <c r="J446" s="3">
        <v>7138</v>
      </c>
      <c r="K446" s="3">
        <v>491</v>
      </c>
      <c r="L446" s="3">
        <v>10</v>
      </c>
      <c r="M446" s="4">
        <f t="shared" si="49"/>
        <v>6.8786775007004766E-2</v>
      </c>
      <c r="N446" s="4">
        <f t="shared" si="50"/>
        <v>2.0366598778004074E-2</v>
      </c>
      <c r="O446">
        <v>365</v>
      </c>
      <c r="P446" s="5">
        <v>1</v>
      </c>
      <c r="Q446" s="7">
        <v>1</v>
      </c>
      <c r="R446" t="str">
        <f t="shared" si="57"/>
        <v>нормальный код</v>
      </c>
      <c r="S446" t="str">
        <f t="shared" si="51"/>
        <v>Вторая четверть</v>
      </c>
      <c r="T446" t="str">
        <f t="shared" si="52"/>
        <v>Больше половины</v>
      </c>
      <c r="U446" t="str">
        <f t="shared" si="53"/>
        <v>нормальный код</v>
      </c>
      <c r="V446" t="str">
        <f t="shared" si="54"/>
        <v>Вторая четверть</v>
      </c>
      <c r="W446" t="str">
        <f t="shared" si="55"/>
        <v>Больше половины</v>
      </c>
      <c r="X446">
        <v>23</v>
      </c>
    </row>
    <row r="447" spans="1:24" x14ac:dyDescent="0.35">
      <c r="A447" s="1" t="s">
        <v>383</v>
      </c>
      <c r="B447" s="2" t="s">
        <v>384</v>
      </c>
      <c r="C447" s="3" t="s">
        <v>13</v>
      </c>
      <c r="D447" s="2" t="s">
        <v>32</v>
      </c>
      <c r="E447" s="3" t="s">
        <v>33</v>
      </c>
      <c r="F447" s="2" t="s">
        <v>34</v>
      </c>
      <c r="G447" s="3" t="s">
        <v>17</v>
      </c>
      <c r="H447" s="2" t="s">
        <v>18</v>
      </c>
      <c r="I447" s="3" t="s">
        <v>19</v>
      </c>
      <c r="J447" s="3">
        <v>7128</v>
      </c>
      <c r="K447" s="3">
        <v>723</v>
      </c>
      <c r="L447" s="3">
        <v>17</v>
      </c>
      <c r="M447" s="4">
        <f t="shared" si="49"/>
        <v>0.10143097643097643</v>
      </c>
      <c r="N447" s="4">
        <f t="shared" si="50"/>
        <v>2.351313969571231E-2</v>
      </c>
      <c r="O447">
        <v>651</v>
      </c>
      <c r="P447" s="5">
        <v>1</v>
      </c>
      <c r="Q447" s="7">
        <v>1</v>
      </c>
      <c r="R447" t="str">
        <f t="shared" si="57"/>
        <v>нормальный код</v>
      </c>
      <c r="S447" t="str">
        <f t="shared" si="51"/>
        <v>Больше половины</v>
      </c>
      <c r="T447" t="str">
        <f t="shared" si="52"/>
        <v>Больше половины</v>
      </c>
      <c r="U447" t="str">
        <f t="shared" si="53"/>
        <v>нормальный код</v>
      </c>
      <c r="V447" t="str">
        <f t="shared" si="54"/>
        <v>Вторая четверть</v>
      </c>
      <c r="W447" t="str">
        <f t="shared" si="55"/>
        <v>Вторая четверть</v>
      </c>
      <c r="X447">
        <v>20</v>
      </c>
    </row>
    <row r="448" spans="1:24" x14ac:dyDescent="0.35">
      <c r="A448" s="1" t="s">
        <v>1886</v>
      </c>
      <c r="B448" s="2" t="s">
        <v>1887</v>
      </c>
      <c r="C448" s="3" t="s">
        <v>55</v>
      </c>
      <c r="D448" s="2" t="s">
        <v>1874</v>
      </c>
      <c r="E448" s="3" t="s">
        <v>1875</v>
      </c>
      <c r="F448" s="2" t="s">
        <v>34</v>
      </c>
      <c r="G448" s="3" t="s">
        <v>17</v>
      </c>
      <c r="H448" s="2" t="s">
        <v>97</v>
      </c>
      <c r="I448" s="3" t="s">
        <v>19</v>
      </c>
      <c r="J448" s="3">
        <v>7051</v>
      </c>
      <c r="K448" s="3">
        <v>190</v>
      </c>
      <c r="L448" s="3">
        <v>4</v>
      </c>
      <c r="M448" s="4">
        <f t="shared" si="49"/>
        <v>2.6946532406750816E-2</v>
      </c>
      <c r="N448" s="4">
        <f t="shared" si="50"/>
        <v>2.1052631578947368E-2</v>
      </c>
      <c r="O448">
        <v>1146</v>
      </c>
      <c r="P448" s="5">
        <v>0.8</v>
      </c>
      <c r="Q448" s="7">
        <v>1</v>
      </c>
      <c r="R448" t="str">
        <f t="shared" si="57"/>
        <v>код для проверки</v>
      </c>
      <c r="S448" t="str">
        <f t="shared" si="51"/>
        <v>Низшая четверть</v>
      </c>
      <c r="T448" t="str">
        <f t="shared" si="52"/>
        <v>Больше половины</v>
      </c>
      <c r="U448" t="str">
        <f t="shared" si="53"/>
        <v>нормальный код</v>
      </c>
      <c r="V448" t="str">
        <f t="shared" si="54"/>
        <v>Вторая четверть</v>
      </c>
      <c r="W448" t="str">
        <f t="shared" si="55"/>
        <v>Больше половины</v>
      </c>
      <c r="X448">
        <v>13</v>
      </c>
    </row>
    <row r="449" spans="1:24" x14ac:dyDescent="0.35">
      <c r="A449" s="1" t="s">
        <v>2236</v>
      </c>
      <c r="B449" s="2" t="s">
        <v>2237</v>
      </c>
      <c r="C449" s="3" t="s">
        <v>13</v>
      </c>
      <c r="D449" s="2" t="s">
        <v>69</v>
      </c>
      <c r="E449" s="3" t="s">
        <v>1511</v>
      </c>
      <c r="F449" s="2" t="s">
        <v>34</v>
      </c>
      <c r="G449" s="3" t="s">
        <v>72</v>
      </c>
      <c r="H449" s="2" t="s">
        <v>18</v>
      </c>
      <c r="I449" s="3" t="s">
        <v>19</v>
      </c>
      <c r="J449" s="3">
        <v>7034</v>
      </c>
      <c r="K449" s="3">
        <v>1709</v>
      </c>
      <c r="L449" s="3">
        <v>24</v>
      </c>
      <c r="M449" s="4">
        <f t="shared" si="49"/>
        <v>0.24296275234574921</v>
      </c>
      <c r="N449" s="4">
        <f t="shared" si="50"/>
        <v>1.4043300175541252E-2</v>
      </c>
      <c r="O449">
        <v>184</v>
      </c>
      <c r="P449" s="5">
        <v>1</v>
      </c>
      <c r="Q449" s="7">
        <v>1</v>
      </c>
      <c r="R449" t="str">
        <f t="shared" si="57"/>
        <v>нормальный код</v>
      </c>
      <c r="S449" t="str">
        <f t="shared" si="51"/>
        <v>Больше половины</v>
      </c>
      <c r="T449" t="str">
        <f t="shared" si="52"/>
        <v>Вторая четверть</v>
      </c>
      <c r="U449" t="str">
        <f t="shared" si="53"/>
        <v>код для проверки</v>
      </c>
      <c r="V449" t="str">
        <f t="shared" si="54"/>
        <v>Вторая четверть</v>
      </c>
      <c r="W449" t="str">
        <f t="shared" si="55"/>
        <v>Низшая четверть</v>
      </c>
      <c r="X449">
        <v>14</v>
      </c>
    </row>
    <row r="450" spans="1:24" x14ac:dyDescent="0.35">
      <c r="A450" s="1" t="s">
        <v>416</v>
      </c>
      <c r="B450" s="2" t="s">
        <v>417</v>
      </c>
      <c r="C450" s="3" t="s">
        <v>13</v>
      </c>
      <c r="D450" s="2" t="s">
        <v>77</v>
      </c>
      <c r="E450" s="3" t="s">
        <v>89</v>
      </c>
      <c r="F450" s="2" t="s">
        <v>34</v>
      </c>
      <c r="G450" s="3" t="s">
        <v>35</v>
      </c>
      <c r="H450" s="2" t="s">
        <v>18</v>
      </c>
      <c r="I450" s="3" t="s">
        <v>19</v>
      </c>
      <c r="J450" s="3">
        <v>6997</v>
      </c>
      <c r="K450" s="3">
        <v>514</v>
      </c>
      <c r="L450" s="3">
        <v>10</v>
      </c>
      <c r="M450" s="4">
        <f t="shared" si="49"/>
        <v>7.3460054308989567E-2</v>
      </c>
      <c r="N450" s="4">
        <f t="shared" si="50"/>
        <v>1.9455252918287938E-2</v>
      </c>
      <c r="O450">
        <v>176</v>
      </c>
      <c r="P450" s="5">
        <v>1</v>
      </c>
      <c r="Q450" s="7">
        <v>1</v>
      </c>
      <c r="R450" t="str">
        <f t="shared" si="57"/>
        <v>нормальный код</v>
      </c>
      <c r="S450" t="str">
        <f t="shared" si="51"/>
        <v>Вторая четверть</v>
      </c>
      <c r="T450" t="str">
        <f t="shared" si="52"/>
        <v>Вторая четверть</v>
      </c>
      <c r="U450" t="str">
        <f t="shared" si="53"/>
        <v>нормальный код</v>
      </c>
      <c r="V450" t="str">
        <f t="shared" si="54"/>
        <v>Вторая четверть</v>
      </c>
      <c r="W450" t="str">
        <f t="shared" si="55"/>
        <v>Вторая четверть</v>
      </c>
      <c r="X450">
        <v>19</v>
      </c>
    </row>
    <row r="451" spans="1:24" x14ac:dyDescent="0.35">
      <c r="A451" s="1" t="s">
        <v>1298</v>
      </c>
      <c r="B451" s="2" t="s">
        <v>1299</v>
      </c>
      <c r="C451" s="3" t="s">
        <v>13</v>
      </c>
      <c r="D451" s="2" t="s">
        <v>412</v>
      </c>
      <c r="E451" s="3" t="s">
        <v>413</v>
      </c>
      <c r="F451" s="2" t="s">
        <v>61</v>
      </c>
      <c r="G451" s="3" t="s">
        <v>17</v>
      </c>
      <c r="H451" s="2" t="s">
        <v>97</v>
      </c>
      <c r="I451" s="3" t="s">
        <v>19</v>
      </c>
      <c r="J451" s="3">
        <v>6994</v>
      </c>
      <c r="K451" s="3">
        <v>762</v>
      </c>
      <c r="L451" s="3">
        <v>13</v>
      </c>
      <c r="M451" s="4">
        <f t="shared" si="49"/>
        <v>0.10895052902487846</v>
      </c>
      <c r="N451" s="4">
        <f t="shared" si="50"/>
        <v>1.7060367454068241E-2</v>
      </c>
      <c r="O451">
        <v>357</v>
      </c>
      <c r="P451" s="5">
        <v>1</v>
      </c>
      <c r="Q451" s="7">
        <v>1</v>
      </c>
      <c r="R451" t="str">
        <f t="shared" si="57"/>
        <v>нормальный код</v>
      </c>
      <c r="S451" t="str">
        <f t="shared" si="51"/>
        <v>Больше половины</v>
      </c>
      <c r="T451" t="str">
        <f t="shared" si="52"/>
        <v>Вторая четверть</v>
      </c>
      <c r="U451" t="str">
        <f t="shared" si="53"/>
        <v>нормальный код</v>
      </c>
      <c r="V451" t="str">
        <f t="shared" si="54"/>
        <v>Больше половины</v>
      </c>
      <c r="W451" t="str">
        <f t="shared" si="55"/>
        <v>Вторая четверть</v>
      </c>
      <c r="X451">
        <v>8</v>
      </c>
    </row>
    <row r="452" spans="1:24" x14ac:dyDescent="0.35">
      <c r="A452" s="1" t="s">
        <v>749</v>
      </c>
      <c r="B452" s="2" t="s">
        <v>750</v>
      </c>
      <c r="C452" s="3" t="s">
        <v>13</v>
      </c>
      <c r="D452" s="2" t="s">
        <v>412</v>
      </c>
      <c r="E452" s="3" t="s">
        <v>413</v>
      </c>
      <c r="F452" s="2" t="s">
        <v>61</v>
      </c>
      <c r="G452" s="3" t="s">
        <v>17</v>
      </c>
      <c r="H452" s="2" t="s">
        <v>97</v>
      </c>
      <c r="I452" s="3" t="s">
        <v>19</v>
      </c>
      <c r="J452" s="3">
        <v>6978</v>
      </c>
      <c r="K452" s="3">
        <v>1012</v>
      </c>
      <c r="L452" s="3">
        <v>9</v>
      </c>
      <c r="M452" s="4">
        <f t="shared" ref="M452:M515" si="58">IFERROR(K452/J452,0)</f>
        <v>0.14502722843221552</v>
      </c>
      <c r="N452" s="4">
        <f t="shared" ref="N452:N515" si="59">IFERROR(L452/K452,0)</f>
        <v>8.8932806324110679E-3</v>
      </c>
      <c r="O452">
        <v>459</v>
      </c>
      <c r="P452" s="5">
        <v>1</v>
      </c>
      <c r="Q452" s="7">
        <v>1</v>
      </c>
      <c r="R452" t="str">
        <f t="shared" si="57"/>
        <v>код для проверки</v>
      </c>
      <c r="S452" t="str">
        <f t="shared" ref="S452:S515" si="60">IF(M452&lt;$S$1*0.5,"Низшая четверть",IF(M452&lt;$S$1,"Вторая четверть","Больше половины"))</f>
        <v>Больше половины</v>
      </c>
      <c r="T452" t="str">
        <f t="shared" ref="T452:T515" si="61">IF(N452&lt;$T$1*0.5,"Низшая четверть",IF(N452&lt;$T$1,"Вторая четверть","Больше половины"))</f>
        <v>Низшая четверть</v>
      </c>
      <c r="U452" t="str">
        <f t="shared" ref="U452:U515" si="62">IF(OR(M452&lt;SUMIFS(K:K,Q:Q,1,E:E,E452)/SUMIFS(J:J,Q:Q,1,E:E,E452)*0.5,N452&lt;SUMIFS(L:L,Q:Q,1,E:E,E452)/SUMIFS(K:K,Q:Q,1,E:E,E452)*0.5),"код для проверки","нормальный код")</f>
        <v>код для проверки</v>
      </c>
      <c r="V452" t="str">
        <f t="shared" ref="V452:V515" si="63">IF(M452&lt;SUMIFS(K:K,Q:Q,1,E:E,E452)/SUMIFS(J:J,Q:Q,1,E:E,E452)*0.5,"Низшая четверть",IF(M452&lt;SUMIFS(K:K,Q:Q,1,E:E,E452)/SUMIFS(J:J,Q:Q,1,E:E,E452),"Вторая четверть","Больше половины"))</f>
        <v>Больше половины</v>
      </c>
      <c r="W452" t="str">
        <f t="shared" ref="W452:W515" si="64">IF(N452&lt;SUMIFS(L:L,Q:Q,1,E:E,E452)/SUMIFS(K:K,Q:Q,1,E:E,E452)*0.5,"Низшая четверть",IF(N452&lt;SUMIFS(L:L,Q:Q,1,E:E,E452)/SUMIFS(K:K,Q:Q,1,E:E,E452),"Вторая четверть","Больше половины"))</f>
        <v>Низшая четверть</v>
      </c>
      <c r="X452">
        <v>10</v>
      </c>
    </row>
    <row r="453" spans="1:24" x14ac:dyDescent="0.35">
      <c r="A453" s="1" t="s">
        <v>1074</v>
      </c>
      <c r="B453" s="2" t="s">
        <v>1075</v>
      </c>
      <c r="C453" s="3" t="s">
        <v>55</v>
      </c>
      <c r="D453" s="2" t="s">
        <v>56</v>
      </c>
      <c r="E453" s="3" t="s">
        <v>57</v>
      </c>
      <c r="F453" s="2" t="s">
        <v>34</v>
      </c>
      <c r="G453" s="3" t="s">
        <v>17</v>
      </c>
      <c r="H453" s="2" t="s">
        <v>18</v>
      </c>
      <c r="I453" s="3" t="s">
        <v>19</v>
      </c>
      <c r="J453" s="3">
        <v>6933</v>
      </c>
      <c r="K453" s="3">
        <v>1407</v>
      </c>
      <c r="L453" s="3">
        <v>9</v>
      </c>
      <c r="M453" s="4">
        <f t="shared" si="58"/>
        <v>0.20294244915620943</v>
      </c>
      <c r="N453" s="4">
        <f t="shared" si="59"/>
        <v>6.3965884861407248E-3</v>
      </c>
      <c r="O453">
        <v>244</v>
      </c>
      <c r="P453" s="5">
        <v>1</v>
      </c>
      <c r="Q453" s="7">
        <v>1</v>
      </c>
      <c r="R453" t="str">
        <f t="shared" si="57"/>
        <v>код для проверки</v>
      </c>
      <c r="S453" t="str">
        <f t="shared" si="60"/>
        <v>Больше половины</v>
      </c>
      <c r="T453" t="str">
        <f t="shared" si="61"/>
        <v>Низшая четверть</v>
      </c>
      <c r="U453" t="str">
        <f t="shared" si="62"/>
        <v>код для проверки</v>
      </c>
      <c r="V453" t="str">
        <f t="shared" si="63"/>
        <v>Больше половины</v>
      </c>
      <c r="W453" t="str">
        <f t="shared" si="64"/>
        <v>Низшая четверть</v>
      </c>
      <c r="X453">
        <v>8</v>
      </c>
    </row>
    <row r="454" spans="1:24" x14ac:dyDescent="0.35">
      <c r="A454" s="1" t="s">
        <v>2334</v>
      </c>
      <c r="B454" s="2" t="s">
        <v>2335</v>
      </c>
      <c r="C454" s="3" t="s">
        <v>55</v>
      </c>
      <c r="D454" s="2" t="s">
        <v>1874</v>
      </c>
      <c r="E454" s="3" t="s">
        <v>1875</v>
      </c>
      <c r="F454" s="2" t="s">
        <v>34</v>
      </c>
      <c r="G454" s="3" t="s">
        <v>17</v>
      </c>
      <c r="H454" s="2" t="s">
        <v>97</v>
      </c>
      <c r="I454" s="3" t="s">
        <v>19</v>
      </c>
      <c r="J454" s="3">
        <v>6881</v>
      </c>
      <c r="K454" s="3">
        <v>255</v>
      </c>
      <c r="L454" s="3">
        <v>0</v>
      </c>
      <c r="M454" s="4">
        <f t="shared" si="58"/>
        <v>3.7058567068740007E-2</v>
      </c>
      <c r="N454" s="4">
        <f t="shared" si="59"/>
        <v>0</v>
      </c>
      <c r="O454">
        <v>1648</v>
      </c>
      <c r="P454" s="5">
        <v>1</v>
      </c>
      <c r="Q454" s="7">
        <v>1</v>
      </c>
      <c r="R454" t="str">
        <f t="shared" si="57"/>
        <v>код для проверки</v>
      </c>
      <c r="S454" t="str">
        <f t="shared" si="60"/>
        <v>Низшая четверть</v>
      </c>
      <c r="T454" t="str">
        <f t="shared" si="61"/>
        <v>Низшая четверть</v>
      </c>
      <c r="U454" t="str">
        <f t="shared" si="62"/>
        <v>код для проверки</v>
      </c>
      <c r="V454" t="str">
        <f t="shared" si="63"/>
        <v>Больше половины</v>
      </c>
      <c r="W454" t="str">
        <f t="shared" si="64"/>
        <v>Низшая четверть</v>
      </c>
      <c r="X454">
        <v>18</v>
      </c>
    </row>
    <row r="455" spans="1:24" x14ac:dyDescent="0.35">
      <c r="A455" s="1" t="s">
        <v>1761</v>
      </c>
      <c r="B455" s="2" t="s">
        <v>1762</v>
      </c>
      <c r="C455" s="3" t="s">
        <v>55</v>
      </c>
      <c r="D455" s="2" t="s">
        <v>94</v>
      </c>
      <c r="E455" s="3" t="s">
        <v>95</v>
      </c>
      <c r="F455" s="2" t="s">
        <v>96</v>
      </c>
      <c r="G455" s="3" t="s">
        <v>17</v>
      </c>
      <c r="H455" s="2" t="s">
        <v>97</v>
      </c>
      <c r="I455" s="3" t="s">
        <v>19</v>
      </c>
      <c r="J455" s="3">
        <v>6869</v>
      </c>
      <c r="K455" s="3">
        <v>4897</v>
      </c>
      <c r="L455" s="3">
        <v>53</v>
      </c>
      <c r="M455" s="4">
        <f t="shared" si="58"/>
        <v>0.71291308778570384</v>
      </c>
      <c r="N455" s="4">
        <f t="shared" si="59"/>
        <v>1.0822952828262202E-2</v>
      </c>
      <c r="O455">
        <v>1395</v>
      </c>
      <c r="P455" s="5">
        <v>0.66666666666666663</v>
      </c>
      <c r="Q455" s="7">
        <v>1</v>
      </c>
      <c r="R455" t="str">
        <f t="shared" si="57"/>
        <v>нормальный код</v>
      </c>
      <c r="S455" t="str">
        <f t="shared" si="60"/>
        <v>Больше половины</v>
      </c>
      <c r="T455" t="str">
        <f t="shared" si="61"/>
        <v>Вторая четверть</v>
      </c>
      <c r="U455" t="str">
        <f t="shared" si="62"/>
        <v>нормальный код</v>
      </c>
      <c r="V455" t="str">
        <f t="shared" si="63"/>
        <v>Больше половины</v>
      </c>
      <c r="W455" t="str">
        <f t="shared" si="64"/>
        <v>Вторая четверть</v>
      </c>
      <c r="X455">
        <v>28</v>
      </c>
    </row>
    <row r="456" spans="1:24" x14ac:dyDescent="0.35">
      <c r="A456" s="1" t="s">
        <v>198</v>
      </c>
      <c r="B456" s="2" t="s">
        <v>199</v>
      </c>
      <c r="C456" s="3" t="s">
        <v>13</v>
      </c>
      <c r="D456" s="2" t="s">
        <v>77</v>
      </c>
      <c r="E456" s="3" t="s">
        <v>89</v>
      </c>
      <c r="F456" s="2" t="s">
        <v>34</v>
      </c>
      <c r="G456" s="3" t="s">
        <v>17</v>
      </c>
      <c r="H456" s="2" t="s">
        <v>18</v>
      </c>
      <c r="I456" s="3" t="s">
        <v>19</v>
      </c>
      <c r="J456" s="3">
        <v>6847</v>
      </c>
      <c r="K456" s="3">
        <v>650</v>
      </c>
      <c r="L456" s="3">
        <v>5</v>
      </c>
      <c r="M456" s="4">
        <f t="shared" si="58"/>
        <v>9.4932087045421346E-2</v>
      </c>
      <c r="N456" s="4">
        <f t="shared" si="59"/>
        <v>7.6923076923076927E-3</v>
      </c>
      <c r="O456">
        <v>262</v>
      </c>
      <c r="P456" s="5">
        <v>1</v>
      </c>
      <c r="Q456" s="7">
        <v>1</v>
      </c>
      <c r="R456" t="str">
        <f t="shared" si="57"/>
        <v>код для проверки</v>
      </c>
      <c r="S456" t="str">
        <f t="shared" si="60"/>
        <v>Больше половины</v>
      </c>
      <c r="T456" t="str">
        <f t="shared" si="61"/>
        <v>Низшая четверть</v>
      </c>
      <c r="U456" t="str">
        <f t="shared" si="62"/>
        <v>код для проверки</v>
      </c>
      <c r="V456" t="str">
        <f t="shared" si="63"/>
        <v>Вторая четверть</v>
      </c>
      <c r="W456" t="str">
        <f t="shared" si="64"/>
        <v>Низшая четверть</v>
      </c>
      <c r="X456">
        <v>16</v>
      </c>
    </row>
    <row r="457" spans="1:24" x14ac:dyDescent="0.35">
      <c r="A457" s="1" t="s">
        <v>505</v>
      </c>
      <c r="B457" s="2" t="s">
        <v>506</v>
      </c>
      <c r="C457" s="3" t="s">
        <v>13</v>
      </c>
      <c r="D457" s="2" t="s">
        <v>77</v>
      </c>
      <c r="E457" s="3" t="s">
        <v>89</v>
      </c>
      <c r="F457" s="2" t="s">
        <v>34</v>
      </c>
      <c r="G457" s="3" t="s">
        <v>35</v>
      </c>
      <c r="H457" s="2" t="s">
        <v>18</v>
      </c>
      <c r="I457" s="3" t="s">
        <v>19</v>
      </c>
      <c r="J457" s="3">
        <v>6799</v>
      </c>
      <c r="K457" s="3">
        <v>425</v>
      </c>
      <c r="L457" s="3">
        <v>12</v>
      </c>
      <c r="M457" s="4">
        <f t="shared" si="58"/>
        <v>6.2509192528312982E-2</v>
      </c>
      <c r="N457" s="4">
        <f t="shared" si="59"/>
        <v>2.823529411764706E-2</v>
      </c>
      <c r="O457">
        <v>974</v>
      </c>
      <c r="P457" s="5">
        <v>1</v>
      </c>
      <c r="Q457" s="7">
        <v>1</v>
      </c>
      <c r="R457" t="str">
        <f t="shared" si="57"/>
        <v>нормальный код</v>
      </c>
      <c r="S457" t="str">
        <f t="shared" si="60"/>
        <v>Вторая четверть</v>
      </c>
      <c r="T457" t="str">
        <f t="shared" si="61"/>
        <v>Больше половины</v>
      </c>
      <c r="U457" t="str">
        <f t="shared" si="62"/>
        <v>нормальный код</v>
      </c>
      <c r="V457" t="str">
        <f t="shared" si="63"/>
        <v>Вторая четверть</v>
      </c>
      <c r="W457" t="str">
        <f t="shared" si="64"/>
        <v>Больше половины</v>
      </c>
      <c r="X457">
        <v>7</v>
      </c>
    </row>
    <row r="458" spans="1:24" x14ac:dyDescent="0.35">
      <c r="A458" s="1" t="s">
        <v>1099</v>
      </c>
      <c r="B458" s="2" t="s">
        <v>1100</v>
      </c>
      <c r="C458" s="3" t="s">
        <v>55</v>
      </c>
      <c r="D458" s="2" t="s">
        <v>56</v>
      </c>
      <c r="E458" s="3" t="s">
        <v>57</v>
      </c>
      <c r="F458" s="2" t="s">
        <v>34</v>
      </c>
      <c r="G458" s="3" t="s">
        <v>17</v>
      </c>
      <c r="H458" s="2" t="s">
        <v>18</v>
      </c>
      <c r="I458" s="3" t="s">
        <v>19</v>
      </c>
      <c r="J458" s="3">
        <v>6788</v>
      </c>
      <c r="K458" s="3">
        <v>1084</v>
      </c>
      <c r="L458" s="3">
        <v>7</v>
      </c>
      <c r="M458" s="4">
        <f t="shared" si="58"/>
        <v>0.1596935769004125</v>
      </c>
      <c r="N458" s="4">
        <f t="shared" si="59"/>
        <v>6.4575645756457566E-3</v>
      </c>
      <c r="O458">
        <v>536</v>
      </c>
      <c r="P458" s="5">
        <v>1</v>
      </c>
      <c r="Q458" s="7">
        <v>1</v>
      </c>
      <c r="R458" t="str">
        <f t="shared" si="57"/>
        <v>код для проверки</v>
      </c>
      <c r="S458" t="str">
        <f t="shared" si="60"/>
        <v>Больше половины</v>
      </c>
      <c r="T458" t="str">
        <f t="shared" si="61"/>
        <v>Низшая четверть</v>
      </c>
      <c r="U458" t="str">
        <f t="shared" si="62"/>
        <v>код для проверки</v>
      </c>
      <c r="V458" t="str">
        <f t="shared" si="63"/>
        <v>Больше половины</v>
      </c>
      <c r="W458" t="str">
        <f t="shared" si="64"/>
        <v>Низшая четверть</v>
      </c>
      <c r="X458">
        <v>17</v>
      </c>
    </row>
    <row r="459" spans="1:24" x14ac:dyDescent="0.35">
      <c r="A459" s="1" t="s">
        <v>604</v>
      </c>
      <c r="B459" s="2" t="s">
        <v>605</v>
      </c>
      <c r="C459" s="3" t="s">
        <v>13</v>
      </c>
      <c r="D459" s="2" t="s">
        <v>121</v>
      </c>
      <c r="E459" s="3" t="s">
        <v>606</v>
      </c>
      <c r="F459" s="2" t="s">
        <v>71</v>
      </c>
      <c r="G459" s="3" t="s">
        <v>35</v>
      </c>
      <c r="H459" s="2" t="s">
        <v>18</v>
      </c>
      <c r="I459" s="3" t="s">
        <v>19</v>
      </c>
      <c r="J459" s="3">
        <v>6738</v>
      </c>
      <c r="K459" s="3">
        <v>1386</v>
      </c>
      <c r="L459" s="3">
        <v>9</v>
      </c>
      <c r="M459" s="4">
        <f t="shared" si="58"/>
        <v>0.20569902048085487</v>
      </c>
      <c r="N459" s="4">
        <f t="shared" si="59"/>
        <v>6.4935064935064939E-3</v>
      </c>
      <c r="O459">
        <v>442</v>
      </c>
      <c r="P459" s="5">
        <v>1</v>
      </c>
      <c r="Q459" s="7">
        <v>1</v>
      </c>
      <c r="R459" t="str">
        <f t="shared" si="57"/>
        <v>код для проверки</v>
      </c>
      <c r="S459" t="str">
        <f t="shared" si="60"/>
        <v>Больше половины</v>
      </c>
      <c r="T459" t="str">
        <f t="shared" si="61"/>
        <v>Низшая четверть</v>
      </c>
      <c r="U459" t="str">
        <f t="shared" si="62"/>
        <v>код для проверки</v>
      </c>
      <c r="V459" t="str">
        <f t="shared" si="63"/>
        <v>Больше половины</v>
      </c>
      <c r="W459" t="str">
        <f t="shared" si="64"/>
        <v>Низшая четверть</v>
      </c>
      <c r="X459">
        <v>20</v>
      </c>
    </row>
    <row r="460" spans="1:24" x14ac:dyDescent="0.35">
      <c r="A460" s="1" t="s">
        <v>265</v>
      </c>
      <c r="B460" s="2" t="s">
        <v>266</v>
      </c>
      <c r="C460" s="3" t="s">
        <v>13</v>
      </c>
      <c r="D460" s="2" t="s">
        <v>77</v>
      </c>
      <c r="E460" s="3" t="s">
        <v>89</v>
      </c>
      <c r="F460" s="2" t="s">
        <v>34</v>
      </c>
      <c r="G460" s="3" t="s">
        <v>17</v>
      </c>
      <c r="H460" s="2" t="s">
        <v>18</v>
      </c>
      <c r="I460" s="3" t="s">
        <v>19</v>
      </c>
      <c r="J460" s="3">
        <v>6674</v>
      </c>
      <c r="K460" s="3">
        <v>537</v>
      </c>
      <c r="L460" s="3">
        <v>8</v>
      </c>
      <c r="M460" s="4">
        <f t="shared" si="58"/>
        <v>8.0461492358405759E-2</v>
      </c>
      <c r="N460" s="4">
        <f t="shared" si="59"/>
        <v>1.4897579143389199E-2</v>
      </c>
      <c r="O460">
        <v>109</v>
      </c>
      <c r="P460" s="5">
        <v>1</v>
      </c>
      <c r="Q460" s="7">
        <v>1</v>
      </c>
      <c r="R460" t="str">
        <f t="shared" si="57"/>
        <v>нормальный код</v>
      </c>
      <c r="S460" t="str">
        <f t="shared" si="60"/>
        <v>Вторая четверть</v>
      </c>
      <c r="T460" t="str">
        <f t="shared" si="61"/>
        <v>Вторая четверть</v>
      </c>
      <c r="U460" t="str">
        <f t="shared" si="62"/>
        <v>нормальный код</v>
      </c>
      <c r="V460" t="str">
        <f t="shared" si="63"/>
        <v>Вторая четверть</v>
      </c>
      <c r="W460" t="str">
        <f t="shared" si="64"/>
        <v>Вторая четверть</v>
      </c>
      <c r="X460">
        <v>19</v>
      </c>
    </row>
    <row r="461" spans="1:24" x14ac:dyDescent="0.35">
      <c r="A461" s="1" t="s">
        <v>1517</v>
      </c>
      <c r="B461" s="2" t="s">
        <v>1518</v>
      </c>
      <c r="C461" s="3" t="s">
        <v>55</v>
      </c>
      <c r="D461" s="2" t="s">
        <v>94</v>
      </c>
      <c r="E461" s="3" t="s">
        <v>95</v>
      </c>
      <c r="F461" s="2" t="s">
        <v>96</v>
      </c>
      <c r="G461" s="3" t="s">
        <v>17</v>
      </c>
      <c r="H461" s="2" t="s">
        <v>97</v>
      </c>
      <c r="I461" s="3" t="s">
        <v>19</v>
      </c>
      <c r="J461" s="3">
        <v>6669</v>
      </c>
      <c r="K461" s="3">
        <v>5653</v>
      </c>
      <c r="L461" s="3">
        <v>64</v>
      </c>
      <c r="M461" s="4">
        <f t="shared" si="58"/>
        <v>0.84765332133753191</v>
      </c>
      <c r="N461" s="4">
        <f t="shared" si="59"/>
        <v>1.1321422253670617E-2</v>
      </c>
      <c r="O461">
        <v>2654</v>
      </c>
      <c r="P461" s="5">
        <v>0.77777777777777779</v>
      </c>
      <c r="Q461" s="7">
        <v>1</v>
      </c>
      <c r="R461" t="str">
        <f t="shared" si="57"/>
        <v>нормальный код</v>
      </c>
      <c r="S461" t="str">
        <f t="shared" si="60"/>
        <v>Больше половины</v>
      </c>
      <c r="T461" t="str">
        <f t="shared" si="61"/>
        <v>Вторая четверть</v>
      </c>
      <c r="U461" t="str">
        <f t="shared" si="62"/>
        <v>нормальный код</v>
      </c>
      <c r="V461" t="str">
        <f t="shared" si="63"/>
        <v>Больше половины</v>
      </c>
      <c r="W461" t="str">
        <f t="shared" si="64"/>
        <v>Больше половины</v>
      </c>
      <c r="X461">
        <v>22</v>
      </c>
    </row>
    <row r="462" spans="1:24" x14ac:dyDescent="0.35">
      <c r="A462" s="1" t="s">
        <v>663</v>
      </c>
      <c r="B462" s="2" t="s">
        <v>664</v>
      </c>
      <c r="C462" s="3" t="s">
        <v>13</v>
      </c>
      <c r="D462" s="2" t="s">
        <v>69</v>
      </c>
      <c r="E462" s="3" t="s">
        <v>70</v>
      </c>
      <c r="F462" s="2" t="s">
        <v>71</v>
      </c>
      <c r="G462" s="3" t="s">
        <v>72</v>
      </c>
      <c r="H462" s="2" t="s">
        <v>18</v>
      </c>
      <c r="I462" s="3" t="s">
        <v>19</v>
      </c>
      <c r="J462" s="3">
        <v>6645</v>
      </c>
      <c r="K462" s="3">
        <v>842</v>
      </c>
      <c r="L462" s="3">
        <v>11</v>
      </c>
      <c r="M462" s="4">
        <f t="shared" si="58"/>
        <v>0.12671181339352897</v>
      </c>
      <c r="N462" s="4">
        <f t="shared" si="59"/>
        <v>1.3064133016627079E-2</v>
      </c>
      <c r="O462">
        <v>278</v>
      </c>
      <c r="P462" s="5">
        <v>1</v>
      </c>
      <c r="Q462" s="7">
        <v>1</v>
      </c>
      <c r="R462" t="str">
        <f t="shared" si="57"/>
        <v>нормальный код</v>
      </c>
      <c r="S462" t="str">
        <f t="shared" si="60"/>
        <v>Больше половины</v>
      </c>
      <c r="T462" t="str">
        <f t="shared" si="61"/>
        <v>Вторая четверть</v>
      </c>
      <c r="U462" t="str">
        <f t="shared" si="62"/>
        <v>нормальный код</v>
      </c>
      <c r="V462" t="str">
        <f t="shared" si="63"/>
        <v>Больше половины</v>
      </c>
      <c r="W462" t="str">
        <f t="shared" si="64"/>
        <v>Больше половины</v>
      </c>
      <c r="X462">
        <v>22</v>
      </c>
    </row>
    <row r="463" spans="1:24" x14ac:dyDescent="0.35">
      <c r="A463" s="1" t="s">
        <v>2332</v>
      </c>
      <c r="B463" s="2" t="s">
        <v>2333</v>
      </c>
      <c r="C463" s="3" t="s">
        <v>55</v>
      </c>
      <c r="D463" s="2" t="s">
        <v>1874</v>
      </c>
      <c r="E463" s="3" t="s">
        <v>1875</v>
      </c>
      <c r="F463" s="2" t="s">
        <v>34</v>
      </c>
      <c r="G463" s="3" t="s">
        <v>17</v>
      </c>
      <c r="H463" s="2" t="s">
        <v>97</v>
      </c>
      <c r="I463" s="3" t="s">
        <v>19</v>
      </c>
      <c r="J463" s="3">
        <v>6645</v>
      </c>
      <c r="K463" s="3">
        <v>536</v>
      </c>
      <c r="L463" s="3">
        <v>2</v>
      </c>
      <c r="M463" s="4">
        <f t="shared" si="58"/>
        <v>8.0662151993980441E-2</v>
      </c>
      <c r="N463" s="4">
        <f t="shared" si="59"/>
        <v>3.7313432835820895E-3</v>
      </c>
      <c r="O463">
        <v>1848</v>
      </c>
      <c r="P463" s="5">
        <v>1</v>
      </c>
      <c r="Q463" s="7">
        <v>1</v>
      </c>
      <c r="R463" t="str">
        <f t="shared" si="57"/>
        <v>код для проверки</v>
      </c>
      <c r="S463" t="str">
        <f t="shared" si="60"/>
        <v>Вторая четверть</v>
      </c>
      <c r="T463" t="str">
        <f t="shared" si="61"/>
        <v>Низшая четверть</v>
      </c>
      <c r="U463" t="str">
        <f t="shared" si="62"/>
        <v>нормальный код</v>
      </c>
      <c r="V463" t="str">
        <f t="shared" si="63"/>
        <v>Больше половины</v>
      </c>
      <c r="W463" t="str">
        <f t="shared" si="64"/>
        <v>Вторая четверть</v>
      </c>
      <c r="X463">
        <v>21</v>
      </c>
    </row>
    <row r="464" spans="1:24" x14ac:dyDescent="0.35">
      <c r="A464" s="1" t="s">
        <v>688</v>
      </c>
      <c r="B464" s="2" t="s">
        <v>689</v>
      </c>
      <c r="C464" s="3" t="s">
        <v>13</v>
      </c>
      <c r="D464" s="2" t="s">
        <v>121</v>
      </c>
      <c r="E464" s="3" t="s">
        <v>122</v>
      </c>
      <c r="F464" s="2" t="s">
        <v>123</v>
      </c>
      <c r="G464" s="3" t="s">
        <v>35</v>
      </c>
      <c r="H464" s="2" t="s">
        <v>18</v>
      </c>
      <c r="I464" s="3" t="s">
        <v>19</v>
      </c>
      <c r="J464" s="3">
        <v>6570</v>
      </c>
      <c r="K464" s="3">
        <v>296</v>
      </c>
      <c r="L464" s="3">
        <v>6</v>
      </c>
      <c r="M464" s="4">
        <f t="shared" si="58"/>
        <v>4.5053272450532728E-2</v>
      </c>
      <c r="N464" s="4">
        <f t="shared" si="59"/>
        <v>2.0270270270270271E-2</v>
      </c>
      <c r="O464">
        <v>286</v>
      </c>
      <c r="P464" s="5">
        <v>1</v>
      </c>
      <c r="Q464" s="7">
        <v>1</v>
      </c>
      <c r="R464" t="str">
        <f t="shared" si="57"/>
        <v>код для проверки</v>
      </c>
      <c r="S464" t="str">
        <f t="shared" si="60"/>
        <v>Низшая четверть</v>
      </c>
      <c r="T464" t="str">
        <f t="shared" si="61"/>
        <v>Больше половины</v>
      </c>
      <c r="U464" t="str">
        <f t="shared" si="62"/>
        <v>нормальный код</v>
      </c>
      <c r="V464" t="str">
        <f t="shared" si="63"/>
        <v>Вторая четверть</v>
      </c>
      <c r="W464" t="str">
        <f t="shared" si="64"/>
        <v>Больше половины</v>
      </c>
      <c r="X464">
        <v>22</v>
      </c>
    </row>
    <row r="465" spans="1:24" x14ac:dyDescent="0.35">
      <c r="A465" s="1" t="s">
        <v>1800</v>
      </c>
      <c r="B465" s="2" t="s">
        <v>1801</v>
      </c>
      <c r="C465" s="3" t="s">
        <v>55</v>
      </c>
      <c r="D465" s="2" t="s">
        <v>295</v>
      </c>
      <c r="E465" s="3" t="s">
        <v>674</v>
      </c>
      <c r="F465" s="2" t="s">
        <v>16</v>
      </c>
      <c r="G465" s="3" t="s">
        <v>17</v>
      </c>
      <c r="H465" s="2" t="s">
        <v>97</v>
      </c>
      <c r="I465" s="3" t="s">
        <v>19</v>
      </c>
      <c r="J465" s="3">
        <v>6543</v>
      </c>
      <c r="K465" s="3">
        <v>3099</v>
      </c>
      <c r="L465" s="3">
        <v>68</v>
      </c>
      <c r="M465" s="4">
        <f t="shared" si="58"/>
        <v>0.47363594681338833</v>
      </c>
      <c r="N465" s="4">
        <f t="shared" si="59"/>
        <v>2.1942562116811875E-2</v>
      </c>
      <c r="O465">
        <v>327</v>
      </c>
      <c r="P465" s="5">
        <v>1</v>
      </c>
      <c r="Q465" s="7">
        <v>1</v>
      </c>
      <c r="R465" t="str">
        <f t="shared" si="57"/>
        <v>нормальный код</v>
      </c>
      <c r="S465" t="str">
        <f t="shared" si="60"/>
        <v>Больше половины</v>
      </c>
      <c r="T465" t="str">
        <f t="shared" si="61"/>
        <v>Больше половины</v>
      </c>
      <c r="U465" t="str">
        <f t="shared" si="62"/>
        <v>нормальный код</v>
      </c>
      <c r="V465" t="str">
        <f t="shared" si="63"/>
        <v>Больше половины</v>
      </c>
      <c r="W465" t="str">
        <f t="shared" si="64"/>
        <v>Вторая четверть</v>
      </c>
      <c r="X465">
        <v>10</v>
      </c>
    </row>
    <row r="466" spans="1:24" x14ac:dyDescent="0.35">
      <c r="A466" s="1" t="s">
        <v>1527</v>
      </c>
      <c r="B466" s="2" t="s">
        <v>1528</v>
      </c>
      <c r="C466" s="3" t="s">
        <v>13</v>
      </c>
      <c r="D466" s="2" t="s">
        <v>1215</v>
      </c>
      <c r="E466" s="3" t="s">
        <v>1216</v>
      </c>
      <c r="F466" s="2" t="s">
        <v>34</v>
      </c>
      <c r="G466" s="3" t="s">
        <v>35</v>
      </c>
      <c r="H466" s="2" t="s">
        <v>18</v>
      </c>
      <c r="I466" s="3" t="s">
        <v>19</v>
      </c>
      <c r="J466" s="3">
        <v>6466</v>
      </c>
      <c r="K466" s="3">
        <v>702</v>
      </c>
      <c r="L466" s="3">
        <v>13</v>
      </c>
      <c r="M466" s="4">
        <f t="shared" si="58"/>
        <v>0.10856789359727807</v>
      </c>
      <c r="N466" s="4">
        <f t="shared" si="59"/>
        <v>1.8518518518518517E-2</v>
      </c>
      <c r="O466">
        <v>419</v>
      </c>
      <c r="P466" s="5">
        <v>1</v>
      </c>
      <c r="Q466" s="7">
        <v>1</v>
      </c>
      <c r="R466" t="str">
        <f t="shared" si="57"/>
        <v>нормальный код</v>
      </c>
      <c r="S466" t="str">
        <f t="shared" si="60"/>
        <v>Больше половины</v>
      </c>
      <c r="T466" t="str">
        <f t="shared" si="61"/>
        <v>Вторая четверть</v>
      </c>
      <c r="U466" t="str">
        <f t="shared" si="62"/>
        <v>нормальный код</v>
      </c>
      <c r="V466" t="str">
        <f t="shared" si="63"/>
        <v>Больше половины</v>
      </c>
      <c r="W466" t="str">
        <f t="shared" si="64"/>
        <v>Больше половины</v>
      </c>
      <c r="X466">
        <v>28</v>
      </c>
    </row>
    <row r="467" spans="1:24" x14ac:dyDescent="0.35">
      <c r="A467" s="1" t="s">
        <v>1025</v>
      </c>
      <c r="B467" s="2" t="s">
        <v>1026</v>
      </c>
      <c r="C467" s="3" t="s">
        <v>55</v>
      </c>
      <c r="D467" s="2" t="s">
        <v>56</v>
      </c>
      <c r="E467" s="3" t="s">
        <v>253</v>
      </c>
      <c r="F467" s="2" t="s">
        <v>34</v>
      </c>
      <c r="G467" s="3" t="s">
        <v>17</v>
      </c>
      <c r="H467" s="2" t="s">
        <v>18</v>
      </c>
      <c r="I467" s="3" t="s">
        <v>19</v>
      </c>
      <c r="J467" s="3">
        <v>6454</v>
      </c>
      <c r="K467" s="3">
        <v>746</v>
      </c>
      <c r="L467" s="3">
        <v>17</v>
      </c>
      <c r="M467" s="4">
        <f t="shared" si="58"/>
        <v>0.11558723272389217</v>
      </c>
      <c r="N467" s="4">
        <f t="shared" si="59"/>
        <v>2.2788203753351208E-2</v>
      </c>
      <c r="O467">
        <v>329</v>
      </c>
      <c r="P467" s="5">
        <v>1</v>
      </c>
      <c r="Q467" s="7">
        <v>1</v>
      </c>
      <c r="R467" t="str">
        <f t="shared" si="57"/>
        <v>нормальный код</v>
      </c>
      <c r="S467" t="str">
        <f t="shared" si="60"/>
        <v>Больше половины</v>
      </c>
      <c r="T467" t="str">
        <f t="shared" si="61"/>
        <v>Больше половины</v>
      </c>
      <c r="U467" t="str">
        <f t="shared" si="62"/>
        <v>нормальный код</v>
      </c>
      <c r="V467" t="str">
        <f t="shared" si="63"/>
        <v>Больше половины</v>
      </c>
      <c r="W467" t="str">
        <f t="shared" si="64"/>
        <v>Вторая четверть</v>
      </c>
      <c r="X467">
        <v>18</v>
      </c>
    </row>
    <row r="468" spans="1:24" x14ac:dyDescent="0.35">
      <c r="A468" s="1" t="s">
        <v>1211</v>
      </c>
      <c r="B468" s="2" t="s">
        <v>1212</v>
      </c>
      <c r="C468" s="3" t="s">
        <v>13</v>
      </c>
      <c r="D468" s="2" t="s">
        <v>77</v>
      </c>
      <c r="E468" s="3" t="s">
        <v>89</v>
      </c>
      <c r="F468" s="2" t="s">
        <v>34</v>
      </c>
      <c r="G468" s="3" t="s">
        <v>35</v>
      </c>
      <c r="H468" s="2" t="s">
        <v>18</v>
      </c>
      <c r="I468" s="3" t="s">
        <v>19</v>
      </c>
      <c r="J468" s="3">
        <v>6442</v>
      </c>
      <c r="K468" s="3">
        <v>607</v>
      </c>
      <c r="L468" s="3">
        <v>14</v>
      </c>
      <c r="M468" s="4">
        <f t="shared" si="58"/>
        <v>9.4225395839801301E-2</v>
      </c>
      <c r="N468" s="4">
        <f t="shared" si="59"/>
        <v>2.3064250411861616E-2</v>
      </c>
      <c r="O468">
        <v>485</v>
      </c>
      <c r="P468" s="5">
        <v>1</v>
      </c>
      <c r="Q468" s="7">
        <v>1</v>
      </c>
      <c r="R468" t="str">
        <f t="shared" si="57"/>
        <v>нормальный код</v>
      </c>
      <c r="S468" t="str">
        <f t="shared" si="60"/>
        <v>Вторая четверть</v>
      </c>
      <c r="T468" t="str">
        <f t="shared" si="61"/>
        <v>Больше половины</v>
      </c>
      <c r="U468" t="str">
        <f t="shared" si="62"/>
        <v>нормальный код</v>
      </c>
      <c r="V468" t="str">
        <f t="shared" si="63"/>
        <v>Вторая четверть</v>
      </c>
      <c r="W468" t="str">
        <f t="shared" si="64"/>
        <v>Вторая четверть</v>
      </c>
      <c r="X468">
        <v>8</v>
      </c>
    </row>
    <row r="469" spans="1:24" x14ac:dyDescent="0.35">
      <c r="A469" s="1" t="s">
        <v>624</v>
      </c>
      <c r="B469" s="2" t="s">
        <v>625</v>
      </c>
      <c r="C469" s="3" t="s">
        <v>13</v>
      </c>
      <c r="D469" s="2" t="s">
        <v>412</v>
      </c>
      <c r="E469" s="3" t="s">
        <v>611</v>
      </c>
      <c r="F469" s="2" t="s">
        <v>61</v>
      </c>
      <c r="G469" s="3" t="s">
        <v>17</v>
      </c>
      <c r="H469" s="2" t="s">
        <v>97</v>
      </c>
      <c r="I469" s="3" t="s">
        <v>19</v>
      </c>
      <c r="J469" s="3">
        <v>6413</v>
      </c>
      <c r="K469" s="3">
        <v>533</v>
      </c>
      <c r="L469" s="3">
        <v>19</v>
      </c>
      <c r="M469" s="4">
        <f t="shared" si="58"/>
        <v>8.3112427880866993E-2</v>
      </c>
      <c r="N469" s="4">
        <f t="shared" si="59"/>
        <v>3.5647279549718573E-2</v>
      </c>
      <c r="O469">
        <v>865</v>
      </c>
      <c r="P469" s="5">
        <v>0.66666666666666663</v>
      </c>
      <c r="Q469" s="7">
        <v>1</v>
      </c>
      <c r="R469" t="str">
        <f t="shared" si="57"/>
        <v>нормальный код</v>
      </c>
      <c r="S469" t="str">
        <f t="shared" si="60"/>
        <v>Вторая четверть</v>
      </c>
      <c r="T469" t="str">
        <f t="shared" si="61"/>
        <v>Больше половины</v>
      </c>
      <c r="U469" t="str">
        <f t="shared" si="62"/>
        <v>нормальный код</v>
      </c>
      <c r="V469" t="str">
        <f t="shared" si="63"/>
        <v>Вторая четверть</v>
      </c>
      <c r="W469" t="str">
        <f t="shared" si="64"/>
        <v>Больше половины</v>
      </c>
      <c r="X469">
        <v>6</v>
      </c>
    </row>
    <row r="470" spans="1:24" x14ac:dyDescent="0.35">
      <c r="A470" s="1" t="s">
        <v>389</v>
      </c>
      <c r="B470" s="2" t="s">
        <v>390</v>
      </c>
      <c r="C470" s="3" t="s">
        <v>13</v>
      </c>
      <c r="D470" s="2" t="s">
        <v>121</v>
      </c>
      <c r="E470" s="3" t="s">
        <v>391</v>
      </c>
      <c r="F470" s="2" t="s">
        <v>71</v>
      </c>
      <c r="G470" s="3" t="s">
        <v>35</v>
      </c>
      <c r="H470" s="2" t="s">
        <v>18</v>
      </c>
      <c r="I470" s="3" t="s">
        <v>19</v>
      </c>
      <c r="J470" s="3">
        <v>6357</v>
      </c>
      <c r="K470" s="3">
        <v>236</v>
      </c>
      <c r="L470" s="3">
        <v>2</v>
      </c>
      <c r="M470" s="4">
        <f t="shared" si="58"/>
        <v>3.712442976246657E-2</v>
      </c>
      <c r="N470" s="4">
        <f t="shared" si="59"/>
        <v>8.4745762711864406E-3</v>
      </c>
      <c r="O470">
        <v>444</v>
      </c>
      <c r="P470" s="5">
        <v>1</v>
      </c>
      <c r="Q470" s="7">
        <v>1</v>
      </c>
      <c r="R470" t="str">
        <f t="shared" si="57"/>
        <v>код для проверки</v>
      </c>
      <c r="S470" t="str">
        <f t="shared" si="60"/>
        <v>Низшая четверть</v>
      </c>
      <c r="T470" t="str">
        <f t="shared" si="61"/>
        <v>Низшая четверть</v>
      </c>
      <c r="U470" t="str">
        <f t="shared" si="62"/>
        <v>нормальный код</v>
      </c>
      <c r="V470" t="str">
        <f t="shared" si="63"/>
        <v>Вторая четверть</v>
      </c>
      <c r="W470" t="str">
        <f t="shared" si="64"/>
        <v>Вторая четверть</v>
      </c>
      <c r="X470">
        <v>14</v>
      </c>
    </row>
    <row r="471" spans="1:24" x14ac:dyDescent="0.35">
      <c r="A471" s="1" t="s">
        <v>1204</v>
      </c>
      <c r="B471" s="2" t="s">
        <v>1205</v>
      </c>
      <c r="C471" s="3" t="s">
        <v>55</v>
      </c>
      <c r="D471" s="2" t="s">
        <v>94</v>
      </c>
      <c r="E471" s="3" t="s">
        <v>95</v>
      </c>
      <c r="F471" s="2" t="s">
        <v>96</v>
      </c>
      <c r="G471" s="3" t="s">
        <v>17</v>
      </c>
      <c r="H471" s="2" t="s">
        <v>97</v>
      </c>
      <c r="I471" s="3" t="s">
        <v>19</v>
      </c>
      <c r="J471" s="3">
        <v>6355</v>
      </c>
      <c r="K471" s="3">
        <v>2095</v>
      </c>
      <c r="L471" s="3">
        <v>1</v>
      </c>
      <c r="M471" s="4">
        <f t="shared" si="58"/>
        <v>0.32966168371361132</v>
      </c>
      <c r="N471" s="4">
        <f t="shared" si="59"/>
        <v>4.7732696897374703E-4</v>
      </c>
      <c r="O471">
        <v>1437</v>
      </c>
      <c r="P471" s="5">
        <v>0.55555555555555558</v>
      </c>
      <c r="Q471" s="7">
        <v>1</v>
      </c>
      <c r="R471" t="str">
        <f t="shared" si="57"/>
        <v>код для проверки</v>
      </c>
      <c r="S471" t="str">
        <f t="shared" si="60"/>
        <v>Больше половины</v>
      </c>
      <c r="T471" t="str">
        <f t="shared" si="61"/>
        <v>Низшая четверть</v>
      </c>
      <c r="U471" t="str">
        <f t="shared" si="62"/>
        <v>код для проверки</v>
      </c>
      <c r="V471" t="str">
        <f t="shared" si="63"/>
        <v>Больше половины</v>
      </c>
      <c r="W471" t="str">
        <f t="shared" si="64"/>
        <v>Низшая четверть</v>
      </c>
      <c r="X471">
        <v>24</v>
      </c>
    </row>
    <row r="472" spans="1:24" x14ac:dyDescent="0.35">
      <c r="A472" s="1" t="s">
        <v>2492</v>
      </c>
      <c r="B472" s="2" t="s">
        <v>2493</v>
      </c>
      <c r="C472" s="3" t="s">
        <v>13</v>
      </c>
      <c r="D472" s="2" t="s">
        <v>77</v>
      </c>
      <c r="E472" s="3" t="s">
        <v>1592</v>
      </c>
      <c r="F472" s="2" t="s">
        <v>96</v>
      </c>
      <c r="G472" s="3" t="s">
        <v>17</v>
      </c>
      <c r="H472" s="2" t="s">
        <v>18</v>
      </c>
      <c r="I472" s="3" t="s">
        <v>19</v>
      </c>
      <c r="J472" s="3">
        <v>6348</v>
      </c>
      <c r="K472" s="3">
        <v>677</v>
      </c>
      <c r="L472" s="3">
        <v>15</v>
      </c>
      <c r="M472" s="4">
        <f t="shared" si="58"/>
        <v>0.10664776307498425</v>
      </c>
      <c r="N472" s="4">
        <f t="shared" si="59"/>
        <v>2.2156573116691284E-2</v>
      </c>
      <c r="O472">
        <v>736</v>
      </c>
      <c r="P472" s="5">
        <v>1</v>
      </c>
      <c r="Q472" s="7">
        <v>1</v>
      </c>
      <c r="R472" t="str">
        <f t="shared" si="57"/>
        <v>нормальный код</v>
      </c>
      <c r="S472" t="str">
        <f t="shared" si="60"/>
        <v>Больше половины</v>
      </c>
      <c r="T472" t="str">
        <f t="shared" si="61"/>
        <v>Больше половины</v>
      </c>
      <c r="U472" t="str">
        <f t="shared" si="62"/>
        <v>нормальный код</v>
      </c>
      <c r="V472" t="str">
        <f t="shared" si="63"/>
        <v>Больше половины</v>
      </c>
      <c r="W472" t="str">
        <f t="shared" si="64"/>
        <v>Вторая четверть</v>
      </c>
      <c r="X472">
        <v>8</v>
      </c>
    </row>
    <row r="473" spans="1:24" x14ac:dyDescent="0.35">
      <c r="A473" s="1" t="s">
        <v>1834</v>
      </c>
      <c r="B473" s="2" t="s">
        <v>1835</v>
      </c>
      <c r="C473" s="3" t="s">
        <v>55</v>
      </c>
      <c r="D473" s="2" t="s">
        <v>295</v>
      </c>
      <c r="E473" s="3" t="s">
        <v>674</v>
      </c>
      <c r="F473" s="2" t="s">
        <v>16</v>
      </c>
      <c r="G473" s="3" t="s">
        <v>17</v>
      </c>
      <c r="H473" s="2" t="s">
        <v>97</v>
      </c>
      <c r="I473" s="3" t="s">
        <v>19</v>
      </c>
      <c r="J473" s="3">
        <v>6322</v>
      </c>
      <c r="K473" s="3">
        <v>4093</v>
      </c>
      <c r="L473" s="3">
        <v>37</v>
      </c>
      <c r="M473" s="4">
        <f t="shared" si="58"/>
        <v>0.64742170199304017</v>
      </c>
      <c r="N473" s="4">
        <f t="shared" si="59"/>
        <v>9.0398240899096025E-3</v>
      </c>
      <c r="O473">
        <v>583</v>
      </c>
      <c r="P473" s="5">
        <v>1</v>
      </c>
      <c r="Q473" s="7">
        <v>1</v>
      </c>
      <c r="R473" t="str">
        <f t="shared" si="57"/>
        <v>код для проверки</v>
      </c>
      <c r="S473" t="str">
        <f t="shared" si="60"/>
        <v>Больше половины</v>
      </c>
      <c r="T473" t="str">
        <f t="shared" si="61"/>
        <v>Низшая четверть</v>
      </c>
      <c r="U473" t="str">
        <f t="shared" si="62"/>
        <v>код для проверки</v>
      </c>
      <c r="V473" t="str">
        <f t="shared" si="63"/>
        <v>Больше половины</v>
      </c>
      <c r="W473" t="str">
        <f t="shared" si="64"/>
        <v>Низшая четверть</v>
      </c>
      <c r="X473">
        <v>13</v>
      </c>
    </row>
    <row r="474" spans="1:24" x14ac:dyDescent="0.35">
      <c r="A474" s="1" t="s">
        <v>912</v>
      </c>
      <c r="B474" s="2" t="s">
        <v>913</v>
      </c>
      <c r="C474" s="3" t="s">
        <v>13</v>
      </c>
      <c r="D474" s="2" t="s">
        <v>104</v>
      </c>
      <c r="E474" s="3" t="s">
        <v>424</v>
      </c>
      <c r="F474" s="2" t="s">
        <v>34</v>
      </c>
      <c r="G474" s="3" t="s">
        <v>35</v>
      </c>
      <c r="H474" s="2" t="s">
        <v>18</v>
      </c>
      <c r="I474" s="3" t="s">
        <v>19</v>
      </c>
      <c r="J474" s="3">
        <v>6293</v>
      </c>
      <c r="K474" s="3">
        <v>827</v>
      </c>
      <c r="L474" s="3">
        <v>27</v>
      </c>
      <c r="M474" s="4">
        <f t="shared" si="58"/>
        <v>0.13141585889083107</v>
      </c>
      <c r="N474" s="4">
        <f t="shared" si="59"/>
        <v>3.2648125755743655E-2</v>
      </c>
      <c r="O474">
        <v>534</v>
      </c>
      <c r="P474" s="5">
        <v>1</v>
      </c>
      <c r="Q474" s="7">
        <v>1</v>
      </c>
      <c r="R474" t="str">
        <f t="shared" si="57"/>
        <v>нормальный код</v>
      </c>
      <c r="S474" t="str">
        <f t="shared" si="60"/>
        <v>Больше половины</v>
      </c>
      <c r="T474" t="str">
        <f t="shared" si="61"/>
        <v>Больше половины</v>
      </c>
      <c r="U474" t="str">
        <f t="shared" si="62"/>
        <v>нормальный код</v>
      </c>
      <c r="V474" t="str">
        <f t="shared" si="63"/>
        <v>Больше половины</v>
      </c>
      <c r="W474" t="str">
        <f t="shared" si="64"/>
        <v>Больше половины</v>
      </c>
      <c r="X474">
        <v>17</v>
      </c>
    </row>
    <row r="475" spans="1:24" x14ac:dyDescent="0.35">
      <c r="A475" s="1" t="s">
        <v>789</v>
      </c>
      <c r="B475" s="2" t="s">
        <v>790</v>
      </c>
      <c r="C475" s="3" t="s">
        <v>13</v>
      </c>
      <c r="D475" s="2" t="s">
        <v>32</v>
      </c>
      <c r="E475" s="3" t="s">
        <v>33</v>
      </c>
      <c r="F475" s="2" t="s">
        <v>34</v>
      </c>
      <c r="G475" s="3" t="s">
        <v>35</v>
      </c>
      <c r="H475" s="2" t="s">
        <v>18</v>
      </c>
      <c r="I475" s="3" t="s">
        <v>19</v>
      </c>
      <c r="J475" s="3">
        <v>6282</v>
      </c>
      <c r="K475" s="3">
        <v>1249</v>
      </c>
      <c r="L475" s="3">
        <v>15</v>
      </c>
      <c r="M475" s="4">
        <f t="shared" si="58"/>
        <v>0.19882203120025468</v>
      </c>
      <c r="N475" s="4">
        <f t="shared" si="59"/>
        <v>1.2009607686148919E-2</v>
      </c>
      <c r="O475">
        <v>302</v>
      </c>
      <c r="P475" s="5">
        <v>1</v>
      </c>
      <c r="Q475" s="7">
        <v>1</v>
      </c>
      <c r="R475" t="str">
        <f t="shared" si="57"/>
        <v>нормальный код</v>
      </c>
      <c r="S475" t="str">
        <f t="shared" si="60"/>
        <v>Больше половины</v>
      </c>
      <c r="T475" t="str">
        <f t="shared" si="61"/>
        <v>Вторая четверть</v>
      </c>
      <c r="U475" t="str">
        <f t="shared" si="62"/>
        <v>код для проверки</v>
      </c>
      <c r="V475" t="str">
        <f t="shared" si="63"/>
        <v>Больше половины</v>
      </c>
      <c r="W475" t="str">
        <f t="shared" si="64"/>
        <v>Низшая четверть</v>
      </c>
      <c r="X475">
        <v>12</v>
      </c>
    </row>
    <row r="476" spans="1:24" x14ac:dyDescent="0.35">
      <c r="A476" s="1" t="s">
        <v>987</v>
      </c>
      <c r="B476" s="2" t="s">
        <v>988</v>
      </c>
      <c r="C476" s="3" t="s">
        <v>13</v>
      </c>
      <c r="D476" s="2" t="s">
        <v>104</v>
      </c>
      <c r="E476" s="3" t="s">
        <v>105</v>
      </c>
      <c r="F476" s="2" t="s">
        <v>71</v>
      </c>
      <c r="G476" s="3" t="s">
        <v>35</v>
      </c>
      <c r="H476" s="2" t="s">
        <v>18</v>
      </c>
      <c r="I476" s="3" t="s">
        <v>19</v>
      </c>
      <c r="J476" s="3">
        <v>6280</v>
      </c>
      <c r="K476" s="3">
        <v>1029</v>
      </c>
      <c r="L476" s="3">
        <v>9</v>
      </c>
      <c r="M476" s="4">
        <f t="shared" si="58"/>
        <v>0.16385350318471337</v>
      </c>
      <c r="N476" s="4">
        <f t="shared" si="59"/>
        <v>8.7463556851311956E-3</v>
      </c>
      <c r="O476">
        <v>230</v>
      </c>
      <c r="P476" s="5">
        <v>1</v>
      </c>
      <c r="Q476" s="7">
        <v>1</v>
      </c>
      <c r="R476" t="str">
        <f t="shared" si="57"/>
        <v>код для проверки</v>
      </c>
      <c r="S476" t="str">
        <f t="shared" si="60"/>
        <v>Больше половины</v>
      </c>
      <c r="T476" t="str">
        <f t="shared" si="61"/>
        <v>Низшая четверть</v>
      </c>
      <c r="U476" t="str">
        <f t="shared" si="62"/>
        <v>код для проверки</v>
      </c>
      <c r="V476" t="str">
        <f t="shared" si="63"/>
        <v>Больше половины</v>
      </c>
      <c r="W476" t="str">
        <f t="shared" si="64"/>
        <v>Низшая четверть</v>
      </c>
      <c r="X476">
        <v>6</v>
      </c>
    </row>
    <row r="477" spans="1:24" x14ac:dyDescent="0.35">
      <c r="A477" s="1" t="s">
        <v>1084</v>
      </c>
      <c r="B477" s="2" t="s">
        <v>1085</v>
      </c>
      <c r="C477" s="3" t="s">
        <v>55</v>
      </c>
      <c r="D477" s="2" t="s">
        <v>340</v>
      </c>
      <c r="E477" s="3" t="s">
        <v>341</v>
      </c>
      <c r="F477" s="2" t="s">
        <v>96</v>
      </c>
      <c r="G477" s="3" t="s">
        <v>17</v>
      </c>
      <c r="H477" s="2" t="s">
        <v>97</v>
      </c>
      <c r="I477" s="3" t="s">
        <v>19</v>
      </c>
      <c r="J477" s="3">
        <v>6277</v>
      </c>
      <c r="K477" s="3">
        <v>437</v>
      </c>
      <c r="L477" s="3">
        <v>11</v>
      </c>
      <c r="M477" s="4">
        <f t="shared" si="58"/>
        <v>6.9619244862195312E-2</v>
      </c>
      <c r="N477" s="4">
        <f t="shared" si="59"/>
        <v>2.5171624713958809E-2</v>
      </c>
      <c r="O477">
        <v>3028</v>
      </c>
      <c r="P477" s="5">
        <v>1</v>
      </c>
      <c r="Q477" s="7">
        <v>1</v>
      </c>
      <c r="R477" t="str">
        <f t="shared" si="57"/>
        <v>нормальный код</v>
      </c>
      <c r="S477" t="str">
        <f t="shared" si="60"/>
        <v>Вторая четверть</v>
      </c>
      <c r="T477" t="str">
        <f t="shared" si="61"/>
        <v>Больше половины</v>
      </c>
      <c r="U477" t="str">
        <f t="shared" si="62"/>
        <v>нормальный код</v>
      </c>
      <c r="V477" t="str">
        <f t="shared" si="63"/>
        <v>Вторая четверть</v>
      </c>
      <c r="W477" t="str">
        <f t="shared" si="64"/>
        <v>Больше половины</v>
      </c>
      <c r="X477">
        <v>11</v>
      </c>
    </row>
    <row r="478" spans="1:24" x14ac:dyDescent="0.35">
      <c r="A478" s="1" t="s">
        <v>1750</v>
      </c>
      <c r="B478" s="2" t="s">
        <v>1751</v>
      </c>
      <c r="C478" s="3" t="s">
        <v>55</v>
      </c>
      <c r="D478" s="2" t="s">
        <v>94</v>
      </c>
      <c r="E478" s="3" t="s">
        <v>95</v>
      </c>
      <c r="F478" s="2" t="s">
        <v>96</v>
      </c>
      <c r="G478" s="3" t="s">
        <v>17</v>
      </c>
      <c r="H478" s="2" t="s">
        <v>97</v>
      </c>
      <c r="I478" s="3" t="s">
        <v>19</v>
      </c>
      <c r="J478" s="3">
        <v>6219</v>
      </c>
      <c r="K478" s="3">
        <v>4146</v>
      </c>
      <c r="L478" s="3">
        <v>15</v>
      </c>
      <c r="M478" s="4">
        <f t="shared" si="58"/>
        <v>0.66666666666666663</v>
      </c>
      <c r="N478" s="4">
        <f t="shared" si="59"/>
        <v>3.6179450072358899E-3</v>
      </c>
      <c r="O478">
        <v>1601</v>
      </c>
      <c r="P478" s="5">
        <v>0.66666666666666663</v>
      </c>
      <c r="Q478" s="7">
        <v>1</v>
      </c>
      <c r="R478" t="str">
        <f t="shared" si="57"/>
        <v>код для проверки</v>
      </c>
      <c r="S478" t="str">
        <f t="shared" si="60"/>
        <v>Больше половины</v>
      </c>
      <c r="T478" t="str">
        <f t="shared" si="61"/>
        <v>Низшая четверть</v>
      </c>
      <c r="U478" t="str">
        <f t="shared" si="62"/>
        <v>код для проверки</v>
      </c>
      <c r="V478" t="str">
        <f t="shared" si="63"/>
        <v>Больше половины</v>
      </c>
      <c r="W478" t="str">
        <f t="shared" si="64"/>
        <v>Низшая четверть</v>
      </c>
      <c r="X478">
        <v>17</v>
      </c>
    </row>
    <row r="479" spans="1:24" x14ac:dyDescent="0.35">
      <c r="A479" s="1" t="s">
        <v>358</v>
      </c>
      <c r="B479" s="2" t="s">
        <v>359</v>
      </c>
      <c r="C479" s="3" t="s">
        <v>13</v>
      </c>
      <c r="D479" s="2" t="s">
        <v>155</v>
      </c>
      <c r="E479" s="3" t="s">
        <v>156</v>
      </c>
      <c r="F479" s="2" t="s">
        <v>34</v>
      </c>
      <c r="G479" s="3" t="s">
        <v>35</v>
      </c>
      <c r="H479" s="2" t="s">
        <v>18</v>
      </c>
      <c r="I479" s="3" t="s">
        <v>19</v>
      </c>
      <c r="J479" s="3">
        <v>6216</v>
      </c>
      <c r="K479" s="3">
        <v>783</v>
      </c>
      <c r="L479" s="3">
        <v>9</v>
      </c>
      <c r="M479" s="4">
        <f t="shared" si="58"/>
        <v>0.12596525096525096</v>
      </c>
      <c r="N479" s="4">
        <f t="shared" si="59"/>
        <v>1.1494252873563218E-2</v>
      </c>
      <c r="O479">
        <v>338</v>
      </c>
      <c r="P479" s="5">
        <v>1</v>
      </c>
      <c r="Q479" s="7">
        <v>1</v>
      </c>
      <c r="R479" t="str">
        <f t="shared" si="57"/>
        <v>нормальный код</v>
      </c>
      <c r="S479" t="str">
        <f t="shared" si="60"/>
        <v>Больше половины</v>
      </c>
      <c r="T479" t="str">
        <f t="shared" si="61"/>
        <v>Вторая четверть</v>
      </c>
      <c r="U479" t="str">
        <f t="shared" si="62"/>
        <v>нормальный код</v>
      </c>
      <c r="V479" t="str">
        <f t="shared" si="63"/>
        <v>Больше половины</v>
      </c>
      <c r="W479" t="str">
        <f t="shared" si="64"/>
        <v>Вторая четверть</v>
      </c>
      <c r="X479">
        <v>10</v>
      </c>
    </row>
    <row r="480" spans="1:24" x14ac:dyDescent="0.35">
      <c r="A480" s="1" t="s">
        <v>571</v>
      </c>
      <c r="B480" s="2" t="s">
        <v>572</v>
      </c>
      <c r="C480" s="3" t="s">
        <v>13</v>
      </c>
      <c r="D480" s="2" t="s">
        <v>121</v>
      </c>
      <c r="E480" s="3" t="s">
        <v>391</v>
      </c>
      <c r="F480" s="2" t="s">
        <v>71</v>
      </c>
      <c r="G480" s="3" t="s">
        <v>35</v>
      </c>
      <c r="H480" s="2" t="s">
        <v>18</v>
      </c>
      <c r="I480" s="3" t="s">
        <v>19</v>
      </c>
      <c r="J480" s="3">
        <v>6149</v>
      </c>
      <c r="K480" s="3">
        <v>485</v>
      </c>
      <c r="L480" s="3">
        <v>11</v>
      </c>
      <c r="M480" s="4">
        <f t="shared" si="58"/>
        <v>7.8874613758334683E-2</v>
      </c>
      <c r="N480" s="4">
        <f t="shared" si="59"/>
        <v>2.268041237113402E-2</v>
      </c>
      <c r="O480">
        <v>353</v>
      </c>
      <c r="P480" s="5">
        <v>1</v>
      </c>
      <c r="Q480" s="7">
        <v>1</v>
      </c>
      <c r="R480" t="str">
        <f t="shared" si="57"/>
        <v>нормальный код</v>
      </c>
      <c r="S480" t="str">
        <f t="shared" si="60"/>
        <v>Вторая четверть</v>
      </c>
      <c r="T480" t="str">
        <f t="shared" si="61"/>
        <v>Больше половины</v>
      </c>
      <c r="U480" t="str">
        <f t="shared" si="62"/>
        <v>нормальный код</v>
      </c>
      <c r="V480" t="str">
        <f t="shared" si="63"/>
        <v>Больше половины</v>
      </c>
      <c r="W480" t="str">
        <f t="shared" si="64"/>
        <v>Больше половины</v>
      </c>
      <c r="X480">
        <v>8</v>
      </c>
    </row>
    <row r="481" spans="1:24" x14ac:dyDescent="0.35">
      <c r="A481" s="1" t="s">
        <v>587</v>
      </c>
      <c r="B481" s="2" t="s">
        <v>588</v>
      </c>
      <c r="C481" s="3" t="s">
        <v>13</v>
      </c>
      <c r="D481" s="2" t="s">
        <v>69</v>
      </c>
      <c r="E481" s="3" t="s">
        <v>371</v>
      </c>
      <c r="F481" s="2" t="s">
        <v>96</v>
      </c>
      <c r="G481" s="3" t="s">
        <v>72</v>
      </c>
      <c r="H481" s="2" t="s">
        <v>18</v>
      </c>
      <c r="I481" s="3" t="s">
        <v>19</v>
      </c>
      <c r="J481" s="3">
        <v>6147</v>
      </c>
      <c r="K481" s="3">
        <v>589</v>
      </c>
      <c r="L481" s="3">
        <v>8</v>
      </c>
      <c r="M481" s="4">
        <f t="shared" si="58"/>
        <v>9.5819098747356432E-2</v>
      </c>
      <c r="N481" s="4">
        <f t="shared" si="59"/>
        <v>1.3582342954159592E-2</v>
      </c>
      <c r="O481">
        <v>835</v>
      </c>
      <c r="P481" s="5">
        <v>1</v>
      </c>
      <c r="Q481" s="7">
        <v>1</v>
      </c>
      <c r="R481" t="str">
        <f t="shared" si="57"/>
        <v>нормальный код</v>
      </c>
      <c r="S481" t="str">
        <f t="shared" si="60"/>
        <v>Больше половины</v>
      </c>
      <c r="T481" t="str">
        <f t="shared" si="61"/>
        <v>Вторая четверть</v>
      </c>
      <c r="U481" t="str">
        <f t="shared" si="62"/>
        <v>нормальный код</v>
      </c>
      <c r="V481" t="str">
        <f t="shared" si="63"/>
        <v>Вторая четверть</v>
      </c>
      <c r="W481" t="str">
        <f t="shared" si="64"/>
        <v>Вторая четверть</v>
      </c>
      <c r="X481">
        <v>13</v>
      </c>
    </row>
    <row r="482" spans="1:24" x14ac:dyDescent="0.35">
      <c r="A482" s="1" t="s">
        <v>1319</v>
      </c>
      <c r="B482" s="2" t="s">
        <v>1320</v>
      </c>
      <c r="C482" s="3" t="s">
        <v>13</v>
      </c>
      <c r="D482" s="2" t="s">
        <v>85</v>
      </c>
      <c r="E482" s="3" t="s">
        <v>831</v>
      </c>
      <c r="F482" s="2" t="s">
        <v>34</v>
      </c>
      <c r="G482" s="3" t="s">
        <v>35</v>
      </c>
      <c r="H482" s="2" t="s">
        <v>18</v>
      </c>
      <c r="I482" s="3" t="s">
        <v>19</v>
      </c>
      <c r="J482" s="3">
        <v>6023</v>
      </c>
      <c r="K482" s="3">
        <v>1215</v>
      </c>
      <c r="L482" s="3">
        <v>17</v>
      </c>
      <c r="M482" s="4">
        <f t="shared" si="58"/>
        <v>0.20172671426199568</v>
      </c>
      <c r="N482" s="4">
        <f t="shared" si="59"/>
        <v>1.3991769547325103E-2</v>
      </c>
      <c r="O482">
        <v>262</v>
      </c>
      <c r="P482" s="5">
        <v>1</v>
      </c>
      <c r="Q482" s="7">
        <v>1</v>
      </c>
      <c r="R482" t="str">
        <f t="shared" si="57"/>
        <v>нормальный код</v>
      </c>
      <c r="S482" t="str">
        <f t="shared" si="60"/>
        <v>Больше половины</v>
      </c>
      <c r="T482" t="str">
        <f t="shared" si="61"/>
        <v>Вторая четверть</v>
      </c>
      <c r="U482" t="str">
        <f t="shared" si="62"/>
        <v>нормальный код</v>
      </c>
      <c r="V482" t="str">
        <f t="shared" si="63"/>
        <v>Больше половины</v>
      </c>
      <c r="W482" t="str">
        <f t="shared" si="64"/>
        <v>Вторая четверть</v>
      </c>
      <c r="X482">
        <v>20</v>
      </c>
    </row>
    <row r="483" spans="1:24" x14ac:dyDescent="0.35">
      <c r="A483" s="1" t="s">
        <v>1355</v>
      </c>
      <c r="B483" s="2" t="s">
        <v>1356</v>
      </c>
      <c r="C483" s="3" t="s">
        <v>55</v>
      </c>
      <c r="D483" s="2" t="s">
        <v>985</v>
      </c>
      <c r="E483" s="3" t="s">
        <v>986</v>
      </c>
      <c r="F483" s="2" t="s">
        <v>34</v>
      </c>
      <c r="G483" s="3" t="s">
        <v>17</v>
      </c>
      <c r="H483" s="2" t="s">
        <v>18</v>
      </c>
      <c r="I483" s="3" t="s">
        <v>19</v>
      </c>
      <c r="J483" s="3">
        <v>6006</v>
      </c>
      <c r="K483" s="3">
        <v>359</v>
      </c>
      <c r="L483" s="3">
        <v>12</v>
      </c>
      <c r="M483" s="4">
        <f t="shared" si="58"/>
        <v>5.9773559773559776E-2</v>
      </c>
      <c r="N483" s="4">
        <f t="shared" si="59"/>
        <v>3.3426183844011144E-2</v>
      </c>
      <c r="O483">
        <v>288</v>
      </c>
      <c r="P483" s="5">
        <v>1</v>
      </c>
      <c r="Q483" s="7">
        <v>1</v>
      </c>
      <c r="R483" t="str">
        <f t="shared" si="57"/>
        <v>нормальный код</v>
      </c>
      <c r="S483" t="str">
        <f t="shared" si="60"/>
        <v>Вторая четверть</v>
      </c>
      <c r="T483" t="str">
        <f t="shared" si="61"/>
        <v>Больше половины</v>
      </c>
      <c r="U483" t="str">
        <f t="shared" si="62"/>
        <v>нормальный код</v>
      </c>
      <c r="V483" t="str">
        <f t="shared" si="63"/>
        <v>Больше половины</v>
      </c>
      <c r="W483" t="str">
        <f t="shared" si="64"/>
        <v>Вторая четверть</v>
      </c>
      <c r="X483">
        <v>16</v>
      </c>
    </row>
    <row r="484" spans="1:24" x14ac:dyDescent="0.35">
      <c r="A484" s="1" t="s">
        <v>442</v>
      </c>
      <c r="B484" s="2" t="s">
        <v>443</v>
      </c>
      <c r="C484" s="3" t="s">
        <v>13</v>
      </c>
      <c r="D484" s="2" t="s">
        <v>77</v>
      </c>
      <c r="E484" s="3" t="s">
        <v>444</v>
      </c>
      <c r="F484" s="2" t="s">
        <v>96</v>
      </c>
      <c r="G484" s="3" t="s">
        <v>35</v>
      </c>
      <c r="H484" s="2" t="s">
        <v>18</v>
      </c>
      <c r="I484" s="3" t="s">
        <v>19</v>
      </c>
      <c r="J484" s="3">
        <v>5945</v>
      </c>
      <c r="K484" s="3">
        <v>940</v>
      </c>
      <c r="L484" s="3">
        <v>5</v>
      </c>
      <c r="M484" s="4">
        <f t="shared" si="58"/>
        <v>0.15811606391925989</v>
      </c>
      <c r="N484" s="4">
        <f t="shared" si="59"/>
        <v>5.3191489361702126E-3</v>
      </c>
      <c r="O484">
        <v>142</v>
      </c>
      <c r="P484" s="5">
        <v>1</v>
      </c>
      <c r="Q484" s="7">
        <v>1</v>
      </c>
      <c r="R484" t="str">
        <f t="shared" si="57"/>
        <v>код для проверки</v>
      </c>
      <c r="S484" t="str">
        <f t="shared" si="60"/>
        <v>Больше половины</v>
      </c>
      <c r="T484" t="str">
        <f t="shared" si="61"/>
        <v>Низшая четверть</v>
      </c>
      <c r="U484" t="str">
        <f t="shared" si="62"/>
        <v>нормальный код</v>
      </c>
      <c r="V484" t="str">
        <f t="shared" si="63"/>
        <v>Больше половины</v>
      </c>
      <c r="W484" t="str">
        <f t="shared" si="64"/>
        <v>Вторая четверть</v>
      </c>
      <c r="X484">
        <v>8</v>
      </c>
    </row>
    <row r="485" spans="1:24" x14ac:dyDescent="0.35">
      <c r="A485" s="1" t="s">
        <v>327</v>
      </c>
      <c r="B485" s="2" t="s">
        <v>328</v>
      </c>
      <c r="C485" s="3" t="s">
        <v>13</v>
      </c>
      <c r="D485" s="2" t="s">
        <v>77</v>
      </c>
      <c r="E485" s="3" t="s">
        <v>89</v>
      </c>
      <c r="F485" s="2" t="s">
        <v>34</v>
      </c>
      <c r="G485" s="3" t="s">
        <v>35</v>
      </c>
      <c r="H485" s="2" t="s">
        <v>18</v>
      </c>
      <c r="I485" s="3" t="s">
        <v>19</v>
      </c>
      <c r="J485" s="3">
        <v>5898</v>
      </c>
      <c r="K485" s="3">
        <v>916</v>
      </c>
      <c r="L485" s="3">
        <v>12</v>
      </c>
      <c r="M485" s="4">
        <f t="shared" si="58"/>
        <v>0.15530688368938622</v>
      </c>
      <c r="N485" s="4">
        <f t="shared" si="59"/>
        <v>1.3100436681222707E-2</v>
      </c>
      <c r="O485">
        <v>158</v>
      </c>
      <c r="P485" s="5">
        <v>1</v>
      </c>
      <c r="Q485" s="7">
        <v>1</v>
      </c>
      <c r="R485" t="str">
        <f t="shared" si="57"/>
        <v>нормальный код</v>
      </c>
      <c r="S485" t="str">
        <f t="shared" si="60"/>
        <v>Больше половины</v>
      </c>
      <c r="T485" t="str">
        <f t="shared" si="61"/>
        <v>Вторая четверть</v>
      </c>
      <c r="U485" t="str">
        <f t="shared" si="62"/>
        <v>нормальный код</v>
      </c>
      <c r="V485" t="str">
        <f t="shared" si="63"/>
        <v>Больше половины</v>
      </c>
      <c r="W485" t="str">
        <f t="shared" si="64"/>
        <v>Вторая четверть</v>
      </c>
      <c r="X485">
        <v>19</v>
      </c>
    </row>
    <row r="486" spans="1:24" x14ac:dyDescent="0.35">
      <c r="A486" s="1" t="s">
        <v>356</v>
      </c>
      <c r="B486" s="2" t="s">
        <v>357</v>
      </c>
      <c r="C486" s="3" t="s">
        <v>13</v>
      </c>
      <c r="D486" s="2" t="s">
        <v>155</v>
      </c>
      <c r="E486" s="3" t="s">
        <v>244</v>
      </c>
      <c r="F486" s="2" t="s">
        <v>34</v>
      </c>
      <c r="G486" s="3" t="s">
        <v>17</v>
      </c>
      <c r="H486" s="2" t="s">
        <v>18</v>
      </c>
      <c r="I486" s="3" t="s">
        <v>19</v>
      </c>
      <c r="J486" s="3">
        <v>5853</v>
      </c>
      <c r="K486" s="3">
        <v>554</v>
      </c>
      <c r="L486" s="3">
        <v>12</v>
      </c>
      <c r="M486" s="4">
        <f t="shared" si="58"/>
        <v>9.4652315052110025E-2</v>
      </c>
      <c r="N486" s="4">
        <f t="shared" si="59"/>
        <v>2.1660649819494584E-2</v>
      </c>
      <c r="O486">
        <v>476</v>
      </c>
      <c r="P486" s="5">
        <v>1</v>
      </c>
      <c r="Q486" s="7">
        <v>1</v>
      </c>
      <c r="R486" t="str">
        <f t="shared" si="57"/>
        <v>нормальный код</v>
      </c>
      <c r="S486" t="str">
        <f t="shared" si="60"/>
        <v>Вторая четверть</v>
      </c>
      <c r="T486" t="str">
        <f t="shared" si="61"/>
        <v>Больше половины</v>
      </c>
      <c r="U486" t="str">
        <f t="shared" si="62"/>
        <v>нормальный код</v>
      </c>
      <c r="V486" t="str">
        <f t="shared" si="63"/>
        <v>Вторая четверть</v>
      </c>
      <c r="W486" t="str">
        <f t="shared" si="64"/>
        <v>Больше половины</v>
      </c>
      <c r="X486">
        <v>24</v>
      </c>
    </row>
    <row r="487" spans="1:24" x14ac:dyDescent="0.35">
      <c r="A487" s="1" t="s">
        <v>1902</v>
      </c>
      <c r="B487" s="2" t="s">
        <v>1903</v>
      </c>
      <c r="C487" s="3" t="s">
        <v>13</v>
      </c>
      <c r="D487" s="2" t="s">
        <v>155</v>
      </c>
      <c r="E487" s="3" t="s">
        <v>156</v>
      </c>
      <c r="F487" s="2" t="s">
        <v>34</v>
      </c>
      <c r="G487" s="3" t="s">
        <v>17</v>
      </c>
      <c r="H487" s="2" t="s">
        <v>18</v>
      </c>
      <c r="I487" s="3" t="s">
        <v>19</v>
      </c>
      <c r="J487" s="3">
        <v>5818</v>
      </c>
      <c r="K487" s="3">
        <v>676</v>
      </c>
      <c r="L487" s="3">
        <v>72</v>
      </c>
      <c r="M487" s="4">
        <f t="shared" si="58"/>
        <v>0.11619113097284291</v>
      </c>
      <c r="N487" s="4">
        <f t="shared" si="59"/>
        <v>0.10650887573964497</v>
      </c>
      <c r="O487">
        <v>1907</v>
      </c>
      <c r="P487" s="5">
        <v>1</v>
      </c>
      <c r="Q487" s="7">
        <v>1</v>
      </c>
      <c r="R487" t="str">
        <f t="shared" si="57"/>
        <v>нормальный код</v>
      </c>
      <c r="S487" t="str">
        <f t="shared" si="60"/>
        <v>Больше половины</v>
      </c>
      <c r="T487" t="str">
        <f t="shared" si="61"/>
        <v>Больше половины</v>
      </c>
      <c r="U487" t="str">
        <f t="shared" si="62"/>
        <v>нормальный код</v>
      </c>
      <c r="V487" t="str">
        <f t="shared" si="63"/>
        <v>Больше половины</v>
      </c>
      <c r="W487" t="str">
        <f t="shared" si="64"/>
        <v>Больше половины</v>
      </c>
      <c r="X487">
        <v>9</v>
      </c>
    </row>
    <row r="488" spans="1:24" x14ac:dyDescent="0.35">
      <c r="A488" s="1" t="s">
        <v>865</v>
      </c>
      <c r="B488" s="2" t="s">
        <v>866</v>
      </c>
      <c r="C488" s="3" t="s">
        <v>13</v>
      </c>
      <c r="D488" s="2" t="s">
        <v>104</v>
      </c>
      <c r="E488" s="3" t="s">
        <v>711</v>
      </c>
      <c r="F488" s="2" t="s">
        <v>96</v>
      </c>
      <c r="G488" s="3" t="s">
        <v>17</v>
      </c>
      <c r="H488" s="2" t="s">
        <v>18</v>
      </c>
      <c r="I488" s="3" t="s">
        <v>19</v>
      </c>
      <c r="J488" s="3">
        <v>5808</v>
      </c>
      <c r="K488" s="3">
        <v>330</v>
      </c>
      <c r="L488" s="3">
        <v>12</v>
      </c>
      <c r="M488" s="4">
        <f t="shared" si="58"/>
        <v>5.6818181818181816E-2</v>
      </c>
      <c r="N488" s="4">
        <f t="shared" si="59"/>
        <v>3.6363636363636362E-2</v>
      </c>
      <c r="O488">
        <v>442</v>
      </c>
      <c r="P488" s="5">
        <v>1</v>
      </c>
      <c r="Q488" s="7">
        <v>1</v>
      </c>
      <c r="R488" t="str">
        <f t="shared" si="57"/>
        <v>нормальный код</v>
      </c>
      <c r="S488" t="str">
        <f t="shared" si="60"/>
        <v>Вторая четверть</v>
      </c>
      <c r="T488" t="str">
        <f t="shared" si="61"/>
        <v>Больше половины</v>
      </c>
      <c r="U488" t="str">
        <f t="shared" si="62"/>
        <v>нормальный код</v>
      </c>
      <c r="V488" t="str">
        <f t="shared" si="63"/>
        <v>Вторая четверть</v>
      </c>
      <c r="W488" t="str">
        <f t="shared" si="64"/>
        <v>Вторая четверть</v>
      </c>
      <c r="X488">
        <v>14</v>
      </c>
    </row>
    <row r="489" spans="1:24" x14ac:dyDescent="0.35">
      <c r="A489" s="1" t="s">
        <v>468</v>
      </c>
      <c r="B489" s="2" t="s">
        <v>469</v>
      </c>
      <c r="C489" s="3" t="s">
        <v>13</v>
      </c>
      <c r="D489" s="2" t="s">
        <v>77</v>
      </c>
      <c r="E489" s="3" t="s">
        <v>427</v>
      </c>
      <c r="F489" s="2" t="s">
        <v>71</v>
      </c>
      <c r="G489" s="3" t="s">
        <v>35</v>
      </c>
      <c r="H489" s="2" t="s">
        <v>18</v>
      </c>
      <c r="I489" s="3" t="s">
        <v>19</v>
      </c>
      <c r="J489" s="3">
        <v>5808</v>
      </c>
      <c r="K489" s="3">
        <v>423</v>
      </c>
      <c r="L489" s="3">
        <v>8</v>
      </c>
      <c r="M489" s="4">
        <f t="shared" si="58"/>
        <v>7.2830578512396688E-2</v>
      </c>
      <c r="N489" s="4">
        <f t="shared" si="59"/>
        <v>1.8912529550827423E-2</v>
      </c>
      <c r="O489">
        <v>196</v>
      </c>
      <c r="P489" s="5">
        <v>1</v>
      </c>
      <c r="Q489" s="7">
        <v>1</v>
      </c>
      <c r="R489" t="str">
        <f t="shared" si="57"/>
        <v>нормальный код</v>
      </c>
      <c r="S489" t="str">
        <f t="shared" si="60"/>
        <v>Вторая четверть</v>
      </c>
      <c r="T489" t="str">
        <f t="shared" si="61"/>
        <v>Вторая четверть</v>
      </c>
      <c r="U489" t="str">
        <f t="shared" si="62"/>
        <v>нормальный код</v>
      </c>
      <c r="V489" t="str">
        <f t="shared" si="63"/>
        <v>Вторая четверть</v>
      </c>
      <c r="W489" t="str">
        <f t="shared" si="64"/>
        <v>Больше половины</v>
      </c>
      <c r="X489">
        <v>21</v>
      </c>
    </row>
    <row r="490" spans="1:24" x14ac:dyDescent="0.35">
      <c r="A490" s="1" t="s">
        <v>1535</v>
      </c>
      <c r="B490" s="2" t="s">
        <v>1536</v>
      </c>
      <c r="C490" s="3" t="s">
        <v>55</v>
      </c>
      <c r="D490" s="2" t="s">
        <v>56</v>
      </c>
      <c r="E490" s="3" t="s">
        <v>57</v>
      </c>
      <c r="F490" s="2" t="s">
        <v>34</v>
      </c>
      <c r="G490" s="3" t="s">
        <v>17</v>
      </c>
      <c r="H490" s="2" t="s">
        <v>18</v>
      </c>
      <c r="I490" s="3" t="s">
        <v>19</v>
      </c>
      <c r="J490" s="3">
        <v>5788</v>
      </c>
      <c r="K490" s="3">
        <v>100</v>
      </c>
      <c r="L490" s="3">
        <v>0</v>
      </c>
      <c r="M490" s="4">
        <f t="shared" si="58"/>
        <v>1.7277125086385625E-2</v>
      </c>
      <c r="N490" s="4">
        <f t="shared" si="59"/>
        <v>0</v>
      </c>
      <c r="O490">
        <v>149</v>
      </c>
      <c r="P490" s="5">
        <v>1</v>
      </c>
      <c r="Q490" s="7">
        <v>1</v>
      </c>
      <c r="R490" t="str">
        <f t="shared" si="57"/>
        <v>код для проверки</v>
      </c>
      <c r="S490" t="str">
        <f t="shared" si="60"/>
        <v>Низшая четверть</v>
      </c>
      <c r="T490" t="str">
        <f t="shared" si="61"/>
        <v>Низшая четверть</v>
      </c>
      <c r="U490" t="str">
        <f t="shared" si="62"/>
        <v>код для проверки</v>
      </c>
      <c r="V490" t="str">
        <f t="shared" si="63"/>
        <v>Низшая четверть</v>
      </c>
      <c r="W490" t="str">
        <f t="shared" si="64"/>
        <v>Низшая четверть</v>
      </c>
      <c r="X490">
        <v>8</v>
      </c>
    </row>
    <row r="491" spans="1:24" x14ac:dyDescent="0.35">
      <c r="A491" s="1" t="s">
        <v>196</v>
      </c>
      <c r="B491" s="2" t="s">
        <v>197</v>
      </c>
      <c r="C491" s="3" t="s">
        <v>13</v>
      </c>
      <c r="D491" s="2" t="s">
        <v>69</v>
      </c>
      <c r="E491" s="3" t="s">
        <v>70</v>
      </c>
      <c r="F491" s="2" t="s">
        <v>71</v>
      </c>
      <c r="G491" s="3" t="s">
        <v>72</v>
      </c>
      <c r="H491" s="2" t="s">
        <v>18</v>
      </c>
      <c r="I491" s="3" t="s">
        <v>19</v>
      </c>
      <c r="J491" s="3">
        <v>5769</v>
      </c>
      <c r="K491" s="3">
        <v>1120</v>
      </c>
      <c r="L491" s="3">
        <v>7</v>
      </c>
      <c r="M491" s="4">
        <f t="shared" si="58"/>
        <v>0.19414109897729243</v>
      </c>
      <c r="N491" s="4">
        <f t="shared" si="59"/>
        <v>6.2500000000000003E-3</v>
      </c>
      <c r="O491">
        <v>392</v>
      </c>
      <c r="P491" s="5">
        <v>1</v>
      </c>
      <c r="Q491" s="7">
        <v>1</v>
      </c>
      <c r="R491" t="str">
        <f t="shared" si="57"/>
        <v>код для проверки</v>
      </c>
      <c r="S491" t="str">
        <f t="shared" si="60"/>
        <v>Больше половины</v>
      </c>
      <c r="T491" t="str">
        <f t="shared" si="61"/>
        <v>Низшая четверть</v>
      </c>
      <c r="U491" t="str">
        <f t="shared" si="62"/>
        <v>нормальный код</v>
      </c>
      <c r="V491" t="str">
        <f t="shared" si="63"/>
        <v>Больше половины</v>
      </c>
      <c r="W491" t="str">
        <f t="shared" si="64"/>
        <v>Вторая четверть</v>
      </c>
      <c r="X491">
        <v>16</v>
      </c>
    </row>
    <row r="492" spans="1:24" x14ac:dyDescent="0.35">
      <c r="A492" s="1" t="s">
        <v>479</v>
      </c>
      <c r="B492" s="2" t="s">
        <v>480</v>
      </c>
      <c r="C492" s="3" t="s">
        <v>13</v>
      </c>
      <c r="D492" s="2" t="s">
        <v>412</v>
      </c>
      <c r="E492" s="3" t="s">
        <v>413</v>
      </c>
      <c r="F492" s="2" t="s">
        <v>61</v>
      </c>
      <c r="G492" s="3" t="s">
        <v>17</v>
      </c>
      <c r="H492" s="2" t="s">
        <v>97</v>
      </c>
      <c r="I492" s="3" t="s">
        <v>19</v>
      </c>
      <c r="J492" s="3">
        <v>5675</v>
      </c>
      <c r="K492" s="3">
        <v>1176</v>
      </c>
      <c r="L492" s="3">
        <v>30</v>
      </c>
      <c r="M492" s="4">
        <f t="shared" si="58"/>
        <v>0.20722466960352423</v>
      </c>
      <c r="N492" s="4">
        <f t="shared" si="59"/>
        <v>2.5510204081632654E-2</v>
      </c>
      <c r="O492">
        <v>0</v>
      </c>
      <c r="P492" s="5">
        <v>0</v>
      </c>
      <c r="Q492" s="7">
        <v>0</v>
      </c>
      <c r="R492" t="s">
        <v>2350</v>
      </c>
      <c r="S492" t="str">
        <f t="shared" si="60"/>
        <v>Больше половины</v>
      </c>
      <c r="T492" t="str">
        <f t="shared" si="61"/>
        <v>Больше половины</v>
      </c>
      <c r="U492" t="str">
        <f t="shared" si="62"/>
        <v>нормальный код</v>
      </c>
      <c r="V492" t="str">
        <f t="shared" si="63"/>
        <v>Больше половины</v>
      </c>
      <c r="W492" t="str">
        <f t="shared" si="64"/>
        <v>Больше половины</v>
      </c>
      <c r="X492">
        <v>8</v>
      </c>
    </row>
    <row r="493" spans="1:24" x14ac:dyDescent="0.35">
      <c r="A493" s="1" t="s">
        <v>1684</v>
      </c>
      <c r="B493" s="2" t="s">
        <v>1685</v>
      </c>
      <c r="C493" s="3" t="s">
        <v>55</v>
      </c>
      <c r="D493" s="2" t="s">
        <v>94</v>
      </c>
      <c r="E493" s="3" t="s">
        <v>95</v>
      </c>
      <c r="F493" s="2" t="s">
        <v>96</v>
      </c>
      <c r="G493" s="3" t="s">
        <v>17</v>
      </c>
      <c r="H493" s="2" t="s">
        <v>97</v>
      </c>
      <c r="I493" s="3" t="s">
        <v>19</v>
      </c>
      <c r="J493" s="3">
        <v>5622</v>
      </c>
      <c r="K493" s="3">
        <v>3851</v>
      </c>
      <c r="L493" s="3">
        <v>13</v>
      </c>
      <c r="M493" s="4">
        <f t="shared" si="58"/>
        <v>0.68498754891497693</v>
      </c>
      <c r="N493" s="4">
        <f t="shared" si="59"/>
        <v>3.3757465593352376E-3</v>
      </c>
      <c r="O493">
        <v>1648</v>
      </c>
      <c r="P493" s="5">
        <v>0.77777777777777779</v>
      </c>
      <c r="Q493" s="7">
        <v>1</v>
      </c>
      <c r="R493" t="str">
        <f t="shared" ref="R493:R550" si="65">IF(OR(M493&lt;$S$1*0.5,N493&lt;$T$1*0.5),"код для проверки","нормальный код")</f>
        <v>код для проверки</v>
      </c>
      <c r="S493" t="str">
        <f t="shared" si="60"/>
        <v>Больше половины</v>
      </c>
      <c r="T493" t="str">
        <f t="shared" si="61"/>
        <v>Низшая четверть</v>
      </c>
      <c r="U493" t="str">
        <f t="shared" si="62"/>
        <v>код для проверки</v>
      </c>
      <c r="V493" t="str">
        <f t="shared" si="63"/>
        <v>Больше половины</v>
      </c>
      <c r="W493" t="str">
        <f t="shared" si="64"/>
        <v>Низшая четверть</v>
      </c>
      <c r="X493">
        <v>18</v>
      </c>
    </row>
    <row r="494" spans="1:24" x14ac:dyDescent="0.35">
      <c r="A494" s="1" t="s">
        <v>1009</v>
      </c>
      <c r="B494" s="2" t="s">
        <v>1010</v>
      </c>
      <c r="C494" s="3" t="s">
        <v>13</v>
      </c>
      <c r="D494" s="2" t="s">
        <v>104</v>
      </c>
      <c r="E494" s="3" t="s">
        <v>424</v>
      </c>
      <c r="F494" s="2" t="s">
        <v>34</v>
      </c>
      <c r="G494" s="3" t="s">
        <v>17</v>
      </c>
      <c r="H494" s="2" t="s">
        <v>18</v>
      </c>
      <c r="I494" s="3" t="s">
        <v>19</v>
      </c>
      <c r="J494" s="3">
        <v>5615</v>
      </c>
      <c r="K494" s="3">
        <v>369</v>
      </c>
      <c r="L494" s="3">
        <v>13</v>
      </c>
      <c r="M494" s="4">
        <f t="shared" si="58"/>
        <v>6.5716829919857528E-2</v>
      </c>
      <c r="N494" s="4">
        <f t="shared" si="59"/>
        <v>3.5230352303523033E-2</v>
      </c>
      <c r="O494">
        <v>445</v>
      </c>
      <c r="P494" s="5">
        <v>1</v>
      </c>
      <c r="Q494" s="7">
        <v>1</v>
      </c>
      <c r="R494" t="str">
        <f t="shared" si="65"/>
        <v>нормальный код</v>
      </c>
      <c r="S494" t="str">
        <f t="shared" si="60"/>
        <v>Вторая четверть</v>
      </c>
      <c r="T494" t="str">
        <f t="shared" si="61"/>
        <v>Больше половины</v>
      </c>
      <c r="U494" t="str">
        <f t="shared" si="62"/>
        <v>нормальный код</v>
      </c>
      <c r="V494" t="str">
        <f t="shared" si="63"/>
        <v>Вторая четверть</v>
      </c>
      <c r="W494" t="str">
        <f t="shared" si="64"/>
        <v>Больше половины</v>
      </c>
      <c r="X494">
        <v>17</v>
      </c>
    </row>
    <row r="495" spans="1:24" x14ac:dyDescent="0.35">
      <c r="A495" s="1" t="s">
        <v>1390</v>
      </c>
      <c r="B495" s="2" t="s">
        <v>1391</v>
      </c>
      <c r="C495" s="3" t="s">
        <v>13</v>
      </c>
      <c r="D495" s="2" t="s">
        <v>164</v>
      </c>
      <c r="E495" s="3" t="s">
        <v>538</v>
      </c>
      <c r="F495" s="2" t="s">
        <v>71</v>
      </c>
      <c r="G495" s="3" t="s">
        <v>35</v>
      </c>
      <c r="H495" s="2" t="s">
        <v>18</v>
      </c>
      <c r="I495" s="3" t="s">
        <v>19</v>
      </c>
      <c r="J495" s="3">
        <v>5613</v>
      </c>
      <c r="K495" s="3">
        <v>529</v>
      </c>
      <c r="L495" s="3">
        <v>8</v>
      </c>
      <c r="M495" s="4">
        <f t="shared" si="58"/>
        <v>9.4245501514341704E-2</v>
      </c>
      <c r="N495" s="4">
        <f t="shared" si="59"/>
        <v>1.5122873345935728E-2</v>
      </c>
      <c r="O495">
        <v>150</v>
      </c>
      <c r="P495" s="5">
        <v>0.6</v>
      </c>
      <c r="Q495" s="7">
        <v>1</v>
      </c>
      <c r="R495" t="str">
        <f t="shared" si="65"/>
        <v>нормальный код</v>
      </c>
      <c r="S495" t="str">
        <f t="shared" si="60"/>
        <v>Вторая четверть</v>
      </c>
      <c r="T495" t="str">
        <f t="shared" si="61"/>
        <v>Вторая четверть</v>
      </c>
      <c r="U495" t="str">
        <f t="shared" si="62"/>
        <v>нормальный код</v>
      </c>
      <c r="V495" t="str">
        <f t="shared" si="63"/>
        <v>Вторая четверть</v>
      </c>
      <c r="W495" t="str">
        <f t="shared" si="64"/>
        <v>Больше половины</v>
      </c>
      <c r="X495">
        <v>20</v>
      </c>
    </row>
    <row r="496" spans="1:24" x14ac:dyDescent="0.35">
      <c r="A496" s="1" t="s">
        <v>1139</v>
      </c>
      <c r="B496" s="2" t="s">
        <v>1140</v>
      </c>
      <c r="C496" s="3" t="s">
        <v>55</v>
      </c>
      <c r="D496" s="2" t="s">
        <v>56</v>
      </c>
      <c r="E496" s="3" t="s">
        <v>60</v>
      </c>
      <c r="F496" s="2" t="s">
        <v>61</v>
      </c>
      <c r="G496" s="3" t="s">
        <v>17</v>
      </c>
      <c r="H496" s="2" t="s">
        <v>18</v>
      </c>
      <c r="I496" s="3" t="s">
        <v>19</v>
      </c>
      <c r="J496" s="3">
        <v>5582</v>
      </c>
      <c r="K496" s="3">
        <v>388</v>
      </c>
      <c r="L496" s="3">
        <v>5</v>
      </c>
      <c r="M496" s="4">
        <f t="shared" si="58"/>
        <v>6.95091365102114E-2</v>
      </c>
      <c r="N496" s="4">
        <f t="shared" si="59"/>
        <v>1.2886597938144329E-2</v>
      </c>
      <c r="O496">
        <v>275</v>
      </c>
      <c r="P496" s="5">
        <v>1</v>
      </c>
      <c r="Q496" s="7">
        <v>1</v>
      </c>
      <c r="R496" t="str">
        <f t="shared" si="65"/>
        <v>нормальный код</v>
      </c>
      <c r="S496" t="str">
        <f t="shared" si="60"/>
        <v>Вторая четверть</v>
      </c>
      <c r="T496" t="str">
        <f t="shared" si="61"/>
        <v>Вторая четверть</v>
      </c>
      <c r="U496" t="str">
        <f t="shared" si="62"/>
        <v>нормальный код</v>
      </c>
      <c r="V496" t="str">
        <f t="shared" si="63"/>
        <v>Больше половины</v>
      </c>
      <c r="W496" t="str">
        <f t="shared" si="64"/>
        <v>Больше половины</v>
      </c>
      <c r="X496">
        <v>13</v>
      </c>
    </row>
    <row r="497" spans="1:24" x14ac:dyDescent="0.35">
      <c r="A497" s="1" t="s">
        <v>886</v>
      </c>
      <c r="B497" s="2" t="s">
        <v>887</v>
      </c>
      <c r="C497" s="3" t="s">
        <v>55</v>
      </c>
      <c r="D497" s="2" t="s">
        <v>56</v>
      </c>
      <c r="E497" s="3" t="s">
        <v>755</v>
      </c>
      <c r="F497" s="2" t="s">
        <v>34</v>
      </c>
      <c r="G497" s="3" t="s">
        <v>17</v>
      </c>
      <c r="H497" s="2" t="s">
        <v>18</v>
      </c>
      <c r="I497" s="3" t="s">
        <v>19</v>
      </c>
      <c r="J497" s="3">
        <v>5565</v>
      </c>
      <c r="K497" s="3">
        <v>254</v>
      </c>
      <c r="L497" s="3">
        <v>8</v>
      </c>
      <c r="M497" s="4">
        <f t="shared" si="58"/>
        <v>4.5642407906558852E-2</v>
      </c>
      <c r="N497" s="4">
        <f t="shared" si="59"/>
        <v>3.1496062992125984E-2</v>
      </c>
      <c r="O497">
        <v>653</v>
      </c>
      <c r="P497" s="5">
        <v>1</v>
      </c>
      <c r="Q497" s="7">
        <v>1</v>
      </c>
      <c r="R497" t="str">
        <f t="shared" si="65"/>
        <v>код для проверки</v>
      </c>
      <c r="S497" t="str">
        <f t="shared" si="60"/>
        <v>Низшая четверть</v>
      </c>
      <c r="T497" t="str">
        <f t="shared" si="61"/>
        <v>Больше половины</v>
      </c>
      <c r="U497" t="str">
        <f t="shared" si="62"/>
        <v>нормальный код</v>
      </c>
      <c r="V497" t="str">
        <f t="shared" si="63"/>
        <v>Вторая четверть</v>
      </c>
      <c r="W497" t="str">
        <f t="shared" si="64"/>
        <v>Больше половины</v>
      </c>
      <c r="X497">
        <v>4</v>
      </c>
    </row>
    <row r="498" spans="1:24" x14ac:dyDescent="0.35">
      <c r="A498" s="1" t="s">
        <v>1168</v>
      </c>
      <c r="B498" s="2" t="s">
        <v>1169</v>
      </c>
      <c r="C498" s="3" t="s">
        <v>55</v>
      </c>
      <c r="D498" s="2" t="s">
        <v>56</v>
      </c>
      <c r="E498" s="3" t="s">
        <v>60</v>
      </c>
      <c r="F498" s="2" t="s">
        <v>61</v>
      </c>
      <c r="G498" s="3" t="s">
        <v>17</v>
      </c>
      <c r="H498" s="2" t="s">
        <v>18</v>
      </c>
      <c r="I498" s="3" t="s">
        <v>19</v>
      </c>
      <c r="J498" s="3">
        <v>5563</v>
      </c>
      <c r="K498" s="3">
        <v>215</v>
      </c>
      <c r="L498" s="3">
        <v>2</v>
      </c>
      <c r="M498" s="4">
        <f t="shared" si="58"/>
        <v>3.8648211396728381E-2</v>
      </c>
      <c r="N498" s="4">
        <f t="shared" si="59"/>
        <v>9.3023255813953487E-3</v>
      </c>
      <c r="O498">
        <v>356</v>
      </c>
      <c r="P498" s="5">
        <v>1</v>
      </c>
      <c r="Q498" s="7">
        <v>1</v>
      </c>
      <c r="R498" t="str">
        <f t="shared" si="65"/>
        <v>код для проверки</v>
      </c>
      <c r="S498" t="str">
        <f t="shared" si="60"/>
        <v>Низшая четверть</v>
      </c>
      <c r="T498" t="str">
        <f t="shared" si="61"/>
        <v>Низшая четверть</v>
      </c>
      <c r="U498" t="str">
        <f t="shared" si="62"/>
        <v>нормальный код</v>
      </c>
      <c r="V498" t="str">
        <f t="shared" si="63"/>
        <v>Вторая четверть</v>
      </c>
      <c r="W498" t="str">
        <f t="shared" si="64"/>
        <v>Вторая четверть</v>
      </c>
      <c r="X498">
        <v>26</v>
      </c>
    </row>
    <row r="499" spans="1:24" x14ac:dyDescent="0.35">
      <c r="A499" s="1" t="s">
        <v>683</v>
      </c>
      <c r="B499" s="2" t="s">
        <v>684</v>
      </c>
      <c r="C499" s="3" t="s">
        <v>13</v>
      </c>
      <c r="D499" s="2" t="s">
        <v>630</v>
      </c>
      <c r="E499" s="3" t="s">
        <v>685</v>
      </c>
      <c r="F499" s="2" t="s">
        <v>61</v>
      </c>
      <c r="G499" s="3" t="s">
        <v>17</v>
      </c>
      <c r="H499" s="2" t="s">
        <v>97</v>
      </c>
      <c r="I499" s="3" t="s">
        <v>19</v>
      </c>
      <c r="J499" s="3">
        <v>5553</v>
      </c>
      <c r="K499" s="3">
        <v>475</v>
      </c>
      <c r="L499" s="3">
        <v>8</v>
      </c>
      <c r="M499" s="4">
        <f t="shared" si="58"/>
        <v>8.5539348100126061E-2</v>
      </c>
      <c r="N499" s="4">
        <f t="shared" si="59"/>
        <v>1.6842105263157894E-2</v>
      </c>
      <c r="O499">
        <v>573</v>
      </c>
      <c r="P499" s="5">
        <v>1</v>
      </c>
      <c r="Q499" s="7">
        <v>1</v>
      </c>
      <c r="R499" t="str">
        <f t="shared" si="65"/>
        <v>нормальный код</v>
      </c>
      <c r="S499" t="str">
        <f t="shared" si="60"/>
        <v>Вторая четверть</v>
      </c>
      <c r="T499" t="str">
        <f t="shared" si="61"/>
        <v>Вторая четверть</v>
      </c>
      <c r="U499" t="str">
        <f t="shared" si="62"/>
        <v>нормальный код</v>
      </c>
      <c r="V499" t="str">
        <f t="shared" si="63"/>
        <v>Вторая четверть</v>
      </c>
      <c r="W499" t="str">
        <f t="shared" si="64"/>
        <v>Вторая четверть</v>
      </c>
      <c r="X499">
        <v>8</v>
      </c>
    </row>
    <row r="500" spans="1:24" x14ac:dyDescent="0.35">
      <c r="A500" s="1" t="s">
        <v>838</v>
      </c>
      <c r="B500" s="2" t="s">
        <v>839</v>
      </c>
      <c r="C500" s="3" t="s">
        <v>13</v>
      </c>
      <c r="D500" s="2" t="s">
        <v>69</v>
      </c>
      <c r="E500" s="3" t="s">
        <v>805</v>
      </c>
      <c r="F500" s="2" t="s">
        <v>34</v>
      </c>
      <c r="G500" s="3" t="s">
        <v>72</v>
      </c>
      <c r="H500" s="2" t="s">
        <v>18</v>
      </c>
      <c r="I500" s="3" t="s">
        <v>19</v>
      </c>
      <c r="J500" s="3">
        <v>5525</v>
      </c>
      <c r="K500" s="3">
        <v>636</v>
      </c>
      <c r="L500" s="3">
        <v>12</v>
      </c>
      <c r="M500" s="4">
        <f t="shared" si="58"/>
        <v>0.11511312217194571</v>
      </c>
      <c r="N500" s="4">
        <f t="shared" si="59"/>
        <v>1.8867924528301886E-2</v>
      </c>
      <c r="O500">
        <v>435</v>
      </c>
      <c r="P500" s="5">
        <v>1</v>
      </c>
      <c r="Q500" s="7">
        <v>1</v>
      </c>
      <c r="R500" t="str">
        <f t="shared" si="65"/>
        <v>нормальный код</v>
      </c>
      <c r="S500" t="str">
        <f t="shared" si="60"/>
        <v>Больше половины</v>
      </c>
      <c r="T500" t="str">
        <f t="shared" si="61"/>
        <v>Вторая четверть</v>
      </c>
      <c r="U500" t="str">
        <f t="shared" si="62"/>
        <v>нормальный код</v>
      </c>
      <c r="V500" t="str">
        <f t="shared" si="63"/>
        <v>Больше половины</v>
      </c>
      <c r="W500" t="str">
        <f t="shared" si="64"/>
        <v>Больше половины</v>
      </c>
      <c r="X500">
        <v>15</v>
      </c>
    </row>
    <row r="501" spans="1:24" x14ac:dyDescent="0.35">
      <c r="A501" s="1" t="s">
        <v>1621</v>
      </c>
      <c r="B501" s="2" t="s">
        <v>1622</v>
      </c>
      <c r="C501" s="3" t="s">
        <v>55</v>
      </c>
      <c r="D501" s="2" t="s">
        <v>94</v>
      </c>
      <c r="E501" s="3" t="s">
        <v>95</v>
      </c>
      <c r="F501" s="2" t="s">
        <v>96</v>
      </c>
      <c r="G501" s="3" t="s">
        <v>17</v>
      </c>
      <c r="H501" s="2" t="s">
        <v>97</v>
      </c>
      <c r="I501" s="3" t="s">
        <v>19</v>
      </c>
      <c r="J501" s="3">
        <v>5516</v>
      </c>
      <c r="K501" s="3">
        <v>3057</v>
      </c>
      <c r="L501" s="3">
        <v>21</v>
      </c>
      <c r="M501" s="4">
        <f t="shared" si="58"/>
        <v>0.55420594633792608</v>
      </c>
      <c r="N501" s="4">
        <f t="shared" si="59"/>
        <v>6.8694798822374874E-3</v>
      </c>
      <c r="O501">
        <v>2873</v>
      </c>
      <c r="P501" s="5">
        <v>0.66666666666666663</v>
      </c>
      <c r="Q501" s="7">
        <v>1</v>
      </c>
      <c r="R501" t="str">
        <f t="shared" si="65"/>
        <v>код для проверки</v>
      </c>
      <c r="S501" t="str">
        <f t="shared" si="60"/>
        <v>Больше половины</v>
      </c>
      <c r="T501" t="str">
        <f t="shared" si="61"/>
        <v>Низшая четверть</v>
      </c>
      <c r="U501" t="str">
        <f t="shared" si="62"/>
        <v>нормальный код</v>
      </c>
      <c r="V501" t="str">
        <f t="shared" si="63"/>
        <v>Больше половины</v>
      </c>
      <c r="W501" t="str">
        <f t="shared" si="64"/>
        <v>Вторая четверть</v>
      </c>
      <c r="X501">
        <v>28</v>
      </c>
    </row>
    <row r="502" spans="1:24" x14ac:dyDescent="0.35">
      <c r="A502" s="1" t="s">
        <v>653</v>
      </c>
      <c r="B502" s="2" t="s">
        <v>654</v>
      </c>
      <c r="C502" s="3" t="s">
        <v>13</v>
      </c>
      <c r="D502" s="2" t="s">
        <v>155</v>
      </c>
      <c r="E502" s="3" t="s">
        <v>156</v>
      </c>
      <c r="F502" s="2" t="s">
        <v>34</v>
      </c>
      <c r="G502" s="3" t="s">
        <v>35</v>
      </c>
      <c r="H502" s="2" t="s">
        <v>18</v>
      </c>
      <c r="I502" s="3" t="s">
        <v>19</v>
      </c>
      <c r="J502" s="3">
        <v>5499</v>
      </c>
      <c r="K502" s="3">
        <v>1142</v>
      </c>
      <c r="L502" s="3">
        <v>8</v>
      </c>
      <c r="M502" s="4">
        <f t="shared" si="58"/>
        <v>0.20767412256773959</v>
      </c>
      <c r="N502" s="4">
        <f t="shared" si="59"/>
        <v>7.0052539404553416E-3</v>
      </c>
      <c r="O502">
        <v>101</v>
      </c>
      <c r="P502" s="5">
        <v>1</v>
      </c>
      <c r="Q502" s="7">
        <v>1</v>
      </c>
      <c r="R502" t="str">
        <f t="shared" si="65"/>
        <v>код для проверки</v>
      </c>
      <c r="S502" t="str">
        <f t="shared" si="60"/>
        <v>Больше половины</v>
      </c>
      <c r="T502" t="str">
        <f t="shared" si="61"/>
        <v>Низшая четверть</v>
      </c>
      <c r="U502" t="str">
        <f t="shared" si="62"/>
        <v>код для проверки</v>
      </c>
      <c r="V502" t="str">
        <f t="shared" si="63"/>
        <v>Больше половины</v>
      </c>
      <c r="W502" t="str">
        <f t="shared" si="64"/>
        <v>Низшая четверть</v>
      </c>
      <c r="X502">
        <v>13</v>
      </c>
    </row>
    <row r="503" spans="1:24" x14ac:dyDescent="0.35">
      <c r="A503" s="1" t="s">
        <v>1003</v>
      </c>
      <c r="B503" s="2" t="s">
        <v>1004</v>
      </c>
      <c r="C503" s="3" t="s">
        <v>13</v>
      </c>
      <c r="D503" s="2" t="s">
        <v>630</v>
      </c>
      <c r="E503" s="3" t="s">
        <v>685</v>
      </c>
      <c r="F503" s="2" t="s">
        <v>61</v>
      </c>
      <c r="G503" s="3" t="s">
        <v>17</v>
      </c>
      <c r="H503" s="2" t="s">
        <v>97</v>
      </c>
      <c r="I503" s="3" t="s">
        <v>19</v>
      </c>
      <c r="J503" s="3">
        <v>5499</v>
      </c>
      <c r="K503" s="3">
        <v>469</v>
      </c>
      <c r="L503" s="3">
        <v>13</v>
      </c>
      <c r="M503" s="4">
        <f t="shared" si="58"/>
        <v>8.5288234224404444E-2</v>
      </c>
      <c r="N503" s="4">
        <f t="shared" si="59"/>
        <v>2.7718550106609809E-2</v>
      </c>
      <c r="O503">
        <v>669</v>
      </c>
      <c r="P503" s="5">
        <v>1</v>
      </c>
      <c r="Q503" s="7">
        <v>1</v>
      </c>
      <c r="R503" t="str">
        <f t="shared" si="65"/>
        <v>нормальный код</v>
      </c>
      <c r="S503" t="str">
        <f t="shared" si="60"/>
        <v>Вторая четверть</v>
      </c>
      <c r="T503" t="str">
        <f t="shared" si="61"/>
        <v>Больше половины</v>
      </c>
      <c r="U503" t="str">
        <f t="shared" si="62"/>
        <v>нормальный код</v>
      </c>
      <c r="V503" t="str">
        <f t="shared" si="63"/>
        <v>Вторая четверть</v>
      </c>
      <c r="W503" t="str">
        <f t="shared" si="64"/>
        <v>Больше половины</v>
      </c>
      <c r="X503">
        <v>9</v>
      </c>
    </row>
    <row r="504" spans="1:24" x14ac:dyDescent="0.35">
      <c r="A504" s="1" t="s">
        <v>1007</v>
      </c>
      <c r="B504" s="2" t="s">
        <v>1008</v>
      </c>
      <c r="C504" s="3" t="s">
        <v>13</v>
      </c>
      <c r="D504" s="2" t="s">
        <v>85</v>
      </c>
      <c r="E504" s="3" t="s">
        <v>831</v>
      </c>
      <c r="F504" s="2" t="s">
        <v>34</v>
      </c>
      <c r="G504" s="3" t="s">
        <v>17</v>
      </c>
      <c r="H504" s="2" t="s">
        <v>18</v>
      </c>
      <c r="I504" s="3" t="s">
        <v>19</v>
      </c>
      <c r="J504" s="3">
        <v>5498</v>
      </c>
      <c r="K504" s="3">
        <v>372</v>
      </c>
      <c r="L504" s="3">
        <v>13</v>
      </c>
      <c r="M504" s="4">
        <f t="shared" si="58"/>
        <v>6.7660967624590757E-2</v>
      </c>
      <c r="N504" s="4">
        <f t="shared" si="59"/>
        <v>3.4946236559139782E-2</v>
      </c>
      <c r="O504">
        <v>691</v>
      </c>
      <c r="P504" s="5">
        <v>1</v>
      </c>
      <c r="Q504" s="7">
        <v>1</v>
      </c>
      <c r="R504" t="str">
        <f t="shared" si="65"/>
        <v>нормальный код</v>
      </c>
      <c r="S504" t="str">
        <f t="shared" si="60"/>
        <v>Вторая четверть</v>
      </c>
      <c r="T504" t="str">
        <f t="shared" si="61"/>
        <v>Больше половины</v>
      </c>
      <c r="U504" t="str">
        <f t="shared" si="62"/>
        <v>нормальный код</v>
      </c>
      <c r="V504" t="str">
        <f t="shared" si="63"/>
        <v>Вторая четверть</v>
      </c>
      <c r="W504" t="str">
        <f t="shared" si="64"/>
        <v>Больше половины</v>
      </c>
      <c r="X504">
        <v>17</v>
      </c>
    </row>
    <row r="505" spans="1:24" x14ac:dyDescent="0.35">
      <c r="A505" s="1" t="s">
        <v>595</v>
      </c>
      <c r="B505" s="2" t="s">
        <v>596</v>
      </c>
      <c r="C505" s="3" t="s">
        <v>13</v>
      </c>
      <c r="D505" s="2" t="s">
        <v>121</v>
      </c>
      <c r="E505" s="3" t="s">
        <v>122</v>
      </c>
      <c r="F505" s="2" t="s">
        <v>123</v>
      </c>
      <c r="G505" s="3" t="s">
        <v>35</v>
      </c>
      <c r="H505" s="2" t="s">
        <v>18</v>
      </c>
      <c r="I505" s="3" t="s">
        <v>19</v>
      </c>
      <c r="J505" s="3">
        <v>5497</v>
      </c>
      <c r="K505" s="3">
        <v>339</v>
      </c>
      <c r="L505" s="3">
        <v>11</v>
      </c>
      <c r="M505" s="4">
        <f t="shared" si="58"/>
        <v>6.1670001819174092E-2</v>
      </c>
      <c r="N505" s="4">
        <f t="shared" si="59"/>
        <v>3.2448377581120944E-2</v>
      </c>
      <c r="O505">
        <v>146</v>
      </c>
      <c r="P505" s="5">
        <v>0.8</v>
      </c>
      <c r="Q505" s="7">
        <v>1</v>
      </c>
      <c r="R505" t="str">
        <f t="shared" si="65"/>
        <v>нормальный код</v>
      </c>
      <c r="S505" t="str">
        <f t="shared" si="60"/>
        <v>Вторая четверть</v>
      </c>
      <c r="T505" t="str">
        <f t="shared" si="61"/>
        <v>Больше половины</v>
      </c>
      <c r="U505" t="str">
        <f t="shared" si="62"/>
        <v>нормальный код</v>
      </c>
      <c r="V505" t="str">
        <f t="shared" si="63"/>
        <v>Вторая четверть</v>
      </c>
      <c r="W505" t="str">
        <f t="shared" si="64"/>
        <v>Больше половины</v>
      </c>
      <c r="X505">
        <v>12</v>
      </c>
    </row>
    <row r="506" spans="1:24" x14ac:dyDescent="0.35">
      <c r="A506" s="1" t="s">
        <v>989</v>
      </c>
      <c r="B506" s="2" t="s">
        <v>990</v>
      </c>
      <c r="C506" s="3" t="s">
        <v>55</v>
      </c>
      <c r="D506" s="2" t="s">
        <v>56</v>
      </c>
      <c r="E506" s="3" t="s">
        <v>770</v>
      </c>
      <c r="F506" s="2" t="s">
        <v>34</v>
      </c>
      <c r="G506" s="3" t="s">
        <v>17</v>
      </c>
      <c r="H506" s="2" t="s">
        <v>18</v>
      </c>
      <c r="I506" s="3" t="s">
        <v>19</v>
      </c>
      <c r="J506" s="3">
        <v>5484</v>
      </c>
      <c r="K506" s="3">
        <v>864</v>
      </c>
      <c r="L506" s="3">
        <v>13</v>
      </c>
      <c r="M506" s="4">
        <f t="shared" si="58"/>
        <v>0.1575492341356674</v>
      </c>
      <c r="N506" s="4">
        <f t="shared" si="59"/>
        <v>1.5046296296296295E-2</v>
      </c>
      <c r="O506">
        <v>555</v>
      </c>
      <c r="P506" s="5">
        <v>1</v>
      </c>
      <c r="Q506" s="7">
        <v>1</v>
      </c>
      <c r="R506" t="str">
        <f t="shared" si="65"/>
        <v>нормальный код</v>
      </c>
      <c r="S506" t="str">
        <f t="shared" si="60"/>
        <v>Больше половины</v>
      </c>
      <c r="T506" t="str">
        <f t="shared" si="61"/>
        <v>Вторая четверть</v>
      </c>
      <c r="U506" t="str">
        <f t="shared" si="62"/>
        <v>нормальный код</v>
      </c>
      <c r="V506" t="str">
        <f t="shared" si="63"/>
        <v>Больше половины</v>
      </c>
      <c r="W506" t="str">
        <f t="shared" si="64"/>
        <v>Вторая четверть</v>
      </c>
      <c r="X506">
        <v>17</v>
      </c>
    </row>
    <row r="507" spans="1:24" x14ac:dyDescent="0.35">
      <c r="A507" s="1" t="s">
        <v>1005</v>
      </c>
      <c r="B507" s="2" t="s">
        <v>1006</v>
      </c>
      <c r="C507" s="3" t="s">
        <v>13</v>
      </c>
      <c r="D507" s="2" t="s">
        <v>405</v>
      </c>
      <c r="E507" s="3" t="s">
        <v>406</v>
      </c>
      <c r="F507" s="2" t="s">
        <v>34</v>
      </c>
      <c r="G507" s="3" t="s">
        <v>17</v>
      </c>
      <c r="H507" s="2" t="s">
        <v>18</v>
      </c>
      <c r="I507" s="3" t="s">
        <v>19</v>
      </c>
      <c r="J507" s="3">
        <v>5468</v>
      </c>
      <c r="K507" s="3">
        <v>329</v>
      </c>
      <c r="L507" s="3">
        <v>10</v>
      </c>
      <c r="M507" s="4">
        <f t="shared" si="58"/>
        <v>6.0168251645940016E-2</v>
      </c>
      <c r="N507" s="4">
        <f t="shared" si="59"/>
        <v>3.0395136778115502E-2</v>
      </c>
      <c r="O507">
        <v>467</v>
      </c>
      <c r="P507" s="5">
        <v>1</v>
      </c>
      <c r="Q507" s="7">
        <v>1</v>
      </c>
      <c r="R507" t="str">
        <f t="shared" si="65"/>
        <v>нормальный код</v>
      </c>
      <c r="S507" t="str">
        <f t="shared" si="60"/>
        <v>Вторая четверть</v>
      </c>
      <c r="T507" t="str">
        <f t="shared" si="61"/>
        <v>Больше половины</v>
      </c>
      <c r="U507" t="str">
        <f t="shared" si="62"/>
        <v>нормальный код</v>
      </c>
      <c r="V507" t="str">
        <f t="shared" si="63"/>
        <v>Вторая четверть</v>
      </c>
      <c r="W507" t="str">
        <f t="shared" si="64"/>
        <v>Больше половины</v>
      </c>
      <c r="X507">
        <v>14</v>
      </c>
    </row>
    <row r="508" spans="1:24" x14ac:dyDescent="0.35">
      <c r="A508" s="1" t="s">
        <v>1178</v>
      </c>
      <c r="B508" s="2" t="s">
        <v>1179</v>
      </c>
      <c r="C508" s="3" t="s">
        <v>55</v>
      </c>
      <c r="D508" s="2" t="s">
        <v>56</v>
      </c>
      <c r="E508" s="3" t="s">
        <v>112</v>
      </c>
      <c r="F508" s="2" t="s">
        <v>34</v>
      </c>
      <c r="G508" s="3" t="s">
        <v>17</v>
      </c>
      <c r="H508" s="2" t="s">
        <v>18</v>
      </c>
      <c r="I508" s="3" t="s">
        <v>19</v>
      </c>
      <c r="J508" s="3">
        <v>5442</v>
      </c>
      <c r="K508" s="3">
        <v>429</v>
      </c>
      <c r="L508" s="3">
        <v>11</v>
      </c>
      <c r="M508" s="4">
        <f t="shared" si="58"/>
        <v>7.883131201764057E-2</v>
      </c>
      <c r="N508" s="4">
        <f t="shared" si="59"/>
        <v>2.564102564102564E-2</v>
      </c>
      <c r="O508">
        <v>523</v>
      </c>
      <c r="P508" s="5">
        <v>1</v>
      </c>
      <c r="Q508" s="7">
        <v>1</v>
      </c>
      <c r="R508" t="str">
        <f t="shared" si="65"/>
        <v>нормальный код</v>
      </c>
      <c r="S508" t="str">
        <f t="shared" si="60"/>
        <v>Вторая четверть</v>
      </c>
      <c r="T508" t="str">
        <f t="shared" si="61"/>
        <v>Больше половины</v>
      </c>
      <c r="U508" t="str">
        <f t="shared" si="62"/>
        <v>нормальный код</v>
      </c>
      <c r="V508" t="str">
        <f t="shared" si="63"/>
        <v>Вторая четверть</v>
      </c>
      <c r="W508" t="str">
        <f t="shared" si="64"/>
        <v>Больше половины</v>
      </c>
      <c r="X508">
        <v>14</v>
      </c>
    </row>
    <row r="509" spans="1:24" x14ac:dyDescent="0.35">
      <c r="A509" s="1" t="s">
        <v>557</v>
      </c>
      <c r="B509" s="2" t="s">
        <v>558</v>
      </c>
      <c r="C509" s="3" t="s">
        <v>13</v>
      </c>
      <c r="D509" s="2" t="s">
        <v>69</v>
      </c>
      <c r="E509" s="3" t="s">
        <v>371</v>
      </c>
      <c r="F509" s="2" t="s">
        <v>96</v>
      </c>
      <c r="G509" s="3" t="s">
        <v>72</v>
      </c>
      <c r="H509" s="2" t="s">
        <v>18</v>
      </c>
      <c r="I509" s="3" t="s">
        <v>19</v>
      </c>
      <c r="J509" s="3">
        <v>5420</v>
      </c>
      <c r="K509" s="3">
        <v>659</v>
      </c>
      <c r="L509" s="3">
        <v>7</v>
      </c>
      <c r="M509" s="4">
        <f t="shared" si="58"/>
        <v>0.12158671586715868</v>
      </c>
      <c r="N509" s="4">
        <f t="shared" si="59"/>
        <v>1.0622154779969651E-2</v>
      </c>
      <c r="O509">
        <v>1355</v>
      </c>
      <c r="P509" s="5">
        <v>1</v>
      </c>
      <c r="Q509" s="7">
        <v>1</v>
      </c>
      <c r="R509" t="str">
        <f t="shared" si="65"/>
        <v>нормальный код</v>
      </c>
      <c r="S509" t="str">
        <f t="shared" si="60"/>
        <v>Больше половины</v>
      </c>
      <c r="T509" t="str">
        <f t="shared" si="61"/>
        <v>Вторая четверть</v>
      </c>
      <c r="U509" t="str">
        <f t="shared" si="62"/>
        <v>нормальный код</v>
      </c>
      <c r="V509" t="str">
        <f t="shared" si="63"/>
        <v>Больше половины</v>
      </c>
      <c r="W509" t="str">
        <f t="shared" si="64"/>
        <v>Вторая четверть</v>
      </c>
      <c r="X509">
        <v>14</v>
      </c>
    </row>
    <row r="510" spans="1:24" x14ac:dyDescent="0.35">
      <c r="A510" s="1" t="s">
        <v>501</v>
      </c>
      <c r="B510" s="2" t="s">
        <v>502</v>
      </c>
      <c r="C510" s="3" t="s">
        <v>55</v>
      </c>
      <c r="D510" s="2" t="s">
        <v>56</v>
      </c>
      <c r="E510" s="3" t="s">
        <v>472</v>
      </c>
      <c r="F510" s="2" t="s">
        <v>34</v>
      </c>
      <c r="G510" s="3" t="s">
        <v>17</v>
      </c>
      <c r="H510" s="2" t="s">
        <v>18</v>
      </c>
      <c r="I510" s="3" t="s">
        <v>19</v>
      </c>
      <c r="J510" s="3">
        <v>5414</v>
      </c>
      <c r="K510" s="3">
        <v>260</v>
      </c>
      <c r="L510" s="3">
        <v>14</v>
      </c>
      <c r="M510" s="4">
        <f t="shared" si="58"/>
        <v>4.802364240857037E-2</v>
      </c>
      <c r="N510" s="4">
        <f t="shared" si="59"/>
        <v>5.3846153846153849E-2</v>
      </c>
      <c r="O510">
        <v>621</v>
      </c>
      <c r="P510" s="5">
        <v>1</v>
      </c>
      <c r="Q510" s="7">
        <v>1</v>
      </c>
      <c r="R510" t="str">
        <f t="shared" si="65"/>
        <v>нормальный код</v>
      </c>
      <c r="S510" t="str">
        <f t="shared" si="60"/>
        <v>Вторая четверть</v>
      </c>
      <c r="T510" t="str">
        <f t="shared" si="61"/>
        <v>Больше половины</v>
      </c>
      <c r="U510" t="str">
        <f t="shared" si="62"/>
        <v>нормальный код</v>
      </c>
      <c r="V510" t="str">
        <f t="shared" si="63"/>
        <v>Больше половины</v>
      </c>
      <c r="W510" t="str">
        <f t="shared" si="64"/>
        <v>Больше половины</v>
      </c>
      <c r="X510">
        <v>7</v>
      </c>
    </row>
    <row r="511" spans="1:24" x14ac:dyDescent="0.35">
      <c r="A511" s="1" t="s">
        <v>593</v>
      </c>
      <c r="B511" s="2" t="s">
        <v>594</v>
      </c>
      <c r="C511" s="3" t="s">
        <v>13</v>
      </c>
      <c r="D511" s="2" t="s">
        <v>77</v>
      </c>
      <c r="E511" s="3" t="s">
        <v>89</v>
      </c>
      <c r="F511" s="2" t="s">
        <v>34</v>
      </c>
      <c r="G511" s="3" t="s">
        <v>17</v>
      </c>
      <c r="H511" s="2" t="s">
        <v>18</v>
      </c>
      <c r="I511" s="3" t="s">
        <v>19</v>
      </c>
      <c r="J511" s="3">
        <v>5399</v>
      </c>
      <c r="K511" s="3">
        <v>873</v>
      </c>
      <c r="L511" s="3">
        <v>8</v>
      </c>
      <c r="M511" s="4">
        <f t="shared" si="58"/>
        <v>0.16169661048342285</v>
      </c>
      <c r="N511" s="4">
        <f t="shared" si="59"/>
        <v>9.1638029782359683E-3</v>
      </c>
      <c r="O511">
        <v>267</v>
      </c>
      <c r="P511" s="5">
        <v>1</v>
      </c>
      <c r="Q511" s="7">
        <v>1</v>
      </c>
      <c r="R511" t="str">
        <f t="shared" si="65"/>
        <v>код для проверки</v>
      </c>
      <c r="S511" t="str">
        <f t="shared" si="60"/>
        <v>Больше половины</v>
      </c>
      <c r="T511" t="str">
        <f t="shared" si="61"/>
        <v>Низшая четверть</v>
      </c>
      <c r="U511" t="str">
        <f t="shared" si="62"/>
        <v>код для проверки</v>
      </c>
      <c r="V511" t="str">
        <f t="shared" si="63"/>
        <v>Больше половины</v>
      </c>
      <c r="W511" t="str">
        <f t="shared" si="64"/>
        <v>Низшая четверть</v>
      </c>
      <c r="X511">
        <v>11</v>
      </c>
    </row>
    <row r="512" spans="1:24" x14ac:dyDescent="0.35">
      <c r="A512" s="1" t="s">
        <v>747</v>
      </c>
      <c r="B512" s="2" t="s">
        <v>748</v>
      </c>
      <c r="C512" s="3" t="s">
        <v>13</v>
      </c>
      <c r="D512" s="2" t="s">
        <v>155</v>
      </c>
      <c r="E512" s="3" t="s">
        <v>156</v>
      </c>
      <c r="F512" s="2" t="s">
        <v>34</v>
      </c>
      <c r="G512" s="3" t="s">
        <v>17</v>
      </c>
      <c r="H512" s="2" t="s">
        <v>18</v>
      </c>
      <c r="I512" s="3" t="s">
        <v>19</v>
      </c>
      <c r="J512" s="3">
        <v>5392</v>
      </c>
      <c r="K512" s="3">
        <v>1783</v>
      </c>
      <c r="L512" s="3">
        <v>16</v>
      </c>
      <c r="M512" s="4">
        <f t="shared" si="58"/>
        <v>0.33067507418397624</v>
      </c>
      <c r="N512" s="4">
        <f t="shared" si="59"/>
        <v>8.9736399326977006E-3</v>
      </c>
      <c r="O512">
        <v>606</v>
      </c>
      <c r="P512" s="5">
        <v>1</v>
      </c>
      <c r="Q512" s="7">
        <v>1</v>
      </c>
      <c r="R512" t="str">
        <f t="shared" si="65"/>
        <v>код для проверки</v>
      </c>
      <c r="S512" t="str">
        <f t="shared" si="60"/>
        <v>Больше половины</v>
      </c>
      <c r="T512" t="str">
        <f t="shared" si="61"/>
        <v>Низшая четверть</v>
      </c>
      <c r="U512" t="str">
        <f t="shared" si="62"/>
        <v>код для проверки</v>
      </c>
      <c r="V512" t="str">
        <f t="shared" si="63"/>
        <v>Больше половины</v>
      </c>
      <c r="W512" t="str">
        <f t="shared" si="64"/>
        <v>Низшая четверть</v>
      </c>
      <c r="X512">
        <v>13</v>
      </c>
    </row>
    <row r="513" spans="1:24" x14ac:dyDescent="0.35">
      <c r="A513" s="1" t="s">
        <v>2393</v>
      </c>
      <c r="B513" s="2" t="s">
        <v>2394</v>
      </c>
      <c r="C513" s="3" t="s">
        <v>55</v>
      </c>
      <c r="D513" s="2" t="s">
        <v>56</v>
      </c>
      <c r="E513" s="3" t="s">
        <v>57</v>
      </c>
      <c r="F513" s="2" t="s">
        <v>34</v>
      </c>
      <c r="G513" s="3" t="s">
        <v>17</v>
      </c>
      <c r="H513" s="2" t="s">
        <v>18</v>
      </c>
      <c r="I513" s="3" t="s">
        <v>19</v>
      </c>
      <c r="J513" s="3">
        <v>5377</v>
      </c>
      <c r="K513" s="3">
        <v>289</v>
      </c>
      <c r="L513" s="3">
        <v>1</v>
      </c>
      <c r="M513" s="4">
        <f t="shared" si="58"/>
        <v>5.3747442811976937E-2</v>
      </c>
      <c r="N513" s="4">
        <f t="shared" si="59"/>
        <v>3.4602076124567475E-3</v>
      </c>
      <c r="O513">
        <v>798</v>
      </c>
      <c r="P513" s="5">
        <v>1</v>
      </c>
      <c r="Q513" s="7">
        <v>1</v>
      </c>
      <c r="R513" t="str">
        <f t="shared" si="65"/>
        <v>код для проверки</v>
      </c>
      <c r="S513" t="str">
        <f t="shared" si="60"/>
        <v>Вторая четверть</v>
      </c>
      <c r="T513" t="str">
        <f t="shared" si="61"/>
        <v>Низшая четверть</v>
      </c>
      <c r="U513" t="str">
        <f t="shared" si="62"/>
        <v>код для проверки</v>
      </c>
      <c r="V513" t="str">
        <f t="shared" si="63"/>
        <v>Вторая четверть</v>
      </c>
      <c r="W513" t="str">
        <f t="shared" si="64"/>
        <v>Низшая четверть</v>
      </c>
      <c r="X513">
        <v>11</v>
      </c>
    </row>
    <row r="514" spans="1:24" x14ac:dyDescent="0.35">
      <c r="A514" s="1" t="s">
        <v>758</v>
      </c>
      <c r="B514" s="2" t="s">
        <v>759</v>
      </c>
      <c r="C514" s="3" t="s">
        <v>13</v>
      </c>
      <c r="D514" s="2" t="s">
        <v>121</v>
      </c>
      <c r="E514" s="3" t="s">
        <v>531</v>
      </c>
      <c r="F514" s="2" t="s">
        <v>123</v>
      </c>
      <c r="G514" s="3" t="s">
        <v>35</v>
      </c>
      <c r="H514" s="2" t="s">
        <v>18</v>
      </c>
      <c r="I514" s="3" t="s">
        <v>19</v>
      </c>
      <c r="J514" s="3">
        <v>5374</v>
      </c>
      <c r="K514" s="3">
        <v>432</v>
      </c>
      <c r="L514" s="3">
        <v>3</v>
      </c>
      <c r="M514" s="4">
        <f t="shared" si="58"/>
        <v>8.0387048753256418E-2</v>
      </c>
      <c r="N514" s="4">
        <f t="shared" si="59"/>
        <v>6.9444444444444441E-3</v>
      </c>
      <c r="O514">
        <v>444</v>
      </c>
      <c r="P514" s="5">
        <v>1</v>
      </c>
      <c r="Q514" s="7">
        <v>1</v>
      </c>
      <c r="R514" t="str">
        <f t="shared" si="65"/>
        <v>код для проверки</v>
      </c>
      <c r="S514" t="str">
        <f t="shared" si="60"/>
        <v>Вторая четверть</v>
      </c>
      <c r="T514" t="str">
        <f t="shared" si="61"/>
        <v>Низшая четверть</v>
      </c>
      <c r="U514" t="str">
        <f t="shared" si="62"/>
        <v>код для проверки</v>
      </c>
      <c r="V514" t="str">
        <f t="shared" si="63"/>
        <v>Вторая четверть</v>
      </c>
      <c r="W514" t="str">
        <f t="shared" si="64"/>
        <v>Низшая четверть</v>
      </c>
      <c r="X514">
        <v>21</v>
      </c>
    </row>
    <row r="515" spans="1:24" x14ac:dyDescent="0.35">
      <c r="A515" s="1" t="s">
        <v>575</v>
      </c>
      <c r="B515" s="2" t="s">
        <v>576</v>
      </c>
      <c r="C515" s="3" t="s">
        <v>13</v>
      </c>
      <c r="D515" s="2" t="s">
        <v>77</v>
      </c>
      <c r="E515" s="3" t="s">
        <v>89</v>
      </c>
      <c r="F515" s="2" t="s">
        <v>34</v>
      </c>
      <c r="G515" s="3" t="s">
        <v>17</v>
      </c>
      <c r="H515" s="2" t="s">
        <v>18</v>
      </c>
      <c r="I515" s="3" t="s">
        <v>19</v>
      </c>
      <c r="J515" s="3">
        <v>5358</v>
      </c>
      <c r="K515" s="3">
        <v>1048</v>
      </c>
      <c r="L515" s="3">
        <v>21</v>
      </c>
      <c r="M515" s="4">
        <f t="shared" si="58"/>
        <v>0.19559537140724151</v>
      </c>
      <c r="N515" s="4">
        <f t="shared" si="59"/>
        <v>2.0038167938931296E-2</v>
      </c>
      <c r="O515">
        <v>580</v>
      </c>
      <c r="P515" s="5">
        <v>1</v>
      </c>
      <c r="Q515" s="7">
        <v>1</v>
      </c>
      <c r="R515" t="str">
        <f t="shared" si="65"/>
        <v>нормальный код</v>
      </c>
      <c r="S515" t="str">
        <f t="shared" si="60"/>
        <v>Больше половины</v>
      </c>
      <c r="T515" t="str">
        <f t="shared" si="61"/>
        <v>Вторая четверть</v>
      </c>
      <c r="U515" t="str">
        <f t="shared" si="62"/>
        <v>нормальный код</v>
      </c>
      <c r="V515" t="str">
        <f t="shared" si="63"/>
        <v>Больше половины</v>
      </c>
      <c r="W515" t="str">
        <f t="shared" si="64"/>
        <v>Вторая четверть</v>
      </c>
      <c r="X515">
        <v>13</v>
      </c>
    </row>
    <row r="516" spans="1:24" x14ac:dyDescent="0.35">
      <c r="A516" s="1" t="s">
        <v>375</v>
      </c>
      <c r="B516" s="2" t="s">
        <v>376</v>
      </c>
      <c r="C516" s="3" t="s">
        <v>13</v>
      </c>
      <c r="D516" s="2" t="s">
        <v>164</v>
      </c>
      <c r="E516" s="3" t="s">
        <v>377</v>
      </c>
      <c r="F516" s="2" t="s">
        <v>71</v>
      </c>
      <c r="G516" s="3" t="s">
        <v>35</v>
      </c>
      <c r="H516" s="2" t="s">
        <v>18</v>
      </c>
      <c r="I516" s="3" t="s">
        <v>19</v>
      </c>
      <c r="J516" s="3">
        <v>5356</v>
      </c>
      <c r="K516" s="3">
        <v>1191</v>
      </c>
      <c r="L516" s="3">
        <v>13</v>
      </c>
      <c r="M516" s="4">
        <f t="shared" ref="M516:M579" si="66">IFERROR(K516/J516,0)</f>
        <v>0.22236743838685585</v>
      </c>
      <c r="N516" s="4">
        <f t="shared" ref="N516:N579" si="67">IFERROR(L516/K516,0)</f>
        <v>1.09151973131822E-2</v>
      </c>
      <c r="O516">
        <v>451</v>
      </c>
      <c r="P516" s="5">
        <v>1</v>
      </c>
      <c r="Q516" s="7">
        <v>1</v>
      </c>
      <c r="R516" t="str">
        <f t="shared" si="65"/>
        <v>нормальный код</v>
      </c>
      <c r="S516" t="str">
        <f t="shared" ref="S516:S579" si="68">IF(M516&lt;$S$1*0.5,"Низшая четверть",IF(M516&lt;$S$1,"Вторая четверть","Больше половины"))</f>
        <v>Больше половины</v>
      </c>
      <c r="T516" t="str">
        <f t="shared" ref="T516:T579" si="69">IF(N516&lt;$T$1*0.5,"Низшая четверть",IF(N516&lt;$T$1,"Вторая четверть","Больше половины"))</f>
        <v>Вторая четверть</v>
      </c>
      <c r="U516" t="str">
        <f t="shared" ref="U516:U579" si="70">IF(OR(M516&lt;SUMIFS(K:K,Q:Q,1,E:E,E516)/SUMIFS(J:J,Q:Q,1,E:E,E516)*0.5,N516&lt;SUMIFS(L:L,Q:Q,1,E:E,E516)/SUMIFS(K:K,Q:Q,1,E:E,E516)*0.5),"код для проверки","нормальный код")</f>
        <v>нормальный код</v>
      </c>
      <c r="V516" t="str">
        <f t="shared" ref="V516:V579" si="71">IF(M516&lt;SUMIFS(K:K,Q:Q,1,E:E,E516)/SUMIFS(J:J,Q:Q,1,E:E,E516)*0.5,"Низшая четверть",IF(M516&lt;SUMIFS(K:K,Q:Q,1,E:E,E516)/SUMIFS(J:J,Q:Q,1,E:E,E516),"Вторая четверть","Больше половины"))</f>
        <v>Больше половины</v>
      </c>
      <c r="W516" t="str">
        <f t="shared" ref="W516:W579" si="72">IF(N516&lt;SUMIFS(L:L,Q:Q,1,E:E,E516)/SUMIFS(K:K,Q:Q,1,E:E,E516)*0.5,"Низшая четверть",IF(N516&lt;SUMIFS(L:L,Q:Q,1,E:E,E516)/SUMIFS(K:K,Q:Q,1,E:E,E516),"Вторая четверть","Больше половины"))</f>
        <v>Вторая четверть</v>
      </c>
      <c r="X516">
        <v>20</v>
      </c>
    </row>
    <row r="517" spans="1:24" x14ac:dyDescent="0.35">
      <c r="A517" s="1" t="s">
        <v>453</v>
      </c>
      <c r="B517" s="2" t="s">
        <v>454</v>
      </c>
      <c r="C517" s="3" t="s">
        <v>13</v>
      </c>
      <c r="D517" s="2" t="s">
        <v>69</v>
      </c>
      <c r="E517" s="3" t="s">
        <v>455</v>
      </c>
      <c r="F517" s="2" t="s">
        <v>34</v>
      </c>
      <c r="G517" s="3" t="s">
        <v>72</v>
      </c>
      <c r="H517" s="2" t="s">
        <v>18</v>
      </c>
      <c r="I517" s="3" t="s">
        <v>19</v>
      </c>
      <c r="J517" s="3">
        <v>5312</v>
      </c>
      <c r="K517" s="3">
        <v>1052</v>
      </c>
      <c r="L517" s="3">
        <v>20</v>
      </c>
      <c r="M517" s="4">
        <f t="shared" si="66"/>
        <v>0.19804216867469879</v>
      </c>
      <c r="N517" s="4">
        <f t="shared" si="67"/>
        <v>1.9011406844106463E-2</v>
      </c>
      <c r="O517">
        <v>200</v>
      </c>
      <c r="P517" s="5">
        <v>1</v>
      </c>
      <c r="Q517" s="7">
        <v>1</v>
      </c>
      <c r="R517" t="str">
        <f t="shared" si="65"/>
        <v>нормальный код</v>
      </c>
      <c r="S517" t="str">
        <f t="shared" si="68"/>
        <v>Больше половины</v>
      </c>
      <c r="T517" t="str">
        <f t="shared" si="69"/>
        <v>Вторая четверть</v>
      </c>
      <c r="U517" t="str">
        <f t="shared" si="70"/>
        <v>нормальный код</v>
      </c>
      <c r="V517" t="str">
        <f t="shared" si="71"/>
        <v>Больше половины</v>
      </c>
      <c r="W517" t="str">
        <f t="shared" si="72"/>
        <v>Вторая четверть</v>
      </c>
      <c r="X517">
        <v>10</v>
      </c>
    </row>
    <row r="518" spans="1:24" x14ac:dyDescent="0.35">
      <c r="A518" s="1" t="s">
        <v>1600</v>
      </c>
      <c r="B518" s="2" t="s">
        <v>1601</v>
      </c>
      <c r="C518" s="3" t="s">
        <v>13</v>
      </c>
      <c r="D518" s="2" t="s">
        <v>69</v>
      </c>
      <c r="E518" s="3" t="s">
        <v>1602</v>
      </c>
      <c r="F518" s="2" t="s">
        <v>34</v>
      </c>
      <c r="G518" s="3" t="s">
        <v>72</v>
      </c>
      <c r="H518" s="2" t="s">
        <v>18</v>
      </c>
      <c r="I518" s="3" t="s">
        <v>19</v>
      </c>
      <c r="J518" s="3">
        <v>5307</v>
      </c>
      <c r="K518" s="3">
        <v>379</v>
      </c>
      <c r="L518" s="3">
        <v>10</v>
      </c>
      <c r="M518" s="4">
        <f t="shared" si="66"/>
        <v>7.1415112116073112E-2</v>
      </c>
      <c r="N518" s="4">
        <f t="shared" si="67"/>
        <v>2.6385224274406333E-2</v>
      </c>
      <c r="O518">
        <v>464</v>
      </c>
      <c r="P518" s="5">
        <v>1</v>
      </c>
      <c r="Q518" s="7">
        <v>1</v>
      </c>
      <c r="R518" t="str">
        <f t="shared" si="65"/>
        <v>нормальный код</v>
      </c>
      <c r="S518" t="str">
        <f t="shared" si="68"/>
        <v>Вторая четверть</v>
      </c>
      <c r="T518" t="str">
        <f t="shared" si="69"/>
        <v>Больше половины</v>
      </c>
      <c r="U518" t="str">
        <f t="shared" si="70"/>
        <v>нормальный код</v>
      </c>
      <c r="V518" t="str">
        <f t="shared" si="71"/>
        <v>Больше половины</v>
      </c>
      <c r="W518" t="str">
        <f t="shared" si="72"/>
        <v>Больше половины</v>
      </c>
      <c r="X518">
        <v>13</v>
      </c>
    </row>
    <row r="519" spans="1:24" x14ac:dyDescent="0.35">
      <c r="A519" s="1" t="s">
        <v>781</v>
      </c>
      <c r="B519" s="2" t="s">
        <v>782</v>
      </c>
      <c r="C519" s="3" t="s">
        <v>55</v>
      </c>
      <c r="D519" s="2" t="s">
        <v>147</v>
      </c>
      <c r="E519" s="3" t="s">
        <v>148</v>
      </c>
      <c r="F519" s="2" t="s">
        <v>71</v>
      </c>
      <c r="G519" s="3" t="s">
        <v>17</v>
      </c>
      <c r="H519" s="2" t="s">
        <v>18</v>
      </c>
      <c r="I519" s="3" t="s">
        <v>19</v>
      </c>
      <c r="J519" s="3">
        <v>5301</v>
      </c>
      <c r="K519" s="3">
        <v>251</v>
      </c>
      <c r="L519" s="3">
        <v>5</v>
      </c>
      <c r="M519" s="4">
        <f t="shared" si="66"/>
        <v>4.7349556687417471E-2</v>
      </c>
      <c r="N519" s="4">
        <f t="shared" si="67"/>
        <v>1.9920318725099601E-2</v>
      </c>
      <c r="O519">
        <v>329</v>
      </c>
      <c r="P519" s="5">
        <v>1</v>
      </c>
      <c r="Q519" s="7">
        <v>1</v>
      </c>
      <c r="R519" t="str">
        <f t="shared" si="65"/>
        <v>код для проверки</v>
      </c>
      <c r="S519" t="str">
        <f t="shared" si="68"/>
        <v>Низшая четверть</v>
      </c>
      <c r="T519" t="str">
        <f t="shared" si="69"/>
        <v>Вторая четверть</v>
      </c>
      <c r="U519" t="str">
        <f t="shared" si="70"/>
        <v>нормальный код</v>
      </c>
      <c r="V519" t="str">
        <f t="shared" si="71"/>
        <v>Вторая четверть</v>
      </c>
      <c r="W519" t="str">
        <f t="shared" si="72"/>
        <v>Больше половины</v>
      </c>
      <c r="X519">
        <v>19</v>
      </c>
    </row>
    <row r="520" spans="1:24" x14ac:dyDescent="0.35">
      <c r="A520" s="1" t="s">
        <v>364</v>
      </c>
      <c r="B520" s="2" t="s">
        <v>365</v>
      </c>
      <c r="C520" s="3" t="s">
        <v>13</v>
      </c>
      <c r="D520" s="2" t="s">
        <v>14</v>
      </c>
      <c r="E520" s="3" t="s">
        <v>366</v>
      </c>
      <c r="F520" s="2" t="s">
        <v>123</v>
      </c>
      <c r="G520" s="3" t="s">
        <v>35</v>
      </c>
      <c r="H520" s="2" t="s">
        <v>18</v>
      </c>
      <c r="I520" s="3" t="s">
        <v>19</v>
      </c>
      <c r="J520" s="3">
        <v>5281</v>
      </c>
      <c r="K520" s="3">
        <v>568</v>
      </c>
      <c r="L520" s="3">
        <v>1</v>
      </c>
      <c r="M520" s="4">
        <f t="shared" si="66"/>
        <v>0.10755538723726567</v>
      </c>
      <c r="N520" s="4">
        <f t="shared" si="67"/>
        <v>1.7605633802816902E-3</v>
      </c>
      <c r="O520">
        <v>300</v>
      </c>
      <c r="P520" s="5">
        <v>1</v>
      </c>
      <c r="Q520" s="7">
        <v>1</v>
      </c>
      <c r="R520" t="str">
        <f t="shared" si="65"/>
        <v>код для проверки</v>
      </c>
      <c r="S520" t="str">
        <f t="shared" si="68"/>
        <v>Больше половины</v>
      </c>
      <c r="T520" t="str">
        <f t="shared" si="69"/>
        <v>Низшая четверть</v>
      </c>
      <c r="U520" t="str">
        <f t="shared" si="70"/>
        <v>код для проверки</v>
      </c>
      <c r="V520" t="str">
        <f t="shared" si="71"/>
        <v>Больше половины</v>
      </c>
      <c r="W520" t="str">
        <f t="shared" si="72"/>
        <v>Низшая четверть</v>
      </c>
      <c r="X520">
        <v>17</v>
      </c>
    </row>
    <row r="521" spans="1:24" x14ac:dyDescent="0.35">
      <c r="A521" s="1" t="s">
        <v>783</v>
      </c>
      <c r="B521" s="2" t="s">
        <v>784</v>
      </c>
      <c r="C521" s="3" t="s">
        <v>13</v>
      </c>
      <c r="D521" s="2" t="s">
        <v>85</v>
      </c>
      <c r="E521" s="3" t="s">
        <v>599</v>
      </c>
      <c r="F521" s="2" t="s">
        <v>34</v>
      </c>
      <c r="G521" s="3" t="s">
        <v>35</v>
      </c>
      <c r="H521" s="2" t="s">
        <v>18</v>
      </c>
      <c r="I521" s="3" t="s">
        <v>19</v>
      </c>
      <c r="J521" s="3">
        <v>5270</v>
      </c>
      <c r="K521" s="3">
        <v>603</v>
      </c>
      <c r="L521" s="3">
        <v>13</v>
      </c>
      <c r="M521" s="4">
        <f t="shared" si="66"/>
        <v>0.11442125237191651</v>
      </c>
      <c r="N521" s="4">
        <f t="shared" si="67"/>
        <v>2.1558872305140961E-2</v>
      </c>
      <c r="O521">
        <v>318</v>
      </c>
      <c r="P521" s="5">
        <v>1</v>
      </c>
      <c r="Q521" s="7">
        <v>1</v>
      </c>
      <c r="R521" t="str">
        <f t="shared" si="65"/>
        <v>нормальный код</v>
      </c>
      <c r="S521" t="str">
        <f t="shared" si="68"/>
        <v>Больше половины</v>
      </c>
      <c r="T521" t="str">
        <f t="shared" si="69"/>
        <v>Больше половины</v>
      </c>
      <c r="U521" t="str">
        <f t="shared" si="70"/>
        <v>нормальный код</v>
      </c>
      <c r="V521" t="str">
        <f t="shared" si="71"/>
        <v>Больше половины</v>
      </c>
      <c r="W521" t="str">
        <f t="shared" si="72"/>
        <v>Вторая четверть</v>
      </c>
      <c r="X521">
        <v>11</v>
      </c>
    </row>
    <row r="522" spans="1:24" x14ac:dyDescent="0.35">
      <c r="A522" s="1" t="s">
        <v>705</v>
      </c>
      <c r="B522" s="2" t="s">
        <v>706</v>
      </c>
      <c r="C522" s="3" t="s">
        <v>55</v>
      </c>
      <c r="D522" s="2" t="s">
        <v>94</v>
      </c>
      <c r="E522" s="3" t="s">
        <v>95</v>
      </c>
      <c r="F522" s="2" t="s">
        <v>96</v>
      </c>
      <c r="G522" s="3" t="s">
        <v>17</v>
      </c>
      <c r="H522" s="2" t="s">
        <v>97</v>
      </c>
      <c r="I522" s="3" t="s">
        <v>19</v>
      </c>
      <c r="J522" s="3">
        <v>5222</v>
      </c>
      <c r="K522" s="3">
        <v>2276</v>
      </c>
      <c r="L522" s="3">
        <v>31</v>
      </c>
      <c r="M522" s="4">
        <f t="shared" si="66"/>
        <v>0.43584833397165834</v>
      </c>
      <c r="N522" s="4">
        <f t="shared" si="67"/>
        <v>1.3620386643233744E-2</v>
      </c>
      <c r="O522">
        <v>3861</v>
      </c>
      <c r="P522" s="5">
        <v>0.88888888888888884</v>
      </c>
      <c r="Q522" s="7">
        <v>1</v>
      </c>
      <c r="R522" t="str">
        <f t="shared" si="65"/>
        <v>нормальный код</v>
      </c>
      <c r="S522" t="str">
        <f t="shared" si="68"/>
        <v>Больше половины</v>
      </c>
      <c r="T522" t="str">
        <f t="shared" si="69"/>
        <v>Вторая четверть</v>
      </c>
      <c r="U522" t="str">
        <f t="shared" si="70"/>
        <v>нормальный код</v>
      </c>
      <c r="V522" t="str">
        <f t="shared" si="71"/>
        <v>Больше половины</v>
      </c>
      <c r="W522" t="str">
        <f t="shared" si="72"/>
        <v>Больше половины</v>
      </c>
      <c r="X522">
        <v>18</v>
      </c>
    </row>
    <row r="523" spans="1:24" x14ac:dyDescent="0.35">
      <c r="A523" s="1" t="s">
        <v>632</v>
      </c>
      <c r="B523" s="2" t="s">
        <v>633</v>
      </c>
      <c r="C523" s="3" t="s">
        <v>13</v>
      </c>
      <c r="D523" s="2" t="s">
        <v>77</v>
      </c>
      <c r="E523" s="3" t="s">
        <v>89</v>
      </c>
      <c r="F523" s="2" t="s">
        <v>34</v>
      </c>
      <c r="G523" s="3" t="s">
        <v>17</v>
      </c>
      <c r="H523" s="2" t="s">
        <v>18</v>
      </c>
      <c r="I523" s="3" t="s">
        <v>19</v>
      </c>
      <c r="J523" s="3">
        <v>5217</v>
      </c>
      <c r="K523" s="3">
        <v>293</v>
      </c>
      <c r="L523" s="3">
        <v>8</v>
      </c>
      <c r="M523" s="4">
        <f t="shared" si="66"/>
        <v>5.6162545524247653E-2</v>
      </c>
      <c r="N523" s="4">
        <f t="shared" si="67"/>
        <v>2.7303754266211604E-2</v>
      </c>
      <c r="O523">
        <v>352</v>
      </c>
      <c r="P523" s="5">
        <v>1</v>
      </c>
      <c r="Q523" s="7">
        <v>1</v>
      </c>
      <c r="R523" t="str">
        <f t="shared" si="65"/>
        <v>нормальный код</v>
      </c>
      <c r="S523" t="str">
        <f t="shared" si="68"/>
        <v>Вторая четверть</v>
      </c>
      <c r="T523" t="str">
        <f t="shared" si="69"/>
        <v>Больше половины</v>
      </c>
      <c r="U523" t="str">
        <f t="shared" si="70"/>
        <v>нормальный код</v>
      </c>
      <c r="V523" t="str">
        <f t="shared" si="71"/>
        <v>Вторая четверть</v>
      </c>
      <c r="W523" t="str">
        <f t="shared" si="72"/>
        <v>Больше половины</v>
      </c>
      <c r="X523">
        <v>12</v>
      </c>
    </row>
    <row r="524" spans="1:24" x14ac:dyDescent="0.35">
      <c r="A524" s="1" t="s">
        <v>1767</v>
      </c>
      <c r="B524" s="2" t="s">
        <v>1768</v>
      </c>
      <c r="C524" s="3" t="s">
        <v>55</v>
      </c>
      <c r="D524" s="2" t="s">
        <v>94</v>
      </c>
      <c r="E524" s="3" t="s">
        <v>95</v>
      </c>
      <c r="F524" s="2" t="s">
        <v>96</v>
      </c>
      <c r="G524" s="3" t="s">
        <v>17</v>
      </c>
      <c r="H524" s="2" t="s">
        <v>97</v>
      </c>
      <c r="I524" s="3" t="s">
        <v>19</v>
      </c>
      <c r="J524" s="3">
        <v>5169</v>
      </c>
      <c r="K524" s="3">
        <v>5111</v>
      </c>
      <c r="L524" s="3">
        <v>21</v>
      </c>
      <c r="M524" s="4">
        <f t="shared" si="66"/>
        <v>0.98877926097891278</v>
      </c>
      <c r="N524" s="4">
        <f t="shared" si="67"/>
        <v>4.1087849735863824E-3</v>
      </c>
      <c r="O524">
        <v>1039</v>
      </c>
      <c r="P524" s="5">
        <v>0.77777777777777779</v>
      </c>
      <c r="Q524" s="7">
        <v>1</v>
      </c>
      <c r="R524" t="str">
        <f t="shared" si="65"/>
        <v>код для проверки</v>
      </c>
      <c r="S524" t="str">
        <f t="shared" si="68"/>
        <v>Больше половины</v>
      </c>
      <c r="T524" t="str">
        <f t="shared" si="69"/>
        <v>Низшая четверть</v>
      </c>
      <c r="U524" t="str">
        <f t="shared" si="70"/>
        <v>код для проверки</v>
      </c>
      <c r="V524" t="str">
        <f t="shared" si="71"/>
        <v>Больше половины</v>
      </c>
      <c r="W524" t="str">
        <f t="shared" si="72"/>
        <v>Низшая четверть</v>
      </c>
      <c r="X524">
        <v>18</v>
      </c>
    </row>
    <row r="525" spans="1:24" x14ac:dyDescent="0.35">
      <c r="A525" s="1" t="s">
        <v>787</v>
      </c>
      <c r="B525" s="2" t="s">
        <v>788</v>
      </c>
      <c r="C525" s="3" t="s">
        <v>13</v>
      </c>
      <c r="D525" s="2" t="s">
        <v>155</v>
      </c>
      <c r="E525" s="3" t="s">
        <v>244</v>
      </c>
      <c r="F525" s="2" t="s">
        <v>34</v>
      </c>
      <c r="G525" s="3" t="s">
        <v>17</v>
      </c>
      <c r="H525" s="2" t="s">
        <v>18</v>
      </c>
      <c r="I525" s="3" t="s">
        <v>19</v>
      </c>
      <c r="J525" s="3">
        <v>5124</v>
      </c>
      <c r="K525" s="3">
        <v>391</v>
      </c>
      <c r="L525" s="3">
        <v>5</v>
      </c>
      <c r="M525" s="4">
        <f t="shared" si="66"/>
        <v>7.6307572209211555E-2</v>
      </c>
      <c r="N525" s="4">
        <f t="shared" si="67"/>
        <v>1.278772378516624E-2</v>
      </c>
      <c r="O525">
        <v>236</v>
      </c>
      <c r="P525" s="5">
        <v>1</v>
      </c>
      <c r="Q525" s="7">
        <v>1</v>
      </c>
      <c r="R525" t="str">
        <f t="shared" si="65"/>
        <v>нормальный код</v>
      </c>
      <c r="S525" t="str">
        <f t="shared" si="68"/>
        <v>Вторая четверть</v>
      </c>
      <c r="T525" t="str">
        <f t="shared" si="69"/>
        <v>Вторая четверть</v>
      </c>
      <c r="U525" t="str">
        <f t="shared" si="70"/>
        <v>нормальный код</v>
      </c>
      <c r="V525" t="str">
        <f t="shared" si="71"/>
        <v>Вторая четверть</v>
      </c>
      <c r="W525" t="str">
        <f t="shared" si="72"/>
        <v>Больше половины</v>
      </c>
      <c r="X525">
        <v>16</v>
      </c>
    </row>
    <row r="526" spans="1:24" x14ac:dyDescent="0.35">
      <c r="A526" s="1" t="s">
        <v>1041</v>
      </c>
      <c r="B526" s="2" t="s">
        <v>1042</v>
      </c>
      <c r="C526" s="3" t="s">
        <v>55</v>
      </c>
      <c r="D526" s="2" t="s">
        <v>972</v>
      </c>
      <c r="E526" s="3" t="s">
        <v>973</v>
      </c>
      <c r="F526" s="2" t="s">
        <v>34</v>
      </c>
      <c r="G526" s="3" t="s">
        <v>17</v>
      </c>
      <c r="H526" s="2" t="s">
        <v>18</v>
      </c>
      <c r="I526" s="3" t="s">
        <v>19</v>
      </c>
      <c r="J526" s="3">
        <v>5118</v>
      </c>
      <c r="K526" s="3">
        <v>689</v>
      </c>
      <c r="L526" s="3">
        <v>21</v>
      </c>
      <c r="M526" s="4">
        <f t="shared" si="66"/>
        <v>0.13462289957014459</v>
      </c>
      <c r="N526" s="4">
        <f t="shared" si="67"/>
        <v>3.0478955007256895E-2</v>
      </c>
      <c r="O526">
        <v>319</v>
      </c>
      <c r="P526" s="5">
        <v>1</v>
      </c>
      <c r="Q526" s="7">
        <v>1</v>
      </c>
      <c r="R526" t="str">
        <f t="shared" si="65"/>
        <v>нормальный код</v>
      </c>
      <c r="S526" t="str">
        <f t="shared" si="68"/>
        <v>Больше половины</v>
      </c>
      <c r="T526" t="str">
        <f t="shared" si="69"/>
        <v>Больше половины</v>
      </c>
      <c r="U526" t="str">
        <f t="shared" si="70"/>
        <v>нормальный код</v>
      </c>
      <c r="V526" t="str">
        <f t="shared" si="71"/>
        <v>Больше половины</v>
      </c>
      <c r="W526" t="str">
        <f t="shared" si="72"/>
        <v>Больше половины</v>
      </c>
      <c r="X526">
        <v>28</v>
      </c>
    </row>
    <row r="527" spans="1:24" x14ac:dyDescent="0.35">
      <c r="A527" s="1" t="s">
        <v>462</v>
      </c>
      <c r="B527" s="2" t="s">
        <v>463</v>
      </c>
      <c r="C527" s="3" t="s">
        <v>13</v>
      </c>
      <c r="D527" s="2" t="s">
        <v>77</v>
      </c>
      <c r="E527" s="3" t="s">
        <v>89</v>
      </c>
      <c r="F527" s="2" t="s">
        <v>34</v>
      </c>
      <c r="G527" s="3" t="s">
        <v>17</v>
      </c>
      <c r="H527" s="2" t="s">
        <v>18</v>
      </c>
      <c r="I527" s="3" t="s">
        <v>19</v>
      </c>
      <c r="J527" s="3">
        <v>5082</v>
      </c>
      <c r="K527" s="3">
        <v>541</v>
      </c>
      <c r="L527" s="3">
        <v>8</v>
      </c>
      <c r="M527" s="4">
        <f t="shared" si="66"/>
        <v>0.10645415190869736</v>
      </c>
      <c r="N527" s="4">
        <f t="shared" si="67"/>
        <v>1.4787430683918669E-2</v>
      </c>
      <c r="O527">
        <v>145</v>
      </c>
      <c r="P527" s="5">
        <v>1</v>
      </c>
      <c r="Q527" s="7">
        <v>1</v>
      </c>
      <c r="R527" t="str">
        <f t="shared" si="65"/>
        <v>нормальный код</v>
      </c>
      <c r="S527" t="str">
        <f t="shared" si="68"/>
        <v>Больше половины</v>
      </c>
      <c r="T527" t="str">
        <f t="shared" si="69"/>
        <v>Вторая четверть</v>
      </c>
      <c r="U527" t="str">
        <f t="shared" si="70"/>
        <v>нормальный код</v>
      </c>
      <c r="V527" t="str">
        <f t="shared" si="71"/>
        <v>Больше половины</v>
      </c>
      <c r="W527" t="str">
        <f t="shared" si="72"/>
        <v>Вторая четверть</v>
      </c>
      <c r="X527">
        <v>6</v>
      </c>
    </row>
    <row r="528" spans="1:24" x14ac:dyDescent="0.35">
      <c r="A528" s="1" t="s">
        <v>1637</v>
      </c>
      <c r="B528" s="2" t="s">
        <v>1638</v>
      </c>
      <c r="C528" s="3" t="s">
        <v>55</v>
      </c>
      <c r="D528" s="2" t="s">
        <v>94</v>
      </c>
      <c r="E528" s="3" t="s">
        <v>95</v>
      </c>
      <c r="F528" s="2" t="s">
        <v>96</v>
      </c>
      <c r="G528" s="3" t="s">
        <v>17</v>
      </c>
      <c r="H528" s="2" t="s">
        <v>97</v>
      </c>
      <c r="I528" s="3" t="s">
        <v>19</v>
      </c>
      <c r="J528" s="3">
        <v>5078</v>
      </c>
      <c r="K528" s="3">
        <v>1624</v>
      </c>
      <c r="L528" s="3">
        <v>10</v>
      </c>
      <c r="M528" s="4">
        <f t="shared" si="66"/>
        <v>0.31981094919259551</v>
      </c>
      <c r="N528" s="4">
        <f t="shared" si="67"/>
        <v>6.1576354679802959E-3</v>
      </c>
      <c r="O528">
        <v>1704</v>
      </c>
      <c r="P528" s="5">
        <v>0.77777777777777779</v>
      </c>
      <c r="Q528" s="7">
        <v>1</v>
      </c>
      <c r="R528" t="str">
        <f t="shared" si="65"/>
        <v>код для проверки</v>
      </c>
      <c r="S528" t="str">
        <f t="shared" si="68"/>
        <v>Больше половины</v>
      </c>
      <c r="T528" t="str">
        <f t="shared" si="69"/>
        <v>Низшая четверть</v>
      </c>
      <c r="U528" t="str">
        <f t="shared" si="70"/>
        <v>нормальный код</v>
      </c>
      <c r="V528" t="str">
        <f t="shared" si="71"/>
        <v>Больше половины</v>
      </c>
      <c r="W528" t="str">
        <f t="shared" si="72"/>
        <v>Вторая четверть</v>
      </c>
      <c r="X528">
        <v>14</v>
      </c>
    </row>
    <row r="529" spans="1:24" x14ac:dyDescent="0.35">
      <c r="A529" s="1" t="s">
        <v>1577</v>
      </c>
      <c r="B529" s="2" t="s">
        <v>1578</v>
      </c>
      <c r="C529" s="3" t="s">
        <v>13</v>
      </c>
      <c r="D529" s="2" t="s">
        <v>155</v>
      </c>
      <c r="E529" s="3" t="s">
        <v>156</v>
      </c>
      <c r="F529" s="2" t="s">
        <v>34</v>
      </c>
      <c r="G529" s="3" t="s">
        <v>17</v>
      </c>
      <c r="H529" s="2" t="s">
        <v>18</v>
      </c>
      <c r="I529" s="3" t="s">
        <v>19</v>
      </c>
      <c r="J529" s="3">
        <v>5050</v>
      </c>
      <c r="K529" s="3">
        <v>704</v>
      </c>
      <c r="L529" s="3">
        <v>14</v>
      </c>
      <c r="M529" s="4">
        <f t="shared" si="66"/>
        <v>0.13940594059405942</v>
      </c>
      <c r="N529" s="4">
        <f t="shared" si="67"/>
        <v>1.9886363636363636E-2</v>
      </c>
      <c r="O529">
        <v>779</v>
      </c>
      <c r="P529" s="5">
        <v>1</v>
      </c>
      <c r="Q529" s="7">
        <v>1</v>
      </c>
      <c r="R529" t="str">
        <f t="shared" si="65"/>
        <v>нормальный код</v>
      </c>
      <c r="S529" t="str">
        <f t="shared" si="68"/>
        <v>Больше половины</v>
      </c>
      <c r="T529" t="str">
        <f t="shared" si="69"/>
        <v>Вторая четверть</v>
      </c>
      <c r="U529" t="str">
        <f t="shared" si="70"/>
        <v>нормальный код</v>
      </c>
      <c r="V529" t="str">
        <f t="shared" si="71"/>
        <v>Больше половины</v>
      </c>
      <c r="W529" t="str">
        <f t="shared" si="72"/>
        <v>Больше половины</v>
      </c>
      <c r="X529">
        <v>16</v>
      </c>
    </row>
    <row r="530" spans="1:24" x14ac:dyDescent="0.35">
      <c r="A530" s="1" t="s">
        <v>946</v>
      </c>
      <c r="B530" s="2" t="s">
        <v>947</v>
      </c>
      <c r="C530" s="3" t="s">
        <v>55</v>
      </c>
      <c r="D530" s="2" t="s">
        <v>94</v>
      </c>
      <c r="E530" s="3" t="s">
        <v>95</v>
      </c>
      <c r="F530" s="2" t="s">
        <v>96</v>
      </c>
      <c r="G530" s="3" t="s">
        <v>17</v>
      </c>
      <c r="H530" s="2" t="s">
        <v>97</v>
      </c>
      <c r="I530" s="3" t="s">
        <v>19</v>
      </c>
      <c r="J530" s="3">
        <v>5012</v>
      </c>
      <c r="K530" s="3">
        <v>3442</v>
      </c>
      <c r="L530" s="3">
        <v>11</v>
      </c>
      <c r="M530" s="4">
        <f t="shared" si="66"/>
        <v>0.68675179569034317</v>
      </c>
      <c r="N530" s="4">
        <f t="shared" si="67"/>
        <v>3.1958163858221964E-3</v>
      </c>
      <c r="O530">
        <v>1022</v>
      </c>
      <c r="P530" s="5">
        <v>0.55555555555555558</v>
      </c>
      <c r="Q530" s="7">
        <v>1</v>
      </c>
      <c r="R530" t="str">
        <f t="shared" si="65"/>
        <v>код для проверки</v>
      </c>
      <c r="S530" t="str">
        <f t="shared" si="68"/>
        <v>Больше половины</v>
      </c>
      <c r="T530" t="str">
        <f t="shared" si="69"/>
        <v>Низшая четверть</v>
      </c>
      <c r="U530" t="str">
        <f t="shared" si="70"/>
        <v>код для проверки</v>
      </c>
      <c r="V530" t="str">
        <f t="shared" si="71"/>
        <v>Больше половины</v>
      </c>
      <c r="W530" t="str">
        <f t="shared" si="72"/>
        <v>Низшая четверть</v>
      </c>
      <c r="X530">
        <v>25</v>
      </c>
    </row>
    <row r="531" spans="1:24" x14ac:dyDescent="0.35">
      <c r="A531" s="1" t="s">
        <v>2260</v>
      </c>
      <c r="B531" s="2" t="s">
        <v>2261</v>
      </c>
      <c r="C531" s="3" t="s">
        <v>13</v>
      </c>
      <c r="D531" s="2" t="s">
        <v>69</v>
      </c>
      <c r="E531" s="3" t="s">
        <v>1511</v>
      </c>
      <c r="F531" s="2" t="s">
        <v>34</v>
      </c>
      <c r="G531" s="3" t="s">
        <v>72</v>
      </c>
      <c r="H531" s="2" t="s">
        <v>18</v>
      </c>
      <c r="I531" s="3" t="s">
        <v>19</v>
      </c>
      <c r="J531" s="3">
        <v>5002</v>
      </c>
      <c r="K531" s="3">
        <v>1330</v>
      </c>
      <c r="L531" s="3">
        <v>9</v>
      </c>
      <c r="M531" s="4">
        <f t="shared" si="66"/>
        <v>0.26589364254298281</v>
      </c>
      <c r="N531" s="4">
        <f t="shared" si="67"/>
        <v>6.7669172932330827E-3</v>
      </c>
      <c r="O531">
        <v>514</v>
      </c>
      <c r="P531" s="5">
        <v>1</v>
      </c>
      <c r="Q531" s="7">
        <v>1</v>
      </c>
      <c r="R531" t="str">
        <f t="shared" si="65"/>
        <v>код для проверки</v>
      </c>
      <c r="S531" t="str">
        <f t="shared" si="68"/>
        <v>Больше половины</v>
      </c>
      <c r="T531" t="str">
        <f t="shared" si="69"/>
        <v>Низшая четверть</v>
      </c>
      <c r="U531" t="str">
        <f t="shared" si="70"/>
        <v>код для проверки</v>
      </c>
      <c r="V531" t="str">
        <f t="shared" si="71"/>
        <v>Вторая четверть</v>
      </c>
      <c r="W531" t="str">
        <f t="shared" si="72"/>
        <v>Низшая четверть</v>
      </c>
      <c r="X531">
        <v>15</v>
      </c>
    </row>
    <row r="532" spans="1:24" x14ac:dyDescent="0.35">
      <c r="A532" s="1" t="s">
        <v>1710</v>
      </c>
      <c r="B532" s="2" t="s">
        <v>1711</v>
      </c>
      <c r="C532" s="3" t="s">
        <v>55</v>
      </c>
      <c r="D532" s="2" t="s">
        <v>94</v>
      </c>
      <c r="E532" s="3" t="s">
        <v>95</v>
      </c>
      <c r="F532" s="2" t="s">
        <v>96</v>
      </c>
      <c r="G532" s="3" t="s">
        <v>17</v>
      </c>
      <c r="H532" s="2" t="s">
        <v>97</v>
      </c>
      <c r="I532" s="3" t="s">
        <v>19</v>
      </c>
      <c r="J532" s="3">
        <v>4983</v>
      </c>
      <c r="K532" s="3">
        <v>3670</v>
      </c>
      <c r="L532" s="3">
        <v>16</v>
      </c>
      <c r="M532" s="4">
        <f t="shared" si="66"/>
        <v>0.73650411398755766</v>
      </c>
      <c r="N532" s="4">
        <f t="shared" si="67"/>
        <v>4.359673024523161E-3</v>
      </c>
      <c r="O532">
        <v>1661</v>
      </c>
      <c r="P532" s="5">
        <v>0.66666666666666663</v>
      </c>
      <c r="Q532" s="7">
        <v>1</v>
      </c>
      <c r="R532" t="str">
        <f t="shared" si="65"/>
        <v>код для проверки</v>
      </c>
      <c r="S532" t="str">
        <f t="shared" si="68"/>
        <v>Больше половины</v>
      </c>
      <c r="T532" t="str">
        <f t="shared" si="69"/>
        <v>Низшая четверть</v>
      </c>
      <c r="U532" t="str">
        <f t="shared" si="70"/>
        <v>код для проверки</v>
      </c>
      <c r="V532" t="str">
        <f t="shared" si="71"/>
        <v>Больше половины</v>
      </c>
      <c r="W532" t="str">
        <f t="shared" si="72"/>
        <v>Низшая четверть</v>
      </c>
      <c r="X532">
        <v>22</v>
      </c>
    </row>
    <row r="533" spans="1:24" x14ac:dyDescent="0.35">
      <c r="A533" s="1" t="s">
        <v>254</v>
      </c>
      <c r="B533" s="2" t="s">
        <v>255</v>
      </c>
      <c r="C533" s="3" t="s">
        <v>13</v>
      </c>
      <c r="D533" s="2" t="s">
        <v>164</v>
      </c>
      <c r="E533" s="3" t="s">
        <v>256</v>
      </c>
      <c r="F533" s="2" t="s">
        <v>123</v>
      </c>
      <c r="G533" s="3" t="s">
        <v>35</v>
      </c>
      <c r="H533" s="2" t="s">
        <v>18</v>
      </c>
      <c r="I533" s="3" t="s">
        <v>19</v>
      </c>
      <c r="J533" s="3">
        <v>4981</v>
      </c>
      <c r="K533" s="3">
        <v>765</v>
      </c>
      <c r="L533" s="3">
        <v>1</v>
      </c>
      <c r="M533" s="4">
        <f t="shared" si="66"/>
        <v>0.15358361774744028</v>
      </c>
      <c r="N533" s="4">
        <f t="shared" si="67"/>
        <v>1.30718954248366E-3</v>
      </c>
      <c r="O533">
        <v>170</v>
      </c>
      <c r="P533" s="5">
        <v>1</v>
      </c>
      <c r="Q533" s="7">
        <v>1</v>
      </c>
      <c r="R533" t="str">
        <f t="shared" si="65"/>
        <v>код для проверки</v>
      </c>
      <c r="S533" t="str">
        <f t="shared" si="68"/>
        <v>Больше половины</v>
      </c>
      <c r="T533" t="str">
        <f t="shared" si="69"/>
        <v>Низшая четверть</v>
      </c>
      <c r="U533" t="str">
        <f t="shared" si="70"/>
        <v>код для проверки</v>
      </c>
      <c r="V533" t="str">
        <f t="shared" si="71"/>
        <v>Больше половины</v>
      </c>
      <c r="W533" t="str">
        <f t="shared" si="72"/>
        <v>Низшая четверть</v>
      </c>
      <c r="X533">
        <v>26</v>
      </c>
    </row>
    <row r="534" spans="1:24" x14ac:dyDescent="0.35">
      <c r="A534" s="1" t="s">
        <v>1961</v>
      </c>
      <c r="B534" s="2" t="s">
        <v>1962</v>
      </c>
      <c r="C534" s="3" t="s">
        <v>13</v>
      </c>
      <c r="D534" s="2" t="s">
        <v>69</v>
      </c>
      <c r="E534" s="3" t="s">
        <v>210</v>
      </c>
      <c r="F534" s="2" t="s">
        <v>34</v>
      </c>
      <c r="G534" s="3" t="s">
        <v>72</v>
      </c>
      <c r="H534" s="2" t="s">
        <v>18</v>
      </c>
      <c r="I534" s="3" t="s">
        <v>19</v>
      </c>
      <c r="J534" s="3">
        <v>4964</v>
      </c>
      <c r="K534" s="3">
        <v>678</v>
      </c>
      <c r="L534" s="3">
        <v>14</v>
      </c>
      <c r="M534" s="4">
        <f t="shared" si="66"/>
        <v>0.13658340048348105</v>
      </c>
      <c r="N534" s="4">
        <f t="shared" si="67"/>
        <v>2.0648967551622419E-2</v>
      </c>
      <c r="O534">
        <v>160</v>
      </c>
      <c r="P534" s="5">
        <v>0.75</v>
      </c>
      <c r="Q534" s="7">
        <v>1</v>
      </c>
      <c r="R534" t="str">
        <f t="shared" si="65"/>
        <v>нормальный код</v>
      </c>
      <c r="S534" t="str">
        <f t="shared" si="68"/>
        <v>Больше половины</v>
      </c>
      <c r="T534" t="str">
        <f t="shared" si="69"/>
        <v>Больше половины</v>
      </c>
      <c r="U534" t="str">
        <f t="shared" si="70"/>
        <v>нормальный код</v>
      </c>
      <c r="V534" t="str">
        <f t="shared" si="71"/>
        <v>Больше половины</v>
      </c>
      <c r="W534" t="str">
        <f t="shared" si="72"/>
        <v>Вторая четверть</v>
      </c>
      <c r="X534">
        <v>17</v>
      </c>
    </row>
    <row r="535" spans="1:24" x14ac:dyDescent="0.35">
      <c r="A535" s="1" t="s">
        <v>225</v>
      </c>
      <c r="B535" s="2" t="s">
        <v>226</v>
      </c>
      <c r="C535" s="3" t="s">
        <v>13</v>
      </c>
      <c r="D535" s="2" t="s">
        <v>69</v>
      </c>
      <c r="E535" s="3" t="s">
        <v>227</v>
      </c>
      <c r="F535" s="2" t="s">
        <v>34</v>
      </c>
      <c r="G535" s="3" t="s">
        <v>72</v>
      </c>
      <c r="H535" s="2" t="s">
        <v>18</v>
      </c>
      <c r="I535" s="3" t="s">
        <v>19</v>
      </c>
      <c r="J535" s="3">
        <v>4944</v>
      </c>
      <c r="K535" s="3">
        <v>476</v>
      </c>
      <c r="L535" s="3">
        <v>6</v>
      </c>
      <c r="M535" s="4">
        <f t="shared" si="66"/>
        <v>9.6278317152103554E-2</v>
      </c>
      <c r="N535" s="4">
        <f t="shared" si="67"/>
        <v>1.2605042016806723E-2</v>
      </c>
      <c r="O535">
        <v>685</v>
      </c>
      <c r="P535" s="5">
        <v>1</v>
      </c>
      <c r="Q535" s="7">
        <v>1</v>
      </c>
      <c r="R535" t="str">
        <f t="shared" si="65"/>
        <v>нормальный код</v>
      </c>
      <c r="S535" t="str">
        <f t="shared" si="68"/>
        <v>Больше половины</v>
      </c>
      <c r="T535" t="str">
        <f t="shared" si="69"/>
        <v>Вторая четверть</v>
      </c>
      <c r="U535" t="str">
        <f t="shared" si="70"/>
        <v>нормальный код</v>
      </c>
      <c r="V535" t="str">
        <f t="shared" si="71"/>
        <v>Больше половины</v>
      </c>
      <c r="W535" t="str">
        <f t="shared" si="72"/>
        <v>Больше половины</v>
      </c>
      <c r="X535">
        <v>15</v>
      </c>
    </row>
    <row r="536" spans="1:24" x14ac:dyDescent="0.35">
      <c r="A536" s="1" t="s">
        <v>847</v>
      </c>
      <c r="B536" s="2" t="s">
        <v>848</v>
      </c>
      <c r="C536" s="3" t="s">
        <v>13</v>
      </c>
      <c r="D536" s="2" t="s">
        <v>155</v>
      </c>
      <c r="E536" s="3" t="s">
        <v>156</v>
      </c>
      <c r="F536" s="2" t="s">
        <v>34</v>
      </c>
      <c r="G536" s="3" t="s">
        <v>35</v>
      </c>
      <c r="H536" s="2" t="s">
        <v>18</v>
      </c>
      <c r="I536" s="3" t="s">
        <v>19</v>
      </c>
      <c r="J536" s="3">
        <v>4928</v>
      </c>
      <c r="K536" s="3">
        <v>194</v>
      </c>
      <c r="L536" s="3">
        <v>5</v>
      </c>
      <c r="M536" s="4">
        <f t="shared" si="66"/>
        <v>3.936688311688312E-2</v>
      </c>
      <c r="N536" s="4">
        <f t="shared" si="67"/>
        <v>2.5773195876288658E-2</v>
      </c>
      <c r="O536">
        <v>441</v>
      </c>
      <c r="P536" s="5">
        <v>1</v>
      </c>
      <c r="Q536" s="7">
        <v>1</v>
      </c>
      <c r="R536" t="str">
        <f t="shared" si="65"/>
        <v>код для проверки</v>
      </c>
      <c r="S536" t="str">
        <f t="shared" si="68"/>
        <v>Низшая четверть</v>
      </c>
      <c r="T536" t="str">
        <f t="shared" si="69"/>
        <v>Больше половины</v>
      </c>
      <c r="U536" t="str">
        <f t="shared" si="70"/>
        <v>код для проверки</v>
      </c>
      <c r="V536" t="str">
        <f t="shared" si="71"/>
        <v>Низшая четверть</v>
      </c>
      <c r="W536" t="str">
        <f t="shared" si="72"/>
        <v>Больше половины</v>
      </c>
      <c r="X536">
        <v>5</v>
      </c>
    </row>
    <row r="537" spans="1:24" x14ac:dyDescent="0.35">
      <c r="A537" s="1" t="s">
        <v>145</v>
      </c>
      <c r="B537" s="2" t="s">
        <v>146</v>
      </c>
      <c r="C537" s="3" t="s">
        <v>55</v>
      </c>
      <c r="D537" s="2" t="s">
        <v>147</v>
      </c>
      <c r="E537" s="3" t="s">
        <v>148</v>
      </c>
      <c r="F537" s="2" t="s">
        <v>71</v>
      </c>
      <c r="G537" s="3" t="s">
        <v>17</v>
      </c>
      <c r="H537" s="2" t="s">
        <v>18</v>
      </c>
      <c r="I537" s="3" t="s">
        <v>19</v>
      </c>
      <c r="J537" s="3">
        <v>4920</v>
      </c>
      <c r="K537" s="3">
        <v>261</v>
      </c>
      <c r="L537" s="3">
        <v>5</v>
      </c>
      <c r="M537" s="4">
        <f t="shared" si="66"/>
        <v>5.3048780487804877E-2</v>
      </c>
      <c r="N537" s="4">
        <f t="shared" si="67"/>
        <v>1.9157088122605363E-2</v>
      </c>
      <c r="O537">
        <v>179</v>
      </c>
      <c r="P537" s="5">
        <v>1</v>
      </c>
      <c r="Q537" s="7">
        <v>1</v>
      </c>
      <c r="R537" t="str">
        <f t="shared" si="65"/>
        <v>нормальный код</v>
      </c>
      <c r="S537" t="str">
        <f t="shared" si="68"/>
        <v>Вторая четверть</v>
      </c>
      <c r="T537" t="str">
        <f t="shared" si="69"/>
        <v>Вторая четверть</v>
      </c>
      <c r="U537" t="str">
        <f t="shared" si="70"/>
        <v>нормальный код</v>
      </c>
      <c r="V537" t="str">
        <f t="shared" si="71"/>
        <v>Больше половины</v>
      </c>
      <c r="W537" t="str">
        <f t="shared" si="72"/>
        <v>Вторая четверть</v>
      </c>
      <c r="X537">
        <v>28</v>
      </c>
    </row>
    <row r="538" spans="1:24" x14ac:dyDescent="0.35">
      <c r="A538" s="1" t="s">
        <v>936</v>
      </c>
      <c r="B538" s="2" t="s">
        <v>937</v>
      </c>
      <c r="C538" s="3" t="s">
        <v>13</v>
      </c>
      <c r="D538" s="2" t="s">
        <v>630</v>
      </c>
      <c r="E538" s="3" t="s">
        <v>685</v>
      </c>
      <c r="F538" s="2" t="s">
        <v>61</v>
      </c>
      <c r="G538" s="3" t="s">
        <v>17</v>
      </c>
      <c r="H538" s="2" t="s">
        <v>97</v>
      </c>
      <c r="I538" s="3" t="s">
        <v>19</v>
      </c>
      <c r="J538" s="3">
        <v>4911</v>
      </c>
      <c r="K538" s="3">
        <v>396</v>
      </c>
      <c r="L538" s="3">
        <v>9</v>
      </c>
      <c r="M538" s="4">
        <f t="shared" si="66"/>
        <v>8.0635308491142338E-2</v>
      </c>
      <c r="N538" s="4">
        <f t="shared" si="67"/>
        <v>2.2727272727272728E-2</v>
      </c>
      <c r="O538">
        <v>673</v>
      </c>
      <c r="P538" s="5">
        <v>1</v>
      </c>
      <c r="Q538" s="7">
        <v>1</v>
      </c>
      <c r="R538" t="str">
        <f t="shared" si="65"/>
        <v>нормальный код</v>
      </c>
      <c r="S538" t="str">
        <f t="shared" si="68"/>
        <v>Вторая четверть</v>
      </c>
      <c r="T538" t="str">
        <f t="shared" si="69"/>
        <v>Больше половины</v>
      </c>
      <c r="U538" t="str">
        <f t="shared" si="70"/>
        <v>нормальный код</v>
      </c>
      <c r="V538" t="str">
        <f t="shared" si="71"/>
        <v>Вторая четверть</v>
      </c>
      <c r="W538" t="str">
        <f t="shared" si="72"/>
        <v>Больше половины</v>
      </c>
      <c r="X538">
        <v>7</v>
      </c>
    </row>
    <row r="539" spans="1:24" x14ac:dyDescent="0.35">
      <c r="A539" s="1" t="s">
        <v>1300</v>
      </c>
      <c r="B539" s="2" t="s">
        <v>1301</v>
      </c>
      <c r="C539" s="3" t="s">
        <v>13</v>
      </c>
      <c r="D539" s="2" t="s">
        <v>164</v>
      </c>
      <c r="E539" s="3" t="s">
        <v>256</v>
      </c>
      <c r="F539" s="2" t="s">
        <v>123</v>
      </c>
      <c r="G539" s="3" t="s">
        <v>35</v>
      </c>
      <c r="H539" s="2" t="s">
        <v>18</v>
      </c>
      <c r="I539" s="3" t="s">
        <v>19</v>
      </c>
      <c r="J539" s="3">
        <v>4868</v>
      </c>
      <c r="K539" s="3">
        <v>597</v>
      </c>
      <c r="L539" s="3">
        <v>5</v>
      </c>
      <c r="M539" s="4">
        <f t="shared" si="66"/>
        <v>0.12263763352506163</v>
      </c>
      <c r="N539" s="4">
        <f t="shared" si="67"/>
        <v>8.3752093802345051E-3</v>
      </c>
      <c r="O539">
        <v>181</v>
      </c>
      <c r="P539" s="5">
        <v>0.6</v>
      </c>
      <c r="Q539" s="7">
        <v>1</v>
      </c>
      <c r="R539" t="str">
        <f t="shared" si="65"/>
        <v>код для проверки</v>
      </c>
      <c r="S539" t="str">
        <f t="shared" si="68"/>
        <v>Больше половины</v>
      </c>
      <c r="T539" t="str">
        <f t="shared" si="69"/>
        <v>Низшая четверть</v>
      </c>
      <c r="U539" t="str">
        <f t="shared" si="70"/>
        <v>код для проверки</v>
      </c>
      <c r="V539" t="str">
        <f t="shared" si="71"/>
        <v>Больше половины</v>
      </c>
      <c r="W539" t="str">
        <f t="shared" si="72"/>
        <v>Низшая четверть</v>
      </c>
      <c r="X539">
        <v>24</v>
      </c>
    </row>
    <row r="540" spans="1:24" x14ac:dyDescent="0.35">
      <c r="A540" s="1" t="s">
        <v>2494</v>
      </c>
      <c r="B540" s="2" t="s">
        <v>2495</v>
      </c>
      <c r="C540" s="3" t="s">
        <v>13</v>
      </c>
      <c r="D540" s="2" t="s">
        <v>77</v>
      </c>
      <c r="E540" s="3" t="s">
        <v>1592</v>
      </c>
      <c r="F540" s="2" t="s">
        <v>96</v>
      </c>
      <c r="G540" s="3" t="s">
        <v>17</v>
      </c>
      <c r="H540" s="2" t="s">
        <v>18</v>
      </c>
      <c r="I540" s="3" t="s">
        <v>19</v>
      </c>
      <c r="J540" s="3">
        <v>4842</v>
      </c>
      <c r="K540" s="3">
        <v>247</v>
      </c>
      <c r="L540" s="3">
        <v>6</v>
      </c>
      <c r="M540" s="4">
        <f t="shared" si="66"/>
        <v>5.1011978521272199E-2</v>
      </c>
      <c r="N540" s="4">
        <f t="shared" si="67"/>
        <v>2.4291497975708502E-2</v>
      </c>
      <c r="O540">
        <v>952</v>
      </c>
      <c r="P540" s="5">
        <v>1</v>
      </c>
      <c r="Q540" s="7">
        <v>1</v>
      </c>
      <c r="R540" t="str">
        <f t="shared" si="65"/>
        <v>нормальный код</v>
      </c>
      <c r="S540" t="str">
        <f t="shared" si="68"/>
        <v>Вторая четверть</v>
      </c>
      <c r="T540" t="str">
        <f t="shared" si="69"/>
        <v>Больше половины</v>
      </c>
      <c r="U540" t="str">
        <f t="shared" si="70"/>
        <v>нормальный код</v>
      </c>
      <c r="V540" t="str">
        <f t="shared" si="71"/>
        <v>Вторая четверть</v>
      </c>
      <c r="W540" t="str">
        <f t="shared" si="72"/>
        <v>Вторая четверть</v>
      </c>
      <c r="X540">
        <v>8</v>
      </c>
    </row>
    <row r="541" spans="1:24" x14ac:dyDescent="0.35">
      <c r="A541" s="1" t="s">
        <v>1704</v>
      </c>
      <c r="B541" s="2" t="s">
        <v>1705</v>
      </c>
      <c r="C541" s="3" t="s">
        <v>55</v>
      </c>
      <c r="D541" s="2" t="s">
        <v>94</v>
      </c>
      <c r="E541" s="3" t="s">
        <v>95</v>
      </c>
      <c r="F541" s="2" t="s">
        <v>96</v>
      </c>
      <c r="G541" s="3" t="s">
        <v>17</v>
      </c>
      <c r="H541" s="2" t="s">
        <v>97</v>
      </c>
      <c r="I541" s="3" t="s">
        <v>19</v>
      </c>
      <c r="J541" s="3">
        <v>4840</v>
      </c>
      <c r="K541" s="3">
        <v>1923</v>
      </c>
      <c r="L541" s="3">
        <v>30</v>
      </c>
      <c r="M541" s="4">
        <f t="shared" si="66"/>
        <v>0.39731404958677685</v>
      </c>
      <c r="N541" s="4">
        <f t="shared" si="67"/>
        <v>1.5600624024960999E-2</v>
      </c>
      <c r="O541">
        <v>3353</v>
      </c>
      <c r="P541" s="5">
        <v>0.77777777777777779</v>
      </c>
      <c r="Q541" s="7">
        <v>1</v>
      </c>
      <c r="R541" t="str">
        <f t="shared" si="65"/>
        <v>нормальный код</v>
      </c>
      <c r="S541" t="str">
        <f t="shared" si="68"/>
        <v>Больше половины</v>
      </c>
      <c r="T541" t="str">
        <f t="shared" si="69"/>
        <v>Вторая четверть</v>
      </c>
      <c r="U541" t="str">
        <f t="shared" si="70"/>
        <v>нормальный код</v>
      </c>
      <c r="V541" t="str">
        <f t="shared" si="71"/>
        <v>Больше половины</v>
      </c>
      <c r="W541" t="str">
        <f t="shared" si="72"/>
        <v>Больше половины</v>
      </c>
      <c r="X541">
        <v>16</v>
      </c>
    </row>
    <row r="542" spans="1:24" x14ac:dyDescent="0.35">
      <c r="A542" s="1" t="s">
        <v>1483</v>
      </c>
      <c r="B542" s="2" t="s">
        <v>1484</v>
      </c>
      <c r="C542" s="3" t="s">
        <v>55</v>
      </c>
      <c r="D542" s="2" t="s">
        <v>94</v>
      </c>
      <c r="E542" s="3" t="s">
        <v>95</v>
      </c>
      <c r="F542" s="2" t="s">
        <v>96</v>
      </c>
      <c r="G542" s="3" t="s">
        <v>17</v>
      </c>
      <c r="H542" s="2" t="s">
        <v>97</v>
      </c>
      <c r="I542" s="3" t="s">
        <v>19</v>
      </c>
      <c r="J542" s="3">
        <v>4808</v>
      </c>
      <c r="K542" s="3">
        <v>1957</v>
      </c>
      <c r="L542" s="3">
        <v>21</v>
      </c>
      <c r="M542" s="4">
        <f t="shared" si="66"/>
        <v>0.4070299500831947</v>
      </c>
      <c r="N542" s="4">
        <f t="shared" si="67"/>
        <v>1.0730710270822688E-2</v>
      </c>
      <c r="O542">
        <v>2901</v>
      </c>
      <c r="P542" s="5">
        <v>0.66666666666666663</v>
      </c>
      <c r="Q542" s="7">
        <v>1</v>
      </c>
      <c r="R542" t="str">
        <f t="shared" si="65"/>
        <v>нормальный код</v>
      </c>
      <c r="S542" t="str">
        <f t="shared" si="68"/>
        <v>Больше половины</v>
      </c>
      <c r="T542" t="str">
        <f t="shared" si="69"/>
        <v>Вторая четверть</v>
      </c>
      <c r="U542" t="str">
        <f t="shared" si="70"/>
        <v>нормальный код</v>
      </c>
      <c r="V542" t="str">
        <f t="shared" si="71"/>
        <v>Больше половины</v>
      </c>
      <c r="W542" t="str">
        <f t="shared" si="72"/>
        <v>Вторая четверть</v>
      </c>
      <c r="X542">
        <v>18</v>
      </c>
    </row>
    <row r="543" spans="1:24" x14ac:dyDescent="0.35">
      <c r="A543" s="1" t="s">
        <v>532</v>
      </c>
      <c r="B543" s="2" t="s">
        <v>533</v>
      </c>
      <c r="C543" s="3" t="s">
        <v>13</v>
      </c>
      <c r="D543" s="2" t="s">
        <v>155</v>
      </c>
      <c r="E543" s="3" t="s">
        <v>244</v>
      </c>
      <c r="F543" s="2" t="s">
        <v>34</v>
      </c>
      <c r="G543" s="3" t="s">
        <v>35</v>
      </c>
      <c r="H543" s="2" t="s">
        <v>18</v>
      </c>
      <c r="I543" s="3" t="s">
        <v>19</v>
      </c>
      <c r="J543" s="3">
        <v>4790</v>
      </c>
      <c r="K543" s="3">
        <v>1092</v>
      </c>
      <c r="L543" s="3">
        <v>11</v>
      </c>
      <c r="M543" s="4">
        <f t="shared" si="66"/>
        <v>0.2279749478079332</v>
      </c>
      <c r="N543" s="4">
        <f t="shared" si="67"/>
        <v>1.0073260073260074E-2</v>
      </c>
      <c r="O543">
        <v>469</v>
      </c>
      <c r="P543" s="5">
        <v>1</v>
      </c>
      <c r="Q543" s="7">
        <v>1</v>
      </c>
      <c r="R543" t="str">
        <f t="shared" si="65"/>
        <v>код для проверки</v>
      </c>
      <c r="S543" t="str">
        <f t="shared" si="68"/>
        <v>Больше половины</v>
      </c>
      <c r="T543" t="str">
        <f t="shared" si="69"/>
        <v>Низшая четверть</v>
      </c>
      <c r="U543" t="str">
        <f t="shared" si="70"/>
        <v>нормальный код</v>
      </c>
      <c r="V543" t="str">
        <f t="shared" si="71"/>
        <v>Больше половины</v>
      </c>
      <c r="W543" t="str">
        <f t="shared" si="72"/>
        <v>Вторая четверть</v>
      </c>
      <c r="X543">
        <v>17</v>
      </c>
    </row>
    <row r="544" spans="1:24" x14ac:dyDescent="0.35">
      <c r="A544" s="1" t="s">
        <v>1051</v>
      </c>
      <c r="B544" s="2" t="s">
        <v>1052</v>
      </c>
      <c r="C544" s="3" t="s">
        <v>55</v>
      </c>
      <c r="D544" s="2" t="s">
        <v>94</v>
      </c>
      <c r="E544" s="3" t="s">
        <v>95</v>
      </c>
      <c r="F544" s="2" t="s">
        <v>96</v>
      </c>
      <c r="G544" s="3" t="s">
        <v>17</v>
      </c>
      <c r="H544" s="2" t="s">
        <v>97</v>
      </c>
      <c r="I544" s="3" t="s">
        <v>19</v>
      </c>
      <c r="J544" s="3">
        <v>4768</v>
      </c>
      <c r="K544" s="3">
        <v>2891</v>
      </c>
      <c r="L544" s="3">
        <v>12</v>
      </c>
      <c r="M544" s="4">
        <f t="shared" si="66"/>
        <v>0.60633389261744963</v>
      </c>
      <c r="N544" s="4">
        <f t="shared" si="67"/>
        <v>4.1508128675198895E-3</v>
      </c>
      <c r="O544">
        <v>1358</v>
      </c>
      <c r="P544" s="5">
        <v>0.55555555555555558</v>
      </c>
      <c r="Q544" s="7">
        <v>1</v>
      </c>
      <c r="R544" t="str">
        <f t="shared" si="65"/>
        <v>код для проверки</v>
      </c>
      <c r="S544" t="str">
        <f t="shared" si="68"/>
        <v>Больше половины</v>
      </c>
      <c r="T544" t="str">
        <f t="shared" si="69"/>
        <v>Низшая четверть</v>
      </c>
      <c r="U544" t="str">
        <f t="shared" si="70"/>
        <v>код для проверки</v>
      </c>
      <c r="V544" t="str">
        <f t="shared" si="71"/>
        <v>Больше половины</v>
      </c>
      <c r="W544" t="str">
        <f t="shared" si="72"/>
        <v>Низшая четверть</v>
      </c>
      <c r="X544">
        <v>24</v>
      </c>
    </row>
    <row r="545" spans="1:24" x14ac:dyDescent="0.35">
      <c r="A545" s="1" t="s">
        <v>801</v>
      </c>
      <c r="B545" s="2" t="s">
        <v>802</v>
      </c>
      <c r="C545" s="3" t="s">
        <v>55</v>
      </c>
      <c r="D545" s="2" t="s">
        <v>340</v>
      </c>
      <c r="E545" s="3" t="s">
        <v>341</v>
      </c>
      <c r="F545" s="2" t="s">
        <v>96</v>
      </c>
      <c r="G545" s="3" t="s">
        <v>17</v>
      </c>
      <c r="H545" s="2" t="s">
        <v>97</v>
      </c>
      <c r="I545" s="3" t="s">
        <v>19</v>
      </c>
      <c r="J545" s="3">
        <v>4765</v>
      </c>
      <c r="K545" s="3">
        <v>784</v>
      </c>
      <c r="L545" s="3">
        <v>8</v>
      </c>
      <c r="M545" s="4">
        <f t="shared" si="66"/>
        <v>0.16453305351521511</v>
      </c>
      <c r="N545" s="4">
        <f t="shared" si="67"/>
        <v>1.020408163265306E-2</v>
      </c>
      <c r="O545">
        <v>921</v>
      </c>
      <c r="P545" s="5">
        <v>1</v>
      </c>
      <c r="Q545" s="7">
        <v>1</v>
      </c>
      <c r="R545" t="str">
        <f t="shared" si="65"/>
        <v>нормальный код</v>
      </c>
      <c r="S545" t="str">
        <f t="shared" si="68"/>
        <v>Больше половины</v>
      </c>
      <c r="T545" t="str">
        <f t="shared" si="69"/>
        <v>Вторая четверть</v>
      </c>
      <c r="U545" t="str">
        <f t="shared" si="70"/>
        <v>нормальный код</v>
      </c>
      <c r="V545" t="str">
        <f t="shared" si="71"/>
        <v>Больше половины</v>
      </c>
      <c r="W545" t="str">
        <f t="shared" si="72"/>
        <v>Вторая четверть</v>
      </c>
      <c r="X545">
        <v>9</v>
      </c>
    </row>
    <row r="546" spans="1:24" x14ac:dyDescent="0.35">
      <c r="A546" s="1" t="s">
        <v>1368</v>
      </c>
      <c r="B546" s="2" t="s">
        <v>1369</v>
      </c>
      <c r="C546" s="3" t="s">
        <v>55</v>
      </c>
      <c r="D546" s="2" t="s">
        <v>56</v>
      </c>
      <c r="E546" s="3" t="s">
        <v>1370</v>
      </c>
      <c r="F546" s="2" t="s">
        <v>34</v>
      </c>
      <c r="G546" s="3" t="s">
        <v>17</v>
      </c>
      <c r="H546" s="2" t="s">
        <v>18</v>
      </c>
      <c r="I546" s="3" t="s">
        <v>19</v>
      </c>
      <c r="J546" s="3">
        <v>4760</v>
      </c>
      <c r="K546" s="3">
        <v>649</v>
      </c>
      <c r="L546" s="3">
        <v>13</v>
      </c>
      <c r="M546" s="4">
        <f t="shared" si="66"/>
        <v>0.13634453781512604</v>
      </c>
      <c r="N546" s="4">
        <f t="shared" si="67"/>
        <v>2.0030816640986132E-2</v>
      </c>
      <c r="O546">
        <v>152</v>
      </c>
      <c r="P546" s="5">
        <v>1</v>
      </c>
      <c r="Q546" s="7">
        <v>1</v>
      </c>
      <c r="R546" t="str">
        <f t="shared" si="65"/>
        <v>нормальный код</v>
      </c>
      <c r="S546" t="str">
        <f t="shared" si="68"/>
        <v>Больше половины</v>
      </c>
      <c r="T546" t="str">
        <f t="shared" si="69"/>
        <v>Вторая четверть</v>
      </c>
      <c r="U546" t="str">
        <f t="shared" si="70"/>
        <v>нормальный код</v>
      </c>
      <c r="V546" t="str">
        <f t="shared" si="71"/>
        <v>Больше половины</v>
      </c>
      <c r="W546" t="str">
        <f t="shared" si="72"/>
        <v>Больше половины</v>
      </c>
      <c r="X546">
        <v>13</v>
      </c>
    </row>
    <row r="547" spans="1:24" x14ac:dyDescent="0.35">
      <c r="A547" s="1" t="s">
        <v>1250</v>
      </c>
      <c r="B547" s="2" t="s">
        <v>1251</v>
      </c>
      <c r="C547" s="3" t="s">
        <v>13</v>
      </c>
      <c r="D547" s="2" t="s">
        <v>121</v>
      </c>
      <c r="E547" s="3" t="s">
        <v>122</v>
      </c>
      <c r="F547" s="2" t="s">
        <v>123</v>
      </c>
      <c r="G547" s="3" t="s">
        <v>17</v>
      </c>
      <c r="H547" s="2" t="s">
        <v>18</v>
      </c>
      <c r="I547" s="3" t="s">
        <v>19</v>
      </c>
      <c r="J547" s="3">
        <v>4756</v>
      </c>
      <c r="K547" s="3">
        <v>343</v>
      </c>
      <c r="L547" s="3">
        <v>7</v>
      </c>
      <c r="M547" s="4">
        <f t="shared" si="66"/>
        <v>7.2119428090832632E-2</v>
      </c>
      <c r="N547" s="4">
        <f t="shared" si="67"/>
        <v>2.0408163265306121E-2</v>
      </c>
      <c r="O547">
        <v>86</v>
      </c>
      <c r="P547" s="5">
        <v>0.6</v>
      </c>
      <c r="Q547" s="7">
        <v>1</v>
      </c>
      <c r="R547" t="str">
        <f t="shared" si="65"/>
        <v>нормальный код</v>
      </c>
      <c r="S547" t="str">
        <f t="shared" si="68"/>
        <v>Вторая четверть</v>
      </c>
      <c r="T547" t="str">
        <f t="shared" si="69"/>
        <v>Больше половины</v>
      </c>
      <c r="U547" t="str">
        <f t="shared" si="70"/>
        <v>нормальный код</v>
      </c>
      <c r="V547" t="str">
        <f t="shared" si="71"/>
        <v>Больше половины</v>
      </c>
      <c r="W547" t="str">
        <f t="shared" si="72"/>
        <v>Больше половины</v>
      </c>
      <c r="X547">
        <v>18</v>
      </c>
    </row>
    <row r="548" spans="1:24" x14ac:dyDescent="0.35">
      <c r="A548" s="1" t="s">
        <v>1559</v>
      </c>
      <c r="B548" s="2" t="s">
        <v>1560</v>
      </c>
      <c r="C548" s="3" t="s">
        <v>55</v>
      </c>
      <c r="D548" s="2" t="s">
        <v>56</v>
      </c>
      <c r="E548" s="3" t="s">
        <v>57</v>
      </c>
      <c r="F548" s="2" t="s">
        <v>34</v>
      </c>
      <c r="G548" s="3" t="s">
        <v>17</v>
      </c>
      <c r="H548" s="2" t="s">
        <v>18</v>
      </c>
      <c r="I548" s="3" t="s">
        <v>19</v>
      </c>
      <c r="J548" s="3">
        <v>4713</v>
      </c>
      <c r="K548" s="3">
        <v>697</v>
      </c>
      <c r="L548" s="3">
        <v>1</v>
      </c>
      <c r="M548" s="4">
        <f t="shared" si="66"/>
        <v>0.14788881816252916</v>
      </c>
      <c r="N548" s="4">
        <f t="shared" si="67"/>
        <v>1.4347202295552368E-3</v>
      </c>
      <c r="O548">
        <v>179</v>
      </c>
      <c r="P548" s="5">
        <v>1</v>
      </c>
      <c r="Q548" s="7">
        <v>1</v>
      </c>
      <c r="R548" t="str">
        <f t="shared" si="65"/>
        <v>код для проверки</v>
      </c>
      <c r="S548" t="str">
        <f t="shared" si="68"/>
        <v>Больше половины</v>
      </c>
      <c r="T548" t="str">
        <f t="shared" si="69"/>
        <v>Низшая четверть</v>
      </c>
      <c r="U548" t="str">
        <f t="shared" si="70"/>
        <v>код для проверки</v>
      </c>
      <c r="V548" t="str">
        <f t="shared" si="71"/>
        <v>Больше половины</v>
      </c>
      <c r="W548" t="str">
        <f t="shared" si="72"/>
        <v>Низшая четверть</v>
      </c>
      <c r="X548">
        <v>10</v>
      </c>
    </row>
    <row r="549" spans="1:24" x14ac:dyDescent="0.35">
      <c r="A549" s="1" t="s">
        <v>1531</v>
      </c>
      <c r="B549" s="2" t="s">
        <v>1532</v>
      </c>
      <c r="C549" s="3" t="s">
        <v>55</v>
      </c>
      <c r="D549" s="2" t="s">
        <v>94</v>
      </c>
      <c r="E549" s="3" t="s">
        <v>95</v>
      </c>
      <c r="F549" s="2" t="s">
        <v>96</v>
      </c>
      <c r="G549" s="3" t="s">
        <v>17</v>
      </c>
      <c r="H549" s="2" t="s">
        <v>97</v>
      </c>
      <c r="I549" s="3" t="s">
        <v>19</v>
      </c>
      <c r="J549" s="3">
        <v>4697</v>
      </c>
      <c r="K549" s="3">
        <v>3432</v>
      </c>
      <c r="L549" s="3">
        <v>17</v>
      </c>
      <c r="M549" s="4">
        <f t="shared" si="66"/>
        <v>0.73067915690866514</v>
      </c>
      <c r="N549" s="4">
        <f t="shared" si="67"/>
        <v>4.9533799533799531E-3</v>
      </c>
      <c r="O549">
        <v>3920</v>
      </c>
      <c r="P549" s="5">
        <v>0.66666666666666663</v>
      </c>
      <c r="Q549" s="7">
        <v>1</v>
      </c>
      <c r="R549" t="str">
        <f t="shared" si="65"/>
        <v>код для проверки</v>
      </c>
      <c r="S549" t="str">
        <f t="shared" si="68"/>
        <v>Больше половины</v>
      </c>
      <c r="T549" t="str">
        <f t="shared" si="69"/>
        <v>Низшая четверть</v>
      </c>
      <c r="U549" t="str">
        <f t="shared" si="70"/>
        <v>код для проверки</v>
      </c>
      <c r="V549" t="str">
        <f t="shared" si="71"/>
        <v>Больше половины</v>
      </c>
      <c r="W549" t="str">
        <f t="shared" si="72"/>
        <v>Низшая четверть</v>
      </c>
      <c r="X549">
        <v>23</v>
      </c>
    </row>
    <row r="550" spans="1:24" x14ac:dyDescent="0.35">
      <c r="A550" s="1" t="s">
        <v>1117</v>
      </c>
      <c r="B550" s="2" t="s">
        <v>1118</v>
      </c>
      <c r="C550" s="3" t="s">
        <v>13</v>
      </c>
      <c r="D550" s="2" t="s">
        <v>85</v>
      </c>
      <c r="E550" s="3" t="s">
        <v>599</v>
      </c>
      <c r="F550" s="2" t="s">
        <v>34</v>
      </c>
      <c r="G550" s="3" t="s">
        <v>17</v>
      </c>
      <c r="H550" s="2" t="s">
        <v>18</v>
      </c>
      <c r="I550" s="3" t="s">
        <v>19</v>
      </c>
      <c r="J550" s="3">
        <v>4696</v>
      </c>
      <c r="K550" s="3">
        <v>581</v>
      </c>
      <c r="L550" s="3">
        <v>36</v>
      </c>
      <c r="M550" s="4">
        <f t="shared" si="66"/>
        <v>0.12372231686541738</v>
      </c>
      <c r="N550" s="4">
        <f t="shared" si="67"/>
        <v>6.1962134251290879E-2</v>
      </c>
      <c r="O550">
        <v>162</v>
      </c>
      <c r="P550" s="5">
        <v>0.8</v>
      </c>
      <c r="Q550" s="7">
        <v>1</v>
      </c>
      <c r="R550" t="str">
        <f t="shared" si="65"/>
        <v>нормальный код</v>
      </c>
      <c r="S550" t="str">
        <f t="shared" si="68"/>
        <v>Больше половины</v>
      </c>
      <c r="T550" t="str">
        <f t="shared" si="69"/>
        <v>Больше половины</v>
      </c>
      <c r="U550" t="str">
        <f t="shared" si="70"/>
        <v>нормальный код</v>
      </c>
      <c r="V550" t="str">
        <f t="shared" si="71"/>
        <v>Больше половины</v>
      </c>
      <c r="W550" t="str">
        <f t="shared" si="72"/>
        <v>Больше половины</v>
      </c>
      <c r="X550">
        <v>21</v>
      </c>
    </row>
    <row r="551" spans="1:24" x14ac:dyDescent="0.35">
      <c r="A551" s="1" t="s">
        <v>1945</v>
      </c>
      <c r="B551" s="2" t="s">
        <v>1946</v>
      </c>
      <c r="C551" s="3" t="s">
        <v>13</v>
      </c>
      <c r="D551" s="2" t="s">
        <v>69</v>
      </c>
      <c r="E551" s="3" t="s">
        <v>311</v>
      </c>
      <c r="F551" s="2" t="s">
        <v>34</v>
      </c>
      <c r="G551" s="3" t="s">
        <v>72</v>
      </c>
      <c r="H551" s="2" t="s">
        <v>18</v>
      </c>
      <c r="I551" s="3" t="s">
        <v>19</v>
      </c>
      <c r="J551" s="3">
        <v>4683</v>
      </c>
      <c r="K551" s="3">
        <v>681</v>
      </c>
      <c r="L551" s="3">
        <v>21</v>
      </c>
      <c r="M551" s="4">
        <f t="shared" si="66"/>
        <v>0.14541960281870595</v>
      </c>
      <c r="N551" s="4">
        <f t="shared" si="67"/>
        <v>3.0837004405286344E-2</v>
      </c>
      <c r="O551">
        <v>0</v>
      </c>
      <c r="P551" s="5">
        <v>0.83333333333333337</v>
      </c>
      <c r="Q551" s="7">
        <v>0</v>
      </c>
      <c r="R551" t="s">
        <v>2350</v>
      </c>
      <c r="S551" t="str">
        <f t="shared" si="68"/>
        <v>Больше половины</v>
      </c>
      <c r="T551" t="str">
        <f t="shared" si="69"/>
        <v>Больше половины</v>
      </c>
      <c r="U551" t="str">
        <f t="shared" si="70"/>
        <v>нормальный код</v>
      </c>
      <c r="V551" t="str">
        <f t="shared" si="71"/>
        <v>Больше половины</v>
      </c>
      <c r="W551" t="str">
        <f t="shared" si="72"/>
        <v>Больше половины</v>
      </c>
      <c r="X551">
        <v>8</v>
      </c>
    </row>
    <row r="552" spans="1:24" x14ac:dyDescent="0.35">
      <c r="A552" s="1" t="s">
        <v>2496</v>
      </c>
      <c r="B552" s="2" t="s">
        <v>2497</v>
      </c>
      <c r="C552" s="3" t="s">
        <v>13</v>
      </c>
      <c r="D552" s="2" t="s">
        <v>69</v>
      </c>
      <c r="E552" s="3" t="s">
        <v>1783</v>
      </c>
      <c r="F552" s="2" t="s">
        <v>61</v>
      </c>
      <c r="G552" s="3" t="s">
        <v>72</v>
      </c>
      <c r="H552" s="2" t="s">
        <v>18</v>
      </c>
      <c r="I552" s="3" t="s">
        <v>19</v>
      </c>
      <c r="J552" s="3">
        <v>4666</v>
      </c>
      <c r="K552" s="3">
        <v>842</v>
      </c>
      <c r="L552" s="3">
        <v>13</v>
      </c>
      <c r="M552" s="4">
        <f t="shared" si="66"/>
        <v>0.18045435062151735</v>
      </c>
      <c r="N552" s="4">
        <f t="shared" si="67"/>
        <v>1.5439429928741092E-2</v>
      </c>
      <c r="O552">
        <v>685</v>
      </c>
      <c r="P552" s="5">
        <v>1</v>
      </c>
      <c r="Q552" s="7">
        <v>1</v>
      </c>
      <c r="R552" t="str">
        <f t="shared" ref="R552:R561" si="73">IF(OR(M552&lt;$S$1*0.5,N552&lt;$T$1*0.5),"код для проверки","нормальный код")</f>
        <v>нормальный код</v>
      </c>
      <c r="S552" t="str">
        <f t="shared" si="68"/>
        <v>Больше половины</v>
      </c>
      <c r="T552" t="str">
        <f t="shared" si="69"/>
        <v>Вторая четверть</v>
      </c>
      <c r="U552" t="str">
        <f t="shared" si="70"/>
        <v>нормальный код</v>
      </c>
      <c r="V552" t="str">
        <f t="shared" si="71"/>
        <v>Больше половины</v>
      </c>
      <c r="W552" t="str">
        <f t="shared" si="72"/>
        <v>Вторая четверть</v>
      </c>
      <c r="X552">
        <v>7</v>
      </c>
    </row>
    <row r="553" spans="1:24" x14ac:dyDescent="0.35">
      <c r="A553" s="1" t="s">
        <v>675</v>
      </c>
      <c r="B553" s="2" t="s">
        <v>676</v>
      </c>
      <c r="C553" s="3" t="s">
        <v>13</v>
      </c>
      <c r="D553" s="2" t="s">
        <v>405</v>
      </c>
      <c r="E553" s="3" t="s">
        <v>406</v>
      </c>
      <c r="F553" s="2" t="s">
        <v>34</v>
      </c>
      <c r="G553" s="3" t="s">
        <v>35</v>
      </c>
      <c r="H553" s="2" t="s">
        <v>18</v>
      </c>
      <c r="I553" s="3" t="s">
        <v>19</v>
      </c>
      <c r="J553" s="3">
        <v>4615</v>
      </c>
      <c r="K553" s="3">
        <v>544</v>
      </c>
      <c r="L553" s="3">
        <v>4</v>
      </c>
      <c r="M553" s="4">
        <f t="shared" si="66"/>
        <v>0.11787648970747562</v>
      </c>
      <c r="N553" s="4">
        <f t="shared" si="67"/>
        <v>7.3529411764705881E-3</v>
      </c>
      <c r="O553">
        <v>381</v>
      </c>
      <c r="P553" s="5">
        <v>1</v>
      </c>
      <c r="Q553" s="7">
        <v>1</v>
      </c>
      <c r="R553" t="str">
        <f t="shared" si="73"/>
        <v>код для проверки</v>
      </c>
      <c r="S553" t="str">
        <f t="shared" si="68"/>
        <v>Больше половины</v>
      </c>
      <c r="T553" t="str">
        <f t="shared" si="69"/>
        <v>Низшая четверть</v>
      </c>
      <c r="U553" t="str">
        <f t="shared" si="70"/>
        <v>код для проверки</v>
      </c>
      <c r="V553" t="str">
        <f t="shared" si="71"/>
        <v>Больше половины</v>
      </c>
      <c r="W553" t="str">
        <f t="shared" si="72"/>
        <v>Низшая четверть</v>
      </c>
      <c r="X553">
        <v>22</v>
      </c>
    </row>
    <row r="554" spans="1:24" x14ac:dyDescent="0.35">
      <c r="A554" s="1" t="s">
        <v>249</v>
      </c>
      <c r="B554" s="2" t="s">
        <v>250</v>
      </c>
      <c r="C554" s="3" t="s">
        <v>13</v>
      </c>
      <c r="D554" s="2" t="s">
        <v>69</v>
      </c>
      <c r="E554" s="3" t="s">
        <v>70</v>
      </c>
      <c r="F554" s="2" t="s">
        <v>71</v>
      </c>
      <c r="G554" s="3" t="s">
        <v>72</v>
      </c>
      <c r="H554" s="2" t="s">
        <v>18</v>
      </c>
      <c r="I554" s="3" t="s">
        <v>19</v>
      </c>
      <c r="J554" s="3">
        <v>4595</v>
      </c>
      <c r="K554" s="3">
        <v>826</v>
      </c>
      <c r="L554" s="3">
        <v>6</v>
      </c>
      <c r="M554" s="4">
        <f t="shared" si="66"/>
        <v>0.17976060935799781</v>
      </c>
      <c r="N554" s="4">
        <f t="shared" si="67"/>
        <v>7.2639225181598066E-3</v>
      </c>
      <c r="O554">
        <v>143</v>
      </c>
      <c r="P554" s="5">
        <v>1</v>
      </c>
      <c r="Q554" s="7">
        <v>1</v>
      </c>
      <c r="R554" t="str">
        <f t="shared" si="73"/>
        <v>код для проверки</v>
      </c>
      <c r="S554" t="str">
        <f t="shared" si="68"/>
        <v>Больше половины</v>
      </c>
      <c r="T554" t="str">
        <f t="shared" si="69"/>
        <v>Низшая четверть</v>
      </c>
      <c r="U554" t="str">
        <f t="shared" si="70"/>
        <v>нормальный код</v>
      </c>
      <c r="V554" t="str">
        <f t="shared" si="71"/>
        <v>Больше половины</v>
      </c>
      <c r="W554" t="str">
        <f t="shared" si="72"/>
        <v>Вторая четверть</v>
      </c>
      <c r="X554">
        <v>16</v>
      </c>
    </row>
    <row r="555" spans="1:24" x14ac:dyDescent="0.35">
      <c r="A555" s="1" t="s">
        <v>561</v>
      </c>
      <c r="B555" s="2" t="s">
        <v>562</v>
      </c>
      <c r="C555" s="3" t="s">
        <v>55</v>
      </c>
      <c r="D555" s="2" t="s">
        <v>340</v>
      </c>
      <c r="E555" s="3" t="s">
        <v>341</v>
      </c>
      <c r="F555" s="2" t="s">
        <v>96</v>
      </c>
      <c r="G555" s="3" t="s">
        <v>17</v>
      </c>
      <c r="H555" s="2" t="s">
        <v>97</v>
      </c>
      <c r="I555" s="3" t="s">
        <v>19</v>
      </c>
      <c r="J555" s="3">
        <v>4572</v>
      </c>
      <c r="K555" s="3">
        <v>335</v>
      </c>
      <c r="L555" s="3">
        <v>5</v>
      </c>
      <c r="M555" s="4">
        <f t="shared" si="66"/>
        <v>7.3272090988626415E-2</v>
      </c>
      <c r="N555" s="4">
        <f t="shared" si="67"/>
        <v>1.4925373134328358E-2</v>
      </c>
      <c r="O555">
        <v>435</v>
      </c>
      <c r="P555" s="5">
        <v>1</v>
      </c>
      <c r="Q555" s="7">
        <v>1</v>
      </c>
      <c r="R555" t="str">
        <f t="shared" si="73"/>
        <v>нормальный код</v>
      </c>
      <c r="S555" t="str">
        <f t="shared" si="68"/>
        <v>Вторая четверть</v>
      </c>
      <c r="T555" t="str">
        <f t="shared" si="69"/>
        <v>Вторая четверть</v>
      </c>
      <c r="U555" t="str">
        <f t="shared" si="70"/>
        <v>нормальный код</v>
      </c>
      <c r="V555" t="str">
        <f t="shared" si="71"/>
        <v>Вторая четверть</v>
      </c>
      <c r="W555" t="str">
        <f t="shared" si="72"/>
        <v>Больше половины</v>
      </c>
      <c r="X555">
        <v>16</v>
      </c>
    </row>
    <row r="556" spans="1:24" x14ac:dyDescent="0.35">
      <c r="A556" s="1" t="s">
        <v>2498</v>
      </c>
      <c r="B556" s="2" t="s">
        <v>2499</v>
      </c>
      <c r="C556" s="3" t="s">
        <v>13</v>
      </c>
      <c r="D556" s="2" t="s">
        <v>69</v>
      </c>
      <c r="E556" s="3" t="s">
        <v>1783</v>
      </c>
      <c r="F556" s="2" t="s">
        <v>61</v>
      </c>
      <c r="G556" s="3" t="s">
        <v>72</v>
      </c>
      <c r="H556" s="2" t="s">
        <v>18</v>
      </c>
      <c r="I556" s="3" t="s">
        <v>19</v>
      </c>
      <c r="J556" s="3">
        <v>4536</v>
      </c>
      <c r="K556" s="3">
        <v>516</v>
      </c>
      <c r="L556" s="3">
        <v>0</v>
      </c>
      <c r="M556" s="4">
        <f t="shared" si="66"/>
        <v>0.11375661375661375</v>
      </c>
      <c r="N556" s="4">
        <f t="shared" si="67"/>
        <v>0</v>
      </c>
      <c r="O556">
        <v>588</v>
      </c>
      <c r="P556" s="5">
        <v>1</v>
      </c>
      <c r="Q556" s="7">
        <v>1</v>
      </c>
      <c r="R556" t="str">
        <f t="shared" si="73"/>
        <v>код для проверки</v>
      </c>
      <c r="S556" t="str">
        <f t="shared" si="68"/>
        <v>Больше половины</v>
      </c>
      <c r="T556" t="str">
        <f t="shared" si="69"/>
        <v>Низшая четверть</v>
      </c>
      <c r="U556" t="str">
        <f t="shared" si="70"/>
        <v>код для проверки</v>
      </c>
      <c r="V556" t="str">
        <f t="shared" si="71"/>
        <v>Больше половины</v>
      </c>
      <c r="W556" t="str">
        <f t="shared" si="72"/>
        <v>Низшая четверть</v>
      </c>
      <c r="X556">
        <v>14</v>
      </c>
    </row>
    <row r="557" spans="1:24" x14ac:dyDescent="0.35">
      <c r="A557" s="1" t="s">
        <v>1170</v>
      </c>
      <c r="B557" s="2" t="s">
        <v>1171</v>
      </c>
      <c r="C557" s="3" t="s">
        <v>55</v>
      </c>
      <c r="D557" s="2" t="s">
        <v>94</v>
      </c>
      <c r="E557" s="3" t="s">
        <v>95</v>
      </c>
      <c r="F557" s="2" t="s">
        <v>96</v>
      </c>
      <c r="G557" s="3" t="s">
        <v>17</v>
      </c>
      <c r="H557" s="2" t="s">
        <v>97</v>
      </c>
      <c r="I557" s="3" t="s">
        <v>19</v>
      </c>
      <c r="J557" s="3">
        <v>4527</v>
      </c>
      <c r="K557" s="3">
        <v>7961</v>
      </c>
      <c r="L557" s="3">
        <v>27</v>
      </c>
      <c r="M557" s="4">
        <f t="shared" si="66"/>
        <v>1.7585597525955379</v>
      </c>
      <c r="N557" s="4">
        <f t="shared" si="67"/>
        <v>3.3915337269187287E-3</v>
      </c>
      <c r="O557">
        <v>2087</v>
      </c>
      <c r="P557" s="5">
        <v>0.77777777777777779</v>
      </c>
      <c r="Q557" s="7">
        <v>1</v>
      </c>
      <c r="R557" t="str">
        <f t="shared" si="73"/>
        <v>код для проверки</v>
      </c>
      <c r="S557" t="str">
        <f t="shared" si="68"/>
        <v>Больше половины</v>
      </c>
      <c r="T557" t="str">
        <f t="shared" si="69"/>
        <v>Низшая четверть</v>
      </c>
      <c r="U557" t="str">
        <f t="shared" si="70"/>
        <v>код для проверки</v>
      </c>
      <c r="V557" t="str">
        <f t="shared" si="71"/>
        <v>Больше половины</v>
      </c>
      <c r="W557" t="str">
        <f t="shared" si="72"/>
        <v>Низшая четверть</v>
      </c>
      <c r="X557">
        <v>14</v>
      </c>
    </row>
    <row r="558" spans="1:24" x14ac:dyDescent="0.35">
      <c r="A558" s="1" t="s">
        <v>232</v>
      </c>
      <c r="B558" s="2" t="s">
        <v>233</v>
      </c>
      <c r="C558" s="3" t="s">
        <v>13</v>
      </c>
      <c r="D558" s="2" t="s">
        <v>77</v>
      </c>
      <c r="E558" s="3" t="s">
        <v>89</v>
      </c>
      <c r="F558" s="2" t="s">
        <v>34</v>
      </c>
      <c r="G558" s="3" t="s">
        <v>35</v>
      </c>
      <c r="H558" s="2" t="s">
        <v>18</v>
      </c>
      <c r="I558" s="3" t="s">
        <v>19</v>
      </c>
      <c r="J558" s="3">
        <v>4491</v>
      </c>
      <c r="K558" s="3">
        <v>760</v>
      </c>
      <c r="L558" s="3">
        <v>6</v>
      </c>
      <c r="M558" s="4">
        <f t="shared" si="66"/>
        <v>0.16922734357604097</v>
      </c>
      <c r="N558" s="4">
        <f t="shared" si="67"/>
        <v>7.8947368421052634E-3</v>
      </c>
      <c r="O558">
        <v>356</v>
      </c>
      <c r="P558" s="5">
        <v>1</v>
      </c>
      <c r="Q558" s="7">
        <v>1</v>
      </c>
      <c r="R558" t="str">
        <f t="shared" si="73"/>
        <v>код для проверки</v>
      </c>
      <c r="S558" t="str">
        <f t="shared" si="68"/>
        <v>Больше половины</v>
      </c>
      <c r="T558" t="str">
        <f t="shared" si="69"/>
        <v>Низшая четверть</v>
      </c>
      <c r="U558" t="str">
        <f t="shared" si="70"/>
        <v>код для проверки</v>
      </c>
      <c r="V558" t="str">
        <f t="shared" si="71"/>
        <v>Больше половины</v>
      </c>
      <c r="W558" t="str">
        <f t="shared" si="72"/>
        <v>Низшая четверть</v>
      </c>
      <c r="X558">
        <v>20</v>
      </c>
    </row>
    <row r="559" spans="1:24" x14ac:dyDescent="0.35">
      <c r="A559" s="1" t="s">
        <v>1590</v>
      </c>
      <c r="B559" s="2" t="s">
        <v>1591</v>
      </c>
      <c r="C559" s="3" t="s">
        <v>13</v>
      </c>
      <c r="D559" s="2" t="s">
        <v>77</v>
      </c>
      <c r="E559" s="3" t="s">
        <v>1592</v>
      </c>
      <c r="F559" s="2" t="s">
        <v>96</v>
      </c>
      <c r="G559" s="3" t="s">
        <v>17</v>
      </c>
      <c r="H559" s="2" t="s">
        <v>18</v>
      </c>
      <c r="I559" s="3" t="s">
        <v>19</v>
      </c>
      <c r="J559" s="3">
        <v>4476</v>
      </c>
      <c r="K559" s="3">
        <v>344</v>
      </c>
      <c r="L559" s="3">
        <v>33</v>
      </c>
      <c r="M559" s="4">
        <f t="shared" si="66"/>
        <v>7.6854334226988383E-2</v>
      </c>
      <c r="N559" s="4">
        <f t="shared" si="67"/>
        <v>9.5930232558139539E-2</v>
      </c>
      <c r="O559">
        <v>1529</v>
      </c>
      <c r="P559" s="5">
        <v>1</v>
      </c>
      <c r="Q559" s="7">
        <v>1</v>
      </c>
      <c r="R559" t="str">
        <f t="shared" si="73"/>
        <v>нормальный код</v>
      </c>
      <c r="S559" t="str">
        <f t="shared" si="68"/>
        <v>Вторая четверть</v>
      </c>
      <c r="T559" t="str">
        <f t="shared" si="69"/>
        <v>Больше половины</v>
      </c>
      <c r="U559" t="str">
        <f t="shared" si="70"/>
        <v>нормальный код</v>
      </c>
      <c r="V559" t="str">
        <f t="shared" si="71"/>
        <v>Вторая четверть</v>
      </c>
      <c r="W559" t="str">
        <f t="shared" si="72"/>
        <v>Больше половины</v>
      </c>
      <c r="X559">
        <v>10</v>
      </c>
    </row>
    <row r="560" spans="1:24" x14ac:dyDescent="0.35">
      <c r="A560" s="1" t="s">
        <v>1260</v>
      </c>
      <c r="B560" s="2" t="s">
        <v>1261</v>
      </c>
      <c r="C560" s="3" t="s">
        <v>13</v>
      </c>
      <c r="D560" s="2" t="s">
        <v>121</v>
      </c>
      <c r="E560" s="3" t="s">
        <v>122</v>
      </c>
      <c r="F560" s="2" t="s">
        <v>123</v>
      </c>
      <c r="G560" s="3" t="s">
        <v>35</v>
      </c>
      <c r="H560" s="2" t="s">
        <v>18</v>
      </c>
      <c r="I560" s="3" t="s">
        <v>19</v>
      </c>
      <c r="J560" s="3">
        <v>4459</v>
      </c>
      <c r="K560" s="3">
        <v>271</v>
      </c>
      <c r="L560" s="3">
        <v>2</v>
      </c>
      <c r="M560" s="4">
        <f t="shared" si="66"/>
        <v>6.077595873514241E-2</v>
      </c>
      <c r="N560" s="4">
        <f t="shared" si="67"/>
        <v>7.3800738007380072E-3</v>
      </c>
      <c r="O560">
        <v>242</v>
      </c>
      <c r="P560" s="5">
        <v>1</v>
      </c>
      <c r="Q560" s="7">
        <v>1</v>
      </c>
      <c r="R560" t="str">
        <f t="shared" si="73"/>
        <v>код для проверки</v>
      </c>
      <c r="S560" t="str">
        <f t="shared" si="68"/>
        <v>Вторая четверть</v>
      </c>
      <c r="T560" t="str">
        <f t="shared" si="69"/>
        <v>Низшая четверть</v>
      </c>
      <c r="U560" t="str">
        <f t="shared" si="70"/>
        <v>нормальный код</v>
      </c>
      <c r="V560" t="str">
        <f t="shared" si="71"/>
        <v>Вторая четверть</v>
      </c>
      <c r="W560" t="str">
        <f t="shared" si="72"/>
        <v>Вторая четверть</v>
      </c>
      <c r="X560">
        <v>16</v>
      </c>
    </row>
    <row r="561" spans="1:24" x14ac:dyDescent="0.35">
      <c r="A561" s="1" t="s">
        <v>493</v>
      </c>
      <c r="B561" s="2" t="s">
        <v>494</v>
      </c>
      <c r="C561" s="3" t="s">
        <v>55</v>
      </c>
      <c r="D561" s="2" t="s">
        <v>56</v>
      </c>
      <c r="E561" s="3" t="s">
        <v>57</v>
      </c>
      <c r="F561" s="2" t="s">
        <v>34</v>
      </c>
      <c r="G561" s="3" t="s">
        <v>17</v>
      </c>
      <c r="H561" s="2" t="s">
        <v>18</v>
      </c>
      <c r="I561" s="3" t="s">
        <v>19</v>
      </c>
      <c r="J561" s="3">
        <v>4453</v>
      </c>
      <c r="K561" s="3">
        <v>619</v>
      </c>
      <c r="L561" s="3">
        <v>12</v>
      </c>
      <c r="M561" s="4">
        <f t="shared" si="66"/>
        <v>0.1390074107343364</v>
      </c>
      <c r="N561" s="4">
        <f t="shared" si="67"/>
        <v>1.9386106623586429E-2</v>
      </c>
      <c r="O561">
        <v>184</v>
      </c>
      <c r="P561" s="5">
        <v>0.8</v>
      </c>
      <c r="Q561" s="7">
        <v>1</v>
      </c>
      <c r="R561" t="str">
        <f t="shared" si="73"/>
        <v>нормальный код</v>
      </c>
      <c r="S561" t="str">
        <f t="shared" si="68"/>
        <v>Больше половины</v>
      </c>
      <c r="T561" t="str">
        <f t="shared" si="69"/>
        <v>Вторая четверть</v>
      </c>
      <c r="U561" t="str">
        <f t="shared" si="70"/>
        <v>нормальный код</v>
      </c>
      <c r="V561" t="str">
        <f t="shared" si="71"/>
        <v>Больше половины</v>
      </c>
      <c r="W561" t="str">
        <f t="shared" si="72"/>
        <v>Больше половины</v>
      </c>
      <c r="X561">
        <v>7</v>
      </c>
    </row>
    <row r="562" spans="1:24" x14ac:dyDescent="0.35">
      <c r="A562" s="1" t="s">
        <v>1931</v>
      </c>
      <c r="B562" s="2" t="s">
        <v>1932</v>
      </c>
      <c r="C562" s="3" t="s">
        <v>13</v>
      </c>
      <c r="D562" s="2" t="s">
        <v>69</v>
      </c>
      <c r="E562" s="3" t="s">
        <v>290</v>
      </c>
      <c r="F562" s="2" t="s">
        <v>34</v>
      </c>
      <c r="G562" s="3" t="s">
        <v>72</v>
      </c>
      <c r="H562" s="2" t="s">
        <v>18</v>
      </c>
      <c r="I562" s="3" t="s">
        <v>19</v>
      </c>
      <c r="J562" s="3">
        <v>4437</v>
      </c>
      <c r="K562" s="3">
        <v>1072</v>
      </c>
      <c r="L562" s="3">
        <v>66</v>
      </c>
      <c r="M562" s="4">
        <f t="shared" si="66"/>
        <v>0.24160468785215236</v>
      </c>
      <c r="N562" s="4">
        <f t="shared" si="67"/>
        <v>6.1567164179104475E-2</v>
      </c>
      <c r="O562">
        <v>0</v>
      </c>
      <c r="P562" s="5">
        <v>1</v>
      </c>
      <c r="Q562" s="7">
        <v>0</v>
      </c>
      <c r="R562" t="s">
        <v>2350</v>
      </c>
      <c r="S562" t="str">
        <f t="shared" si="68"/>
        <v>Больше половины</v>
      </c>
      <c r="T562" t="str">
        <f t="shared" si="69"/>
        <v>Больше половины</v>
      </c>
      <c r="U562" t="str">
        <f t="shared" si="70"/>
        <v>нормальный код</v>
      </c>
      <c r="V562" t="str">
        <f t="shared" si="71"/>
        <v>Больше половины</v>
      </c>
      <c r="W562" t="str">
        <f t="shared" si="72"/>
        <v>Больше половины</v>
      </c>
      <c r="X562">
        <v>11</v>
      </c>
    </row>
    <row r="563" spans="1:24" x14ac:dyDescent="0.35">
      <c r="A563" s="1" t="s">
        <v>1270</v>
      </c>
      <c r="B563" s="2" t="s">
        <v>1271</v>
      </c>
      <c r="C563" s="3" t="s">
        <v>13</v>
      </c>
      <c r="D563" s="2" t="s">
        <v>1215</v>
      </c>
      <c r="E563" s="3" t="s">
        <v>1216</v>
      </c>
      <c r="F563" s="2" t="s">
        <v>34</v>
      </c>
      <c r="G563" s="3" t="s">
        <v>35</v>
      </c>
      <c r="H563" s="2" t="s">
        <v>18</v>
      </c>
      <c r="I563" s="3" t="s">
        <v>19</v>
      </c>
      <c r="J563" s="3">
        <v>4426</v>
      </c>
      <c r="K563" s="3">
        <v>389</v>
      </c>
      <c r="L563" s="3">
        <v>7</v>
      </c>
      <c r="M563" s="4">
        <f t="shared" si="66"/>
        <v>8.7889742431089019E-2</v>
      </c>
      <c r="N563" s="4">
        <f t="shared" si="67"/>
        <v>1.7994858611825194E-2</v>
      </c>
      <c r="O563">
        <v>266</v>
      </c>
      <c r="P563" s="5">
        <v>1</v>
      </c>
      <c r="Q563" s="7">
        <v>1</v>
      </c>
      <c r="R563" t="str">
        <f t="shared" ref="R563:R626" si="74">IF(OR(M563&lt;$S$1*0.5,N563&lt;$T$1*0.5),"код для проверки","нормальный код")</f>
        <v>нормальный код</v>
      </c>
      <c r="S563" t="str">
        <f t="shared" si="68"/>
        <v>Вторая четверть</v>
      </c>
      <c r="T563" t="str">
        <f t="shared" si="69"/>
        <v>Вторая четверть</v>
      </c>
      <c r="U563" t="str">
        <f t="shared" si="70"/>
        <v>нормальный код</v>
      </c>
      <c r="V563" t="str">
        <f t="shared" si="71"/>
        <v>Вторая четверть</v>
      </c>
      <c r="W563" t="str">
        <f t="shared" si="72"/>
        <v>Больше половины</v>
      </c>
      <c r="X563">
        <v>28</v>
      </c>
    </row>
    <row r="564" spans="1:24" x14ac:dyDescent="0.35">
      <c r="A564" s="1" t="s">
        <v>1090</v>
      </c>
      <c r="B564" s="2" t="s">
        <v>1091</v>
      </c>
      <c r="C564" s="3" t="s">
        <v>13</v>
      </c>
      <c r="D564" s="2" t="s">
        <v>69</v>
      </c>
      <c r="E564" s="3" t="s">
        <v>1092</v>
      </c>
      <c r="F564" s="2" t="s">
        <v>34</v>
      </c>
      <c r="G564" s="3" t="s">
        <v>72</v>
      </c>
      <c r="H564" s="2" t="s">
        <v>18</v>
      </c>
      <c r="I564" s="3" t="s">
        <v>19</v>
      </c>
      <c r="J564" s="3">
        <v>4397</v>
      </c>
      <c r="K564" s="3">
        <v>277</v>
      </c>
      <c r="L564" s="3">
        <v>9</v>
      </c>
      <c r="M564" s="4">
        <f t="shared" si="66"/>
        <v>6.2997498294291562E-2</v>
      </c>
      <c r="N564" s="4">
        <f t="shared" si="67"/>
        <v>3.2490974729241874E-2</v>
      </c>
      <c r="O564">
        <v>443</v>
      </c>
      <c r="P564" s="5">
        <v>1</v>
      </c>
      <c r="Q564" s="7">
        <v>1</v>
      </c>
      <c r="R564" t="str">
        <f t="shared" si="74"/>
        <v>нормальный код</v>
      </c>
      <c r="S564" t="str">
        <f t="shared" si="68"/>
        <v>Вторая четверть</v>
      </c>
      <c r="T564" t="str">
        <f t="shared" si="69"/>
        <v>Больше половины</v>
      </c>
      <c r="U564" t="str">
        <f t="shared" si="70"/>
        <v>нормальный код</v>
      </c>
      <c r="V564" t="str">
        <f t="shared" si="71"/>
        <v>Вторая четверть</v>
      </c>
      <c r="W564" t="str">
        <f t="shared" si="72"/>
        <v>Больше половины</v>
      </c>
      <c r="X564">
        <v>14</v>
      </c>
    </row>
    <row r="565" spans="1:24" x14ac:dyDescent="0.35">
      <c r="A565" s="1" t="s">
        <v>1639</v>
      </c>
      <c r="B565" s="2" t="s">
        <v>1640</v>
      </c>
      <c r="C565" s="3" t="s">
        <v>13</v>
      </c>
      <c r="D565" s="2" t="s">
        <v>77</v>
      </c>
      <c r="E565" s="3" t="s">
        <v>444</v>
      </c>
      <c r="F565" s="2" t="s">
        <v>96</v>
      </c>
      <c r="G565" s="3" t="s">
        <v>17</v>
      </c>
      <c r="H565" s="2" t="s">
        <v>18</v>
      </c>
      <c r="I565" s="3" t="s">
        <v>19</v>
      </c>
      <c r="J565" s="3">
        <v>4387</v>
      </c>
      <c r="K565" s="3">
        <v>248</v>
      </c>
      <c r="L565" s="3">
        <v>5</v>
      </c>
      <c r="M565" s="4">
        <f t="shared" si="66"/>
        <v>5.6530658764531568E-2</v>
      </c>
      <c r="N565" s="4">
        <f t="shared" si="67"/>
        <v>2.0161290322580645E-2</v>
      </c>
      <c r="O565">
        <v>366</v>
      </c>
      <c r="P565" s="5">
        <v>1</v>
      </c>
      <c r="Q565" s="7">
        <v>1</v>
      </c>
      <c r="R565" t="str">
        <f t="shared" si="74"/>
        <v>нормальный код</v>
      </c>
      <c r="S565" t="str">
        <f t="shared" si="68"/>
        <v>Вторая четверть</v>
      </c>
      <c r="T565" t="str">
        <f t="shared" si="69"/>
        <v>Вторая четверть</v>
      </c>
      <c r="U565" t="str">
        <f t="shared" si="70"/>
        <v>нормальный код</v>
      </c>
      <c r="V565" t="str">
        <f t="shared" si="71"/>
        <v>Вторая четверть</v>
      </c>
      <c r="W565" t="str">
        <f t="shared" si="72"/>
        <v>Больше половины</v>
      </c>
      <c r="X565">
        <v>8</v>
      </c>
    </row>
    <row r="566" spans="1:24" x14ac:dyDescent="0.35">
      <c r="A566" s="1" t="s">
        <v>840</v>
      </c>
      <c r="B566" s="2" t="s">
        <v>841</v>
      </c>
      <c r="C566" s="3" t="s">
        <v>13</v>
      </c>
      <c r="D566" s="2" t="s">
        <v>567</v>
      </c>
      <c r="E566" s="3" t="s">
        <v>842</v>
      </c>
      <c r="F566" s="2" t="s">
        <v>61</v>
      </c>
      <c r="G566" s="3" t="s">
        <v>35</v>
      </c>
      <c r="H566" s="2" t="s">
        <v>18</v>
      </c>
      <c r="I566" s="3" t="s">
        <v>19</v>
      </c>
      <c r="J566" s="3">
        <v>4357</v>
      </c>
      <c r="K566" s="3">
        <v>343</v>
      </c>
      <c r="L566" s="3">
        <v>11</v>
      </c>
      <c r="M566" s="4">
        <f t="shared" si="66"/>
        <v>7.8723892586642183E-2</v>
      </c>
      <c r="N566" s="4">
        <f t="shared" si="67"/>
        <v>3.2069970845481049E-2</v>
      </c>
      <c r="O566">
        <v>632</v>
      </c>
      <c r="P566" s="5">
        <v>1</v>
      </c>
      <c r="Q566" s="7">
        <v>1</v>
      </c>
      <c r="R566" t="str">
        <f t="shared" si="74"/>
        <v>нормальный код</v>
      </c>
      <c r="S566" t="str">
        <f t="shared" si="68"/>
        <v>Вторая четверть</v>
      </c>
      <c r="T566" t="str">
        <f t="shared" si="69"/>
        <v>Больше половины</v>
      </c>
      <c r="U566" t="str">
        <f t="shared" si="70"/>
        <v>нормальный код</v>
      </c>
      <c r="V566" t="str">
        <f t="shared" si="71"/>
        <v>Больше половины</v>
      </c>
      <c r="W566" t="str">
        <f t="shared" si="72"/>
        <v>Больше половины</v>
      </c>
      <c r="X566">
        <v>13</v>
      </c>
    </row>
    <row r="567" spans="1:24" x14ac:dyDescent="0.35">
      <c r="A567" s="1" t="s">
        <v>449</v>
      </c>
      <c r="B567" s="2" t="s">
        <v>450</v>
      </c>
      <c r="C567" s="3" t="s">
        <v>13</v>
      </c>
      <c r="D567" s="2" t="s">
        <v>77</v>
      </c>
      <c r="E567" s="3" t="s">
        <v>193</v>
      </c>
      <c r="F567" s="2" t="s">
        <v>34</v>
      </c>
      <c r="G567" s="3" t="s">
        <v>17</v>
      </c>
      <c r="H567" s="2" t="s">
        <v>18</v>
      </c>
      <c r="I567" s="3" t="s">
        <v>19</v>
      </c>
      <c r="J567" s="3">
        <v>4331</v>
      </c>
      <c r="K567" s="3">
        <v>525</v>
      </c>
      <c r="L567" s="3">
        <v>6</v>
      </c>
      <c r="M567" s="4">
        <f t="shared" si="66"/>
        <v>0.12121911798660817</v>
      </c>
      <c r="N567" s="4">
        <f t="shared" si="67"/>
        <v>1.1428571428571429E-2</v>
      </c>
      <c r="O567">
        <v>274</v>
      </c>
      <c r="P567" s="5">
        <v>1</v>
      </c>
      <c r="Q567" s="7">
        <v>1</v>
      </c>
      <c r="R567" t="str">
        <f t="shared" si="74"/>
        <v>нормальный код</v>
      </c>
      <c r="S567" t="str">
        <f t="shared" si="68"/>
        <v>Больше половины</v>
      </c>
      <c r="T567" t="str">
        <f t="shared" si="69"/>
        <v>Вторая четверть</v>
      </c>
      <c r="U567" t="str">
        <f t="shared" si="70"/>
        <v>нормальный код</v>
      </c>
      <c r="V567" t="str">
        <f t="shared" si="71"/>
        <v>Больше половины</v>
      </c>
      <c r="W567" t="str">
        <f t="shared" si="72"/>
        <v>Вторая четверть</v>
      </c>
      <c r="X567">
        <v>22</v>
      </c>
    </row>
    <row r="568" spans="1:24" x14ac:dyDescent="0.35">
      <c r="A568" s="1" t="s">
        <v>745</v>
      </c>
      <c r="B568" s="2" t="s">
        <v>746</v>
      </c>
      <c r="C568" s="3" t="s">
        <v>13</v>
      </c>
      <c r="D568" s="2" t="s">
        <v>121</v>
      </c>
      <c r="E568" s="3" t="s">
        <v>122</v>
      </c>
      <c r="F568" s="2" t="s">
        <v>123</v>
      </c>
      <c r="G568" s="3" t="s">
        <v>35</v>
      </c>
      <c r="H568" s="2" t="s">
        <v>18</v>
      </c>
      <c r="I568" s="3" t="s">
        <v>19</v>
      </c>
      <c r="J568" s="3">
        <v>4329</v>
      </c>
      <c r="K568" s="3">
        <v>320</v>
      </c>
      <c r="L568" s="3">
        <v>3</v>
      </c>
      <c r="M568" s="4">
        <f t="shared" si="66"/>
        <v>7.3920073920073923E-2</v>
      </c>
      <c r="N568" s="4">
        <f t="shared" si="67"/>
        <v>9.3749999999999997E-3</v>
      </c>
      <c r="O568">
        <v>257</v>
      </c>
      <c r="P568" s="5">
        <v>0.8</v>
      </c>
      <c r="Q568" s="7">
        <v>1</v>
      </c>
      <c r="R568" t="str">
        <f t="shared" si="74"/>
        <v>код для проверки</v>
      </c>
      <c r="S568" t="str">
        <f t="shared" si="68"/>
        <v>Вторая четверть</v>
      </c>
      <c r="T568" t="str">
        <f t="shared" si="69"/>
        <v>Низшая четверть</v>
      </c>
      <c r="U568" t="str">
        <f t="shared" si="70"/>
        <v>нормальный код</v>
      </c>
      <c r="V568" t="str">
        <f t="shared" si="71"/>
        <v>Больше половины</v>
      </c>
      <c r="W568" t="str">
        <f t="shared" si="72"/>
        <v>Вторая четверть</v>
      </c>
      <c r="X568">
        <v>19</v>
      </c>
    </row>
    <row r="569" spans="1:24" x14ac:dyDescent="0.35">
      <c r="A569" s="1" t="s">
        <v>1547</v>
      </c>
      <c r="B569" s="2" t="s">
        <v>1548</v>
      </c>
      <c r="C569" s="3" t="s">
        <v>55</v>
      </c>
      <c r="D569" s="2" t="s">
        <v>985</v>
      </c>
      <c r="E569" s="3" t="s">
        <v>986</v>
      </c>
      <c r="F569" s="2" t="s">
        <v>34</v>
      </c>
      <c r="G569" s="3" t="s">
        <v>17</v>
      </c>
      <c r="H569" s="2" t="s">
        <v>18</v>
      </c>
      <c r="I569" s="3" t="s">
        <v>19</v>
      </c>
      <c r="J569" s="3">
        <v>4320</v>
      </c>
      <c r="K569" s="3">
        <v>365</v>
      </c>
      <c r="L569" s="3">
        <v>10</v>
      </c>
      <c r="M569" s="4">
        <f t="shared" si="66"/>
        <v>8.4490740740740741E-2</v>
      </c>
      <c r="N569" s="4">
        <f t="shared" si="67"/>
        <v>2.7397260273972601E-2</v>
      </c>
      <c r="O569">
        <v>508</v>
      </c>
      <c r="P569" s="5">
        <v>1</v>
      </c>
      <c r="Q569" s="7">
        <v>1</v>
      </c>
      <c r="R569" t="str">
        <f t="shared" si="74"/>
        <v>нормальный код</v>
      </c>
      <c r="S569" t="str">
        <f t="shared" si="68"/>
        <v>Вторая четверть</v>
      </c>
      <c r="T569" t="str">
        <f t="shared" si="69"/>
        <v>Больше половины</v>
      </c>
      <c r="U569" t="str">
        <f t="shared" si="70"/>
        <v>нормальный код</v>
      </c>
      <c r="V569" t="str">
        <f t="shared" si="71"/>
        <v>Больше половины</v>
      </c>
      <c r="W569" t="str">
        <f t="shared" si="72"/>
        <v>Вторая четверть</v>
      </c>
      <c r="X569">
        <v>9</v>
      </c>
    </row>
    <row r="570" spans="1:24" x14ac:dyDescent="0.35">
      <c r="A570" s="1" t="s">
        <v>1200</v>
      </c>
      <c r="B570" s="2" t="s">
        <v>1201</v>
      </c>
      <c r="C570" s="3" t="s">
        <v>13</v>
      </c>
      <c r="D570" s="2" t="s">
        <v>77</v>
      </c>
      <c r="E570" s="3" t="s">
        <v>427</v>
      </c>
      <c r="F570" s="2" t="s">
        <v>71</v>
      </c>
      <c r="G570" s="3" t="s">
        <v>17</v>
      </c>
      <c r="H570" s="2" t="s">
        <v>18</v>
      </c>
      <c r="I570" s="3" t="s">
        <v>19</v>
      </c>
      <c r="J570" s="3">
        <v>4285</v>
      </c>
      <c r="K570" s="3">
        <v>97</v>
      </c>
      <c r="L570" s="3">
        <v>1</v>
      </c>
      <c r="M570" s="4">
        <f t="shared" si="66"/>
        <v>2.2637106184364059E-2</v>
      </c>
      <c r="N570" s="4">
        <f t="shared" si="67"/>
        <v>1.0309278350515464E-2</v>
      </c>
      <c r="O570">
        <v>354</v>
      </c>
      <c r="P570" s="5">
        <v>1</v>
      </c>
      <c r="Q570" s="7">
        <v>1</v>
      </c>
      <c r="R570" t="str">
        <f t="shared" si="74"/>
        <v>код для проверки</v>
      </c>
      <c r="S570" t="str">
        <f t="shared" si="68"/>
        <v>Низшая четверть</v>
      </c>
      <c r="T570" t="str">
        <f t="shared" si="69"/>
        <v>Вторая четверть</v>
      </c>
      <c r="U570" t="str">
        <f t="shared" si="70"/>
        <v>код для проверки</v>
      </c>
      <c r="V570" t="str">
        <f t="shared" si="71"/>
        <v>Низшая четверть</v>
      </c>
      <c r="W570" t="str">
        <f t="shared" si="72"/>
        <v>Больше половины</v>
      </c>
      <c r="X570">
        <v>20</v>
      </c>
    </row>
    <row r="571" spans="1:24" x14ac:dyDescent="0.35">
      <c r="A571" s="1" t="s">
        <v>2427</v>
      </c>
      <c r="B571" s="2" t="s">
        <v>2428</v>
      </c>
      <c r="C571" s="3" t="s">
        <v>55</v>
      </c>
      <c r="D571" s="2" t="s">
        <v>56</v>
      </c>
      <c r="E571" s="3" t="s">
        <v>57</v>
      </c>
      <c r="F571" s="2" t="s">
        <v>34</v>
      </c>
      <c r="G571" s="3" t="s">
        <v>17</v>
      </c>
      <c r="H571" s="2" t="s">
        <v>18</v>
      </c>
      <c r="I571" s="3" t="s">
        <v>19</v>
      </c>
      <c r="J571" s="3">
        <v>4260</v>
      </c>
      <c r="K571" s="3">
        <v>297</v>
      </c>
      <c r="L571" s="3">
        <v>8</v>
      </c>
      <c r="M571" s="4">
        <f t="shared" si="66"/>
        <v>6.9718309859154934E-2</v>
      </c>
      <c r="N571" s="4">
        <f t="shared" si="67"/>
        <v>2.6936026936026935E-2</v>
      </c>
      <c r="O571">
        <v>184</v>
      </c>
      <c r="P571" s="5">
        <v>1</v>
      </c>
      <c r="Q571" s="7">
        <v>1</v>
      </c>
      <c r="R571" t="str">
        <f t="shared" si="74"/>
        <v>нормальный код</v>
      </c>
      <c r="S571" t="str">
        <f t="shared" si="68"/>
        <v>Вторая четверть</v>
      </c>
      <c r="T571" t="str">
        <f t="shared" si="69"/>
        <v>Больше половины</v>
      </c>
      <c r="U571" t="str">
        <f t="shared" si="70"/>
        <v>нормальный код</v>
      </c>
      <c r="V571" t="str">
        <f t="shared" si="71"/>
        <v>Вторая четверть</v>
      </c>
      <c r="W571" t="str">
        <f t="shared" si="72"/>
        <v>Больше половины</v>
      </c>
      <c r="X571">
        <v>23</v>
      </c>
    </row>
    <row r="572" spans="1:24" x14ac:dyDescent="0.35">
      <c r="A572" s="1" t="s">
        <v>1268</v>
      </c>
      <c r="B572" s="2" t="s">
        <v>1269</v>
      </c>
      <c r="C572" s="3" t="s">
        <v>55</v>
      </c>
      <c r="D572" s="2" t="s">
        <v>1221</v>
      </c>
      <c r="E572" s="3" t="s">
        <v>1222</v>
      </c>
      <c r="F572" s="2" t="s">
        <v>96</v>
      </c>
      <c r="G572" s="3" t="s">
        <v>17</v>
      </c>
      <c r="H572" s="2" t="s">
        <v>1223</v>
      </c>
      <c r="I572" s="3" t="s">
        <v>19</v>
      </c>
      <c r="J572" s="3">
        <v>4238</v>
      </c>
      <c r="K572" s="3">
        <v>482</v>
      </c>
      <c r="L572" s="3">
        <v>14</v>
      </c>
      <c r="M572" s="4">
        <f t="shared" si="66"/>
        <v>0.11373289287399717</v>
      </c>
      <c r="N572" s="4">
        <f t="shared" si="67"/>
        <v>2.9045643153526972E-2</v>
      </c>
      <c r="O572">
        <v>813</v>
      </c>
      <c r="P572" s="5">
        <v>1</v>
      </c>
      <c r="Q572" s="7">
        <v>1</v>
      </c>
      <c r="R572" t="str">
        <f t="shared" si="74"/>
        <v>нормальный код</v>
      </c>
      <c r="S572" t="str">
        <f t="shared" si="68"/>
        <v>Больше половины</v>
      </c>
      <c r="T572" t="str">
        <f t="shared" si="69"/>
        <v>Больше половины</v>
      </c>
      <c r="U572" t="str">
        <f t="shared" si="70"/>
        <v>нормальный код</v>
      </c>
      <c r="V572" t="str">
        <f t="shared" si="71"/>
        <v>Больше половины</v>
      </c>
      <c r="W572" t="str">
        <f t="shared" si="72"/>
        <v>Больше половины</v>
      </c>
      <c r="X572">
        <v>27</v>
      </c>
    </row>
    <row r="573" spans="1:24" x14ac:dyDescent="0.35">
      <c r="A573" s="1" t="s">
        <v>1286</v>
      </c>
      <c r="B573" s="2" t="s">
        <v>1287</v>
      </c>
      <c r="C573" s="3" t="s">
        <v>55</v>
      </c>
      <c r="D573" s="2" t="s">
        <v>94</v>
      </c>
      <c r="E573" s="3" t="s">
        <v>95</v>
      </c>
      <c r="F573" s="2" t="s">
        <v>96</v>
      </c>
      <c r="G573" s="3" t="s">
        <v>17</v>
      </c>
      <c r="H573" s="2" t="s">
        <v>97</v>
      </c>
      <c r="I573" s="3" t="s">
        <v>19</v>
      </c>
      <c r="J573" s="3">
        <v>4220</v>
      </c>
      <c r="K573" s="3">
        <v>3631</v>
      </c>
      <c r="L573" s="3">
        <v>6</v>
      </c>
      <c r="M573" s="4">
        <f t="shared" si="66"/>
        <v>0.86042654028436016</v>
      </c>
      <c r="N573" s="4">
        <f t="shared" si="67"/>
        <v>1.6524373450839988E-3</v>
      </c>
      <c r="O573">
        <v>1027</v>
      </c>
      <c r="P573" s="5">
        <v>0.55555555555555558</v>
      </c>
      <c r="Q573" s="7">
        <v>1</v>
      </c>
      <c r="R573" t="str">
        <f t="shared" si="74"/>
        <v>код для проверки</v>
      </c>
      <c r="S573" t="str">
        <f t="shared" si="68"/>
        <v>Больше половины</v>
      </c>
      <c r="T573" t="str">
        <f t="shared" si="69"/>
        <v>Низшая четверть</v>
      </c>
      <c r="U573" t="str">
        <f t="shared" si="70"/>
        <v>код для проверки</v>
      </c>
      <c r="V573" t="str">
        <f t="shared" si="71"/>
        <v>Больше половины</v>
      </c>
      <c r="W573" t="str">
        <f t="shared" si="72"/>
        <v>Низшая четверть</v>
      </c>
      <c r="X573">
        <v>17</v>
      </c>
    </row>
    <row r="574" spans="1:24" x14ac:dyDescent="0.35">
      <c r="A574" s="1" t="s">
        <v>2358</v>
      </c>
      <c r="B574" s="2" t="s">
        <v>2359</v>
      </c>
      <c r="C574" s="3" t="s">
        <v>55</v>
      </c>
      <c r="D574" s="2" t="s">
        <v>336</v>
      </c>
      <c r="E574" s="3" t="s">
        <v>2360</v>
      </c>
      <c r="F574" s="2" t="s">
        <v>34</v>
      </c>
      <c r="G574" s="3" t="s">
        <v>17</v>
      </c>
      <c r="H574" s="2" t="s">
        <v>18</v>
      </c>
      <c r="I574" s="3" t="s">
        <v>19</v>
      </c>
      <c r="J574" s="3">
        <v>4196</v>
      </c>
      <c r="K574" s="3">
        <v>1350</v>
      </c>
      <c r="L574" s="3">
        <v>24</v>
      </c>
      <c r="M574" s="4">
        <f t="shared" si="66"/>
        <v>0.32173498570066728</v>
      </c>
      <c r="N574" s="4">
        <f t="shared" si="67"/>
        <v>1.7777777777777778E-2</v>
      </c>
      <c r="O574">
        <v>12525</v>
      </c>
      <c r="P574" s="5">
        <v>1</v>
      </c>
      <c r="Q574" s="7">
        <v>1</v>
      </c>
      <c r="R574" t="str">
        <f t="shared" si="74"/>
        <v>нормальный код</v>
      </c>
      <c r="S574" t="str">
        <f t="shared" si="68"/>
        <v>Больше половины</v>
      </c>
      <c r="T574" t="str">
        <f t="shared" si="69"/>
        <v>Вторая четверть</v>
      </c>
      <c r="U574" t="str">
        <f t="shared" si="70"/>
        <v>нормальный код</v>
      </c>
      <c r="V574" t="str">
        <f t="shared" si="71"/>
        <v>Больше половины</v>
      </c>
      <c r="W574" t="str">
        <f t="shared" si="72"/>
        <v>Вторая четверть</v>
      </c>
      <c r="X574">
        <v>5</v>
      </c>
    </row>
    <row r="575" spans="1:24" x14ac:dyDescent="0.35">
      <c r="A575" s="1" t="s">
        <v>993</v>
      </c>
      <c r="B575" s="2" t="s">
        <v>994</v>
      </c>
      <c r="C575" s="3" t="s">
        <v>13</v>
      </c>
      <c r="D575" s="2" t="s">
        <v>85</v>
      </c>
      <c r="E575" s="3" t="s">
        <v>599</v>
      </c>
      <c r="F575" s="2" t="s">
        <v>34</v>
      </c>
      <c r="G575" s="3" t="s">
        <v>35</v>
      </c>
      <c r="H575" s="2" t="s">
        <v>18</v>
      </c>
      <c r="I575" s="3" t="s">
        <v>19</v>
      </c>
      <c r="J575" s="3">
        <v>4174</v>
      </c>
      <c r="K575" s="3">
        <v>165</v>
      </c>
      <c r="L575" s="3">
        <v>6</v>
      </c>
      <c r="M575" s="4">
        <f t="shared" si="66"/>
        <v>3.9530426449448972E-2</v>
      </c>
      <c r="N575" s="4">
        <f t="shared" si="67"/>
        <v>3.6363636363636362E-2</v>
      </c>
      <c r="O575">
        <v>360</v>
      </c>
      <c r="P575" s="5">
        <v>1</v>
      </c>
      <c r="Q575" s="7">
        <v>1</v>
      </c>
      <c r="R575" t="str">
        <f t="shared" si="74"/>
        <v>код для проверки</v>
      </c>
      <c r="S575" t="str">
        <f t="shared" si="68"/>
        <v>Низшая четверть</v>
      </c>
      <c r="T575" t="str">
        <f t="shared" si="69"/>
        <v>Больше половины</v>
      </c>
      <c r="U575" t="str">
        <f t="shared" si="70"/>
        <v>нормальный код</v>
      </c>
      <c r="V575" t="str">
        <f t="shared" si="71"/>
        <v>Вторая четверть</v>
      </c>
      <c r="W575" t="str">
        <f t="shared" si="72"/>
        <v>Больше половины</v>
      </c>
      <c r="X575">
        <v>14</v>
      </c>
    </row>
    <row r="576" spans="1:24" x14ac:dyDescent="0.35">
      <c r="A576" s="1" t="s">
        <v>2008</v>
      </c>
      <c r="B576" s="2" t="s">
        <v>2009</v>
      </c>
      <c r="C576" s="3" t="s">
        <v>13</v>
      </c>
      <c r="D576" s="2" t="s">
        <v>69</v>
      </c>
      <c r="E576" s="3" t="s">
        <v>316</v>
      </c>
      <c r="F576" s="2" t="s">
        <v>34</v>
      </c>
      <c r="G576" s="3" t="s">
        <v>72</v>
      </c>
      <c r="H576" s="2" t="s">
        <v>18</v>
      </c>
      <c r="I576" s="3" t="s">
        <v>19</v>
      </c>
      <c r="J576" s="3">
        <v>4171</v>
      </c>
      <c r="K576" s="3">
        <v>367</v>
      </c>
      <c r="L576" s="3">
        <v>6</v>
      </c>
      <c r="M576" s="4">
        <f t="shared" si="66"/>
        <v>8.7988491968352914E-2</v>
      </c>
      <c r="N576" s="4">
        <f t="shared" si="67"/>
        <v>1.6348773841961851E-2</v>
      </c>
      <c r="O576">
        <v>654</v>
      </c>
      <c r="P576" s="5">
        <v>1</v>
      </c>
      <c r="Q576" s="7">
        <v>1</v>
      </c>
      <c r="R576" t="str">
        <f t="shared" si="74"/>
        <v>нормальный код</v>
      </c>
      <c r="S576" t="str">
        <f t="shared" si="68"/>
        <v>Вторая четверть</v>
      </c>
      <c r="T576" t="str">
        <f t="shared" si="69"/>
        <v>Вторая четверть</v>
      </c>
      <c r="U576" t="str">
        <f t="shared" si="70"/>
        <v>нормальный код</v>
      </c>
      <c r="V576" t="str">
        <f t="shared" si="71"/>
        <v>Больше половины</v>
      </c>
      <c r="W576" t="str">
        <f t="shared" si="72"/>
        <v>Вторая четверть</v>
      </c>
      <c r="X576">
        <v>9</v>
      </c>
    </row>
    <row r="577" spans="1:24" x14ac:dyDescent="0.35">
      <c r="A577" s="1" t="s">
        <v>1453</v>
      </c>
      <c r="B577" s="2" t="s">
        <v>1454</v>
      </c>
      <c r="C577" s="3" t="s">
        <v>55</v>
      </c>
      <c r="D577" s="2" t="s">
        <v>94</v>
      </c>
      <c r="E577" s="3" t="s">
        <v>95</v>
      </c>
      <c r="F577" s="2" t="s">
        <v>96</v>
      </c>
      <c r="G577" s="3" t="s">
        <v>17</v>
      </c>
      <c r="H577" s="2" t="s">
        <v>97</v>
      </c>
      <c r="I577" s="3" t="s">
        <v>19</v>
      </c>
      <c r="J577" s="3">
        <v>4158</v>
      </c>
      <c r="K577" s="3">
        <v>10065</v>
      </c>
      <c r="L577" s="3">
        <v>21</v>
      </c>
      <c r="M577" s="4">
        <f t="shared" si="66"/>
        <v>2.4206349206349205</v>
      </c>
      <c r="N577" s="4">
        <f t="shared" si="67"/>
        <v>2.0864381520119225E-3</v>
      </c>
      <c r="O577">
        <v>2203</v>
      </c>
      <c r="P577" s="5">
        <v>0.77777777777777779</v>
      </c>
      <c r="Q577" s="7">
        <v>1</v>
      </c>
      <c r="R577" t="str">
        <f t="shared" si="74"/>
        <v>код для проверки</v>
      </c>
      <c r="S577" t="str">
        <f t="shared" si="68"/>
        <v>Больше половины</v>
      </c>
      <c r="T577" t="str">
        <f t="shared" si="69"/>
        <v>Низшая четверть</v>
      </c>
      <c r="U577" t="str">
        <f t="shared" si="70"/>
        <v>код для проверки</v>
      </c>
      <c r="V577" t="str">
        <f t="shared" si="71"/>
        <v>Больше половины</v>
      </c>
      <c r="W577" t="str">
        <f t="shared" si="72"/>
        <v>Низшая четверть</v>
      </c>
      <c r="X577">
        <v>17</v>
      </c>
    </row>
    <row r="578" spans="1:24" x14ac:dyDescent="0.35">
      <c r="A578" s="1" t="s">
        <v>1870</v>
      </c>
      <c r="B578" s="2" t="s">
        <v>1871</v>
      </c>
      <c r="C578" s="3" t="s">
        <v>55</v>
      </c>
      <c r="D578" s="2" t="s">
        <v>340</v>
      </c>
      <c r="E578" s="3" t="s">
        <v>341</v>
      </c>
      <c r="F578" s="2" t="s">
        <v>96</v>
      </c>
      <c r="G578" s="3" t="s">
        <v>17</v>
      </c>
      <c r="H578" s="2" t="s">
        <v>97</v>
      </c>
      <c r="I578" s="3" t="s">
        <v>19</v>
      </c>
      <c r="J578" s="3">
        <v>4128</v>
      </c>
      <c r="K578" s="3">
        <v>708</v>
      </c>
      <c r="L578" s="3">
        <v>6</v>
      </c>
      <c r="M578" s="4">
        <f t="shared" si="66"/>
        <v>0.17151162790697674</v>
      </c>
      <c r="N578" s="4">
        <f t="shared" si="67"/>
        <v>8.4745762711864406E-3</v>
      </c>
      <c r="O578">
        <v>742</v>
      </c>
      <c r="P578" s="5">
        <v>1</v>
      </c>
      <c r="Q578" s="7">
        <v>1</v>
      </c>
      <c r="R578" t="str">
        <f t="shared" si="74"/>
        <v>код для проверки</v>
      </c>
      <c r="S578" t="str">
        <f t="shared" si="68"/>
        <v>Больше половины</v>
      </c>
      <c r="T578" t="str">
        <f t="shared" si="69"/>
        <v>Низшая четверть</v>
      </c>
      <c r="U578" t="str">
        <f t="shared" si="70"/>
        <v>нормальный код</v>
      </c>
      <c r="V578" t="str">
        <f t="shared" si="71"/>
        <v>Больше половины</v>
      </c>
      <c r="W578" t="str">
        <f t="shared" si="72"/>
        <v>Вторая четверть</v>
      </c>
      <c r="X578">
        <v>17</v>
      </c>
    </row>
    <row r="579" spans="1:24" x14ac:dyDescent="0.35">
      <c r="A579" s="1" t="s">
        <v>451</v>
      </c>
      <c r="B579" s="2" t="s">
        <v>452</v>
      </c>
      <c r="C579" s="3" t="s">
        <v>13</v>
      </c>
      <c r="D579" s="2" t="s">
        <v>121</v>
      </c>
      <c r="E579" s="3" t="s">
        <v>122</v>
      </c>
      <c r="F579" s="2" t="s">
        <v>123</v>
      </c>
      <c r="G579" s="3" t="s">
        <v>17</v>
      </c>
      <c r="H579" s="2" t="s">
        <v>18</v>
      </c>
      <c r="I579" s="3" t="s">
        <v>19</v>
      </c>
      <c r="J579" s="3">
        <v>4126</v>
      </c>
      <c r="K579" s="3">
        <v>213</v>
      </c>
      <c r="L579" s="3">
        <v>1</v>
      </c>
      <c r="M579" s="4">
        <f t="shared" si="66"/>
        <v>5.1623848763936019E-2</v>
      </c>
      <c r="N579" s="4">
        <f t="shared" si="67"/>
        <v>4.6948356807511738E-3</v>
      </c>
      <c r="O579">
        <v>313</v>
      </c>
      <c r="P579" s="5">
        <v>1</v>
      </c>
      <c r="Q579" s="7">
        <v>1</v>
      </c>
      <c r="R579" t="str">
        <f t="shared" si="74"/>
        <v>код для проверки</v>
      </c>
      <c r="S579" t="str">
        <f t="shared" si="68"/>
        <v>Вторая четверть</v>
      </c>
      <c r="T579" t="str">
        <f t="shared" si="69"/>
        <v>Низшая четверть</v>
      </c>
      <c r="U579" t="str">
        <f t="shared" si="70"/>
        <v>код для проверки</v>
      </c>
      <c r="V579" t="str">
        <f t="shared" si="71"/>
        <v>Вторая четверть</v>
      </c>
      <c r="W579" t="str">
        <f t="shared" si="72"/>
        <v>Низшая четверть</v>
      </c>
      <c r="X579">
        <v>13</v>
      </c>
    </row>
    <row r="580" spans="1:24" x14ac:dyDescent="0.35">
      <c r="A580" s="1" t="s">
        <v>2500</v>
      </c>
      <c r="B580" s="2" t="s">
        <v>2501</v>
      </c>
      <c r="C580" s="3" t="s">
        <v>13</v>
      </c>
      <c r="D580" s="2" t="s">
        <v>104</v>
      </c>
      <c r="E580" s="3" t="s">
        <v>1649</v>
      </c>
      <c r="F580" s="2" t="s">
        <v>61</v>
      </c>
      <c r="G580" s="3" t="s">
        <v>17</v>
      </c>
      <c r="H580" s="2" t="s">
        <v>18</v>
      </c>
      <c r="I580" s="3" t="s">
        <v>19</v>
      </c>
      <c r="J580" s="3">
        <v>4110</v>
      </c>
      <c r="K580" s="3">
        <v>261</v>
      </c>
      <c r="L580" s="3">
        <v>24</v>
      </c>
      <c r="M580" s="4">
        <f t="shared" ref="M580:M643" si="75">IFERROR(K580/J580,0)</f>
        <v>6.3503649635036491E-2</v>
      </c>
      <c r="N580" s="4">
        <f t="shared" ref="N580:N643" si="76">IFERROR(L580/K580,0)</f>
        <v>9.1954022988505746E-2</v>
      </c>
      <c r="O580">
        <v>604</v>
      </c>
      <c r="P580" s="5">
        <v>1</v>
      </c>
      <c r="Q580" s="7">
        <v>1</v>
      </c>
      <c r="R580" t="str">
        <f t="shared" si="74"/>
        <v>нормальный код</v>
      </c>
      <c r="S580" t="str">
        <f t="shared" ref="S580:S643" si="77">IF(M580&lt;$S$1*0.5,"Низшая четверть",IF(M580&lt;$S$1,"Вторая четверть","Больше половины"))</f>
        <v>Вторая четверть</v>
      </c>
      <c r="T580" t="str">
        <f t="shared" ref="T580:T643" si="78">IF(N580&lt;$T$1*0.5,"Низшая четверть",IF(N580&lt;$T$1,"Вторая четверть","Больше половины"))</f>
        <v>Больше половины</v>
      </c>
      <c r="U580" t="str">
        <f t="shared" ref="U580:U643" si="79">IF(OR(M580&lt;SUMIFS(K:K,Q:Q,1,E:E,E580)/SUMIFS(J:J,Q:Q,1,E:E,E580)*0.5,N580&lt;SUMIFS(L:L,Q:Q,1,E:E,E580)/SUMIFS(K:K,Q:Q,1,E:E,E580)*0.5),"код для проверки","нормальный код")</f>
        <v>нормальный код</v>
      </c>
      <c r="V580" t="str">
        <f t="shared" ref="V580:V643" si="80">IF(M580&lt;SUMIFS(K:K,Q:Q,1,E:E,E580)/SUMIFS(J:J,Q:Q,1,E:E,E580)*0.5,"Низшая четверть",IF(M580&lt;SUMIFS(K:K,Q:Q,1,E:E,E580)/SUMIFS(J:J,Q:Q,1,E:E,E580),"Вторая четверть","Больше половины"))</f>
        <v>Вторая четверть</v>
      </c>
      <c r="W580" t="str">
        <f t="shared" ref="W580:W643" si="81">IF(N580&lt;SUMIFS(L:L,Q:Q,1,E:E,E580)/SUMIFS(K:K,Q:Q,1,E:E,E580)*0.5,"Низшая четверть",IF(N580&lt;SUMIFS(L:L,Q:Q,1,E:E,E580)/SUMIFS(K:K,Q:Q,1,E:E,E580),"Вторая четверть","Больше половины"))</f>
        <v>Больше половины</v>
      </c>
      <c r="X580">
        <v>18</v>
      </c>
    </row>
    <row r="581" spans="1:24" x14ac:dyDescent="0.35">
      <c r="A581" s="1" t="s">
        <v>1832</v>
      </c>
      <c r="B581" s="2" t="s">
        <v>1833</v>
      </c>
      <c r="C581" s="3" t="s">
        <v>13</v>
      </c>
      <c r="D581" s="2" t="s">
        <v>412</v>
      </c>
      <c r="E581" s="3" t="s">
        <v>413</v>
      </c>
      <c r="F581" s="2" t="s">
        <v>61</v>
      </c>
      <c r="G581" s="3" t="s">
        <v>17</v>
      </c>
      <c r="H581" s="2" t="s">
        <v>97</v>
      </c>
      <c r="I581" s="3" t="s">
        <v>19</v>
      </c>
      <c r="J581" s="3">
        <v>4098</v>
      </c>
      <c r="K581" s="3">
        <v>578</v>
      </c>
      <c r="L581" s="3">
        <v>11</v>
      </c>
      <c r="M581" s="4">
        <f t="shared" si="75"/>
        <v>0.14104441190824793</v>
      </c>
      <c r="N581" s="4">
        <f t="shared" si="76"/>
        <v>1.9031141868512111E-2</v>
      </c>
      <c r="O581">
        <v>574</v>
      </c>
      <c r="P581" s="5">
        <v>1</v>
      </c>
      <c r="Q581" s="7">
        <v>1</v>
      </c>
      <c r="R581" t="str">
        <f t="shared" si="74"/>
        <v>нормальный код</v>
      </c>
      <c r="S581" t="str">
        <f t="shared" si="77"/>
        <v>Больше половины</v>
      </c>
      <c r="T581" t="str">
        <f t="shared" si="78"/>
        <v>Вторая четверть</v>
      </c>
      <c r="U581" t="str">
        <f t="shared" si="79"/>
        <v>нормальный код</v>
      </c>
      <c r="V581" t="str">
        <f t="shared" si="80"/>
        <v>Больше половины</v>
      </c>
      <c r="W581" t="str">
        <f t="shared" si="81"/>
        <v>Вторая четверть</v>
      </c>
      <c r="X581">
        <v>9</v>
      </c>
    </row>
    <row r="582" spans="1:24" x14ac:dyDescent="0.35">
      <c r="A582" s="1" t="s">
        <v>1575</v>
      </c>
      <c r="B582" s="2" t="s">
        <v>1576</v>
      </c>
      <c r="C582" s="3" t="s">
        <v>55</v>
      </c>
      <c r="D582" s="2" t="s">
        <v>94</v>
      </c>
      <c r="E582" s="3" t="s">
        <v>95</v>
      </c>
      <c r="F582" s="2" t="s">
        <v>96</v>
      </c>
      <c r="G582" s="3" t="s">
        <v>17</v>
      </c>
      <c r="H582" s="2" t="s">
        <v>97</v>
      </c>
      <c r="I582" s="3" t="s">
        <v>19</v>
      </c>
      <c r="J582" s="3">
        <v>4087</v>
      </c>
      <c r="K582" s="3">
        <v>4636</v>
      </c>
      <c r="L582" s="3">
        <v>17</v>
      </c>
      <c r="M582" s="4">
        <f t="shared" si="75"/>
        <v>1.1343283582089552</v>
      </c>
      <c r="N582" s="4">
        <f t="shared" si="76"/>
        <v>3.6669542709232097E-3</v>
      </c>
      <c r="O582">
        <v>1163</v>
      </c>
      <c r="P582" s="5">
        <v>0.77777777777777779</v>
      </c>
      <c r="Q582" s="7">
        <v>1</v>
      </c>
      <c r="R582" t="str">
        <f t="shared" si="74"/>
        <v>код для проверки</v>
      </c>
      <c r="S582" t="str">
        <f t="shared" si="77"/>
        <v>Больше половины</v>
      </c>
      <c r="T582" t="str">
        <f t="shared" si="78"/>
        <v>Низшая четверть</v>
      </c>
      <c r="U582" t="str">
        <f t="shared" si="79"/>
        <v>код для проверки</v>
      </c>
      <c r="V582" t="str">
        <f t="shared" si="80"/>
        <v>Больше половины</v>
      </c>
      <c r="W582" t="str">
        <f t="shared" si="81"/>
        <v>Низшая четверть</v>
      </c>
      <c r="X582">
        <v>18</v>
      </c>
    </row>
    <row r="583" spans="1:24" x14ac:dyDescent="0.35">
      <c r="A583" s="1" t="s">
        <v>2242</v>
      </c>
      <c r="B583" s="2" t="s">
        <v>2243</v>
      </c>
      <c r="C583" s="3" t="s">
        <v>13</v>
      </c>
      <c r="D583" s="2" t="s">
        <v>69</v>
      </c>
      <c r="E583" s="3" t="s">
        <v>290</v>
      </c>
      <c r="F583" s="2" t="s">
        <v>34</v>
      </c>
      <c r="G583" s="3" t="s">
        <v>72</v>
      </c>
      <c r="H583" s="2" t="s">
        <v>18</v>
      </c>
      <c r="I583" s="3" t="s">
        <v>19</v>
      </c>
      <c r="J583" s="3">
        <v>4081</v>
      </c>
      <c r="K583" s="3">
        <v>1613</v>
      </c>
      <c r="L583" s="3">
        <v>8</v>
      </c>
      <c r="M583" s="4">
        <f t="shared" si="75"/>
        <v>0.39524626317079148</v>
      </c>
      <c r="N583" s="4">
        <f t="shared" si="76"/>
        <v>4.9597024178549285E-3</v>
      </c>
      <c r="O583">
        <v>454</v>
      </c>
      <c r="P583" s="5">
        <v>1</v>
      </c>
      <c r="Q583" s="7">
        <v>1</v>
      </c>
      <c r="R583" t="str">
        <f t="shared" si="74"/>
        <v>код для проверки</v>
      </c>
      <c r="S583" t="str">
        <f t="shared" si="77"/>
        <v>Больше половины</v>
      </c>
      <c r="T583" t="str">
        <f t="shared" si="78"/>
        <v>Низшая четверть</v>
      </c>
      <c r="U583" t="str">
        <f t="shared" si="79"/>
        <v>код для проверки</v>
      </c>
      <c r="V583" t="str">
        <f t="shared" si="80"/>
        <v>Больше половины</v>
      </c>
      <c r="W583" t="str">
        <f t="shared" si="81"/>
        <v>Низшая четверть</v>
      </c>
      <c r="X583">
        <v>27</v>
      </c>
    </row>
    <row r="584" spans="1:24" x14ac:dyDescent="0.35">
      <c r="A584" s="1" t="s">
        <v>952</v>
      </c>
      <c r="B584" s="2" t="s">
        <v>953</v>
      </c>
      <c r="C584" s="3" t="s">
        <v>13</v>
      </c>
      <c r="D584" s="2" t="s">
        <v>85</v>
      </c>
      <c r="E584" s="3" t="s">
        <v>599</v>
      </c>
      <c r="F584" s="2" t="s">
        <v>34</v>
      </c>
      <c r="G584" s="3" t="s">
        <v>35</v>
      </c>
      <c r="H584" s="2" t="s">
        <v>18</v>
      </c>
      <c r="I584" s="3" t="s">
        <v>19</v>
      </c>
      <c r="J584" s="3">
        <v>4068</v>
      </c>
      <c r="K584" s="3">
        <v>195</v>
      </c>
      <c r="L584" s="3">
        <v>9</v>
      </c>
      <c r="M584" s="4">
        <f t="shared" si="75"/>
        <v>4.7935103244837761E-2</v>
      </c>
      <c r="N584" s="4">
        <f t="shared" si="76"/>
        <v>4.6153846153846156E-2</v>
      </c>
      <c r="O584">
        <v>124</v>
      </c>
      <c r="P584" s="5">
        <v>1</v>
      </c>
      <c r="Q584" s="7">
        <v>1</v>
      </c>
      <c r="R584" t="str">
        <f t="shared" si="74"/>
        <v>нормальный код</v>
      </c>
      <c r="S584" t="str">
        <f t="shared" si="77"/>
        <v>Вторая четверть</v>
      </c>
      <c r="T584" t="str">
        <f t="shared" si="78"/>
        <v>Больше половины</v>
      </c>
      <c r="U584" t="str">
        <f t="shared" si="79"/>
        <v>нормальный код</v>
      </c>
      <c r="V584" t="str">
        <f t="shared" si="80"/>
        <v>Вторая четверть</v>
      </c>
      <c r="W584" t="str">
        <f t="shared" si="81"/>
        <v>Больше половины</v>
      </c>
      <c r="X584">
        <v>14</v>
      </c>
    </row>
    <row r="585" spans="1:24" x14ac:dyDescent="0.35">
      <c r="A585" s="1" t="s">
        <v>1027</v>
      </c>
      <c r="B585" s="2" t="s">
        <v>1028</v>
      </c>
      <c r="C585" s="3" t="s">
        <v>55</v>
      </c>
      <c r="D585" s="2" t="s">
        <v>56</v>
      </c>
      <c r="E585" s="3" t="s">
        <v>60</v>
      </c>
      <c r="F585" s="2" t="s">
        <v>61</v>
      </c>
      <c r="G585" s="3" t="s">
        <v>17</v>
      </c>
      <c r="H585" s="2" t="s">
        <v>18</v>
      </c>
      <c r="I585" s="3" t="s">
        <v>19</v>
      </c>
      <c r="J585" s="3">
        <v>4042</v>
      </c>
      <c r="K585" s="3">
        <v>571</v>
      </c>
      <c r="L585" s="3">
        <v>5</v>
      </c>
      <c r="M585" s="4">
        <f t="shared" si="75"/>
        <v>0.14126669965363681</v>
      </c>
      <c r="N585" s="4">
        <f t="shared" si="76"/>
        <v>8.7565674255691769E-3</v>
      </c>
      <c r="O585">
        <v>309</v>
      </c>
      <c r="P585" s="5">
        <v>1</v>
      </c>
      <c r="Q585" s="7">
        <v>1</v>
      </c>
      <c r="R585" t="str">
        <f t="shared" si="74"/>
        <v>код для проверки</v>
      </c>
      <c r="S585" t="str">
        <f t="shared" si="77"/>
        <v>Больше половины</v>
      </c>
      <c r="T585" t="str">
        <f t="shared" si="78"/>
        <v>Низшая четверть</v>
      </c>
      <c r="U585" t="str">
        <f t="shared" si="79"/>
        <v>нормальный код</v>
      </c>
      <c r="V585" t="str">
        <f t="shared" si="80"/>
        <v>Больше половины</v>
      </c>
      <c r="W585" t="str">
        <f t="shared" si="81"/>
        <v>Вторая четверть</v>
      </c>
      <c r="X585">
        <v>27</v>
      </c>
    </row>
    <row r="586" spans="1:24" x14ac:dyDescent="0.35">
      <c r="A586" s="1" t="s">
        <v>720</v>
      </c>
      <c r="B586" s="2" t="s">
        <v>721</v>
      </c>
      <c r="C586" s="3" t="s">
        <v>13</v>
      </c>
      <c r="D586" s="2" t="s">
        <v>121</v>
      </c>
      <c r="E586" s="3" t="s">
        <v>122</v>
      </c>
      <c r="F586" s="2" t="s">
        <v>123</v>
      </c>
      <c r="G586" s="3" t="s">
        <v>17</v>
      </c>
      <c r="H586" s="2" t="s">
        <v>18</v>
      </c>
      <c r="I586" s="3" t="s">
        <v>19</v>
      </c>
      <c r="J586" s="3">
        <v>4035</v>
      </c>
      <c r="K586" s="3">
        <v>641</v>
      </c>
      <c r="L586" s="3">
        <v>6</v>
      </c>
      <c r="M586" s="4">
        <f t="shared" si="75"/>
        <v>0.15885997521685255</v>
      </c>
      <c r="N586" s="4">
        <f t="shared" si="76"/>
        <v>9.3603744149765994E-3</v>
      </c>
      <c r="O586">
        <v>354</v>
      </c>
      <c r="P586" s="5">
        <v>1</v>
      </c>
      <c r="Q586" s="7">
        <v>1</v>
      </c>
      <c r="R586" t="str">
        <f t="shared" si="74"/>
        <v>код для проверки</v>
      </c>
      <c r="S586" t="str">
        <f t="shared" si="77"/>
        <v>Больше половины</v>
      </c>
      <c r="T586" t="str">
        <f t="shared" si="78"/>
        <v>Низшая четверть</v>
      </c>
      <c r="U586" t="str">
        <f t="shared" si="79"/>
        <v>нормальный код</v>
      </c>
      <c r="V586" t="str">
        <f t="shared" si="80"/>
        <v>Больше половины</v>
      </c>
      <c r="W586" t="str">
        <f t="shared" si="81"/>
        <v>Вторая четверть</v>
      </c>
      <c r="X586">
        <v>21</v>
      </c>
    </row>
    <row r="587" spans="1:24" x14ac:dyDescent="0.35">
      <c r="A587" s="1" t="s">
        <v>1469</v>
      </c>
      <c r="B587" s="2" t="s">
        <v>1470</v>
      </c>
      <c r="C587" s="3" t="s">
        <v>55</v>
      </c>
      <c r="D587" s="2" t="s">
        <v>94</v>
      </c>
      <c r="E587" s="3" t="s">
        <v>95</v>
      </c>
      <c r="F587" s="2" t="s">
        <v>96</v>
      </c>
      <c r="G587" s="3" t="s">
        <v>17</v>
      </c>
      <c r="H587" s="2" t="s">
        <v>97</v>
      </c>
      <c r="I587" s="3" t="s">
        <v>19</v>
      </c>
      <c r="J587" s="3">
        <v>4034</v>
      </c>
      <c r="K587" s="3">
        <v>3110</v>
      </c>
      <c r="L587" s="3">
        <v>20</v>
      </c>
      <c r="M587" s="4">
        <f t="shared" si="75"/>
        <v>0.77094695091720378</v>
      </c>
      <c r="N587" s="4">
        <f t="shared" si="76"/>
        <v>6.4308681672025723E-3</v>
      </c>
      <c r="O587">
        <v>1761</v>
      </c>
      <c r="P587" s="5">
        <v>0.55555555555555558</v>
      </c>
      <c r="Q587" s="7">
        <v>1</v>
      </c>
      <c r="R587" t="str">
        <f t="shared" si="74"/>
        <v>код для проверки</v>
      </c>
      <c r="S587" t="str">
        <f t="shared" si="77"/>
        <v>Больше половины</v>
      </c>
      <c r="T587" t="str">
        <f t="shared" si="78"/>
        <v>Низшая четверть</v>
      </c>
      <c r="U587" t="str">
        <f t="shared" si="79"/>
        <v>нормальный код</v>
      </c>
      <c r="V587" t="str">
        <f t="shared" si="80"/>
        <v>Больше половины</v>
      </c>
      <c r="W587" t="str">
        <f t="shared" si="81"/>
        <v>Вторая четверть</v>
      </c>
      <c r="X587">
        <v>25</v>
      </c>
    </row>
    <row r="588" spans="1:24" x14ac:dyDescent="0.35">
      <c r="A588" s="1" t="s">
        <v>1598</v>
      </c>
      <c r="B588" s="2" t="s">
        <v>1599</v>
      </c>
      <c r="C588" s="3" t="s">
        <v>55</v>
      </c>
      <c r="D588" s="2" t="s">
        <v>56</v>
      </c>
      <c r="E588" s="3" t="s">
        <v>57</v>
      </c>
      <c r="F588" s="2" t="s">
        <v>34</v>
      </c>
      <c r="G588" s="3" t="s">
        <v>17</v>
      </c>
      <c r="H588" s="2" t="s">
        <v>18</v>
      </c>
      <c r="I588" s="3" t="s">
        <v>19</v>
      </c>
      <c r="J588" s="3">
        <v>4026</v>
      </c>
      <c r="K588" s="3">
        <v>75</v>
      </c>
      <c r="L588" s="3">
        <v>1</v>
      </c>
      <c r="M588" s="4">
        <f t="shared" si="75"/>
        <v>1.8628912071535022E-2</v>
      </c>
      <c r="N588" s="4">
        <f t="shared" si="76"/>
        <v>1.3333333333333334E-2</v>
      </c>
      <c r="O588">
        <v>117</v>
      </c>
      <c r="P588" s="5">
        <v>1</v>
      </c>
      <c r="Q588" s="7">
        <v>1</v>
      </c>
      <c r="R588" t="str">
        <f t="shared" si="74"/>
        <v>код для проверки</v>
      </c>
      <c r="S588" t="str">
        <f t="shared" si="77"/>
        <v>Низшая четверть</v>
      </c>
      <c r="T588" t="str">
        <f t="shared" si="78"/>
        <v>Вторая четверть</v>
      </c>
      <c r="U588" t="str">
        <f t="shared" si="79"/>
        <v>код для проверки</v>
      </c>
      <c r="V588" t="str">
        <f t="shared" si="80"/>
        <v>Низшая четверть</v>
      </c>
      <c r="W588" t="str">
        <f t="shared" si="81"/>
        <v>Вторая четверть</v>
      </c>
      <c r="X588">
        <v>8</v>
      </c>
    </row>
    <row r="589" spans="1:24" x14ac:dyDescent="0.35">
      <c r="A589" s="1" t="s">
        <v>2089</v>
      </c>
      <c r="B589" s="2" t="s">
        <v>2090</v>
      </c>
      <c r="C589" s="3" t="s">
        <v>13</v>
      </c>
      <c r="D589" s="2" t="s">
        <v>155</v>
      </c>
      <c r="E589" s="3" t="s">
        <v>244</v>
      </c>
      <c r="F589" s="2" t="s">
        <v>34</v>
      </c>
      <c r="G589" s="3" t="s">
        <v>17</v>
      </c>
      <c r="H589" s="2" t="s">
        <v>18</v>
      </c>
      <c r="I589" s="3" t="s">
        <v>19</v>
      </c>
      <c r="J589" s="3">
        <v>4010</v>
      </c>
      <c r="K589" s="3">
        <v>428</v>
      </c>
      <c r="L589" s="3">
        <v>19</v>
      </c>
      <c r="M589" s="4">
        <f t="shared" si="75"/>
        <v>0.10673316708229426</v>
      </c>
      <c r="N589" s="4">
        <f t="shared" si="76"/>
        <v>4.4392523364485979E-2</v>
      </c>
      <c r="O589">
        <v>329</v>
      </c>
      <c r="P589" s="5">
        <v>1</v>
      </c>
      <c r="Q589" s="7">
        <v>1</v>
      </c>
      <c r="R589" t="str">
        <f t="shared" si="74"/>
        <v>нормальный код</v>
      </c>
      <c r="S589" t="str">
        <f t="shared" si="77"/>
        <v>Больше половины</v>
      </c>
      <c r="T589" t="str">
        <f t="shared" si="78"/>
        <v>Больше половины</v>
      </c>
      <c r="U589" t="str">
        <f t="shared" si="79"/>
        <v>нормальный код</v>
      </c>
      <c r="V589" t="str">
        <f t="shared" si="80"/>
        <v>Вторая четверть</v>
      </c>
      <c r="W589" t="str">
        <f t="shared" si="81"/>
        <v>Больше половины</v>
      </c>
      <c r="X589">
        <v>16</v>
      </c>
    </row>
    <row r="590" spans="1:24" x14ac:dyDescent="0.35">
      <c r="A590" s="1" t="s">
        <v>585</v>
      </c>
      <c r="B590" s="2" t="s">
        <v>586</v>
      </c>
      <c r="C590" s="3" t="s">
        <v>13</v>
      </c>
      <c r="D590" s="2" t="s">
        <v>77</v>
      </c>
      <c r="E590" s="3" t="s">
        <v>89</v>
      </c>
      <c r="F590" s="2" t="s">
        <v>34</v>
      </c>
      <c r="G590" s="3" t="s">
        <v>17</v>
      </c>
      <c r="H590" s="2" t="s">
        <v>18</v>
      </c>
      <c r="I590" s="3" t="s">
        <v>19</v>
      </c>
      <c r="J590" s="3">
        <v>4005</v>
      </c>
      <c r="K590" s="3">
        <v>946</v>
      </c>
      <c r="L590" s="3">
        <v>15</v>
      </c>
      <c r="M590" s="4">
        <f t="shared" si="75"/>
        <v>0.2362047440699126</v>
      </c>
      <c r="N590" s="4">
        <f t="shared" si="76"/>
        <v>1.5856236786469344E-2</v>
      </c>
      <c r="O590">
        <v>736</v>
      </c>
      <c r="P590" s="5">
        <v>1</v>
      </c>
      <c r="Q590" s="7">
        <v>1</v>
      </c>
      <c r="R590" t="str">
        <f t="shared" si="74"/>
        <v>нормальный код</v>
      </c>
      <c r="S590" t="str">
        <f t="shared" si="77"/>
        <v>Больше половины</v>
      </c>
      <c r="T590" t="str">
        <f t="shared" si="78"/>
        <v>Вторая четверть</v>
      </c>
      <c r="U590" t="str">
        <f t="shared" si="79"/>
        <v>нормальный код</v>
      </c>
      <c r="V590" t="str">
        <f t="shared" si="80"/>
        <v>Больше половины</v>
      </c>
      <c r="W590" t="str">
        <f t="shared" si="81"/>
        <v>Вторая четверть</v>
      </c>
      <c r="X590">
        <v>10</v>
      </c>
    </row>
    <row r="591" spans="1:24" x14ac:dyDescent="0.35">
      <c r="A591" s="1" t="s">
        <v>1973</v>
      </c>
      <c r="B591" s="2" t="s">
        <v>1974</v>
      </c>
      <c r="C591" s="3" t="s">
        <v>13</v>
      </c>
      <c r="D591" s="2" t="s">
        <v>104</v>
      </c>
      <c r="E591" s="3" t="s">
        <v>711</v>
      </c>
      <c r="F591" s="2" t="s">
        <v>96</v>
      </c>
      <c r="G591" s="3" t="s">
        <v>35</v>
      </c>
      <c r="H591" s="2" t="s">
        <v>18</v>
      </c>
      <c r="I591" s="3" t="s">
        <v>19</v>
      </c>
      <c r="J591" s="3">
        <v>3990</v>
      </c>
      <c r="K591" s="3">
        <v>399</v>
      </c>
      <c r="L591" s="3">
        <v>2</v>
      </c>
      <c r="M591" s="4">
        <f t="shared" si="75"/>
        <v>0.1</v>
      </c>
      <c r="N591" s="4">
        <f t="shared" si="76"/>
        <v>5.0125313283208017E-3</v>
      </c>
      <c r="O591">
        <v>877</v>
      </c>
      <c r="P591" s="5">
        <v>1</v>
      </c>
      <c r="Q591" s="7">
        <v>1</v>
      </c>
      <c r="R591" t="str">
        <f t="shared" si="74"/>
        <v>код для проверки</v>
      </c>
      <c r="S591" t="str">
        <f t="shared" si="77"/>
        <v>Больше половины</v>
      </c>
      <c r="T591" t="str">
        <f t="shared" si="78"/>
        <v>Низшая четверть</v>
      </c>
      <c r="U591" t="str">
        <f t="shared" si="79"/>
        <v>код для проверки</v>
      </c>
      <c r="V591" t="str">
        <f t="shared" si="80"/>
        <v>Больше половины</v>
      </c>
      <c r="W591" t="str">
        <f t="shared" si="81"/>
        <v>Низшая четверть</v>
      </c>
      <c r="X591">
        <v>19</v>
      </c>
    </row>
    <row r="592" spans="1:24" x14ac:dyDescent="0.35">
      <c r="A592" s="1" t="s">
        <v>970</v>
      </c>
      <c r="B592" s="2" t="s">
        <v>971</v>
      </c>
      <c r="C592" s="3" t="s">
        <v>55</v>
      </c>
      <c r="D592" s="2" t="s">
        <v>972</v>
      </c>
      <c r="E592" s="3" t="s">
        <v>973</v>
      </c>
      <c r="F592" s="2" t="s">
        <v>34</v>
      </c>
      <c r="G592" s="3" t="s">
        <v>17</v>
      </c>
      <c r="H592" s="2" t="s">
        <v>18</v>
      </c>
      <c r="I592" s="3" t="s">
        <v>19</v>
      </c>
      <c r="J592" s="3">
        <v>3980</v>
      </c>
      <c r="K592" s="3">
        <v>474</v>
      </c>
      <c r="L592" s="3">
        <v>8</v>
      </c>
      <c r="M592" s="4">
        <f t="shared" si="75"/>
        <v>0.11909547738693467</v>
      </c>
      <c r="N592" s="4">
        <f t="shared" si="76"/>
        <v>1.6877637130801686E-2</v>
      </c>
      <c r="O592">
        <v>493</v>
      </c>
      <c r="P592" s="5">
        <v>1</v>
      </c>
      <c r="Q592" s="7">
        <v>1</v>
      </c>
      <c r="R592" t="str">
        <f t="shared" si="74"/>
        <v>нормальный код</v>
      </c>
      <c r="S592" t="str">
        <f t="shared" si="77"/>
        <v>Больше половины</v>
      </c>
      <c r="T592" t="str">
        <f t="shared" si="78"/>
        <v>Вторая четверть</v>
      </c>
      <c r="U592" t="str">
        <f t="shared" si="79"/>
        <v>нормальный код</v>
      </c>
      <c r="V592" t="str">
        <f t="shared" si="80"/>
        <v>Вторая четверть</v>
      </c>
      <c r="W592" t="str">
        <f t="shared" si="81"/>
        <v>Вторая четверть</v>
      </c>
      <c r="X592">
        <v>25</v>
      </c>
    </row>
    <row r="593" spans="1:24" x14ac:dyDescent="0.35">
      <c r="A593" s="1" t="s">
        <v>2502</v>
      </c>
      <c r="B593" s="2" t="s">
        <v>2503</v>
      </c>
      <c r="C593" s="3" t="s">
        <v>55</v>
      </c>
      <c r="D593" s="2" t="s">
        <v>94</v>
      </c>
      <c r="E593" s="3" t="s">
        <v>95</v>
      </c>
      <c r="F593" s="2" t="s">
        <v>96</v>
      </c>
      <c r="G593" s="3" t="s">
        <v>17</v>
      </c>
      <c r="H593" s="2" t="s">
        <v>97</v>
      </c>
      <c r="I593" s="3" t="s">
        <v>19</v>
      </c>
      <c r="J593" s="3">
        <v>3968</v>
      </c>
      <c r="K593" s="3">
        <v>3086</v>
      </c>
      <c r="L593" s="3">
        <v>10</v>
      </c>
      <c r="M593" s="4">
        <f t="shared" si="75"/>
        <v>0.77772177419354838</v>
      </c>
      <c r="N593" s="4">
        <f t="shared" si="76"/>
        <v>3.2404406999351912E-3</v>
      </c>
      <c r="O593">
        <v>2227</v>
      </c>
      <c r="P593" s="5">
        <v>0.66666666666666663</v>
      </c>
      <c r="Q593" s="7">
        <v>1</v>
      </c>
      <c r="R593" t="str">
        <f t="shared" si="74"/>
        <v>код для проверки</v>
      </c>
      <c r="S593" t="str">
        <f t="shared" si="77"/>
        <v>Больше половины</v>
      </c>
      <c r="T593" t="str">
        <f t="shared" si="78"/>
        <v>Низшая четверть</v>
      </c>
      <c r="U593" t="str">
        <f t="shared" si="79"/>
        <v>код для проверки</v>
      </c>
      <c r="V593" t="str">
        <f t="shared" si="80"/>
        <v>Больше половины</v>
      </c>
      <c r="W593" t="str">
        <f t="shared" si="81"/>
        <v>Низшая четверть</v>
      </c>
      <c r="X593">
        <v>17</v>
      </c>
    </row>
    <row r="594" spans="1:24" x14ac:dyDescent="0.35">
      <c r="A594" s="1" t="s">
        <v>1101</v>
      </c>
      <c r="B594" s="2" t="s">
        <v>1102</v>
      </c>
      <c r="C594" s="3" t="s">
        <v>13</v>
      </c>
      <c r="D594" s="2" t="s">
        <v>104</v>
      </c>
      <c r="E594" s="3" t="s">
        <v>424</v>
      </c>
      <c r="F594" s="2" t="s">
        <v>34</v>
      </c>
      <c r="G594" s="3" t="s">
        <v>35</v>
      </c>
      <c r="H594" s="2" t="s">
        <v>18</v>
      </c>
      <c r="I594" s="3" t="s">
        <v>19</v>
      </c>
      <c r="J594" s="3">
        <v>3967</v>
      </c>
      <c r="K594" s="3">
        <v>579</v>
      </c>
      <c r="L594" s="3">
        <v>12</v>
      </c>
      <c r="M594" s="4">
        <f t="shared" si="75"/>
        <v>0.14595412150239476</v>
      </c>
      <c r="N594" s="4">
        <f t="shared" si="76"/>
        <v>2.072538860103627E-2</v>
      </c>
      <c r="O594">
        <v>276</v>
      </c>
      <c r="P594" s="5">
        <v>1</v>
      </c>
      <c r="Q594" s="7">
        <v>1</v>
      </c>
      <c r="R594" t="str">
        <f t="shared" si="74"/>
        <v>нормальный код</v>
      </c>
      <c r="S594" t="str">
        <f t="shared" si="77"/>
        <v>Больше половины</v>
      </c>
      <c r="T594" t="str">
        <f t="shared" si="78"/>
        <v>Больше половины</v>
      </c>
      <c r="U594" t="str">
        <f t="shared" si="79"/>
        <v>нормальный код</v>
      </c>
      <c r="V594" t="str">
        <f t="shared" si="80"/>
        <v>Больше половины</v>
      </c>
      <c r="W594" t="str">
        <f t="shared" si="81"/>
        <v>Вторая четверть</v>
      </c>
      <c r="X594">
        <v>13</v>
      </c>
    </row>
    <row r="595" spans="1:24" x14ac:dyDescent="0.35">
      <c r="A595" s="1" t="s">
        <v>825</v>
      </c>
      <c r="B595" s="2" t="s">
        <v>826</v>
      </c>
      <c r="C595" s="3" t="s">
        <v>13</v>
      </c>
      <c r="D595" s="2" t="s">
        <v>164</v>
      </c>
      <c r="E595" s="3" t="s">
        <v>277</v>
      </c>
      <c r="F595" s="2" t="s">
        <v>123</v>
      </c>
      <c r="G595" s="3" t="s">
        <v>17</v>
      </c>
      <c r="H595" s="2" t="s">
        <v>18</v>
      </c>
      <c r="I595" s="3" t="s">
        <v>19</v>
      </c>
      <c r="J595" s="3">
        <v>3954</v>
      </c>
      <c r="K595" s="3">
        <v>165</v>
      </c>
      <c r="L595" s="3">
        <v>3</v>
      </c>
      <c r="M595" s="4">
        <f t="shared" si="75"/>
        <v>4.1729893778452203E-2</v>
      </c>
      <c r="N595" s="4">
        <f t="shared" si="76"/>
        <v>1.8181818181818181E-2</v>
      </c>
      <c r="O595">
        <v>377</v>
      </c>
      <c r="P595" s="5">
        <v>1</v>
      </c>
      <c r="Q595" s="7">
        <v>1</v>
      </c>
      <c r="R595" t="str">
        <f t="shared" si="74"/>
        <v>код для проверки</v>
      </c>
      <c r="S595" t="str">
        <f t="shared" si="77"/>
        <v>Низшая четверть</v>
      </c>
      <c r="T595" t="str">
        <f t="shared" si="78"/>
        <v>Вторая четверть</v>
      </c>
      <c r="U595" t="str">
        <f t="shared" si="79"/>
        <v>нормальный код</v>
      </c>
      <c r="V595" t="str">
        <f t="shared" si="80"/>
        <v>Вторая четверть</v>
      </c>
      <c r="W595" t="str">
        <f t="shared" si="81"/>
        <v>Больше половины</v>
      </c>
      <c r="X595">
        <v>11</v>
      </c>
    </row>
    <row r="596" spans="1:24" x14ac:dyDescent="0.35">
      <c r="A596" s="1" t="s">
        <v>1584</v>
      </c>
      <c r="B596" s="2" t="s">
        <v>1585</v>
      </c>
      <c r="C596" s="3" t="s">
        <v>13</v>
      </c>
      <c r="D596" s="2" t="s">
        <v>630</v>
      </c>
      <c r="E596" s="3" t="s">
        <v>685</v>
      </c>
      <c r="F596" s="2" t="s">
        <v>61</v>
      </c>
      <c r="G596" s="3" t="s">
        <v>17</v>
      </c>
      <c r="H596" s="2" t="s">
        <v>97</v>
      </c>
      <c r="I596" s="3" t="s">
        <v>19</v>
      </c>
      <c r="J596" s="3">
        <v>3949</v>
      </c>
      <c r="K596" s="3">
        <v>431</v>
      </c>
      <c r="L596" s="3">
        <v>8</v>
      </c>
      <c r="M596" s="4">
        <f t="shared" si="75"/>
        <v>0.10914155482400607</v>
      </c>
      <c r="N596" s="4">
        <f t="shared" si="76"/>
        <v>1.8561484918793503E-2</v>
      </c>
      <c r="O596">
        <v>429</v>
      </c>
      <c r="P596" s="5">
        <v>1</v>
      </c>
      <c r="Q596" s="7">
        <v>1</v>
      </c>
      <c r="R596" t="str">
        <f t="shared" si="74"/>
        <v>нормальный код</v>
      </c>
      <c r="S596" t="str">
        <f t="shared" si="77"/>
        <v>Больше половины</v>
      </c>
      <c r="T596" t="str">
        <f t="shared" si="78"/>
        <v>Вторая четверть</v>
      </c>
      <c r="U596" t="str">
        <f t="shared" si="79"/>
        <v>нормальный код</v>
      </c>
      <c r="V596" t="str">
        <f t="shared" si="80"/>
        <v>Больше половины</v>
      </c>
      <c r="W596" t="str">
        <f t="shared" si="81"/>
        <v>Вторая четверть</v>
      </c>
      <c r="X596">
        <v>9</v>
      </c>
    </row>
    <row r="597" spans="1:24" x14ac:dyDescent="0.35">
      <c r="A597" s="1" t="s">
        <v>1172</v>
      </c>
      <c r="B597" s="2" t="s">
        <v>1173</v>
      </c>
      <c r="C597" s="3" t="s">
        <v>55</v>
      </c>
      <c r="D597" s="2" t="s">
        <v>972</v>
      </c>
      <c r="E597" s="3" t="s">
        <v>973</v>
      </c>
      <c r="F597" s="2" t="s">
        <v>34</v>
      </c>
      <c r="G597" s="3" t="s">
        <v>17</v>
      </c>
      <c r="H597" s="2" t="s">
        <v>18</v>
      </c>
      <c r="I597" s="3" t="s">
        <v>19</v>
      </c>
      <c r="J597" s="3">
        <v>3938</v>
      </c>
      <c r="K597" s="3">
        <v>403</v>
      </c>
      <c r="L597" s="3">
        <v>14</v>
      </c>
      <c r="M597" s="4">
        <f t="shared" si="75"/>
        <v>0.10233621127475877</v>
      </c>
      <c r="N597" s="4">
        <f t="shared" si="76"/>
        <v>3.4739454094292806E-2</v>
      </c>
      <c r="O597">
        <v>422</v>
      </c>
      <c r="P597" s="5">
        <v>1</v>
      </c>
      <c r="Q597" s="7">
        <v>1</v>
      </c>
      <c r="R597" t="str">
        <f t="shared" si="74"/>
        <v>нормальный код</v>
      </c>
      <c r="S597" t="str">
        <f t="shared" si="77"/>
        <v>Больше половины</v>
      </c>
      <c r="T597" t="str">
        <f t="shared" si="78"/>
        <v>Больше половины</v>
      </c>
      <c r="U597" t="str">
        <f t="shared" si="79"/>
        <v>нормальный код</v>
      </c>
      <c r="V597" t="str">
        <f t="shared" si="80"/>
        <v>Вторая четверть</v>
      </c>
      <c r="W597" t="str">
        <f t="shared" si="81"/>
        <v>Больше половины</v>
      </c>
      <c r="X597">
        <v>22</v>
      </c>
    </row>
    <row r="598" spans="1:24" x14ac:dyDescent="0.35">
      <c r="A598" s="1" t="s">
        <v>1662</v>
      </c>
      <c r="B598" s="2" t="s">
        <v>1663</v>
      </c>
      <c r="C598" s="3" t="s">
        <v>55</v>
      </c>
      <c r="D598" s="2" t="s">
        <v>94</v>
      </c>
      <c r="E598" s="3" t="s">
        <v>812</v>
      </c>
      <c r="F598" s="2" t="s">
        <v>96</v>
      </c>
      <c r="G598" s="3" t="s">
        <v>17</v>
      </c>
      <c r="H598" s="2" t="s">
        <v>18</v>
      </c>
      <c r="I598" s="3" t="s">
        <v>19</v>
      </c>
      <c r="J598" s="3">
        <v>3923</v>
      </c>
      <c r="K598" s="3">
        <v>810</v>
      </c>
      <c r="L598" s="3">
        <v>21</v>
      </c>
      <c r="M598" s="4">
        <f t="shared" si="75"/>
        <v>0.20647463675758349</v>
      </c>
      <c r="N598" s="4">
        <f t="shared" si="76"/>
        <v>2.5925925925925925E-2</v>
      </c>
      <c r="O598">
        <v>1233</v>
      </c>
      <c r="P598" s="5">
        <v>1</v>
      </c>
      <c r="Q598" s="7">
        <v>1</v>
      </c>
      <c r="R598" t="str">
        <f t="shared" si="74"/>
        <v>нормальный код</v>
      </c>
      <c r="S598" t="str">
        <f t="shared" si="77"/>
        <v>Больше половины</v>
      </c>
      <c r="T598" t="str">
        <f t="shared" si="78"/>
        <v>Больше половины</v>
      </c>
      <c r="U598" t="str">
        <f t="shared" si="79"/>
        <v>нормальный код</v>
      </c>
      <c r="V598" t="str">
        <f t="shared" si="80"/>
        <v>Больше половины</v>
      </c>
      <c r="W598" t="str">
        <f t="shared" si="81"/>
        <v>Больше половины</v>
      </c>
      <c r="X598">
        <v>5</v>
      </c>
    </row>
    <row r="599" spans="1:24" x14ac:dyDescent="0.35">
      <c r="A599" s="1" t="s">
        <v>791</v>
      </c>
      <c r="B599" s="2" t="s">
        <v>792</v>
      </c>
      <c r="C599" s="3" t="s">
        <v>13</v>
      </c>
      <c r="D599" s="2" t="s">
        <v>155</v>
      </c>
      <c r="E599" s="3" t="s">
        <v>244</v>
      </c>
      <c r="F599" s="2" t="s">
        <v>34</v>
      </c>
      <c r="G599" s="3" t="s">
        <v>35</v>
      </c>
      <c r="H599" s="2" t="s">
        <v>18</v>
      </c>
      <c r="I599" s="3" t="s">
        <v>19</v>
      </c>
      <c r="J599" s="3">
        <v>3894</v>
      </c>
      <c r="K599" s="3">
        <v>1234</v>
      </c>
      <c r="L599" s="3">
        <v>7</v>
      </c>
      <c r="M599" s="4">
        <f t="shared" si="75"/>
        <v>0.31689779147406266</v>
      </c>
      <c r="N599" s="4">
        <f t="shared" si="76"/>
        <v>5.6726094003241492E-3</v>
      </c>
      <c r="O599">
        <v>513</v>
      </c>
      <c r="P599" s="5">
        <v>1</v>
      </c>
      <c r="Q599" s="7">
        <v>1</v>
      </c>
      <c r="R599" t="str">
        <f t="shared" si="74"/>
        <v>код для проверки</v>
      </c>
      <c r="S599" t="str">
        <f t="shared" si="77"/>
        <v>Больше половины</v>
      </c>
      <c r="T599" t="str">
        <f t="shared" si="78"/>
        <v>Низшая четверть</v>
      </c>
      <c r="U599" t="str">
        <f t="shared" si="79"/>
        <v>код для проверки</v>
      </c>
      <c r="V599" t="str">
        <f t="shared" si="80"/>
        <v>Больше половины</v>
      </c>
      <c r="W599" t="str">
        <f t="shared" si="81"/>
        <v>Низшая четверть</v>
      </c>
      <c r="X599">
        <v>23</v>
      </c>
    </row>
    <row r="600" spans="1:24" x14ac:dyDescent="0.35">
      <c r="A600" s="1" t="s">
        <v>1292</v>
      </c>
      <c r="B600" s="2" t="s">
        <v>1293</v>
      </c>
      <c r="C600" s="3" t="s">
        <v>55</v>
      </c>
      <c r="D600" s="2" t="s">
        <v>56</v>
      </c>
      <c r="E600" s="3" t="s">
        <v>253</v>
      </c>
      <c r="F600" s="2" t="s">
        <v>34</v>
      </c>
      <c r="G600" s="3" t="s">
        <v>17</v>
      </c>
      <c r="H600" s="2" t="s">
        <v>18</v>
      </c>
      <c r="I600" s="3" t="s">
        <v>19</v>
      </c>
      <c r="J600" s="3">
        <v>3888</v>
      </c>
      <c r="K600" s="3">
        <v>287</v>
      </c>
      <c r="L600" s="3">
        <v>1</v>
      </c>
      <c r="M600" s="4">
        <f t="shared" si="75"/>
        <v>7.3816872427983543E-2</v>
      </c>
      <c r="N600" s="4">
        <f t="shared" si="76"/>
        <v>3.4843205574912892E-3</v>
      </c>
      <c r="O600">
        <v>349</v>
      </c>
      <c r="P600" s="5">
        <v>1</v>
      </c>
      <c r="Q600" s="7">
        <v>1</v>
      </c>
      <c r="R600" t="str">
        <f t="shared" si="74"/>
        <v>код для проверки</v>
      </c>
      <c r="S600" t="str">
        <f t="shared" si="77"/>
        <v>Вторая четверть</v>
      </c>
      <c r="T600" t="str">
        <f t="shared" si="78"/>
        <v>Низшая четверть</v>
      </c>
      <c r="U600" t="str">
        <f t="shared" si="79"/>
        <v>код для проверки</v>
      </c>
      <c r="V600" t="str">
        <f t="shared" si="80"/>
        <v>Больше половины</v>
      </c>
      <c r="W600" t="str">
        <f t="shared" si="81"/>
        <v>Низшая четверть</v>
      </c>
      <c r="X600">
        <v>27</v>
      </c>
    </row>
    <row r="601" spans="1:24" x14ac:dyDescent="0.35">
      <c r="A601" s="1" t="s">
        <v>609</v>
      </c>
      <c r="B601" s="2" t="s">
        <v>610</v>
      </c>
      <c r="C601" s="3" t="s">
        <v>13</v>
      </c>
      <c r="D601" s="2" t="s">
        <v>412</v>
      </c>
      <c r="E601" s="3" t="s">
        <v>611</v>
      </c>
      <c r="F601" s="2" t="s">
        <v>61</v>
      </c>
      <c r="G601" s="3" t="s">
        <v>17</v>
      </c>
      <c r="H601" s="2" t="s">
        <v>97</v>
      </c>
      <c r="I601" s="3" t="s">
        <v>19</v>
      </c>
      <c r="J601" s="3">
        <v>3887</v>
      </c>
      <c r="K601" s="3">
        <v>422</v>
      </c>
      <c r="L601" s="3">
        <v>6</v>
      </c>
      <c r="M601" s="4">
        <f t="shared" si="75"/>
        <v>0.10856701826601492</v>
      </c>
      <c r="N601" s="4">
        <f t="shared" si="76"/>
        <v>1.4218009478672985E-2</v>
      </c>
      <c r="O601">
        <v>934</v>
      </c>
      <c r="P601" s="5">
        <v>0.66666666666666663</v>
      </c>
      <c r="Q601" s="7">
        <v>1</v>
      </c>
      <c r="R601" t="str">
        <f t="shared" si="74"/>
        <v>нормальный код</v>
      </c>
      <c r="S601" t="str">
        <f t="shared" si="77"/>
        <v>Больше половины</v>
      </c>
      <c r="T601" t="str">
        <f t="shared" si="78"/>
        <v>Вторая четверть</v>
      </c>
      <c r="U601" t="str">
        <f t="shared" si="79"/>
        <v>нормальный код</v>
      </c>
      <c r="V601" t="str">
        <f t="shared" si="80"/>
        <v>Больше половины</v>
      </c>
      <c r="W601" t="str">
        <f t="shared" si="81"/>
        <v>Вторая четверть</v>
      </c>
      <c r="X601">
        <v>6</v>
      </c>
    </row>
    <row r="602" spans="1:24" x14ac:dyDescent="0.35">
      <c r="A602" s="1" t="s">
        <v>810</v>
      </c>
      <c r="B602" s="2" t="s">
        <v>811</v>
      </c>
      <c r="C602" s="3" t="s">
        <v>55</v>
      </c>
      <c r="D602" s="2" t="s">
        <v>94</v>
      </c>
      <c r="E602" s="3" t="s">
        <v>812</v>
      </c>
      <c r="F602" s="2" t="s">
        <v>96</v>
      </c>
      <c r="G602" s="3" t="s">
        <v>17</v>
      </c>
      <c r="H602" s="2" t="s">
        <v>18</v>
      </c>
      <c r="I602" s="3" t="s">
        <v>19</v>
      </c>
      <c r="J602" s="3">
        <v>3884</v>
      </c>
      <c r="K602" s="3">
        <v>219</v>
      </c>
      <c r="L602" s="3">
        <v>0</v>
      </c>
      <c r="M602" s="4">
        <f t="shared" si="75"/>
        <v>5.6385169927909373E-2</v>
      </c>
      <c r="N602" s="4">
        <f t="shared" si="76"/>
        <v>0</v>
      </c>
      <c r="O602">
        <v>2851</v>
      </c>
      <c r="P602" s="5">
        <v>1</v>
      </c>
      <c r="Q602" s="7">
        <v>1</v>
      </c>
      <c r="R602" t="str">
        <f t="shared" si="74"/>
        <v>код для проверки</v>
      </c>
      <c r="S602" t="str">
        <f t="shared" si="77"/>
        <v>Вторая четверть</v>
      </c>
      <c r="T602" t="str">
        <f t="shared" si="78"/>
        <v>Низшая четверть</v>
      </c>
      <c r="U602" t="str">
        <f t="shared" si="79"/>
        <v>код для проверки</v>
      </c>
      <c r="V602" t="str">
        <f t="shared" si="80"/>
        <v>Низшая четверть</v>
      </c>
      <c r="W602" t="str">
        <f t="shared" si="81"/>
        <v>Низшая четверть</v>
      </c>
      <c r="X602">
        <v>8</v>
      </c>
    </row>
    <row r="603" spans="1:24" x14ac:dyDescent="0.35">
      <c r="A603" s="1" t="s">
        <v>1668</v>
      </c>
      <c r="B603" s="2" t="s">
        <v>1669</v>
      </c>
      <c r="C603" s="3" t="s">
        <v>55</v>
      </c>
      <c r="D603" s="2" t="s">
        <v>94</v>
      </c>
      <c r="E603" s="3" t="s">
        <v>95</v>
      </c>
      <c r="F603" s="2" t="s">
        <v>96</v>
      </c>
      <c r="G603" s="3" t="s">
        <v>17</v>
      </c>
      <c r="H603" s="2" t="s">
        <v>97</v>
      </c>
      <c r="I603" s="3" t="s">
        <v>19</v>
      </c>
      <c r="J603" s="3">
        <v>3884</v>
      </c>
      <c r="K603" s="3">
        <v>5371</v>
      </c>
      <c r="L603" s="3">
        <v>24</v>
      </c>
      <c r="M603" s="4">
        <f t="shared" si="75"/>
        <v>1.3828527291452111</v>
      </c>
      <c r="N603" s="4">
        <f t="shared" si="76"/>
        <v>4.4684416309811953E-3</v>
      </c>
      <c r="O603">
        <v>1555</v>
      </c>
      <c r="P603" s="5">
        <v>0.66666666666666663</v>
      </c>
      <c r="Q603" s="7">
        <v>1</v>
      </c>
      <c r="R603" t="str">
        <f t="shared" si="74"/>
        <v>код для проверки</v>
      </c>
      <c r="S603" t="str">
        <f t="shared" si="77"/>
        <v>Больше половины</v>
      </c>
      <c r="T603" t="str">
        <f t="shared" si="78"/>
        <v>Низшая четверть</v>
      </c>
      <c r="U603" t="str">
        <f t="shared" si="79"/>
        <v>код для проверки</v>
      </c>
      <c r="V603" t="str">
        <f t="shared" si="80"/>
        <v>Больше половины</v>
      </c>
      <c r="W603" t="str">
        <f t="shared" si="81"/>
        <v>Низшая четверть</v>
      </c>
      <c r="X603">
        <v>26</v>
      </c>
    </row>
    <row r="604" spans="1:24" x14ac:dyDescent="0.35">
      <c r="A604" s="1" t="s">
        <v>1296</v>
      </c>
      <c r="B604" s="2" t="s">
        <v>1297</v>
      </c>
      <c r="C604" s="3" t="s">
        <v>55</v>
      </c>
      <c r="D604" s="2" t="s">
        <v>94</v>
      </c>
      <c r="E604" s="3" t="s">
        <v>95</v>
      </c>
      <c r="F604" s="2" t="s">
        <v>96</v>
      </c>
      <c r="G604" s="3" t="s">
        <v>17</v>
      </c>
      <c r="H604" s="2" t="s">
        <v>97</v>
      </c>
      <c r="I604" s="3" t="s">
        <v>19</v>
      </c>
      <c r="J604" s="3">
        <v>3850</v>
      </c>
      <c r="K604" s="3">
        <v>1760</v>
      </c>
      <c r="L604" s="3">
        <v>11</v>
      </c>
      <c r="M604" s="4">
        <f t="shared" si="75"/>
        <v>0.45714285714285713</v>
      </c>
      <c r="N604" s="4">
        <f t="shared" si="76"/>
        <v>6.2500000000000003E-3</v>
      </c>
      <c r="O604">
        <v>3706</v>
      </c>
      <c r="P604" s="5">
        <v>0.66666666666666663</v>
      </c>
      <c r="Q604" s="7">
        <v>1</v>
      </c>
      <c r="R604" t="str">
        <f t="shared" si="74"/>
        <v>код для проверки</v>
      </c>
      <c r="S604" t="str">
        <f t="shared" si="77"/>
        <v>Больше половины</v>
      </c>
      <c r="T604" t="str">
        <f t="shared" si="78"/>
        <v>Низшая четверть</v>
      </c>
      <c r="U604" t="str">
        <f t="shared" si="79"/>
        <v>нормальный код</v>
      </c>
      <c r="V604" t="str">
        <f t="shared" si="80"/>
        <v>Больше половины</v>
      </c>
      <c r="W604" t="str">
        <f t="shared" si="81"/>
        <v>Вторая четверть</v>
      </c>
      <c r="X604">
        <v>20</v>
      </c>
    </row>
    <row r="605" spans="1:24" x14ac:dyDescent="0.35">
      <c r="A605" s="1" t="s">
        <v>1149</v>
      </c>
      <c r="B605" s="2" t="s">
        <v>1150</v>
      </c>
      <c r="C605" s="3" t="s">
        <v>13</v>
      </c>
      <c r="D605" s="2" t="s">
        <v>104</v>
      </c>
      <c r="E605" s="3" t="s">
        <v>105</v>
      </c>
      <c r="F605" s="2" t="s">
        <v>71</v>
      </c>
      <c r="G605" s="3" t="s">
        <v>17</v>
      </c>
      <c r="H605" s="2" t="s">
        <v>18</v>
      </c>
      <c r="I605" s="3" t="s">
        <v>19</v>
      </c>
      <c r="J605" s="3">
        <v>3843</v>
      </c>
      <c r="K605" s="3">
        <v>292</v>
      </c>
      <c r="L605" s="3">
        <v>21</v>
      </c>
      <c r="M605" s="4">
        <f t="shared" si="75"/>
        <v>7.5982305490502208E-2</v>
      </c>
      <c r="N605" s="4">
        <f t="shared" si="76"/>
        <v>7.1917808219178078E-2</v>
      </c>
      <c r="O605">
        <v>258</v>
      </c>
      <c r="P605" s="5">
        <v>1</v>
      </c>
      <c r="Q605" s="7">
        <v>1</v>
      </c>
      <c r="R605" t="str">
        <f t="shared" si="74"/>
        <v>нормальный код</v>
      </c>
      <c r="S605" t="str">
        <f t="shared" si="77"/>
        <v>Вторая четверть</v>
      </c>
      <c r="T605" t="str">
        <f t="shared" si="78"/>
        <v>Больше половины</v>
      </c>
      <c r="U605" t="str">
        <f t="shared" si="79"/>
        <v>нормальный код</v>
      </c>
      <c r="V605" t="str">
        <f t="shared" si="80"/>
        <v>Больше половины</v>
      </c>
      <c r="W605" t="str">
        <f t="shared" si="81"/>
        <v>Больше половины</v>
      </c>
      <c r="X605">
        <v>7</v>
      </c>
    </row>
    <row r="606" spans="1:24" x14ac:dyDescent="0.35">
      <c r="A606" s="1" t="s">
        <v>2246</v>
      </c>
      <c r="B606" s="2" t="s">
        <v>2247</v>
      </c>
      <c r="C606" s="3" t="s">
        <v>13</v>
      </c>
      <c r="D606" s="2" t="s">
        <v>69</v>
      </c>
      <c r="E606" s="3" t="s">
        <v>969</v>
      </c>
      <c r="F606" s="2" t="s">
        <v>96</v>
      </c>
      <c r="G606" s="3" t="s">
        <v>72</v>
      </c>
      <c r="H606" s="2" t="s">
        <v>18</v>
      </c>
      <c r="I606" s="3" t="s">
        <v>19</v>
      </c>
      <c r="J606" s="3">
        <v>3831</v>
      </c>
      <c r="K606" s="3">
        <v>1695</v>
      </c>
      <c r="L606" s="3">
        <v>5</v>
      </c>
      <c r="M606" s="4">
        <f t="shared" si="75"/>
        <v>0.44244322631166799</v>
      </c>
      <c r="N606" s="4">
        <f t="shared" si="76"/>
        <v>2.9498525073746312E-3</v>
      </c>
      <c r="O606">
        <v>653</v>
      </c>
      <c r="P606" s="5">
        <v>1</v>
      </c>
      <c r="Q606" s="7">
        <v>1</v>
      </c>
      <c r="R606" t="str">
        <f t="shared" si="74"/>
        <v>код для проверки</v>
      </c>
      <c r="S606" t="str">
        <f t="shared" si="77"/>
        <v>Больше половины</v>
      </c>
      <c r="T606" t="str">
        <f t="shared" si="78"/>
        <v>Низшая четверть</v>
      </c>
      <c r="U606" t="str">
        <f t="shared" si="79"/>
        <v>код для проверки</v>
      </c>
      <c r="V606" t="str">
        <f t="shared" si="80"/>
        <v>Больше половины</v>
      </c>
      <c r="W606" t="str">
        <f t="shared" si="81"/>
        <v>Низшая четверть</v>
      </c>
      <c r="X606">
        <v>14</v>
      </c>
    </row>
    <row r="607" spans="1:24" x14ac:dyDescent="0.35">
      <c r="A607" s="1" t="s">
        <v>916</v>
      </c>
      <c r="B607" s="2" t="s">
        <v>917</v>
      </c>
      <c r="C607" s="3" t="s">
        <v>13</v>
      </c>
      <c r="D607" s="2" t="s">
        <v>121</v>
      </c>
      <c r="E607" s="3" t="s">
        <v>918</v>
      </c>
      <c r="F607" s="2" t="s">
        <v>123</v>
      </c>
      <c r="G607" s="3" t="s">
        <v>17</v>
      </c>
      <c r="H607" s="2" t="s">
        <v>18</v>
      </c>
      <c r="I607" s="3" t="s">
        <v>19</v>
      </c>
      <c r="J607" s="3">
        <v>3809</v>
      </c>
      <c r="K607" s="3">
        <v>305</v>
      </c>
      <c r="L607" s="3">
        <v>2</v>
      </c>
      <c r="M607" s="4">
        <f t="shared" si="75"/>
        <v>8.00735101076398E-2</v>
      </c>
      <c r="N607" s="4">
        <f t="shared" si="76"/>
        <v>6.5573770491803279E-3</v>
      </c>
      <c r="O607">
        <v>510</v>
      </c>
      <c r="P607" s="5">
        <v>1</v>
      </c>
      <c r="Q607" s="7">
        <v>1</v>
      </c>
      <c r="R607" t="str">
        <f t="shared" si="74"/>
        <v>код для проверки</v>
      </c>
      <c r="S607" t="str">
        <f t="shared" si="77"/>
        <v>Вторая четверть</v>
      </c>
      <c r="T607" t="str">
        <f t="shared" si="78"/>
        <v>Низшая четверть</v>
      </c>
      <c r="U607" t="str">
        <f t="shared" si="79"/>
        <v>нормальный код</v>
      </c>
      <c r="V607" t="str">
        <f t="shared" si="80"/>
        <v>Больше половины</v>
      </c>
      <c r="W607" t="str">
        <f t="shared" si="81"/>
        <v>Вторая четверть</v>
      </c>
      <c r="X607">
        <v>22</v>
      </c>
    </row>
    <row r="608" spans="1:24" x14ac:dyDescent="0.35">
      <c r="A608" s="1" t="s">
        <v>1162</v>
      </c>
      <c r="B608" s="2" t="s">
        <v>1163</v>
      </c>
      <c r="C608" s="3" t="s">
        <v>13</v>
      </c>
      <c r="D608" s="2" t="s">
        <v>77</v>
      </c>
      <c r="E608" s="3" t="s">
        <v>193</v>
      </c>
      <c r="F608" s="2" t="s">
        <v>34</v>
      </c>
      <c r="G608" s="3" t="s">
        <v>17</v>
      </c>
      <c r="H608" s="2" t="s">
        <v>18</v>
      </c>
      <c r="I608" s="3" t="s">
        <v>19</v>
      </c>
      <c r="J608" s="3">
        <v>3787</v>
      </c>
      <c r="K608" s="3">
        <v>464</v>
      </c>
      <c r="L608" s="3">
        <v>5</v>
      </c>
      <c r="M608" s="4">
        <f t="shared" si="75"/>
        <v>0.12252442566675469</v>
      </c>
      <c r="N608" s="4">
        <f t="shared" si="76"/>
        <v>1.0775862068965518E-2</v>
      </c>
      <c r="O608">
        <v>345</v>
      </c>
      <c r="P608" s="5">
        <v>1</v>
      </c>
      <c r="Q608" s="7">
        <v>1</v>
      </c>
      <c r="R608" t="str">
        <f t="shared" si="74"/>
        <v>нормальный код</v>
      </c>
      <c r="S608" t="str">
        <f t="shared" si="77"/>
        <v>Больше половины</v>
      </c>
      <c r="T608" t="str">
        <f t="shared" si="78"/>
        <v>Вторая четверть</v>
      </c>
      <c r="U608" t="str">
        <f t="shared" si="79"/>
        <v>нормальный код</v>
      </c>
      <c r="V608" t="str">
        <f t="shared" si="80"/>
        <v>Больше половины</v>
      </c>
      <c r="W608" t="str">
        <f t="shared" si="81"/>
        <v>Вторая четверть</v>
      </c>
      <c r="X608">
        <v>16</v>
      </c>
    </row>
    <row r="609" spans="1:24" x14ac:dyDescent="0.35">
      <c r="A609" s="1" t="s">
        <v>1155</v>
      </c>
      <c r="B609" s="2" t="s">
        <v>1156</v>
      </c>
      <c r="C609" s="3" t="s">
        <v>13</v>
      </c>
      <c r="D609" s="2" t="s">
        <v>104</v>
      </c>
      <c r="E609" s="3" t="s">
        <v>424</v>
      </c>
      <c r="F609" s="2" t="s">
        <v>34</v>
      </c>
      <c r="G609" s="3" t="s">
        <v>35</v>
      </c>
      <c r="H609" s="2" t="s">
        <v>18</v>
      </c>
      <c r="I609" s="3" t="s">
        <v>19</v>
      </c>
      <c r="J609" s="3">
        <v>3784</v>
      </c>
      <c r="K609" s="3">
        <v>343</v>
      </c>
      <c r="L609" s="3">
        <v>9</v>
      </c>
      <c r="M609" s="4">
        <f t="shared" si="75"/>
        <v>9.0644820295983086E-2</v>
      </c>
      <c r="N609" s="4">
        <f t="shared" si="76"/>
        <v>2.6239067055393587E-2</v>
      </c>
      <c r="O609">
        <v>355</v>
      </c>
      <c r="P609" s="5">
        <v>0.8</v>
      </c>
      <c r="Q609" s="7">
        <v>1</v>
      </c>
      <c r="R609" t="str">
        <f t="shared" si="74"/>
        <v>нормальный код</v>
      </c>
      <c r="S609" t="str">
        <f t="shared" si="77"/>
        <v>Вторая четверть</v>
      </c>
      <c r="T609" t="str">
        <f t="shared" si="78"/>
        <v>Больше половины</v>
      </c>
      <c r="U609" t="str">
        <f t="shared" si="79"/>
        <v>нормальный код</v>
      </c>
      <c r="V609" t="str">
        <f t="shared" si="80"/>
        <v>Больше половины</v>
      </c>
      <c r="W609" t="str">
        <f t="shared" si="81"/>
        <v>Больше половины</v>
      </c>
      <c r="X609">
        <v>16</v>
      </c>
    </row>
    <row r="610" spans="1:24" x14ac:dyDescent="0.35">
      <c r="A610" s="1" t="s">
        <v>579</v>
      </c>
      <c r="B610" s="2" t="s">
        <v>580</v>
      </c>
      <c r="C610" s="3" t="s">
        <v>13</v>
      </c>
      <c r="D610" s="2" t="s">
        <v>121</v>
      </c>
      <c r="E610" s="3" t="s">
        <v>531</v>
      </c>
      <c r="F610" s="2" t="s">
        <v>123</v>
      </c>
      <c r="G610" s="3" t="s">
        <v>17</v>
      </c>
      <c r="H610" s="2" t="s">
        <v>18</v>
      </c>
      <c r="I610" s="3" t="s">
        <v>19</v>
      </c>
      <c r="J610" s="3">
        <v>3761</v>
      </c>
      <c r="K610" s="3">
        <v>553</v>
      </c>
      <c r="L610" s="3">
        <v>11</v>
      </c>
      <c r="M610" s="4">
        <f t="shared" si="75"/>
        <v>0.14703536293538952</v>
      </c>
      <c r="N610" s="4">
        <f t="shared" si="76"/>
        <v>1.9891500904159132E-2</v>
      </c>
      <c r="O610">
        <v>598</v>
      </c>
      <c r="P610" s="5">
        <v>1</v>
      </c>
      <c r="Q610" s="7">
        <v>1</v>
      </c>
      <c r="R610" t="str">
        <f t="shared" si="74"/>
        <v>нормальный код</v>
      </c>
      <c r="S610" t="str">
        <f t="shared" si="77"/>
        <v>Больше половины</v>
      </c>
      <c r="T610" t="str">
        <f t="shared" si="78"/>
        <v>Вторая четверть</v>
      </c>
      <c r="U610" t="str">
        <f t="shared" si="79"/>
        <v>нормальный код</v>
      </c>
      <c r="V610" t="str">
        <f t="shared" si="80"/>
        <v>Больше половины</v>
      </c>
      <c r="W610" t="str">
        <f t="shared" si="81"/>
        <v>Вторая четверть</v>
      </c>
      <c r="X610">
        <v>24</v>
      </c>
    </row>
    <row r="611" spans="1:24" x14ac:dyDescent="0.35">
      <c r="A611" s="1" t="s">
        <v>1814</v>
      </c>
      <c r="B611" s="2" t="s">
        <v>1815</v>
      </c>
      <c r="C611" s="3" t="s">
        <v>55</v>
      </c>
      <c r="D611" s="2" t="s">
        <v>94</v>
      </c>
      <c r="E611" s="3" t="s">
        <v>95</v>
      </c>
      <c r="F611" s="2" t="s">
        <v>96</v>
      </c>
      <c r="G611" s="3" t="s">
        <v>17</v>
      </c>
      <c r="H611" s="2" t="s">
        <v>97</v>
      </c>
      <c r="I611" s="3" t="s">
        <v>19</v>
      </c>
      <c r="J611" s="3">
        <v>3755</v>
      </c>
      <c r="K611" s="3">
        <v>2689</v>
      </c>
      <c r="L611" s="3">
        <v>28</v>
      </c>
      <c r="M611" s="4">
        <f t="shared" si="75"/>
        <v>0.71611185086551266</v>
      </c>
      <c r="N611" s="4">
        <f t="shared" si="76"/>
        <v>1.0412792859799182E-2</v>
      </c>
      <c r="O611">
        <v>1490</v>
      </c>
      <c r="P611" s="5">
        <v>0.55555555555555558</v>
      </c>
      <c r="Q611" s="7">
        <v>1</v>
      </c>
      <c r="R611" t="str">
        <f t="shared" si="74"/>
        <v>нормальный код</v>
      </c>
      <c r="S611" t="str">
        <f t="shared" si="77"/>
        <v>Больше половины</v>
      </c>
      <c r="T611" t="str">
        <f t="shared" si="78"/>
        <v>Вторая четверть</v>
      </c>
      <c r="U611" t="str">
        <f t="shared" si="79"/>
        <v>нормальный код</v>
      </c>
      <c r="V611" t="str">
        <f t="shared" si="80"/>
        <v>Больше половины</v>
      </c>
      <c r="W611" t="str">
        <f t="shared" si="81"/>
        <v>Вторая четверть</v>
      </c>
      <c r="X611">
        <v>27</v>
      </c>
    </row>
    <row r="612" spans="1:24" x14ac:dyDescent="0.35">
      <c r="A612" s="1" t="s">
        <v>1798</v>
      </c>
      <c r="B612" s="2" t="s">
        <v>1799</v>
      </c>
      <c r="C612" s="3" t="s">
        <v>13</v>
      </c>
      <c r="D612" s="2" t="s">
        <v>77</v>
      </c>
      <c r="E612" s="3" t="s">
        <v>1592</v>
      </c>
      <c r="F612" s="2" t="s">
        <v>96</v>
      </c>
      <c r="G612" s="3" t="s">
        <v>35</v>
      </c>
      <c r="H612" s="2" t="s">
        <v>18</v>
      </c>
      <c r="I612" s="3" t="s">
        <v>19</v>
      </c>
      <c r="J612" s="3">
        <v>3744</v>
      </c>
      <c r="K612" s="3">
        <v>570</v>
      </c>
      <c r="L612" s="3">
        <v>6</v>
      </c>
      <c r="M612" s="4">
        <f t="shared" si="75"/>
        <v>0.15224358974358973</v>
      </c>
      <c r="N612" s="4">
        <f t="shared" si="76"/>
        <v>1.0526315789473684E-2</v>
      </c>
      <c r="O612">
        <v>678</v>
      </c>
      <c r="P612" s="5">
        <v>1</v>
      </c>
      <c r="Q612" s="7">
        <v>1</v>
      </c>
      <c r="R612" t="str">
        <f t="shared" si="74"/>
        <v>нормальный код</v>
      </c>
      <c r="S612" t="str">
        <f t="shared" si="77"/>
        <v>Больше половины</v>
      </c>
      <c r="T612" t="str">
        <f t="shared" si="78"/>
        <v>Вторая четверть</v>
      </c>
      <c r="U612" t="str">
        <f t="shared" si="79"/>
        <v>код для проверки</v>
      </c>
      <c r="V612" t="str">
        <f t="shared" si="80"/>
        <v>Больше половины</v>
      </c>
      <c r="W612" t="str">
        <f t="shared" si="81"/>
        <v>Низшая четверть</v>
      </c>
      <c r="X612">
        <v>13</v>
      </c>
    </row>
    <row r="613" spans="1:24" x14ac:dyDescent="0.35">
      <c r="A613" s="1" t="s">
        <v>1549</v>
      </c>
      <c r="B613" s="2" t="s">
        <v>1550</v>
      </c>
      <c r="C613" s="3" t="s">
        <v>55</v>
      </c>
      <c r="D613" s="2" t="s">
        <v>94</v>
      </c>
      <c r="E613" s="3" t="s">
        <v>95</v>
      </c>
      <c r="F613" s="2" t="s">
        <v>96</v>
      </c>
      <c r="G613" s="3" t="s">
        <v>17</v>
      </c>
      <c r="H613" s="2" t="s">
        <v>97</v>
      </c>
      <c r="I613" s="3" t="s">
        <v>19</v>
      </c>
      <c r="J613" s="3">
        <v>3734</v>
      </c>
      <c r="K613" s="3">
        <v>2751</v>
      </c>
      <c r="L613" s="3">
        <v>18</v>
      </c>
      <c r="M613" s="4">
        <f t="shared" si="75"/>
        <v>0.73674343867166581</v>
      </c>
      <c r="N613" s="4">
        <f t="shared" si="76"/>
        <v>6.5430752453653216E-3</v>
      </c>
      <c r="O613">
        <v>1199</v>
      </c>
      <c r="P613" s="5">
        <v>0.55555555555555558</v>
      </c>
      <c r="Q613" s="7">
        <v>1</v>
      </c>
      <c r="R613" t="str">
        <f t="shared" si="74"/>
        <v>код для проверки</v>
      </c>
      <c r="S613" t="str">
        <f t="shared" si="77"/>
        <v>Больше половины</v>
      </c>
      <c r="T613" t="str">
        <f t="shared" si="78"/>
        <v>Низшая четверть</v>
      </c>
      <c r="U613" t="str">
        <f t="shared" si="79"/>
        <v>нормальный код</v>
      </c>
      <c r="V613" t="str">
        <f t="shared" si="80"/>
        <v>Больше половины</v>
      </c>
      <c r="W613" t="str">
        <f t="shared" si="81"/>
        <v>Вторая четверть</v>
      </c>
      <c r="X613">
        <v>18</v>
      </c>
    </row>
    <row r="614" spans="1:24" x14ac:dyDescent="0.35">
      <c r="A614" s="1" t="s">
        <v>1509</v>
      </c>
      <c r="B614" s="2" t="s">
        <v>1510</v>
      </c>
      <c r="C614" s="3" t="s">
        <v>13</v>
      </c>
      <c r="D614" s="2" t="s">
        <v>69</v>
      </c>
      <c r="E614" s="3" t="s">
        <v>1511</v>
      </c>
      <c r="F614" s="2" t="s">
        <v>34</v>
      </c>
      <c r="G614" s="3" t="s">
        <v>72</v>
      </c>
      <c r="H614" s="2" t="s">
        <v>18</v>
      </c>
      <c r="I614" s="3" t="s">
        <v>19</v>
      </c>
      <c r="J614" s="3">
        <v>3731</v>
      </c>
      <c r="K614" s="3">
        <v>1337</v>
      </c>
      <c r="L614" s="3">
        <v>8</v>
      </c>
      <c r="M614" s="4">
        <f t="shared" si="75"/>
        <v>0.35834896810506567</v>
      </c>
      <c r="N614" s="4">
        <f t="shared" si="76"/>
        <v>5.9835452505609572E-3</v>
      </c>
      <c r="O614">
        <v>669</v>
      </c>
      <c r="P614" s="5">
        <v>1</v>
      </c>
      <c r="Q614" s="7">
        <v>1</v>
      </c>
      <c r="R614" t="str">
        <f t="shared" si="74"/>
        <v>код для проверки</v>
      </c>
      <c r="S614" t="str">
        <f t="shared" si="77"/>
        <v>Больше половины</v>
      </c>
      <c r="T614" t="str">
        <f t="shared" si="78"/>
        <v>Низшая четверть</v>
      </c>
      <c r="U614" t="str">
        <f t="shared" si="79"/>
        <v>код для проверки</v>
      </c>
      <c r="V614" t="str">
        <f t="shared" si="80"/>
        <v>Больше половины</v>
      </c>
      <c r="W614" t="str">
        <f t="shared" si="81"/>
        <v>Низшая четверть</v>
      </c>
      <c r="X614">
        <v>14</v>
      </c>
    </row>
    <row r="615" spans="1:24" x14ac:dyDescent="0.35">
      <c r="A615" s="1" t="s">
        <v>1740</v>
      </c>
      <c r="B615" s="2" t="s">
        <v>1741</v>
      </c>
      <c r="C615" s="3" t="s">
        <v>55</v>
      </c>
      <c r="D615" s="2" t="s">
        <v>94</v>
      </c>
      <c r="E615" s="3" t="s">
        <v>95</v>
      </c>
      <c r="F615" s="2" t="s">
        <v>96</v>
      </c>
      <c r="G615" s="3" t="s">
        <v>17</v>
      </c>
      <c r="H615" s="2" t="s">
        <v>97</v>
      </c>
      <c r="I615" s="3" t="s">
        <v>19</v>
      </c>
      <c r="J615" s="3">
        <v>3726</v>
      </c>
      <c r="K615" s="3">
        <v>3556</v>
      </c>
      <c r="L615" s="3">
        <v>13</v>
      </c>
      <c r="M615" s="4">
        <f t="shared" si="75"/>
        <v>0.95437466451959208</v>
      </c>
      <c r="N615" s="4">
        <f t="shared" si="76"/>
        <v>3.6557930258717662E-3</v>
      </c>
      <c r="O615">
        <v>1726</v>
      </c>
      <c r="P615" s="5">
        <v>0.77777777777777779</v>
      </c>
      <c r="Q615" s="7">
        <v>1</v>
      </c>
      <c r="R615" t="str">
        <f t="shared" si="74"/>
        <v>код для проверки</v>
      </c>
      <c r="S615" t="str">
        <f t="shared" si="77"/>
        <v>Больше половины</v>
      </c>
      <c r="T615" t="str">
        <f t="shared" si="78"/>
        <v>Низшая четверть</v>
      </c>
      <c r="U615" t="str">
        <f t="shared" si="79"/>
        <v>код для проверки</v>
      </c>
      <c r="V615" t="str">
        <f t="shared" si="80"/>
        <v>Больше половины</v>
      </c>
      <c r="W615" t="str">
        <f t="shared" si="81"/>
        <v>Низшая четверть</v>
      </c>
      <c r="X615">
        <v>17</v>
      </c>
    </row>
    <row r="616" spans="1:24" x14ac:dyDescent="0.35">
      <c r="A616" s="1" t="s">
        <v>495</v>
      </c>
      <c r="B616" s="2" t="s">
        <v>496</v>
      </c>
      <c r="C616" s="3" t="s">
        <v>13</v>
      </c>
      <c r="D616" s="2" t="s">
        <v>155</v>
      </c>
      <c r="E616" s="3" t="s">
        <v>156</v>
      </c>
      <c r="F616" s="2" t="s">
        <v>34</v>
      </c>
      <c r="G616" s="3" t="s">
        <v>35</v>
      </c>
      <c r="H616" s="2" t="s">
        <v>18</v>
      </c>
      <c r="I616" s="3" t="s">
        <v>19</v>
      </c>
      <c r="J616" s="3">
        <v>3725</v>
      </c>
      <c r="K616" s="3">
        <v>641</v>
      </c>
      <c r="L616" s="3">
        <v>4</v>
      </c>
      <c r="M616" s="4">
        <f t="shared" si="75"/>
        <v>0.17208053691275169</v>
      </c>
      <c r="N616" s="4">
        <f t="shared" si="76"/>
        <v>6.2402496099843996E-3</v>
      </c>
      <c r="O616">
        <v>266</v>
      </c>
      <c r="P616" s="5">
        <v>1</v>
      </c>
      <c r="Q616" s="7">
        <v>1</v>
      </c>
      <c r="R616" t="str">
        <f t="shared" si="74"/>
        <v>код для проверки</v>
      </c>
      <c r="S616" t="str">
        <f t="shared" si="77"/>
        <v>Больше половины</v>
      </c>
      <c r="T616" t="str">
        <f t="shared" si="78"/>
        <v>Низшая четверть</v>
      </c>
      <c r="U616" t="str">
        <f t="shared" si="79"/>
        <v>код для проверки</v>
      </c>
      <c r="V616" t="str">
        <f t="shared" si="80"/>
        <v>Больше половины</v>
      </c>
      <c r="W616" t="str">
        <f t="shared" si="81"/>
        <v>Низшая четверть</v>
      </c>
      <c r="X616">
        <v>17</v>
      </c>
    </row>
    <row r="617" spans="1:24" x14ac:dyDescent="0.35">
      <c r="A617" s="1" t="s">
        <v>950</v>
      </c>
      <c r="B617" s="2" t="s">
        <v>951</v>
      </c>
      <c r="C617" s="3" t="s">
        <v>13</v>
      </c>
      <c r="D617" s="2" t="s">
        <v>155</v>
      </c>
      <c r="E617" s="3" t="s">
        <v>156</v>
      </c>
      <c r="F617" s="2" t="s">
        <v>34</v>
      </c>
      <c r="G617" s="3" t="s">
        <v>35</v>
      </c>
      <c r="H617" s="2" t="s">
        <v>18</v>
      </c>
      <c r="I617" s="3" t="s">
        <v>19</v>
      </c>
      <c r="J617" s="3">
        <v>3720</v>
      </c>
      <c r="K617" s="3">
        <v>1219</v>
      </c>
      <c r="L617" s="3">
        <v>6</v>
      </c>
      <c r="M617" s="4">
        <f t="shared" si="75"/>
        <v>0.32768817204301076</v>
      </c>
      <c r="N617" s="4">
        <f t="shared" si="76"/>
        <v>4.9220672682526662E-3</v>
      </c>
      <c r="O617">
        <v>347</v>
      </c>
      <c r="P617" s="5">
        <v>1</v>
      </c>
      <c r="Q617" s="7">
        <v>1</v>
      </c>
      <c r="R617" t="str">
        <f t="shared" si="74"/>
        <v>код для проверки</v>
      </c>
      <c r="S617" t="str">
        <f t="shared" si="77"/>
        <v>Больше половины</v>
      </c>
      <c r="T617" t="str">
        <f t="shared" si="78"/>
        <v>Низшая четверть</v>
      </c>
      <c r="U617" t="str">
        <f t="shared" si="79"/>
        <v>код для проверки</v>
      </c>
      <c r="V617" t="str">
        <f t="shared" si="80"/>
        <v>Больше половины</v>
      </c>
      <c r="W617" t="str">
        <f t="shared" si="81"/>
        <v>Низшая четверть</v>
      </c>
      <c r="X617">
        <v>21</v>
      </c>
    </row>
    <row r="618" spans="1:24" x14ac:dyDescent="0.35">
      <c r="A618" s="1" t="s">
        <v>963</v>
      </c>
      <c r="B618" s="2" t="s">
        <v>964</v>
      </c>
      <c r="C618" s="3" t="s">
        <v>55</v>
      </c>
      <c r="D618" s="2" t="s">
        <v>340</v>
      </c>
      <c r="E618" s="3" t="s">
        <v>341</v>
      </c>
      <c r="F618" s="2" t="s">
        <v>96</v>
      </c>
      <c r="G618" s="3" t="s">
        <v>17</v>
      </c>
      <c r="H618" s="2" t="s">
        <v>97</v>
      </c>
      <c r="I618" s="3" t="s">
        <v>19</v>
      </c>
      <c r="J618" s="3">
        <v>3705</v>
      </c>
      <c r="K618" s="3">
        <v>765</v>
      </c>
      <c r="L618" s="3">
        <v>6</v>
      </c>
      <c r="M618" s="4">
        <f t="shared" si="75"/>
        <v>0.20647773279352227</v>
      </c>
      <c r="N618" s="4">
        <f t="shared" si="76"/>
        <v>7.8431372549019607E-3</v>
      </c>
      <c r="O618">
        <v>1064</v>
      </c>
      <c r="P618" s="5">
        <v>1</v>
      </c>
      <c r="Q618" s="7">
        <v>1</v>
      </c>
      <c r="R618" t="str">
        <f t="shared" si="74"/>
        <v>код для проверки</v>
      </c>
      <c r="S618" t="str">
        <f t="shared" si="77"/>
        <v>Больше половины</v>
      </c>
      <c r="T618" t="str">
        <f t="shared" si="78"/>
        <v>Низшая четверть</v>
      </c>
      <c r="U618" t="str">
        <f t="shared" si="79"/>
        <v>нормальный код</v>
      </c>
      <c r="V618" t="str">
        <f t="shared" si="80"/>
        <v>Больше половины</v>
      </c>
      <c r="W618" t="str">
        <f t="shared" si="81"/>
        <v>Вторая четверть</v>
      </c>
      <c r="X618">
        <v>14</v>
      </c>
    </row>
    <row r="619" spans="1:24" x14ac:dyDescent="0.35">
      <c r="A619" s="1" t="s">
        <v>1047</v>
      </c>
      <c r="B619" s="2" t="s">
        <v>1048</v>
      </c>
      <c r="C619" s="3" t="s">
        <v>55</v>
      </c>
      <c r="D619" s="2" t="s">
        <v>1049</v>
      </c>
      <c r="E619" s="3" t="s">
        <v>1050</v>
      </c>
      <c r="F619" s="2" t="s">
        <v>34</v>
      </c>
      <c r="G619" s="3" t="s">
        <v>17</v>
      </c>
      <c r="H619" s="2" t="s">
        <v>18</v>
      </c>
      <c r="I619" s="3" t="s">
        <v>19</v>
      </c>
      <c r="J619" s="3">
        <v>3672</v>
      </c>
      <c r="K619" s="3">
        <v>113</v>
      </c>
      <c r="L619" s="3">
        <v>4</v>
      </c>
      <c r="M619" s="4">
        <f t="shared" si="75"/>
        <v>3.0773420479302833E-2</v>
      </c>
      <c r="N619" s="4">
        <f t="shared" si="76"/>
        <v>3.5398230088495575E-2</v>
      </c>
      <c r="O619">
        <v>62</v>
      </c>
      <c r="P619" s="5">
        <v>0.6</v>
      </c>
      <c r="Q619" s="7">
        <v>1</v>
      </c>
      <c r="R619" t="str">
        <f t="shared" si="74"/>
        <v>код для проверки</v>
      </c>
      <c r="S619" t="str">
        <f t="shared" si="77"/>
        <v>Низшая четверть</v>
      </c>
      <c r="T619" t="str">
        <f t="shared" si="78"/>
        <v>Больше половины</v>
      </c>
      <c r="U619" t="str">
        <f t="shared" si="79"/>
        <v>код для проверки</v>
      </c>
      <c r="V619" t="str">
        <f t="shared" si="80"/>
        <v>Низшая четверть</v>
      </c>
      <c r="W619" t="str">
        <f t="shared" si="81"/>
        <v>Больше половины</v>
      </c>
      <c r="X619">
        <v>12</v>
      </c>
    </row>
    <row r="620" spans="1:24" x14ac:dyDescent="0.35">
      <c r="A620" s="1" t="s">
        <v>1786</v>
      </c>
      <c r="B620" s="2" t="s">
        <v>1787</v>
      </c>
      <c r="C620" s="3" t="s">
        <v>55</v>
      </c>
      <c r="D620" s="2" t="s">
        <v>56</v>
      </c>
      <c r="E620" s="3" t="s">
        <v>60</v>
      </c>
      <c r="F620" s="2" t="s">
        <v>61</v>
      </c>
      <c r="G620" s="3" t="s">
        <v>17</v>
      </c>
      <c r="H620" s="2" t="s">
        <v>18</v>
      </c>
      <c r="I620" s="3" t="s">
        <v>19</v>
      </c>
      <c r="J620" s="3">
        <v>3671</v>
      </c>
      <c r="K620" s="3">
        <v>185</v>
      </c>
      <c r="L620" s="3">
        <v>1</v>
      </c>
      <c r="M620" s="4">
        <f t="shared" si="75"/>
        <v>5.0394987741759739E-2</v>
      </c>
      <c r="N620" s="4">
        <f t="shared" si="76"/>
        <v>5.4054054054054057E-3</v>
      </c>
      <c r="O620">
        <v>847</v>
      </c>
      <c r="P620" s="5">
        <v>1</v>
      </c>
      <c r="Q620" s="7">
        <v>1</v>
      </c>
      <c r="R620" t="str">
        <f t="shared" si="74"/>
        <v>код для проверки</v>
      </c>
      <c r="S620" t="str">
        <f t="shared" si="77"/>
        <v>Вторая четверть</v>
      </c>
      <c r="T620" t="str">
        <f t="shared" si="78"/>
        <v>Низшая четверть</v>
      </c>
      <c r="U620" t="str">
        <f t="shared" si="79"/>
        <v>нормальный код</v>
      </c>
      <c r="V620" t="str">
        <f t="shared" si="80"/>
        <v>Вторая четверть</v>
      </c>
      <c r="W620" t="str">
        <f t="shared" si="81"/>
        <v>Вторая четверть</v>
      </c>
      <c r="X620">
        <v>21</v>
      </c>
    </row>
    <row r="621" spans="1:24" x14ac:dyDescent="0.35">
      <c r="A621" s="1" t="s">
        <v>762</v>
      </c>
      <c r="B621" s="2" t="s">
        <v>763</v>
      </c>
      <c r="C621" s="3" t="s">
        <v>13</v>
      </c>
      <c r="D621" s="2" t="s">
        <v>121</v>
      </c>
      <c r="E621" s="3" t="s">
        <v>492</v>
      </c>
      <c r="F621" s="2" t="s">
        <v>123</v>
      </c>
      <c r="G621" s="3" t="s">
        <v>35</v>
      </c>
      <c r="H621" s="2" t="s">
        <v>18</v>
      </c>
      <c r="I621" s="3" t="s">
        <v>19</v>
      </c>
      <c r="J621" s="3">
        <v>3641</v>
      </c>
      <c r="K621" s="3">
        <v>389</v>
      </c>
      <c r="L621" s="3">
        <v>2</v>
      </c>
      <c r="M621" s="4">
        <f t="shared" si="75"/>
        <v>0.10683878055479264</v>
      </c>
      <c r="N621" s="4">
        <f t="shared" si="76"/>
        <v>5.1413881748071976E-3</v>
      </c>
      <c r="O621">
        <v>554</v>
      </c>
      <c r="P621" s="5">
        <v>1</v>
      </c>
      <c r="Q621" s="7">
        <v>1</v>
      </c>
      <c r="R621" t="str">
        <f t="shared" si="74"/>
        <v>код для проверки</v>
      </c>
      <c r="S621" t="str">
        <f t="shared" si="77"/>
        <v>Больше половины</v>
      </c>
      <c r="T621" t="str">
        <f t="shared" si="78"/>
        <v>Низшая четверть</v>
      </c>
      <c r="U621" t="str">
        <f t="shared" si="79"/>
        <v>код для проверки</v>
      </c>
      <c r="V621" t="str">
        <f t="shared" si="80"/>
        <v>Больше половины</v>
      </c>
      <c r="W621" t="str">
        <f t="shared" si="81"/>
        <v>Низшая четверть</v>
      </c>
      <c r="X621">
        <v>15</v>
      </c>
    </row>
    <row r="622" spans="1:24" x14ac:dyDescent="0.35">
      <c r="A622" s="1" t="s">
        <v>1670</v>
      </c>
      <c r="B622" s="2" t="s">
        <v>1671</v>
      </c>
      <c r="C622" s="3" t="s">
        <v>55</v>
      </c>
      <c r="D622" s="2" t="s">
        <v>94</v>
      </c>
      <c r="E622" s="3" t="s">
        <v>95</v>
      </c>
      <c r="F622" s="2" t="s">
        <v>96</v>
      </c>
      <c r="G622" s="3" t="s">
        <v>17</v>
      </c>
      <c r="H622" s="2" t="s">
        <v>97</v>
      </c>
      <c r="I622" s="3" t="s">
        <v>19</v>
      </c>
      <c r="J622" s="3">
        <v>3622</v>
      </c>
      <c r="K622" s="3">
        <v>2631</v>
      </c>
      <c r="L622" s="3">
        <v>7</v>
      </c>
      <c r="M622" s="4">
        <f t="shared" si="75"/>
        <v>0.72639425731639973</v>
      </c>
      <c r="N622" s="4">
        <f t="shared" si="76"/>
        <v>2.6605853287723297E-3</v>
      </c>
      <c r="O622">
        <v>1775</v>
      </c>
      <c r="P622" s="5">
        <v>0.66666666666666663</v>
      </c>
      <c r="Q622" s="7">
        <v>1</v>
      </c>
      <c r="R622" t="str">
        <f t="shared" si="74"/>
        <v>код для проверки</v>
      </c>
      <c r="S622" t="str">
        <f t="shared" si="77"/>
        <v>Больше половины</v>
      </c>
      <c r="T622" t="str">
        <f t="shared" si="78"/>
        <v>Низшая четверть</v>
      </c>
      <c r="U622" t="str">
        <f t="shared" si="79"/>
        <v>код для проверки</v>
      </c>
      <c r="V622" t="str">
        <f t="shared" si="80"/>
        <v>Больше половины</v>
      </c>
      <c r="W622" t="str">
        <f t="shared" si="81"/>
        <v>Низшая четверть</v>
      </c>
      <c r="X622">
        <v>17</v>
      </c>
    </row>
    <row r="623" spans="1:24" x14ac:dyDescent="0.35">
      <c r="A623" s="1" t="s">
        <v>1822</v>
      </c>
      <c r="B623" s="2" t="s">
        <v>1823</v>
      </c>
      <c r="C623" s="3" t="s">
        <v>55</v>
      </c>
      <c r="D623" s="2" t="s">
        <v>94</v>
      </c>
      <c r="E623" s="3" t="s">
        <v>95</v>
      </c>
      <c r="F623" s="2" t="s">
        <v>96</v>
      </c>
      <c r="G623" s="3" t="s">
        <v>17</v>
      </c>
      <c r="H623" s="2" t="s">
        <v>97</v>
      </c>
      <c r="I623" s="3" t="s">
        <v>19</v>
      </c>
      <c r="J623" s="3">
        <v>3618</v>
      </c>
      <c r="K623" s="3">
        <v>8026</v>
      </c>
      <c r="L623" s="3">
        <v>10</v>
      </c>
      <c r="M623" s="4">
        <f t="shared" si="75"/>
        <v>2.218352681039248</v>
      </c>
      <c r="N623" s="4">
        <f t="shared" si="76"/>
        <v>1.24595066035385E-3</v>
      </c>
      <c r="O623">
        <v>1229</v>
      </c>
      <c r="P623" s="5">
        <v>0.66666666666666663</v>
      </c>
      <c r="Q623" s="7">
        <v>1</v>
      </c>
      <c r="R623" t="str">
        <f t="shared" si="74"/>
        <v>код для проверки</v>
      </c>
      <c r="S623" t="str">
        <f t="shared" si="77"/>
        <v>Больше половины</v>
      </c>
      <c r="T623" t="str">
        <f t="shared" si="78"/>
        <v>Низшая четверть</v>
      </c>
      <c r="U623" t="str">
        <f t="shared" si="79"/>
        <v>код для проверки</v>
      </c>
      <c r="V623" t="str">
        <f t="shared" si="80"/>
        <v>Больше половины</v>
      </c>
      <c r="W623" t="str">
        <f t="shared" si="81"/>
        <v>Низшая четверть</v>
      </c>
      <c r="X623">
        <v>20</v>
      </c>
    </row>
    <row r="624" spans="1:24" x14ac:dyDescent="0.35">
      <c r="A624" s="1" t="s">
        <v>1248</v>
      </c>
      <c r="B624" s="2" t="s">
        <v>1249</v>
      </c>
      <c r="C624" s="3" t="s">
        <v>55</v>
      </c>
      <c r="D624" s="2" t="s">
        <v>799</v>
      </c>
      <c r="E624" s="3" t="s">
        <v>800</v>
      </c>
      <c r="F624" s="2" t="s">
        <v>34</v>
      </c>
      <c r="G624" s="3" t="s">
        <v>17</v>
      </c>
      <c r="H624" s="2" t="s">
        <v>18</v>
      </c>
      <c r="I624" s="3" t="s">
        <v>19</v>
      </c>
      <c r="J624" s="3">
        <v>3607</v>
      </c>
      <c r="K624" s="3">
        <v>819</v>
      </c>
      <c r="L624" s="3">
        <v>29</v>
      </c>
      <c r="M624" s="4">
        <f t="shared" si="75"/>
        <v>0.22705849736623232</v>
      </c>
      <c r="N624" s="4">
        <f t="shared" si="76"/>
        <v>3.5409035409035408E-2</v>
      </c>
      <c r="O624">
        <v>240</v>
      </c>
      <c r="P624" s="5">
        <v>1</v>
      </c>
      <c r="Q624" s="7">
        <v>1</v>
      </c>
      <c r="R624" t="str">
        <f t="shared" si="74"/>
        <v>нормальный код</v>
      </c>
      <c r="S624" t="str">
        <f t="shared" si="77"/>
        <v>Больше половины</v>
      </c>
      <c r="T624" t="str">
        <f t="shared" si="78"/>
        <v>Больше половины</v>
      </c>
      <c r="U624" t="str">
        <f t="shared" si="79"/>
        <v>нормальный код</v>
      </c>
      <c r="V624" t="str">
        <f t="shared" si="80"/>
        <v>Больше половины</v>
      </c>
      <c r="W624" t="str">
        <f t="shared" si="81"/>
        <v>Больше половины</v>
      </c>
      <c r="X624">
        <v>28</v>
      </c>
    </row>
    <row r="625" spans="1:24" x14ac:dyDescent="0.35">
      <c r="A625" s="1" t="s">
        <v>1072</v>
      </c>
      <c r="B625" s="2" t="s">
        <v>1073</v>
      </c>
      <c r="C625" s="3" t="s">
        <v>13</v>
      </c>
      <c r="D625" s="2" t="s">
        <v>77</v>
      </c>
      <c r="E625" s="3" t="s">
        <v>89</v>
      </c>
      <c r="F625" s="2" t="s">
        <v>34</v>
      </c>
      <c r="G625" s="3" t="s">
        <v>17</v>
      </c>
      <c r="H625" s="2" t="s">
        <v>18</v>
      </c>
      <c r="I625" s="3" t="s">
        <v>19</v>
      </c>
      <c r="J625" s="3">
        <v>3602</v>
      </c>
      <c r="K625" s="3">
        <v>233</v>
      </c>
      <c r="L625" s="3">
        <v>7</v>
      </c>
      <c r="M625" s="4">
        <f t="shared" si="75"/>
        <v>6.4686285397001664E-2</v>
      </c>
      <c r="N625" s="4">
        <f t="shared" si="76"/>
        <v>3.0042918454935622E-2</v>
      </c>
      <c r="O625">
        <v>658</v>
      </c>
      <c r="P625" s="5">
        <v>1</v>
      </c>
      <c r="Q625" s="7">
        <v>1</v>
      </c>
      <c r="R625" t="str">
        <f t="shared" si="74"/>
        <v>нормальный код</v>
      </c>
      <c r="S625" t="str">
        <f t="shared" si="77"/>
        <v>Вторая четверть</v>
      </c>
      <c r="T625" t="str">
        <f t="shared" si="78"/>
        <v>Больше половины</v>
      </c>
      <c r="U625" t="str">
        <f t="shared" si="79"/>
        <v>нормальный код</v>
      </c>
      <c r="V625" t="str">
        <f t="shared" si="80"/>
        <v>Вторая четверть</v>
      </c>
      <c r="W625" t="str">
        <f t="shared" si="81"/>
        <v>Больше половины</v>
      </c>
      <c r="X625">
        <v>5</v>
      </c>
    </row>
    <row r="626" spans="1:24" x14ac:dyDescent="0.35">
      <c r="A626" s="1" t="s">
        <v>1658</v>
      </c>
      <c r="B626" s="2" t="s">
        <v>1659</v>
      </c>
      <c r="C626" s="3" t="s">
        <v>55</v>
      </c>
      <c r="D626" s="2" t="s">
        <v>94</v>
      </c>
      <c r="E626" s="3" t="s">
        <v>95</v>
      </c>
      <c r="F626" s="2" t="s">
        <v>96</v>
      </c>
      <c r="G626" s="3" t="s">
        <v>17</v>
      </c>
      <c r="H626" s="2" t="s">
        <v>97</v>
      </c>
      <c r="I626" s="3" t="s">
        <v>19</v>
      </c>
      <c r="J626" s="3">
        <v>3569</v>
      </c>
      <c r="K626" s="3">
        <v>2122</v>
      </c>
      <c r="L626" s="3">
        <v>12</v>
      </c>
      <c r="M626" s="4">
        <f t="shared" si="75"/>
        <v>0.59456430372653402</v>
      </c>
      <c r="N626" s="4">
        <f t="shared" si="76"/>
        <v>5.6550424128180964E-3</v>
      </c>
      <c r="O626">
        <v>1568</v>
      </c>
      <c r="P626" s="5">
        <v>0.55555555555555558</v>
      </c>
      <c r="Q626" s="7">
        <v>1</v>
      </c>
      <c r="R626" t="str">
        <f t="shared" si="74"/>
        <v>код для проверки</v>
      </c>
      <c r="S626" t="str">
        <f t="shared" si="77"/>
        <v>Больше половины</v>
      </c>
      <c r="T626" t="str">
        <f t="shared" si="78"/>
        <v>Низшая четверть</v>
      </c>
      <c r="U626" t="str">
        <f t="shared" si="79"/>
        <v>нормальный код</v>
      </c>
      <c r="V626" t="str">
        <f t="shared" si="80"/>
        <v>Больше половины</v>
      </c>
      <c r="W626" t="str">
        <f t="shared" si="81"/>
        <v>Вторая четверть</v>
      </c>
      <c r="X626">
        <v>20</v>
      </c>
    </row>
    <row r="627" spans="1:24" x14ac:dyDescent="0.35">
      <c r="A627" s="1" t="s">
        <v>1125</v>
      </c>
      <c r="B627" s="2" t="s">
        <v>1126</v>
      </c>
      <c r="C627" s="3" t="s">
        <v>55</v>
      </c>
      <c r="D627" s="2" t="s">
        <v>799</v>
      </c>
      <c r="E627" s="3" t="s">
        <v>800</v>
      </c>
      <c r="F627" s="2" t="s">
        <v>34</v>
      </c>
      <c r="G627" s="3" t="s">
        <v>17</v>
      </c>
      <c r="H627" s="2" t="s">
        <v>18</v>
      </c>
      <c r="I627" s="3" t="s">
        <v>19</v>
      </c>
      <c r="J627" s="3">
        <v>3560</v>
      </c>
      <c r="K627" s="3">
        <v>741</v>
      </c>
      <c r="L627" s="3">
        <v>27</v>
      </c>
      <c r="M627" s="4">
        <f t="shared" si="75"/>
        <v>0.20814606741573033</v>
      </c>
      <c r="N627" s="4">
        <f t="shared" si="76"/>
        <v>3.643724696356275E-2</v>
      </c>
      <c r="O627">
        <v>221</v>
      </c>
      <c r="P627" s="5">
        <v>1</v>
      </c>
      <c r="Q627" s="7">
        <v>1</v>
      </c>
      <c r="R627" t="str">
        <f t="shared" ref="R627:R657" si="82">IF(OR(M627&lt;$S$1*0.5,N627&lt;$T$1*0.5),"код для проверки","нормальный код")</f>
        <v>нормальный код</v>
      </c>
      <c r="S627" t="str">
        <f t="shared" si="77"/>
        <v>Больше половины</v>
      </c>
      <c r="T627" t="str">
        <f t="shared" si="78"/>
        <v>Больше половины</v>
      </c>
      <c r="U627" t="str">
        <f t="shared" si="79"/>
        <v>нормальный код</v>
      </c>
      <c r="V627" t="str">
        <f t="shared" si="80"/>
        <v>Больше половины</v>
      </c>
      <c r="W627" t="str">
        <f t="shared" si="81"/>
        <v>Больше половины</v>
      </c>
      <c r="X627">
        <v>25</v>
      </c>
    </row>
    <row r="628" spans="1:24" x14ac:dyDescent="0.35">
      <c r="A628" s="1" t="s">
        <v>563</v>
      </c>
      <c r="B628" s="2" t="s">
        <v>564</v>
      </c>
      <c r="C628" s="3" t="s">
        <v>13</v>
      </c>
      <c r="D628" s="2" t="s">
        <v>164</v>
      </c>
      <c r="E628" s="3" t="s">
        <v>485</v>
      </c>
      <c r="F628" s="2" t="s">
        <v>123</v>
      </c>
      <c r="G628" s="3" t="s">
        <v>35</v>
      </c>
      <c r="H628" s="2" t="s">
        <v>18</v>
      </c>
      <c r="I628" s="3" t="s">
        <v>19</v>
      </c>
      <c r="J628" s="3">
        <v>3538</v>
      </c>
      <c r="K628" s="3">
        <v>388</v>
      </c>
      <c r="L628" s="3">
        <v>4</v>
      </c>
      <c r="M628" s="4">
        <f t="shared" si="75"/>
        <v>0.10966647823629169</v>
      </c>
      <c r="N628" s="4">
        <f t="shared" si="76"/>
        <v>1.0309278350515464E-2</v>
      </c>
      <c r="O628">
        <v>320</v>
      </c>
      <c r="P628" s="5">
        <v>1</v>
      </c>
      <c r="Q628" s="7">
        <v>1</v>
      </c>
      <c r="R628" t="str">
        <f t="shared" si="82"/>
        <v>нормальный код</v>
      </c>
      <c r="S628" t="str">
        <f t="shared" si="77"/>
        <v>Больше половины</v>
      </c>
      <c r="T628" t="str">
        <f t="shared" si="78"/>
        <v>Вторая четверть</v>
      </c>
      <c r="U628" t="str">
        <f t="shared" si="79"/>
        <v>нормальный код</v>
      </c>
      <c r="V628" t="str">
        <f t="shared" si="80"/>
        <v>Больше половины</v>
      </c>
      <c r="W628" t="str">
        <f t="shared" si="81"/>
        <v>Вторая четверть</v>
      </c>
      <c r="X628">
        <v>17</v>
      </c>
    </row>
    <row r="629" spans="1:24" x14ac:dyDescent="0.35">
      <c r="A629" s="1" t="s">
        <v>583</v>
      </c>
      <c r="B629" s="2" t="s">
        <v>584</v>
      </c>
      <c r="C629" s="3" t="s">
        <v>13</v>
      </c>
      <c r="D629" s="2" t="s">
        <v>77</v>
      </c>
      <c r="E629" s="3" t="s">
        <v>380</v>
      </c>
      <c r="F629" s="2" t="s">
        <v>61</v>
      </c>
      <c r="G629" s="3" t="s">
        <v>35</v>
      </c>
      <c r="H629" s="2" t="s">
        <v>18</v>
      </c>
      <c r="I629" s="3" t="s">
        <v>19</v>
      </c>
      <c r="J629" s="3">
        <v>3534</v>
      </c>
      <c r="K629" s="3">
        <v>1136</v>
      </c>
      <c r="L629" s="3">
        <v>4</v>
      </c>
      <c r="M629" s="4">
        <f t="shared" si="75"/>
        <v>0.32144878324844367</v>
      </c>
      <c r="N629" s="4">
        <f t="shared" si="76"/>
        <v>3.5211267605633804E-3</v>
      </c>
      <c r="O629">
        <v>389</v>
      </c>
      <c r="P629" s="5">
        <v>1</v>
      </c>
      <c r="Q629" s="7">
        <v>1</v>
      </c>
      <c r="R629" t="str">
        <f t="shared" si="82"/>
        <v>код для проверки</v>
      </c>
      <c r="S629" t="str">
        <f t="shared" si="77"/>
        <v>Больше половины</v>
      </c>
      <c r="T629" t="str">
        <f t="shared" si="78"/>
        <v>Низшая четверть</v>
      </c>
      <c r="U629" t="str">
        <f t="shared" si="79"/>
        <v>код для проверки</v>
      </c>
      <c r="V629" t="str">
        <f t="shared" si="80"/>
        <v>Больше половины</v>
      </c>
      <c r="W629" t="str">
        <f t="shared" si="81"/>
        <v>Низшая четверть</v>
      </c>
      <c r="X629">
        <v>14</v>
      </c>
    </row>
    <row r="630" spans="1:24" x14ac:dyDescent="0.35">
      <c r="A630" s="1" t="s">
        <v>1748</v>
      </c>
      <c r="B630" s="2" t="s">
        <v>1749</v>
      </c>
      <c r="C630" s="3" t="s">
        <v>55</v>
      </c>
      <c r="D630" s="2" t="s">
        <v>56</v>
      </c>
      <c r="E630" s="3" t="s">
        <v>700</v>
      </c>
      <c r="F630" s="2" t="s">
        <v>96</v>
      </c>
      <c r="G630" s="3" t="s">
        <v>17</v>
      </c>
      <c r="H630" s="2" t="s">
        <v>18</v>
      </c>
      <c r="I630" s="3" t="s">
        <v>19</v>
      </c>
      <c r="J630" s="3">
        <v>3522</v>
      </c>
      <c r="K630" s="3">
        <v>668</v>
      </c>
      <c r="L630" s="3">
        <v>13</v>
      </c>
      <c r="M630" s="4">
        <f t="shared" si="75"/>
        <v>0.1896649630891539</v>
      </c>
      <c r="N630" s="4">
        <f t="shared" si="76"/>
        <v>1.9461077844311378E-2</v>
      </c>
      <c r="O630">
        <v>404</v>
      </c>
      <c r="P630" s="5">
        <v>1</v>
      </c>
      <c r="Q630" s="7">
        <v>1</v>
      </c>
      <c r="R630" t="str">
        <f t="shared" si="82"/>
        <v>нормальный код</v>
      </c>
      <c r="S630" t="str">
        <f t="shared" si="77"/>
        <v>Больше половины</v>
      </c>
      <c r="T630" t="str">
        <f t="shared" si="78"/>
        <v>Вторая четверть</v>
      </c>
      <c r="U630" t="str">
        <f t="shared" si="79"/>
        <v>код для проверки</v>
      </c>
      <c r="V630" t="str">
        <f t="shared" si="80"/>
        <v>Больше половины</v>
      </c>
      <c r="W630" t="str">
        <f t="shared" si="81"/>
        <v>Низшая четверть</v>
      </c>
      <c r="X630">
        <v>19</v>
      </c>
    </row>
    <row r="631" spans="1:24" x14ac:dyDescent="0.35">
      <c r="A631" s="1" t="s">
        <v>2504</v>
      </c>
      <c r="B631" s="2" t="s">
        <v>2505</v>
      </c>
      <c r="C631" s="3" t="s">
        <v>13</v>
      </c>
      <c r="D631" s="2" t="s">
        <v>69</v>
      </c>
      <c r="E631" s="3" t="s">
        <v>2506</v>
      </c>
      <c r="F631" s="2" t="s">
        <v>34</v>
      </c>
      <c r="G631" s="3" t="s">
        <v>72</v>
      </c>
      <c r="H631" s="2" t="s">
        <v>18</v>
      </c>
      <c r="I631" s="3" t="s">
        <v>19</v>
      </c>
      <c r="J631" s="3">
        <v>3507</v>
      </c>
      <c r="K631" s="3">
        <v>384</v>
      </c>
      <c r="L631" s="3">
        <v>14</v>
      </c>
      <c r="M631" s="4">
        <f t="shared" si="75"/>
        <v>0.10949529512403763</v>
      </c>
      <c r="N631" s="4">
        <f t="shared" si="76"/>
        <v>3.6458333333333336E-2</v>
      </c>
      <c r="O631">
        <v>354</v>
      </c>
      <c r="P631" s="5">
        <v>1</v>
      </c>
      <c r="Q631" s="7">
        <v>1</v>
      </c>
      <c r="R631" t="str">
        <f t="shared" si="82"/>
        <v>нормальный код</v>
      </c>
      <c r="S631" t="str">
        <f t="shared" si="77"/>
        <v>Больше половины</v>
      </c>
      <c r="T631" t="str">
        <f t="shared" si="78"/>
        <v>Больше половины</v>
      </c>
      <c r="U631" t="str">
        <f t="shared" si="79"/>
        <v>нормальный код</v>
      </c>
      <c r="V631" t="str">
        <f t="shared" si="80"/>
        <v>Больше половины</v>
      </c>
      <c r="W631" t="str">
        <f t="shared" si="81"/>
        <v>Больше половины</v>
      </c>
      <c r="X631">
        <v>12</v>
      </c>
    </row>
    <row r="632" spans="1:24" x14ac:dyDescent="0.35">
      <c r="A632" s="1" t="s">
        <v>1331</v>
      </c>
      <c r="B632" s="2" t="s">
        <v>1332</v>
      </c>
      <c r="C632" s="3" t="s">
        <v>13</v>
      </c>
      <c r="D632" s="2" t="s">
        <v>164</v>
      </c>
      <c r="E632" s="3" t="s">
        <v>485</v>
      </c>
      <c r="F632" s="2" t="s">
        <v>123</v>
      </c>
      <c r="G632" s="3" t="s">
        <v>17</v>
      </c>
      <c r="H632" s="2" t="s">
        <v>18</v>
      </c>
      <c r="I632" s="3" t="s">
        <v>19</v>
      </c>
      <c r="J632" s="3">
        <v>3491</v>
      </c>
      <c r="K632" s="3">
        <v>241</v>
      </c>
      <c r="L632" s="3">
        <v>7</v>
      </c>
      <c r="M632" s="4">
        <f t="shared" si="75"/>
        <v>6.9034660555714694E-2</v>
      </c>
      <c r="N632" s="4">
        <f t="shared" si="76"/>
        <v>2.9045643153526972E-2</v>
      </c>
      <c r="O632">
        <v>227</v>
      </c>
      <c r="P632" s="5">
        <v>1</v>
      </c>
      <c r="Q632" s="7">
        <v>1</v>
      </c>
      <c r="R632" t="str">
        <f t="shared" si="82"/>
        <v>нормальный код</v>
      </c>
      <c r="S632" t="str">
        <f t="shared" si="77"/>
        <v>Вторая четверть</v>
      </c>
      <c r="T632" t="str">
        <f t="shared" si="78"/>
        <v>Больше половины</v>
      </c>
      <c r="U632" t="str">
        <f t="shared" si="79"/>
        <v>нормальный код</v>
      </c>
      <c r="V632" t="str">
        <f t="shared" si="80"/>
        <v>Больше половины</v>
      </c>
      <c r="W632" t="str">
        <f t="shared" si="81"/>
        <v>Больше половины</v>
      </c>
      <c r="X632">
        <v>19</v>
      </c>
    </row>
    <row r="633" spans="1:24" x14ac:dyDescent="0.35">
      <c r="A633" s="1" t="s">
        <v>1226</v>
      </c>
      <c r="B633" s="2" t="s">
        <v>1227</v>
      </c>
      <c r="C633" s="3" t="s">
        <v>13</v>
      </c>
      <c r="D633" s="2" t="s">
        <v>121</v>
      </c>
      <c r="E633" s="3" t="s">
        <v>391</v>
      </c>
      <c r="F633" s="2" t="s">
        <v>71</v>
      </c>
      <c r="G633" s="3" t="s">
        <v>35</v>
      </c>
      <c r="H633" s="2" t="s">
        <v>18</v>
      </c>
      <c r="I633" s="3" t="s">
        <v>19</v>
      </c>
      <c r="J633" s="3">
        <v>3476</v>
      </c>
      <c r="K633" s="3">
        <v>322</v>
      </c>
      <c r="L633" s="3">
        <v>3</v>
      </c>
      <c r="M633" s="4">
        <f t="shared" si="75"/>
        <v>9.2635212888377449E-2</v>
      </c>
      <c r="N633" s="4">
        <f t="shared" si="76"/>
        <v>9.316770186335404E-3</v>
      </c>
      <c r="O633">
        <v>431</v>
      </c>
      <c r="P633" s="5">
        <v>1</v>
      </c>
      <c r="Q633" s="7">
        <v>1</v>
      </c>
      <c r="R633" t="str">
        <f t="shared" si="82"/>
        <v>код для проверки</v>
      </c>
      <c r="S633" t="str">
        <f t="shared" si="77"/>
        <v>Вторая четверть</v>
      </c>
      <c r="T633" t="str">
        <f t="shared" si="78"/>
        <v>Низшая четверть</v>
      </c>
      <c r="U633" t="str">
        <f t="shared" si="79"/>
        <v>нормальный код</v>
      </c>
      <c r="V633" t="str">
        <f t="shared" si="80"/>
        <v>Больше половины</v>
      </c>
      <c r="W633" t="str">
        <f t="shared" si="81"/>
        <v>Вторая четверть</v>
      </c>
      <c r="X633">
        <v>8</v>
      </c>
    </row>
    <row r="634" spans="1:24" x14ac:dyDescent="0.35">
      <c r="A634" s="1" t="s">
        <v>2034</v>
      </c>
      <c r="B634" s="2" t="s">
        <v>2035</v>
      </c>
      <c r="C634" s="3" t="s">
        <v>13</v>
      </c>
      <c r="D634" s="2" t="s">
        <v>69</v>
      </c>
      <c r="E634" s="3" t="s">
        <v>159</v>
      </c>
      <c r="F634" s="2" t="s">
        <v>34</v>
      </c>
      <c r="G634" s="3" t="s">
        <v>72</v>
      </c>
      <c r="H634" s="2" t="s">
        <v>18</v>
      </c>
      <c r="I634" s="3" t="s">
        <v>19</v>
      </c>
      <c r="J634" s="3">
        <v>3472</v>
      </c>
      <c r="K634" s="3">
        <v>513</v>
      </c>
      <c r="L634" s="3">
        <v>3</v>
      </c>
      <c r="M634" s="4">
        <f t="shared" si="75"/>
        <v>0.14775345622119815</v>
      </c>
      <c r="N634" s="4">
        <f t="shared" si="76"/>
        <v>5.8479532163742687E-3</v>
      </c>
      <c r="O634">
        <v>712</v>
      </c>
      <c r="P634" s="5">
        <v>1</v>
      </c>
      <c r="Q634" s="7">
        <v>1</v>
      </c>
      <c r="R634" t="str">
        <f t="shared" si="82"/>
        <v>код для проверки</v>
      </c>
      <c r="S634" t="str">
        <f t="shared" si="77"/>
        <v>Больше половины</v>
      </c>
      <c r="T634" t="str">
        <f t="shared" si="78"/>
        <v>Низшая четверть</v>
      </c>
      <c r="U634" t="str">
        <f t="shared" si="79"/>
        <v>код для проверки</v>
      </c>
      <c r="V634" t="str">
        <f t="shared" si="80"/>
        <v>Больше половины</v>
      </c>
      <c r="W634" t="str">
        <f t="shared" si="81"/>
        <v>Низшая четверть</v>
      </c>
      <c r="X634">
        <v>5</v>
      </c>
    </row>
    <row r="635" spans="1:24" x14ac:dyDescent="0.35">
      <c r="A635" s="1" t="s">
        <v>2067</v>
      </c>
      <c r="B635" s="2" t="s">
        <v>2068</v>
      </c>
      <c r="C635" s="3" t="s">
        <v>13</v>
      </c>
      <c r="D635" s="2" t="s">
        <v>69</v>
      </c>
      <c r="E635" s="3" t="s">
        <v>667</v>
      </c>
      <c r="F635" s="2" t="s">
        <v>61</v>
      </c>
      <c r="G635" s="3" t="s">
        <v>72</v>
      </c>
      <c r="H635" s="2" t="s">
        <v>18</v>
      </c>
      <c r="I635" s="3" t="s">
        <v>19</v>
      </c>
      <c r="J635" s="3">
        <v>3470</v>
      </c>
      <c r="K635" s="3">
        <v>549</v>
      </c>
      <c r="L635" s="3">
        <v>0</v>
      </c>
      <c r="M635" s="4">
        <f t="shared" si="75"/>
        <v>0.15821325648414986</v>
      </c>
      <c r="N635" s="4">
        <f t="shared" si="76"/>
        <v>0</v>
      </c>
      <c r="O635">
        <v>477</v>
      </c>
      <c r="P635" s="5">
        <v>1</v>
      </c>
      <c r="Q635" s="7">
        <v>1</v>
      </c>
      <c r="R635" t="str">
        <f t="shared" si="82"/>
        <v>код для проверки</v>
      </c>
      <c r="S635" t="str">
        <f t="shared" si="77"/>
        <v>Больше половины</v>
      </c>
      <c r="T635" t="str">
        <f t="shared" si="78"/>
        <v>Низшая четверть</v>
      </c>
      <c r="U635" t="str">
        <f t="shared" si="79"/>
        <v>код для проверки</v>
      </c>
      <c r="V635" t="str">
        <f t="shared" si="80"/>
        <v>Больше половины</v>
      </c>
      <c r="W635" t="str">
        <f t="shared" si="81"/>
        <v>Низшая четверть</v>
      </c>
      <c r="X635">
        <v>13</v>
      </c>
    </row>
    <row r="636" spans="1:24" x14ac:dyDescent="0.35">
      <c r="A636" s="1" t="s">
        <v>1680</v>
      </c>
      <c r="B636" s="2" t="s">
        <v>1681</v>
      </c>
      <c r="C636" s="3" t="s">
        <v>55</v>
      </c>
      <c r="D636" s="2" t="s">
        <v>94</v>
      </c>
      <c r="E636" s="3" t="s">
        <v>95</v>
      </c>
      <c r="F636" s="2" t="s">
        <v>96</v>
      </c>
      <c r="G636" s="3" t="s">
        <v>17</v>
      </c>
      <c r="H636" s="2" t="s">
        <v>97</v>
      </c>
      <c r="I636" s="3" t="s">
        <v>19</v>
      </c>
      <c r="J636" s="3">
        <v>3451</v>
      </c>
      <c r="K636" s="3">
        <v>2620</v>
      </c>
      <c r="L636" s="3">
        <v>10</v>
      </c>
      <c r="M636" s="4">
        <f t="shared" si="75"/>
        <v>0.75920023181686469</v>
      </c>
      <c r="N636" s="4">
        <f t="shared" si="76"/>
        <v>3.8167938931297708E-3</v>
      </c>
      <c r="O636">
        <v>1548</v>
      </c>
      <c r="P636" s="5">
        <v>0.55555555555555558</v>
      </c>
      <c r="Q636" s="7">
        <v>1</v>
      </c>
      <c r="R636" t="str">
        <f t="shared" si="82"/>
        <v>код для проверки</v>
      </c>
      <c r="S636" t="str">
        <f t="shared" si="77"/>
        <v>Больше половины</v>
      </c>
      <c r="T636" t="str">
        <f t="shared" si="78"/>
        <v>Низшая четверть</v>
      </c>
      <c r="U636" t="str">
        <f t="shared" si="79"/>
        <v>код для проверки</v>
      </c>
      <c r="V636" t="str">
        <f t="shared" si="80"/>
        <v>Больше половины</v>
      </c>
      <c r="W636" t="str">
        <f t="shared" si="81"/>
        <v>Низшая четверть</v>
      </c>
      <c r="X636">
        <v>22</v>
      </c>
    </row>
    <row r="637" spans="1:24" x14ac:dyDescent="0.35">
      <c r="A637" s="1" t="s">
        <v>2356</v>
      </c>
      <c r="B637" s="2" t="s">
        <v>2357</v>
      </c>
      <c r="C637" s="3" t="s">
        <v>55</v>
      </c>
      <c r="D637" s="2" t="s">
        <v>56</v>
      </c>
      <c r="E637" s="3" t="s">
        <v>57</v>
      </c>
      <c r="F637" s="2" t="s">
        <v>34</v>
      </c>
      <c r="G637" s="3" t="s">
        <v>17</v>
      </c>
      <c r="H637" s="2" t="s">
        <v>18</v>
      </c>
      <c r="I637" s="3" t="s">
        <v>19</v>
      </c>
      <c r="J637" s="3">
        <v>3450</v>
      </c>
      <c r="K637" s="3">
        <v>202</v>
      </c>
      <c r="L637" s="3">
        <v>5</v>
      </c>
      <c r="M637" s="4">
        <f t="shared" si="75"/>
        <v>5.8550724637681156E-2</v>
      </c>
      <c r="N637" s="4">
        <f t="shared" si="76"/>
        <v>2.4752475247524754E-2</v>
      </c>
      <c r="O637">
        <v>435</v>
      </c>
      <c r="P637" s="5">
        <v>1</v>
      </c>
      <c r="Q637" s="7">
        <v>1</v>
      </c>
      <c r="R637" t="str">
        <f t="shared" si="82"/>
        <v>нормальный код</v>
      </c>
      <c r="S637" t="str">
        <f t="shared" si="77"/>
        <v>Вторая четверть</v>
      </c>
      <c r="T637" t="str">
        <f t="shared" si="78"/>
        <v>Больше половины</v>
      </c>
      <c r="U637" t="str">
        <f t="shared" si="79"/>
        <v>нормальный код</v>
      </c>
      <c r="V637" t="str">
        <f t="shared" si="80"/>
        <v>Вторая четверть</v>
      </c>
      <c r="W637" t="str">
        <f t="shared" si="81"/>
        <v>Больше половины</v>
      </c>
      <c r="X637">
        <v>15</v>
      </c>
    </row>
    <row r="638" spans="1:24" x14ac:dyDescent="0.35">
      <c r="A638" s="1" t="s">
        <v>738</v>
      </c>
      <c r="B638" s="2" t="s">
        <v>739</v>
      </c>
      <c r="C638" s="3" t="s">
        <v>55</v>
      </c>
      <c r="D638" s="2" t="s">
        <v>56</v>
      </c>
      <c r="E638" s="3" t="s">
        <v>740</v>
      </c>
      <c r="F638" s="2" t="s">
        <v>34</v>
      </c>
      <c r="G638" s="3" t="s">
        <v>17</v>
      </c>
      <c r="H638" s="2" t="s">
        <v>18</v>
      </c>
      <c r="I638" s="3" t="s">
        <v>19</v>
      </c>
      <c r="J638" s="3">
        <v>3441</v>
      </c>
      <c r="K638" s="3">
        <v>141</v>
      </c>
      <c r="L638" s="3">
        <v>10</v>
      </c>
      <c r="M638" s="4">
        <f t="shared" si="75"/>
        <v>4.0976460331299043E-2</v>
      </c>
      <c r="N638" s="4">
        <f t="shared" si="76"/>
        <v>7.0921985815602842E-2</v>
      </c>
      <c r="O638">
        <v>360</v>
      </c>
      <c r="P638" s="5">
        <v>1</v>
      </c>
      <c r="Q638" s="7">
        <v>1</v>
      </c>
      <c r="R638" t="str">
        <f t="shared" si="82"/>
        <v>код для проверки</v>
      </c>
      <c r="S638" t="str">
        <f t="shared" si="77"/>
        <v>Низшая четверть</v>
      </c>
      <c r="T638" t="str">
        <f t="shared" si="78"/>
        <v>Больше половины</v>
      </c>
      <c r="U638" t="str">
        <f t="shared" si="79"/>
        <v>нормальный код</v>
      </c>
      <c r="V638" t="str">
        <f t="shared" si="80"/>
        <v>Больше половины</v>
      </c>
      <c r="W638" t="str">
        <f t="shared" si="81"/>
        <v>Больше половины</v>
      </c>
      <c r="X638">
        <v>3</v>
      </c>
    </row>
    <row r="639" spans="1:24" x14ac:dyDescent="0.35">
      <c r="A639" s="1" t="s">
        <v>2367</v>
      </c>
      <c r="B639" s="2" t="s">
        <v>2368</v>
      </c>
      <c r="C639" s="3" t="s">
        <v>13</v>
      </c>
      <c r="D639" s="2" t="s">
        <v>69</v>
      </c>
      <c r="E639" s="3" t="s">
        <v>159</v>
      </c>
      <c r="F639" s="2" t="s">
        <v>34</v>
      </c>
      <c r="G639" s="3" t="s">
        <v>72</v>
      </c>
      <c r="H639" s="2" t="s">
        <v>18</v>
      </c>
      <c r="I639" s="3" t="s">
        <v>19</v>
      </c>
      <c r="J639" s="3">
        <v>3432</v>
      </c>
      <c r="K639" s="3">
        <v>102</v>
      </c>
      <c r="L639" s="3">
        <v>3</v>
      </c>
      <c r="M639" s="4">
        <f t="shared" si="75"/>
        <v>2.972027972027972E-2</v>
      </c>
      <c r="N639" s="4">
        <f t="shared" si="76"/>
        <v>2.9411764705882353E-2</v>
      </c>
      <c r="O639">
        <v>655</v>
      </c>
      <c r="P639" s="5">
        <v>1</v>
      </c>
      <c r="Q639" s="7">
        <v>1</v>
      </c>
      <c r="R639" t="str">
        <f t="shared" si="82"/>
        <v>код для проверки</v>
      </c>
      <c r="S639" t="str">
        <f t="shared" si="77"/>
        <v>Низшая четверть</v>
      </c>
      <c r="T639" t="str">
        <f t="shared" si="78"/>
        <v>Больше половины</v>
      </c>
      <c r="U639" t="str">
        <f t="shared" si="79"/>
        <v>код для проверки</v>
      </c>
      <c r="V639" t="str">
        <f t="shared" si="80"/>
        <v>Низшая четверть</v>
      </c>
      <c r="W639" t="str">
        <f t="shared" si="81"/>
        <v>Больше половины</v>
      </c>
      <c r="X639">
        <v>15</v>
      </c>
    </row>
    <row r="640" spans="1:24" x14ac:dyDescent="0.35">
      <c r="A640" s="1" t="s">
        <v>914</v>
      </c>
      <c r="B640" s="2" t="s">
        <v>915</v>
      </c>
      <c r="C640" s="3" t="s">
        <v>13</v>
      </c>
      <c r="D640" s="2" t="s">
        <v>155</v>
      </c>
      <c r="E640" s="3" t="s">
        <v>156</v>
      </c>
      <c r="F640" s="2" t="s">
        <v>34</v>
      </c>
      <c r="G640" s="3" t="s">
        <v>17</v>
      </c>
      <c r="H640" s="2" t="s">
        <v>18</v>
      </c>
      <c r="I640" s="3" t="s">
        <v>19</v>
      </c>
      <c r="J640" s="3">
        <v>3425</v>
      </c>
      <c r="K640" s="3">
        <v>1385</v>
      </c>
      <c r="L640" s="3">
        <v>8</v>
      </c>
      <c r="M640" s="4">
        <f t="shared" si="75"/>
        <v>0.4043795620437956</v>
      </c>
      <c r="N640" s="4">
        <f t="shared" si="76"/>
        <v>5.7761732851985556E-3</v>
      </c>
      <c r="O640">
        <v>390</v>
      </c>
      <c r="P640" s="5">
        <v>1</v>
      </c>
      <c r="Q640" s="7">
        <v>1</v>
      </c>
      <c r="R640" t="str">
        <f t="shared" si="82"/>
        <v>код для проверки</v>
      </c>
      <c r="S640" t="str">
        <f t="shared" si="77"/>
        <v>Больше половины</v>
      </c>
      <c r="T640" t="str">
        <f t="shared" si="78"/>
        <v>Низшая четверть</v>
      </c>
      <c r="U640" t="str">
        <f t="shared" si="79"/>
        <v>код для проверки</v>
      </c>
      <c r="V640" t="str">
        <f t="shared" si="80"/>
        <v>Больше половины</v>
      </c>
      <c r="W640" t="str">
        <f t="shared" si="81"/>
        <v>Низшая четверть</v>
      </c>
      <c r="X640">
        <v>7</v>
      </c>
    </row>
    <row r="641" spans="1:24" x14ac:dyDescent="0.35">
      <c r="A641" s="1" t="s">
        <v>1714</v>
      </c>
      <c r="B641" s="2" t="s">
        <v>1715</v>
      </c>
      <c r="C641" s="3" t="s">
        <v>55</v>
      </c>
      <c r="D641" s="2" t="s">
        <v>94</v>
      </c>
      <c r="E641" s="3" t="s">
        <v>95</v>
      </c>
      <c r="F641" s="2" t="s">
        <v>96</v>
      </c>
      <c r="G641" s="3" t="s">
        <v>17</v>
      </c>
      <c r="H641" s="2" t="s">
        <v>97</v>
      </c>
      <c r="I641" s="3" t="s">
        <v>19</v>
      </c>
      <c r="J641" s="3">
        <v>3424</v>
      </c>
      <c r="K641" s="3">
        <v>3367</v>
      </c>
      <c r="L641" s="3">
        <v>12</v>
      </c>
      <c r="M641" s="4">
        <f t="shared" si="75"/>
        <v>0.98335280373831779</v>
      </c>
      <c r="N641" s="4">
        <f t="shared" si="76"/>
        <v>3.564003564003564E-3</v>
      </c>
      <c r="O641">
        <v>1646</v>
      </c>
      <c r="P641" s="5">
        <v>0.77777777777777779</v>
      </c>
      <c r="Q641" s="7">
        <v>1</v>
      </c>
      <c r="R641" t="str">
        <f t="shared" si="82"/>
        <v>код для проверки</v>
      </c>
      <c r="S641" t="str">
        <f t="shared" si="77"/>
        <v>Больше половины</v>
      </c>
      <c r="T641" t="str">
        <f t="shared" si="78"/>
        <v>Низшая четверть</v>
      </c>
      <c r="U641" t="str">
        <f t="shared" si="79"/>
        <v>код для проверки</v>
      </c>
      <c r="V641" t="str">
        <f t="shared" si="80"/>
        <v>Больше половины</v>
      </c>
      <c r="W641" t="str">
        <f t="shared" si="81"/>
        <v>Низшая четверть</v>
      </c>
      <c r="X641">
        <v>12</v>
      </c>
    </row>
    <row r="642" spans="1:24" x14ac:dyDescent="0.35">
      <c r="A642" s="1" t="s">
        <v>1545</v>
      </c>
      <c r="B642" s="2" t="s">
        <v>1546</v>
      </c>
      <c r="C642" s="3" t="s">
        <v>55</v>
      </c>
      <c r="D642" s="2" t="s">
        <v>56</v>
      </c>
      <c r="E642" s="3" t="s">
        <v>253</v>
      </c>
      <c r="F642" s="2" t="s">
        <v>34</v>
      </c>
      <c r="G642" s="3" t="s">
        <v>17</v>
      </c>
      <c r="H642" s="2" t="s">
        <v>18</v>
      </c>
      <c r="I642" s="3" t="s">
        <v>19</v>
      </c>
      <c r="J642" s="3">
        <v>3423</v>
      </c>
      <c r="K642" s="3">
        <v>306</v>
      </c>
      <c r="L642" s="3">
        <v>2</v>
      </c>
      <c r="M642" s="4">
        <f t="shared" si="75"/>
        <v>8.9395267309377732E-2</v>
      </c>
      <c r="N642" s="4">
        <f t="shared" si="76"/>
        <v>6.5359477124183009E-3</v>
      </c>
      <c r="O642">
        <v>177</v>
      </c>
      <c r="P642" s="5">
        <v>0.6</v>
      </c>
      <c r="Q642" s="7">
        <v>1</v>
      </c>
      <c r="R642" t="str">
        <f t="shared" si="82"/>
        <v>код для проверки</v>
      </c>
      <c r="S642" t="str">
        <f t="shared" si="77"/>
        <v>Вторая четверть</v>
      </c>
      <c r="T642" t="str">
        <f t="shared" si="78"/>
        <v>Низшая четверть</v>
      </c>
      <c r="U642" t="str">
        <f t="shared" si="79"/>
        <v>код для проверки</v>
      </c>
      <c r="V642" t="str">
        <f t="shared" si="80"/>
        <v>Больше половины</v>
      </c>
      <c r="W642" t="str">
        <f t="shared" si="81"/>
        <v>Низшая четверть</v>
      </c>
      <c r="X642">
        <v>20</v>
      </c>
    </row>
    <row r="643" spans="1:24" x14ac:dyDescent="0.35">
      <c r="A643" s="1" t="s">
        <v>869</v>
      </c>
      <c r="B643" s="2" t="s">
        <v>870</v>
      </c>
      <c r="C643" s="3" t="s">
        <v>13</v>
      </c>
      <c r="D643" s="2" t="s">
        <v>121</v>
      </c>
      <c r="E643" s="3" t="s">
        <v>391</v>
      </c>
      <c r="F643" s="2" t="s">
        <v>71</v>
      </c>
      <c r="G643" s="3" t="s">
        <v>35</v>
      </c>
      <c r="H643" s="2" t="s">
        <v>18</v>
      </c>
      <c r="I643" s="3" t="s">
        <v>19</v>
      </c>
      <c r="J643" s="3">
        <v>3413</v>
      </c>
      <c r="K643" s="3">
        <v>281</v>
      </c>
      <c r="L643" s="3">
        <v>0</v>
      </c>
      <c r="M643" s="4">
        <f t="shared" si="75"/>
        <v>8.2332259009668909E-2</v>
      </c>
      <c r="N643" s="4">
        <f t="shared" si="76"/>
        <v>0</v>
      </c>
      <c r="O643">
        <v>325</v>
      </c>
      <c r="P643" s="5">
        <v>0.8</v>
      </c>
      <c r="Q643" s="7">
        <v>1</v>
      </c>
      <c r="R643" t="str">
        <f t="shared" si="82"/>
        <v>код для проверки</v>
      </c>
      <c r="S643" t="str">
        <f t="shared" si="77"/>
        <v>Вторая четверть</v>
      </c>
      <c r="T643" t="str">
        <f t="shared" si="78"/>
        <v>Низшая четверть</v>
      </c>
      <c r="U643" t="str">
        <f t="shared" si="79"/>
        <v>код для проверки</v>
      </c>
      <c r="V643" t="str">
        <f t="shared" si="80"/>
        <v>Больше половины</v>
      </c>
      <c r="W643" t="str">
        <f t="shared" si="81"/>
        <v>Низшая четверть</v>
      </c>
      <c r="X643">
        <v>13</v>
      </c>
    </row>
    <row r="644" spans="1:24" x14ac:dyDescent="0.35">
      <c r="A644" s="1" t="s">
        <v>1582</v>
      </c>
      <c r="B644" s="2" t="s">
        <v>1583</v>
      </c>
      <c r="C644" s="3" t="s">
        <v>55</v>
      </c>
      <c r="D644" s="2" t="s">
        <v>94</v>
      </c>
      <c r="E644" s="3" t="s">
        <v>95</v>
      </c>
      <c r="F644" s="2" t="s">
        <v>96</v>
      </c>
      <c r="G644" s="3" t="s">
        <v>17</v>
      </c>
      <c r="H644" s="2" t="s">
        <v>97</v>
      </c>
      <c r="I644" s="3" t="s">
        <v>19</v>
      </c>
      <c r="J644" s="3">
        <v>3407</v>
      </c>
      <c r="K644" s="3">
        <v>1612</v>
      </c>
      <c r="L644" s="3">
        <v>15</v>
      </c>
      <c r="M644" s="4">
        <f t="shared" ref="M644:M707" si="83">IFERROR(K644/J644,0)</f>
        <v>0.4731435280305254</v>
      </c>
      <c r="N644" s="4">
        <f t="shared" ref="N644:N707" si="84">IFERROR(L644/K644,0)</f>
        <v>9.3052109181141433E-3</v>
      </c>
      <c r="O644">
        <v>3688</v>
      </c>
      <c r="P644" s="5">
        <v>0.66666666666666663</v>
      </c>
      <c r="Q644" s="7">
        <v>1</v>
      </c>
      <c r="R644" t="str">
        <f t="shared" si="82"/>
        <v>код для проверки</v>
      </c>
      <c r="S644" t="str">
        <f t="shared" ref="S644:S707" si="85">IF(M644&lt;$S$1*0.5,"Низшая четверть",IF(M644&lt;$S$1,"Вторая четверть","Больше половины"))</f>
        <v>Больше половины</v>
      </c>
      <c r="T644" t="str">
        <f t="shared" ref="T644:T707" si="86">IF(N644&lt;$T$1*0.5,"Низшая четверть",IF(N644&lt;$T$1,"Вторая четверть","Больше половины"))</f>
        <v>Низшая четверть</v>
      </c>
      <c r="U644" t="str">
        <f t="shared" ref="U644:U707" si="87">IF(OR(M644&lt;SUMIFS(K:K,Q:Q,1,E:E,E644)/SUMIFS(J:J,Q:Q,1,E:E,E644)*0.5,N644&lt;SUMIFS(L:L,Q:Q,1,E:E,E644)/SUMIFS(K:K,Q:Q,1,E:E,E644)*0.5),"код для проверки","нормальный код")</f>
        <v>нормальный код</v>
      </c>
      <c r="V644" t="str">
        <f t="shared" ref="V644:V707" si="88">IF(M644&lt;SUMIFS(K:K,Q:Q,1,E:E,E644)/SUMIFS(J:J,Q:Q,1,E:E,E644)*0.5,"Низшая четверть",IF(M644&lt;SUMIFS(K:K,Q:Q,1,E:E,E644)/SUMIFS(J:J,Q:Q,1,E:E,E644),"Вторая четверть","Больше половины"))</f>
        <v>Больше половины</v>
      </c>
      <c r="W644" t="str">
        <f t="shared" ref="W644:W707" si="89">IF(N644&lt;SUMIFS(L:L,Q:Q,1,E:E,E644)/SUMIFS(K:K,Q:Q,1,E:E,E644)*0.5,"Низшая четверть",IF(N644&lt;SUMIFS(L:L,Q:Q,1,E:E,E644)/SUMIFS(K:K,Q:Q,1,E:E,E644),"Вторая четверть","Больше половины"))</f>
        <v>Вторая четверть</v>
      </c>
      <c r="X644">
        <v>24</v>
      </c>
    </row>
    <row r="645" spans="1:24" x14ac:dyDescent="0.35">
      <c r="A645" s="1" t="s">
        <v>894</v>
      </c>
      <c r="B645" s="2" t="s">
        <v>895</v>
      </c>
      <c r="C645" s="3" t="s">
        <v>13</v>
      </c>
      <c r="D645" s="2" t="s">
        <v>155</v>
      </c>
      <c r="E645" s="3" t="s">
        <v>156</v>
      </c>
      <c r="F645" s="2" t="s">
        <v>34</v>
      </c>
      <c r="G645" s="3" t="s">
        <v>35</v>
      </c>
      <c r="H645" s="2" t="s">
        <v>18</v>
      </c>
      <c r="I645" s="3" t="s">
        <v>19</v>
      </c>
      <c r="J645" s="3">
        <v>3386</v>
      </c>
      <c r="K645" s="3">
        <v>557</v>
      </c>
      <c r="L645" s="3">
        <v>8</v>
      </c>
      <c r="M645" s="4">
        <f t="shared" si="83"/>
        <v>0.16450088600118135</v>
      </c>
      <c r="N645" s="4">
        <f t="shared" si="84"/>
        <v>1.4362657091561939E-2</v>
      </c>
      <c r="O645">
        <v>102</v>
      </c>
      <c r="P645" s="5">
        <v>1</v>
      </c>
      <c r="Q645" s="7">
        <v>1</v>
      </c>
      <c r="R645" t="str">
        <f t="shared" si="82"/>
        <v>нормальный код</v>
      </c>
      <c r="S645" t="str">
        <f t="shared" si="85"/>
        <v>Больше половины</v>
      </c>
      <c r="T645" t="str">
        <f t="shared" si="86"/>
        <v>Вторая четверть</v>
      </c>
      <c r="U645" t="str">
        <f t="shared" si="87"/>
        <v>нормальный код</v>
      </c>
      <c r="V645" t="str">
        <f t="shared" si="88"/>
        <v>Больше половины</v>
      </c>
      <c r="W645" t="str">
        <f t="shared" si="89"/>
        <v>Вторая четверть</v>
      </c>
      <c r="X645">
        <v>19</v>
      </c>
    </row>
    <row r="646" spans="1:24" x14ac:dyDescent="0.35">
      <c r="A646" s="1" t="s">
        <v>1738</v>
      </c>
      <c r="B646" s="2" t="s">
        <v>1739</v>
      </c>
      <c r="C646" s="3" t="s">
        <v>55</v>
      </c>
      <c r="D646" s="2" t="s">
        <v>94</v>
      </c>
      <c r="E646" s="3" t="s">
        <v>95</v>
      </c>
      <c r="F646" s="2" t="s">
        <v>96</v>
      </c>
      <c r="G646" s="3" t="s">
        <v>17</v>
      </c>
      <c r="H646" s="2" t="s">
        <v>97</v>
      </c>
      <c r="I646" s="3" t="s">
        <v>19</v>
      </c>
      <c r="J646" s="3">
        <v>3381</v>
      </c>
      <c r="K646" s="3">
        <v>1802</v>
      </c>
      <c r="L646" s="3">
        <v>9</v>
      </c>
      <c r="M646" s="4">
        <f t="shared" si="83"/>
        <v>0.53297840875480629</v>
      </c>
      <c r="N646" s="4">
        <f t="shared" si="84"/>
        <v>4.9944506104328528E-3</v>
      </c>
      <c r="O646">
        <v>2166</v>
      </c>
      <c r="P646" s="5">
        <v>0.88888888888888884</v>
      </c>
      <c r="Q646" s="7">
        <v>1</v>
      </c>
      <c r="R646" t="str">
        <f t="shared" si="82"/>
        <v>код для проверки</v>
      </c>
      <c r="S646" t="str">
        <f t="shared" si="85"/>
        <v>Больше половины</v>
      </c>
      <c r="T646" t="str">
        <f t="shared" si="86"/>
        <v>Низшая четверть</v>
      </c>
      <c r="U646" t="str">
        <f t="shared" si="87"/>
        <v>код для проверки</v>
      </c>
      <c r="V646" t="str">
        <f t="shared" si="88"/>
        <v>Больше половины</v>
      </c>
      <c r="W646" t="str">
        <f t="shared" si="89"/>
        <v>Низшая четверть</v>
      </c>
      <c r="X646">
        <v>17</v>
      </c>
    </row>
    <row r="647" spans="1:24" x14ac:dyDescent="0.35">
      <c r="A647" s="1" t="s">
        <v>1461</v>
      </c>
      <c r="B647" s="2" t="s">
        <v>1462</v>
      </c>
      <c r="C647" s="3" t="s">
        <v>13</v>
      </c>
      <c r="D647" s="2" t="s">
        <v>164</v>
      </c>
      <c r="E647" s="3" t="s">
        <v>256</v>
      </c>
      <c r="F647" s="2" t="s">
        <v>123</v>
      </c>
      <c r="G647" s="3" t="s">
        <v>35</v>
      </c>
      <c r="H647" s="2" t="s">
        <v>18</v>
      </c>
      <c r="I647" s="3" t="s">
        <v>19</v>
      </c>
      <c r="J647" s="3">
        <v>3379</v>
      </c>
      <c r="K647" s="3">
        <v>77</v>
      </c>
      <c r="L647" s="3">
        <v>2</v>
      </c>
      <c r="M647" s="4">
        <f t="shared" si="83"/>
        <v>2.2787807043503996E-2</v>
      </c>
      <c r="N647" s="4">
        <f t="shared" si="84"/>
        <v>2.5974025974025976E-2</v>
      </c>
      <c r="O647">
        <v>401</v>
      </c>
      <c r="P647" s="5">
        <v>1</v>
      </c>
      <c r="Q647" s="7">
        <v>1</v>
      </c>
      <c r="R647" t="str">
        <f t="shared" si="82"/>
        <v>код для проверки</v>
      </c>
      <c r="S647" t="str">
        <f t="shared" si="85"/>
        <v>Низшая четверть</v>
      </c>
      <c r="T647" t="str">
        <f t="shared" si="86"/>
        <v>Больше половины</v>
      </c>
      <c r="U647" t="str">
        <f t="shared" si="87"/>
        <v>код для проверки</v>
      </c>
      <c r="V647" t="str">
        <f t="shared" si="88"/>
        <v>Низшая четверть</v>
      </c>
      <c r="W647" t="str">
        <f t="shared" si="89"/>
        <v>Больше половины</v>
      </c>
      <c r="X647">
        <v>23</v>
      </c>
    </row>
    <row r="648" spans="1:24" x14ac:dyDescent="0.35">
      <c r="A648" s="1" t="s">
        <v>2507</v>
      </c>
      <c r="B648" s="2" t="s">
        <v>2508</v>
      </c>
      <c r="C648" s="3" t="s">
        <v>13</v>
      </c>
      <c r="D648" s="2" t="s">
        <v>77</v>
      </c>
      <c r="E648" s="3" t="s">
        <v>89</v>
      </c>
      <c r="F648" s="2" t="s">
        <v>34</v>
      </c>
      <c r="G648" s="3" t="s">
        <v>35</v>
      </c>
      <c r="H648" s="2" t="s">
        <v>18</v>
      </c>
      <c r="I648" s="3" t="s">
        <v>19</v>
      </c>
      <c r="J648" s="3">
        <v>3344</v>
      </c>
      <c r="K648" s="3">
        <v>5312</v>
      </c>
      <c r="L648" s="3">
        <v>7</v>
      </c>
      <c r="M648" s="4">
        <f t="shared" si="83"/>
        <v>1.5885167464114833</v>
      </c>
      <c r="N648" s="4">
        <f t="shared" si="84"/>
        <v>1.3177710843373493E-3</v>
      </c>
      <c r="O648">
        <v>617</v>
      </c>
      <c r="P648" s="5">
        <v>0.8</v>
      </c>
      <c r="Q648" s="7">
        <v>1</v>
      </c>
      <c r="R648" t="str">
        <f t="shared" si="82"/>
        <v>код для проверки</v>
      </c>
      <c r="S648" t="str">
        <f t="shared" si="85"/>
        <v>Больше половины</v>
      </c>
      <c r="T648" t="str">
        <f t="shared" si="86"/>
        <v>Низшая четверть</v>
      </c>
      <c r="U648" t="str">
        <f t="shared" si="87"/>
        <v>код для проверки</v>
      </c>
      <c r="V648" t="str">
        <f t="shared" si="88"/>
        <v>Больше половины</v>
      </c>
      <c r="W648" t="str">
        <f t="shared" si="89"/>
        <v>Низшая четверть</v>
      </c>
      <c r="X648">
        <v>10</v>
      </c>
    </row>
    <row r="649" spans="1:24" x14ac:dyDescent="0.35">
      <c r="A649" s="1" t="s">
        <v>734</v>
      </c>
      <c r="B649" s="2" t="s">
        <v>735</v>
      </c>
      <c r="C649" s="3" t="s">
        <v>13</v>
      </c>
      <c r="D649" s="2" t="s">
        <v>77</v>
      </c>
      <c r="E649" s="3" t="s">
        <v>444</v>
      </c>
      <c r="F649" s="2" t="s">
        <v>96</v>
      </c>
      <c r="G649" s="3" t="s">
        <v>35</v>
      </c>
      <c r="H649" s="2" t="s">
        <v>18</v>
      </c>
      <c r="I649" s="3" t="s">
        <v>19</v>
      </c>
      <c r="J649" s="3">
        <v>3332</v>
      </c>
      <c r="K649" s="3">
        <v>700</v>
      </c>
      <c r="L649" s="3">
        <v>3</v>
      </c>
      <c r="M649" s="4">
        <f t="shared" si="83"/>
        <v>0.21008403361344538</v>
      </c>
      <c r="N649" s="4">
        <f t="shared" si="84"/>
        <v>4.2857142857142859E-3</v>
      </c>
      <c r="O649">
        <v>485</v>
      </c>
      <c r="P649" s="5">
        <v>1</v>
      </c>
      <c r="Q649" s="7">
        <v>1</v>
      </c>
      <c r="R649" t="str">
        <f t="shared" si="82"/>
        <v>код для проверки</v>
      </c>
      <c r="S649" t="str">
        <f t="shared" si="85"/>
        <v>Больше половины</v>
      </c>
      <c r="T649" t="str">
        <f t="shared" si="86"/>
        <v>Низшая четверть</v>
      </c>
      <c r="U649" t="str">
        <f t="shared" si="87"/>
        <v>нормальный код</v>
      </c>
      <c r="V649" t="str">
        <f t="shared" si="88"/>
        <v>Больше половины</v>
      </c>
      <c r="W649" t="str">
        <f t="shared" si="89"/>
        <v>Вторая четверть</v>
      </c>
      <c r="X649">
        <v>18</v>
      </c>
    </row>
    <row r="650" spans="1:24" x14ac:dyDescent="0.35">
      <c r="A650" s="1" t="s">
        <v>1512</v>
      </c>
      <c r="B650" s="2" t="s">
        <v>1513</v>
      </c>
      <c r="C650" s="3" t="s">
        <v>55</v>
      </c>
      <c r="D650" s="2" t="s">
        <v>56</v>
      </c>
      <c r="E650" s="3" t="s">
        <v>253</v>
      </c>
      <c r="F650" s="2" t="s">
        <v>34</v>
      </c>
      <c r="G650" s="3" t="s">
        <v>17</v>
      </c>
      <c r="H650" s="2" t="s">
        <v>18</v>
      </c>
      <c r="I650" s="3" t="s">
        <v>19</v>
      </c>
      <c r="J650" s="3">
        <v>3322</v>
      </c>
      <c r="K650" s="3">
        <v>339</v>
      </c>
      <c r="L650" s="3">
        <v>2</v>
      </c>
      <c r="M650" s="4">
        <f t="shared" si="83"/>
        <v>0.10204695966285371</v>
      </c>
      <c r="N650" s="4">
        <f t="shared" si="84"/>
        <v>5.8997050147492625E-3</v>
      </c>
      <c r="O650">
        <v>233</v>
      </c>
      <c r="P650" s="5">
        <v>1</v>
      </c>
      <c r="Q650" s="7">
        <v>1</v>
      </c>
      <c r="R650" t="str">
        <f t="shared" si="82"/>
        <v>код для проверки</v>
      </c>
      <c r="S650" t="str">
        <f t="shared" si="85"/>
        <v>Больше половины</v>
      </c>
      <c r="T650" t="str">
        <f t="shared" si="86"/>
        <v>Низшая четверть</v>
      </c>
      <c r="U650" t="str">
        <f t="shared" si="87"/>
        <v>код для проверки</v>
      </c>
      <c r="V650" t="str">
        <f t="shared" si="88"/>
        <v>Больше половины</v>
      </c>
      <c r="W650" t="str">
        <f t="shared" si="89"/>
        <v>Низшая четверть</v>
      </c>
      <c r="X650">
        <v>22</v>
      </c>
    </row>
    <row r="651" spans="1:24" x14ac:dyDescent="0.35">
      <c r="A651" s="1" t="s">
        <v>1394</v>
      </c>
      <c r="B651" s="2" t="s">
        <v>1395</v>
      </c>
      <c r="C651" s="3" t="s">
        <v>55</v>
      </c>
      <c r="D651" s="2" t="s">
        <v>799</v>
      </c>
      <c r="E651" s="3" t="s">
        <v>800</v>
      </c>
      <c r="F651" s="2" t="s">
        <v>34</v>
      </c>
      <c r="G651" s="3" t="s">
        <v>17</v>
      </c>
      <c r="H651" s="2" t="s">
        <v>18</v>
      </c>
      <c r="I651" s="3" t="s">
        <v>19</v>
      </c>
      <c r="J651" s="3">
        <v>3307</v>
      </c>
      <c r="K651" s="3">
        <v>755</v>
      </c>
      <c r="L651" s="3">
        <v>10</v>
      </c>
      <c r="M651" s="4">
        <f t="shared" si="83"/>
        <v>0.22830359842757786</v>
      </c>
      <c r="N651" s="4">
        <f t="shared" si="84"/>
        <v>1.3245033112582781E-2</v>
      </c>
      <c r="O651">
        <v>145</v>
      </c>
      <c r="P651" s="5">
        <v>0.8</v>
      </c>
      <c r="Q651" s="7">
        <v>1</v>
      </c>
      <c r="R651" t="str">
        <f t="shared" si="82"/>
        <v>нормальный код</v>
      </c>
      <c r="S651" t="str">
        <f t="shared" si="85"/>
        <v>Больше половины</v>
      </c>
      <c r="T651" t="str">
        <f t="shared" si="86"/>
        <v>Вторая четверть</v>
      </c>
      <c r="U651" t="str">
        <f t="shared" si="87"/>
        <v>код для проверки</v>
      </c>
      <c r="V651" t="str">
        <f t="shared" si="88"/>
        <v>Больше половины</v>
      </c>
      <c r="W651" t="str">
        <f t="shared" si="89"/>
        <v>Низшая четверть</v>
      </c>
      <c r="X651">
        <v>28</v>
      </c>
    </row>
    <row r="652" spans="1:24" x14ac:dyDescent="0.35">
      <c r="A652" s="1" t="s">
        <v>2469</v>
      </c>
      <c r="B652" s="2" t="s">
        <v>2470</v>
      </c>
      <c r="C652" s="3" t="s">
        <v>13</v>
      </c>
      <c r="D652" s="2" t="s">
        <v>155</v>
      </c>
      <c r="E652" s="3" t="s">
        <v>156</v>
      </c>
      <c r="F652" s="2" t="s">
        <v>34</v>
      </c>
      <c r="G652" s="3" t="s">
        <v>35</v>
      </c>
      <c r="H652" s="2" t="s">
        <v>18</v>
      </c>
      <c r="I652" s="3" t="s">
        <v>19</v>
      </c>
      <c r="J652" s="3">
        <v>3307</v>
      </c>
      <c r="K652" s="3">
        <v>1268</v>
      </c>
      <c r="L652" s="3">
        <v>4</v>
      </c>
      <c r="M652" s="4">
        <f t="shared" si="83"/>
        <v>0.38342908980949503</v>
      </c>
      <c r="N652" s="4">
        <f t="shared" si="84"/>
        <v>3.1545741324921135E-3</v>
      </c>
      <c r="O652">
        <v>292</v>
      </c>
      <c r="P652" s="5">
        <v>1</v>
      </c>
      <c r="Q652" s="7">
        <v>1</v>
      </c>
      <c r="R652" t="str">
        <f t="shared" si="82"/>
        <v>код для проверки</v>
      </c>
      <c r="S652" t="str">
        <f t="shared" si="85"/>
        <v>Больше половины</v>
      </c>
      <c r="T652" t="str">
        <f t="shared" si="86"/>
        <v>Низшая четверть</v>
      </c>
      <c r="U652" t="str">
        <f t="shared" si="87"/>
        <v>код для проверки</v>
      </c>
      <c r="V652" t="str">
        <f t="shared" si="88"/>
        <v>Больше половины</v>
      </c>
      <c r="W652" t="str">
        <f t="shared" si="89"/>
        <v>Низшая четверть</v>
      </c>
      <c r="X652">
        <v>15</v>
      </c>
    </row>
    <row r="653" spans="1:24" x14ac:dyDescent="0.35">
      <c r="A653" s="1" t="s">
        <v>1499</v>
      </c>
      <c r="B653" s="2" t="s">
        <v>1500</v>
      </c>
      <c r="C653" s="3" t="s">
        <v>55</v>
      </c>
      <c r="D653" s="2" t="s">
        <v>985</v>
      </c>
      <c r="E653" s="3" t="s">
        <v>986</v>
      </c>
      <c r="F653" s="2" t="s">
        <v>34</v>
      </c>
      <c r="G653" s="3" t="s">
        <v>17</v>
      </c>
      <c r="H653" s="2" t="s">
        <v>18</v>
      </c>
      <c r="I653" s="3" t="s">
        <v>19</v>
      </c>
      <c r="J653" s="3">
        <v>3294</v>
      </c>
      <c r="K653" s="3">
        <v>272</v>
      </c>
      <c r="L653" s="3">
        <v>11</v>
      </c>
      <c r="M653" s="4">
        <f t="shared" si="83"/>
        <v>8.2574377656344872E-2</v>
      </c>
      <c r="N653" s="4">
        <f t="shared" si="84"/>
        <v>4.0441176470588237E-2</v>
      </c>
      <c r="O653">
        <v>291</v>
      </c>
      <c r="P653" s="5">
        <v>1</v>
      </c>
      <c r="Q653" s="7">
        <v>1</v>
      </c>
      <c r="R653" t="str">
        <f t="shared" si="82"/>
        <v>нормальный код</v>
      </c>
      <c r="S653" t="str">
        <f t="shared" si="85"/>
        <v>Вторая четверть</v>
      </c>
      <c r="T653" t="str">
        <f t="shared" si="86"/>
        <v>Больше половины</v>
      </c>
      <c r="U653" t="str">
        <f t="shared" si="87"/>
        <v>нормальный код</v>
      </c>
      <c r="V653" t="str">
        <f t="shared" si="88"/>
        <v>Больше половины</v>
      </c>
      <c r="W653" t="str">
        <f t="shared" si="89"/>
        <v>Больше половины</v>
      </c>
      <c r="X653">
        <v>9</v>
      </c>
    </row>
    <row r="654" spans="1:24" x14ac:dyDescent="0.35">
      <c r="A654" s="1" t="s">
        <v>2509</v>
      </c>
      <c r="B654" s="2" t="s">
        <v>2510</v>
      </c>
      <c r="C654" s="3" t="s">
        <v>13</v>
      </c>
      <c r="D654" s="2" t="s">
        <v>69</v>
      </c>
      <c r="E654" s="3" t="s">
        <v>371</v>
      </c>
      <c r="F654" s="2" t="s">
        <v>96</v>
      </c>
      <c r="G654" s="3" t="s">
        <v>72</v>
      </c>
      <c r="H654" s="2" t="s">
        <v>18</v>
      </c>
      <c r="I654" s="3" t="s">
        <v>19</v>
      </c>
      <c r="J654" s="3">
        <v>3284</v>
      </c>
      <c r="K654" s="3">
        <v>494</v>
      </c>
      <c r="L654" s="3">
        <v>5</v>
      </c>
      <c r="M654" s="4">
        <f t="shared" si="83"/>
        <v>0.15042630937880633</v>
      </c>
      <c r="N654" s="4">
        <f t="shared" si="84"/>
        <v>1.0121457489878543E-2</v>
      </c>
      <c r="O654">
        <v>408</v>
      </c>
      <c r="P654" s="5">
        <v>1</v>
      </c>
      <c r="Q654" s="7">
        <v>1</v>
      </c>
      <c r="R654" t="str">
        <f t="shared" si="82"/>
        <v>нормальный код</v>
      </c>
      <c r="S654" t="str">
        <f t="shared" si="85"/>
        <v>Больше половины</v>
      </c>
      <c r="T654" t="str">
        <f t="shared" si="86"/>
        <v>Вторая четверть</v>
      </c>
      <c r="U654" t="str">
        <f t="shared" si="87"/>
        <v>нормальный код</v>
      </c>
      <c r="V654" t="str">
        <f t="shared" si="88"/>
        <v>Больше половины</v>
      </c>
      <c r="W654" t="str">
        <f t="shared" si="89"/>
        <v>Вторая четверть</v>
      </c>
      <c r="X654">
        <v>16</v>
      </c>
    </row>
    <row r="655" spans="1:24" x14ac:dyDescent="0.35">
      <c r="A655" s="1" t="s">
        <v>1771</v>
      </c>
      <c r="B655" s="2" t="s">
        <v>1772</v>
      </c>
      <c r="C655" s="3" t="s">
        <v>55</v>
      </c>
      <c r="D655" s="2" t="s">
        <v>56</v>
      </c>
      <c r="E655" s="3" t="s">
        <v>60</v>
      </c>
      <c r="F655" s="2" t="s">
        <v>61</v>
      </c>
      <c r="G655" s="3" t="s">
        <v>17</v>
      </c>
      <c r="H655" s="2" t="s">
        <v>18</v>
      </c>
      <c r="I655" s="3" t="s">
        <v>19</v>
      </c>
      <c r="J655" s="3">
        <v>3280</v>
      </c>
      <c r="K655" s="3">
        <v>129</v>
      </c>
      <c r="L655" s="3">
        <v>3</v>
      </c>
      <c r="M655" s="4">
        <f t="shared" si="83"/>
        <v>3.9329268292682927E-2</v>
      </c>
      <c r="N655" s="4">
        <f t="shared" si="84"/>
        <v>2.3255813953488372E-2</v>
      </c>
      <c r="O655">
        <v>438</v>
      </c>
      <c r="P655" s="5">
        <v>1</v>
      </c>
      <c r="Q655" s="7">
        <v>1</v>
      </c>
      <c r="R655" t="str">
        <f t="shared" si="82"/>
        <v>код для проверки</v>
      </c>
      <c r="S655" t="str">
        <f t="shared" si="85"/>
        <v>Низшая четверть</v>
      </c>
      <c r="T655" t="str">
        <f t="shared" si="86"/>
        <v>Больше половины</v>
      </c>
      <c r="U655" t="str">
        <f t="shared" si="87"/>
        <v>нормальный код</v>
      </c>
      <c r="V655" t="str">
        <f t="shared" si="88"/>
        <v>Вторая четверть</v>
      </c>
      <c r="W655" t="str">
        <f t="shared" si="89"/>
        <v>Больше половины</v>
      </c>
      <c r="X655">
        <v>24</v>
      </c>
    </row>
    <row r="656" spans="1:24" x14ac:dyDescent="0.35">
      <c r="A656" s="1" t="s">
        <v>1306</v>
      </c>
      <c r="B656" s="2" t="s">
        <v>1307</v>
      </c>
      <c r="C656" s="3" t="s">
        <v>13</v>
      </c>
      <c r="D656" s="2" t="s">
        <v>69</v>
      </c>
      <c r="E656" s="3" t="s">
        <v>227</v>
      </c>
      <c r="F656" s="2" t="s">
        <v>34</v>
      </c>
      <c r="G656" s="3" t="s">
        <v>72</v>
      </c>
      <c r="H656" s="2" t="s">
        <v>18</v>
      </c>
      <c r="I656" s="3" t="s">
        <v>19</v>
      </c>
      <c r="J656" s="3">
        <v>3278</v>
      </c>
      <c r="K656" s="3">
        <v>272</v>
      </c>
      <c r="L656" s="3">
        <v>4</v>
      </c>
      <c r="M656" s="4">
        <f t="shared" si="83"/>
        <v>8.297742525930446E-2</v>
      </c>
      <c r="N656" s="4">
        <f t="shared" si="84"/>
        <v>1.4705882352941176E-2</v>
      </c>
      <c r="O656">
        <v>231</v>
      </c>
      <c r="P656" s="5">
        <v>1</v>
      </c>
      <c r="Q656" s="7">
        <v>1</v>
      </c>
      <c r="R656" t="str">
        <f t="shared" si="82"/>
        <v>нормальный код</v>
      </c>
      <c r="S656" t="str">
        <f t="shared" si="85"/>
        <v>Вторая четверть</v>
      </c>
      <c r="T656" t="str">
        <f t="shared" si="86"/>
        <v>Вторая четверть</v>
      </c>
      <c r="U656" t="str">
        <f t="shared" si="87"/>
        <v>нормальный код</v>
      </c>
      <c r="V656" t="str">
        <f t="shared" si="88"/>
        <v>Больше половины</v>
      </c>
      <c r="W656" t="str">
        <f t="shared" si="89"/>
        <v>Больше половины</v>
      </c>
      <c r="X656">
        <v>15</v>
      </c>
    </row>
    <row r="657" spans="1:24" x14ac:dyDescent="0.35">
      <c r="A657" s="1" t="s">
        <v>978</v>
      </c>
      <c r="B657" s="2" t="s">
        <v>979</v>
      </c>
      <c r="C657" s="3" t="s">
        <v>13</v>
      </c>
      <c r="D657" s="2" t="s">
        <v>77</v>
      </c>
      <c r="E657" s="3" t="s">
        <v>980</v>
      </c>
      <c r="F657" s="2" t="s">
        <v>96</v>
      </c>
      <c r="G657" s="3" t="s">
        <v>17</v>
      </c>
      <c r="H657" s="2" t="s">
        <v>18</v>
      </c>
      <c r="I657" s="3" t="s">
        <v>19</v>
      </c>
      <c r="J657" s="3">
        <v>3275</v>
      </c>
      <c r="K657" s="3">
        <v>155</v>
      </c>
      <c r="L657" s="3">
        <v>2</v>
      </c>
      <c r="M657" s="4">
        <f t="shared" si="83"/>
        <v>4.732824427480916E-2</v>
      </c>
      <c r="N657" s="4">
        <f t="shared" si="84"/>
        <v>1.2903225806451613E-2</v>
      </c>
      <c r="O657">
        <v>1506</v>
      </c>
      <c r="P657" s="5">
        <v>1</v>
      </c>
      <c r="Q657" s="7">
        <v>1</v>
      </c>
      <c r="R657" t="str">
        <f t="shared" si="82"/>
        <v>код для проверки</v>
      </c>
      <c r="S657" t="str">
        <f t="shared" si="85"/>
        <v>Низшая четверть</v>
      </c>
      <c r="T657" t="str">
        <f t="shared" si="86"/>
        <v>Вторая четверть</v>
      </c>
      <c r="U657" t="str">
        <f t="shared" si="87"/>
        <v>код для проверки</v>
      </c>
      <c r="V657" t="str">
        <f t="shared" si="88"/>
        <v>Вторая четверть</v>
      </c>
      <c r="W657" t="str">
        <f t="shared" si="89"/>
        <v>Низшая четверть</v>
      </c>
      <c r="X657">
        <v>15</v>
      </c>
    </row>
    <row r="658" spans="1:24" x14ac:dyDescent="0.35">
      <c r="A658" s="1" t="s">
        <v>849</v>
      </c>
      <c r="B658" s="2" t="s">
        <v>850</v>
      </c>
      <c r="C658" s="3" t="s">
        <v>13</v>
      </c>
      <c r="D658" s="2" t="s">
        <v>412</v>
      </c>
      <c r="E658" s="3" t="s">
        <v>611</v>
      </c>
      <c r="F658" s="2" t="s">
        <v>61</v>
      </c>
      <c r="G658" s="3" t="s">
        <v>17</v>
      </c>
      <c r="H658" s="2" t="s">
        <v>97</v>
      </c>
      <c r="I658" s="3" t="s">
        <v>19</v>
      </c>
      <c r="J658" s="3">
        <v>3262</v>
      </c>
      <c r="K658" s="3">
        <v>298</v>
      </c>
      <c r="L658" s="3">
        <v>5</v>
      </c>
      <c r="M658" s="4">
        <f t="shared" si="83"/>
        <v>9.1354996934396082E-2</v>
      </c>
      <c r="N658" s="4">
        <f t="shared" si="84"/>
        <v>1.6778523489932886E-2</v>
      </c>
      <c r="O658">
        <v>0</v>
      </c>
      <c r="P658" s="5">
        <v>0</v>
      </c>
      <c r="Q658" s="7">
        <v>0</v>
      </c>
      <c r="R658" t="s">
        <v>2350</v>
      </c>
      <c r="S658" t="str">
        <f t="shared" si="85"/>
        <v>Вторая четверть</v>
      </c>
      <c r="T658" t="str">
        <f t="shared" si="86"/>
        <v>Вторая четверть</v>
      </c>
      <c r="U658" t="str">
        <f t="shared" si="87"/>
        <v>нормальный код</v>
      </c>
      <c r="V658" t="str">
        <f t="shared" si="88"/>
        <v>Вторая четверть</v>
      </c>
      <c r="W658" t="str">
        <f t="shared" si="89"/>
        <v>Вторая четверть</v>
      </c>
      <c r="X658">
        <v>3</v>
      </c>
    </row>
    <row r="659" spans="1:24" x14ac:dyDescent="0.35">
      <c r="A659" s="1" t="s">
        <v>1347</v>
      </c>
      <c r="B659" s="2" t="s">
        <v>1348</v>
      </c>
      <c r="C659" s="3" t="s">
        <v>13</v>
      </c>
      <c r="D659" s="2" t="s">
        <v>630</v>
      </c>
      <c r="E659" s="3" t="s">
        <v>685</v>
      </c>
      <c r="F659" s="2" t="s">
        <v>61</v>
      </c>
      <c r="G659" s="3" t="s">
        <v>17</v>
      </c>
      <c r="H659" s="2" t="s">
        <v>97</v>
      </c>
      <c r="I659" s="3" t="s">
        <v>19</v>
      </c>
      <c r="J659" s="3">
        <v>3260</v>
      </c>
      <c r="K659" s="3">
        <v>494</v>
      </c>
      <c r="L659" s="3">
        <v>13</v>
      </c>
      <c r="M659" s="4">
        <f t="shared" si="83"/>
        <v>0.15153374233128836</v>
      </c>
      <c r="N659" s="4">
        <f t="shared" si="84"/>
        <v>2.6315789473684209E-2</v>
      </c>
      <c r="O659">
        <v>574</v>
      </c>
      <c r="P659" s="5">
        <v>1</v>
      </c>
      <c r="Q659" s="7">
        <v>1</v>
      </c>
      <c r="R659" t="str">
        <f t="shared" ref="R659:R680" si="90">IF(OR(M659&lt;$S$1*0.5,N659&lt;$T$1*0.5),"код для проверки","нормальный код")</f>
        <v>нормальный код</v>
      </c>
      <c r="S659" t="str">
        <f t="shared" si="85"/>
        <v>Больше половины</v>
      </c>
      <c r="T659" t="str">
        <f t="shared" si="86"/>
        <v>Больше половины</v>
      </c>
      <c r="U659" t="str">
        <f t="shared" si="87"/>
        <v>нормальный код</v>
      </c>
      <c r="V659" t="str">
        <f t="shared" si="88"/>
        <v>Больше половины</v>
      </c>
      <c r="W659" t="str">
        <f t="shared" si="89"/>
        <v>Больше половины</v>
      </c>
      <c r="X659">
        <v>9</v>
      </c>
    </row>
    <row r="660" spans="1:24" x14ac:dyDescent="0.35">
      <c r="A660" s="1" t="s">
        <v>904</v>
      </c>
      <c r="B660" s="2" t="s">
        <v>905</v>
      </c>
      <c r="C660" s="3" t="s">
        <v>13</v>
      </c>
      <c r="D660" s="2" t="s">
        <v>155</v>
      </c>
      <c r="E660" s="3" t="s">
        <v>156</v>
      </c>
      <c r="F660" s="2" t="s">
        <v>34</v>
      </c>
      <c r="G660" s="3" t="s">
        <v>17</v>
      </c>
      <c r="H660" s="2" t="s">
        <v>18</v>
      </c>
      <c r="I660" s="3" t="s">
        <v>19</v>
      </c>
      <c r="J660" s="3">
        <v>3241</v>
      </c>
      <c r="K660" s="3">
        <v>649</v>
      </c>
      <c r="L660" s="3">
        <v>9</v>
      </c>
      <c r="M660" s="4">
        <f t="shared" si="83"/>
        <v>0.20024683739586546</v>
      </c>
      <c r="N660" s="4">
        <f t="shared" si="84"/>
        <v>1.386748844375963E-2</v>
      </c>
      <c r="O660">
        <v>526</v>
      </c>
      <c r="P660" s="5">
        <v>1</v>
      </c>
      <c r="Q660" s="7">
        <v>1</v>
      </c>
      <c r="R660" t="str">
        <f t="shared" si="90"/>
        <v>нормальный код</v>
      </c>
      <c r="S660" t="str">
        <f t="shared" si="85"/>
        <v>Больше половины</v>
      </c>
      <c r="T660" t="str">
        <f t="shared" si="86"/>
        <v>Вторая четверть</v>
      </c>
      <c r="U660" t="str">
        <f t="shared" si="87"/>
        <v>нормальный код</v>
      </c>
      <c r="V660" t="str">
        <f t="shared" si="88"/>
        <v>Больше половины</v>
      </c>
      <c r="W660" t="str">
        <f t="shared" si="89"/>
        <v>Вторая четверть</v>
      </c>
      <c r="X660">
        <v>16</v>
      </c>
    </row>
    <row r="661" spans="1:24" x14ac:dyDescent="0.35">
      <c r="A661" s="1" t="s">
        <v>1113</v>
      </c>
      <c r="B661" s="2" t="s">
        <v>1114</v>
      </c>
      <c r="C661" s="3" t="s">
        <v>13</v>
      </c>
      <c r="D661" s="2" t="s">
        <v>121</v>
      </c>
      <c r="E661" s="3" t="s">
        <v>531</v>
      </c>
      <c r="F661" s="2" t="s">
        <v>123</v>
      </c>
      <c r="G661" s="3" t="s">
        <v>35</v>
      </c>
      <c r="H661" s="2" t="s">
        <v>18</v>
      </c>
      <c r="I661" s="3" t="s">
        <v>19</v>
      </c>
      <c r="J661" s="3">
        <v>3233</v>
      </c>
      <c r="K661" s="3">
        <v>290</v>
      </c>
      <c r="L661" s="3">
        <v>8</v>
      </c>
      <c r="M661" s="4">
        <f t="shared" si="83"/>
        <v>8.9699969068976176E-2</v>
      </c>
      <c r="N661" s="4">
        <f t="shared" si="84"/>
        <v>2.7586206896551724E-2</v>
      </c>
      <c r="O661">
        <v>185</v>
      </c>
      <c r="P661" s="5">
        <v>1</v>
      </c>
      <c r="Q661" s="7">
        <v>1</v>
      </c>
      <c r="R661" t="str">
        <f t="shared" si="90"/>
        <v>нормальный код</v>
      </c>
      <c r="S661" t="str">
        <f t="shared" si="85"/>
        <v>Вторая четверть</v>
      </c>
      <c r="T661" t="str">
        <f t="shared" si="86"/>
        <v>Больше половины</v>
      </c>
      <c r="U661" t="str">
        <f t="shared" si="87"/>
        <v>нормальный код</v>
      </c>
      <c r="V661" t="str">
        <f t="shared" si="88"/>
        <v>Больше половины</v>
      </c>
      <c r="W661" t="str">
        <f t="shared" si="89"/>
        <v>Больше половины</v>
      </c>
      <c r="X661">
        <v>23</v>
      </c>
    </row>
    <row r="662" spans="1:24" x14ac:dyDescent="0.35">
      <c r="A662" s="1" t="s">
        <v>597</v>
      </c>
      <c r="B662" s="2" t="s">
        <v>598</v>
      </c>
      <c r="C662" s="3" t="s">
        <v>13</v>
      </c>
      <c r="D662" s="2" t="s">
        <v>85</v>
      </c>
      <c r="E662" s="3" t="s">
        <v>599</v>
      </c>
      <c r="F662" s="2" t="s">
        <v>34</v>
      </c>
      <c r="G662" s="3" t="s">
        <v>35</v>
      </c>
      <c r="H662" s="2" t="s">
        <v>18</v>
      </c>
      <c r="I662" s="3" t="s">
        <v>19</v>
      </c>
      <c r="J662" s="3">
        <v>3231</v>
      </c>
      <c r="K662" s="3">
        <v>278</v>
      </c>
      <c r="L662" s="3">
        <v>6</v>
      </c>
      <c r="M662" s="4">
        <f t="shared" si="83"/>
        <v>8.6041473228102752E-2</v>
      </c>
      <c r="N662" s="4">
        <f t="shared" si="84"/>
        <v>2.1582733812949641E-2</v>
      </c>
      <c r="O662">
        <v>678</v>
      </c>
      <c r="P662" s="5">
        <v>1</v>
      </c>
      <c r="Q662" s="7">
        <v>1</v>
      </c>
      <c r="R662" t="str">
        <f t="shared" si="90"/>
        <v>нормальный код</v>
      </c>
      <c r="S662" t="str">
        <f t="shared" si="85"/>
        <v>Вторая четверть</v>
      </c>
      <c r="T662" t="str">
        <f t="shared" si="86"/>
        <v>Больше половины</v>
      </c>
      <c r="U662" t="str">
        <f t="shared" si="87"/>
        <v>нормальный код</v>
      </c>
      <c r="V662" t="str">
        <f t="shared" si="88"/>
        <v>Больше половины</v>
      </c>
      <c r="W662" t="str">
        <f t="shared" si="89"/>
        <v>Вторая четверть</v>
      </c>
      <c r="X662">
        <v>15</v>
      </c>
    </row>
    <row r="663" spans="1:24" x14ac:dyDescent="0.35">
      <c r="A663" s="1" t="s">
        <v>1503</v>
      </c>
      <c r="B663" s="2" t="s">
        <v>1504</v>
      </c>
      <c r="C663" s="3" t="s">
        <v>55</v>
      </c>
      <c r="D663" s="2" t="s">
        <v>56</v>
      </c>
      <c r="E663" s="3" t="s">
        <v>57</v>
      </c>
      <c r="F663" s="2" t="s">
        <v>34</v>
      </c>
      <c r="G663" s="3" t="s">
        <v>17</v>
      </c>
      <c r="H663" s="2" t="s">
        <v>18</v>
      </c>
      <c r="I663" s="3" t="s">
        <v>19</v>
      </c>
      <c r="J663" s="3">
        <v>3228</v>
      </c>
      <c r="K663" s="3">
        <v>183</v>
      </c>
      <c r="L663" s="3">
        <v>7</v>
      </c>
      <c r="M663" s="4">
        <f t="shared" si="83"/>
        <v>5.6691449814126396E-2</v>
      </c>
      <c r="N663" s="4">
        <f t="shared" si="84"/>
        <v>3.825136612021858E-2</v>
      </c>
      <c r="O663">
        <v>212</v>
      </c>
      <c r="P663" s="5">
        <v>1</v>
      </c>
      <c r="Q663" s="7">
        <v>1</v>
      </c>
      <c r="R663" t="str">
        <f t="shared" si="90"/>
        <v>нормальный код</v>
      </c>
      <c r="S663" t="str">
        <f t="shared" si="85"/>
        <v>Вторая четверть</v>
      </c>
      <c r="T663" t="str">
        <f t="shared" si="86"/>
        <v>Больше половины</v>
      </c>
      <c r="U663" t="str">
        <f t="shared" si="87"/>
        <v>нормальный код</v>
      </c>
      <c r="V663" t="str">
        <f t="shared" si="88"/>
        <v>Вторая четверть</v>
      </c>
      <c r="W663" t="str">
        <f t="shared" si="89"/>
        <v>Больше половины</v>
      </c>
      <c r="X663">
        <v>11</v>
      </c>
    </row>
    <row r="664" spans="1:24" x14ac:dyDescent="0.35">
      <c r="A664" s="1" t="s">
        <v>714</v>
      </c>
      <c r="B664" s="2" t="s">
        <v>715</v>
      </c>
      <c r="C664" s="3" t="s">
        <v>13</v>
      </c>
      <c r="D664" s="2" t="s">
        <v>85</v>
      </c>
      <c r="E664" s="3" t="s">
        <v>599</v>
      </c>
      <c r="F664" s="2" t="s">
        <v>34</v>
      </c>
      <c r="G664" s="3" t="s">
        <v>35</v>
      </c>
      <c r="H664" s="2" t="s">
        <v>18</v>
      </c>
      <c r="I664" s="3" t="s">
        <v>19</v>
      </c>
      <c r="J664" s="3">
        <v>3216</v>
      </c>
      <c r="K664" s="3">
        <v>215</v>
      </c>
      <c r="L664" s="3">
        <v>3</v>
      </c>
      <c r="M664" s="4">
        <f t="shared" si="83"/>
        <v>6.6853233830845765E-2</v>
      </c>
      <c r="N664" s="4">
        <f t="shared" si="84"/>
        <v>1.3953488372093023E-2</v>
      </c>
      <c r="O664">
        <v>601</v>
      </c>
      <c r="P664" s="5">
        <v>1</v>
      </c>
      <c r="Q664" s="7">
        <v>1</v>
      </c>
      <c r="R664" t="str">
        <f t="shared" si="90"/>
        <v>нормальный код</v>
      </c>
      <c r="S664" t="str">
        <f t="shared" si="85"/>
        <v>Вторая четверть</v>
      </c>
      <c r="T664" t="str">
        <f t="shared" si="86"/>
        <v>Вторая четверть</v>
      </c>
      <c r="U664" t="str">
        <f t="shared" si="87"/>
        <v>код для проверки</v>
      </c>
      <c r="V664" t="str">
        <f t="shared" si="88"/>
        <v>Больше половины</v>
      </c>
      <c r="W664" t="str">
        <f t="shared" si="89"/>
        <v>Низшая четверть</v>
      </c>
      <c r="X664">
        <v>14</v>
      </c>
    </row>
    <row r="665" spans="1:24" x14ac:dyDescent="0.35">
      <c r="A665" s="1" t="s">
        <v>1224</v>
      </c>
      <c r="B665" s="2" t="s">
        <v>1225</v>
      </c>
      <c r="C665" s="3" t="s">
        <v>13</v>
      </c>
      <c r="D665" s="2" t="s">
        <v>85</v>
      </c>
      <c r="E665" s="3" t="s">
        <v>599</v>
      </c>
      <c r="F665" s="2" t="s">
        <v>34</v>
      </c>
      <c r="G665" s="3" t="s">
        <v>17</v>
      </c>
      <c r="H665" s="2" t="s">
        <v>18</v>
      </c>
      <c r="I665" s="3" t="s">
        <v>19</v>
      </c>
      <c r="J665" s="3">
        <v>3176</v>
      </c>
      <c r="K665" s="3">
        <v>321</v>
      </c>
      <c r="L665" s="3">
        <v>4</v>
      </c>
      <c r="M665" s="4">
        <f t="shared" si="83"/>
        <v>0.10107052896725441</v>
      </c>
      <c r="N665" s="4">
        <f t="shared" si="84"/>
        <v>1.2461059190031152E-2</v>
      </c>
      <c r="O665">
        <v>280</v>
      </c>
      <c r="P665" s="5">
        <v>1</v>
      </c>
      <c r="Q665" s="7">
        <v>1</v>
      </c>
      <c r="R665" t="str">
        <f t="shared" si="90"/>
        <v>нормальный код</v>
      </c>
      <c r="S665" t="str">
        <f t="shared" si="85"/>
        <v>Больше половины</v>
      </c>
      <c r="T665" t="str">
        <f t="shared" si="86"/>
        <v>Вторая четверть</v>
      </c>
      <c r="U665" t="str">
        <f t="shared" si="87"/>
        <v>код для проверки</v>
      </c>
      <c r="V665" t="str">
        <f t="shared" si="88"/>
        <v>Больше половины</v>
      </c>
      <c r="W665" t="str">
        <f t="shared" si="89"/>
        <v>Низшая четверть</v>
      </c>
      <c r="X665">
        <v>15</v>
      </c>
    </row>
    <row r="666" spans="1:24" x14ac:dyDescent="0.35">
      <c r="A666" s="1" t="s">
        <v>1123</v>
      </c>
      <c r="B666" s="2" t="s">
        <v>1124</v>
      </c>
      <c r="C666" s="3" t="s">
        <v>13</v>
      </c>
      <c r="D666" s="2" t="s">
        <v>77</v>
      </c>
      <c r="E666" s="3" t="s">
        <v>444</v>
      </c>
      <c r="F666" s="2" t="s">
        <v>96</v>
      </c>
      <c r="G666" s="3" t="s">
        <v>17</v>
      </c>
      <c r="H666" s="2" t="s">
        <v>18</v>
      </c>
      <c r="I666" s="3" t="s">
        <v>19</v>
      </c>
      <c r="J666" s="3">
        <v>3174</v>
      </c>
      <c r="K666" s="3">
        <v>1384</v>
      </c>
      <c r="L666" s="3">
        <v>3</v>
      </c>
      <c r="M666" s="4">
        <f t="shared" si="83"/>
        <v>0.4360428481411468</v>
      </c>
      <c r="N666" s="4">
        <f t="shared" si="84"/>
        <v>2.167630057803468E-3</v>
      </c>
      <c r="O666">
        <v>316</v>
      </c>
      <c r="P666" s="5">
        <v>1</v>
      </c>
      <c r="Q666" s="7">
        <v>1</v>
      </c>
      <c r="R666" t="str">
        <f t="shared" si="90"/>
        <v>код для проверки</v>
      </c>
      <c r="S666" t="str">
        <f t="shared" si="85"/>
        <v>Больше половины</v>
      </c>
      <c r="T666" t="str">
        <f t="shared" si="86"/>
        <v>Низшая четверть</v>
      </c>
      <c r="U666" t="str">
        <f t="shared" si="87"/>
        <v>код для проверки</v>
      </c>
      <c r="V666" t="str">
        <f t="shared" si="88"/>
        <v>Больше половины</v>
      </c>
      <c r="W666" t="str">
        <f t="shared" si="89"/>
        <v>Низшая четверть</v>
      </c>
      <c r="X666">
        <v>14</v>
      </c>
    </row>
    <row r="667" spans="1:24" x14ac:dyDescent="0.35">
      <c r="A667" s="1" t="s">
        <v>1282</v>
      </c>
      <c r="B667" s="2" t="s">
        <v>1283</v>
      </c>
      <c r="C667" s="3" t="s">
        <v>55</v>
      </c>
      <c r="D667" s="2" t="s">
        <v>56</v>
      </c>
      <c r="E667" s="3" t="s">
        <v>112</v>
      </c>
      <c r="F667" s="2" t="s">
        <v>34</v>
      </c>
      <c r="G667" s="3" t="s">
        <v>17</v>
      </c>
      <c r="H667" s="2" t="s">
        <v>18</v>
      </c>
      <c r="I667" s="3" t="s">
        <v>19</v>
      </c>
      <c r="J667" s="3">
        <v>3174</v>
      </c>
      <c r="K667" s="3">
        <v>384</v>
      </c>
      <c r="L667" s="3">
        <v>5</v>
      </c>
      <c r="M667" s="4">
        <f t="shared" si="83"/>
        <v>0.12098298676748583</v>
      </c>
      <c r="N667" s="4">
        <f t="shared" si="84"/>
        <v>1.3020833333333334E-2</v>
      </c>
      <c r="O667">
        <v>408</v>
      </c>
      <c r="P667" s="5">
        <v>1</v>
      </c>
      <c r="Q667" s="7">
        <v>1</v>
      </c>
      <c r="R667" t="str">
        <f t="shared" si="90"/>
        <v>нормальный код</v>
      </c>
      <c r="S667" t="str">
        <f t="shared" si="85"/>
        <v>Больше половины</v>
      </c>
      <c r="T667" t="str">
        <f t="shared" si="86"/>
        <v>Вторая четверть</v>
      </c>
      <c r="U667" t="str">
        <f t="shared" si="87"/>
        <v>нормальный код</v>
      </c>
      <c r="V667" t="str">
        <f t="shared" si="88"/>
        <v>Больше половины</v>
      </c>
      <c r="W667" t="str">
        <f t="shared" si="89"/>
        <v>Вторая четверть</v>
      </c>
      <c r="X667">
        <v>17</v>
      </c>
    </row>
    <row r="668" spans="1:24" x14ac:dyDescent="0.35">
      <c r="A668" s="1" t="s">
        <v>2373</v>
      </c>
      <c r="B668" s="2" t="s">
        <v>2374</v>
      </c>
      <c r="C668" s="3" t="s">
        <v>13</v>
      </c>
      <c r="D668" s="2" t="s">
        <v>38</v>
      </c>
      <c r="E668" s="3" t="s">
        <v>39</v>
      </c>
      <c r="F668" s="2" t="s">
        <v>34</v>
      </c>
      <c r="G668" s="3" t="s">
        <v>35</v>
      </c>
      <c r="H668" s="2" t="s">
        <v>18</v>
      </c>
      <c r="I668" s="3" t="s">
        <v>19</v>
      </c>
      <c r="J668" s="3">
        <v>3168</v>
      </c>
      <c r="K668" s="3">
        <v>156</v>
      </c>
      <c r="L668" s="3">
        <v>4</v>
      </c>
      <c r="M668" s="4">
        <f t="shared" si="83"/>
        <v>4.924242424242424E-2</v>
      </c>
      <c r="N668" s="4">
        <f t="shared" si="84"/>
        <v>2.564102564102564E-2</v>
      </c>
      <c r="O668">
        <v>276</v>
      </c>
      <c r="P668" s="5">
        <v>1</v>
      </c>
      <c r="Q668" s="7">
        <v>1</v>
      </c>
      <c r="R668" t="str">
        <f t="shared" si="90"/>
        <v>нормальный код</v>
      </c>
      <c r="S668" t="str">
        <f t="shared" si="85"/>
        <v>Вторая четверть</v>
      </c>
      <c r="T668" t="str">
        <f t="shared" si="86"/>
        <v>Больше половины</v>
      </c>
      <c r="U668" t="str">
        <f t="shared" si="87"/>
        <v>нормальный код</v>
      </c>
      <c r="V668" t="str">
        <f t="shared" si="88"/>
        <v>Вторая четверть</v>
      </c>
      <c r="W668" t="str">
        <f t="shared" si="89"/>
        <v>Вторая четверть</v>
      </c>
      <c r="X668">
        <v>11</v>
      </c>
    </row>
    <row r="669" spans="1:24" x14ac:dyDescent="0.35">
      <c r="A669" s="1" t="s">
        <v>2401</v>
      </c>
      <c r="B669" s="2" t="s">
        <v>2402</v>
      </c>
      <c r="C669" s="3" t="s">
        <v>13</v>
      </c>
      <c r="D669" s="2" t="s">
        <v>104</v>
      </c>
      <c r="E669" s="3" t="s">
        <v>424</v>
      </c>
      <c r="F669" s="2" t="s">
        <v>34</v>
      </c>
      <c r="G669" s="3" t="s">
        <v>17</v>
      </c>
      <c r="H669" s="2" t="s">
        <v>18</v>
      </c>
      <c r="I669" s="3" t="s">
        <v>19</v>
      </c>
      <c r="J669" s="3">
        <v>3165</v>
      </c>
      <c r="K669" s="3">
        <v>315</v>
      </c>
      <c r="L669" s="3">
        <v>12</v>
      </c>
      <c r="M669" s="4">
        <f t="shared" si="83"/>
        <v>9.9526066350710901E-2</v>
      </c>
      <c r="N669" s="4">
        <f t="shared" si="84"/>
        <v>3.8095238095238099E-2</v>
      </c>
      <c r="O669">
        <v>839</v>
      </c>
      <c r="P669" s="5">
        <v>1</v>
      </c>
      <c r="Q669" s="7">
        <v>1</v>
      </c>
      <c r="R669" t="str">
        <f t="shared" si="90"/>
        <v>нормальный код</v>
      </c>
      <c r="S669" t="str">
        <f t="shared" si="85"/>
        <v>Больше половины</v>
      </c>
      <c r="T669" t="str">
        <f t="shared" si="86"/>
        <v>Больше половины</v>
      </c>
      <c r="U669" t="str">
        <f t="shared" si="87"/>
        <v>нормальный код</v>
      </c>
      <c r="V669" t="str">
        <f t="shared" si="88"/>
        <v>Больше половины</v>
      </c>
      <c r="W669" t="str">
        <f t="shared" si="89"/>
        <v>Больше половины</v>
      </c>
      <c r="X669">
        <v>19</v>
      </c>
    </row>
    <row r="670" spans="1:24" x14ac:dyDescent="0.35">
      <c r="A670" s="1" t="s">
        <v>681</v>
      </c>
      <c r="B670" s="2" t="s">
        <v>682</v>
      </c>
      <c r="C670" s="3" t="s">
        <v>55</v>
      </c>
      <c r="D670" s="2" t="s">
        <v>94</v>
      </c>
      <c r="E670" s="3" t="s">
        <v>95</v>
      </c>
      <c r="F670" s="2" t="s">
        <v>96</v>
      </c>
      <c r="G670" s="3" t="s">
        <v>17</v>
      </c>
      <c r="H670" s="2" t="s">
        <v>97</v>
      </c>
      <c r="I670" s="3" t="s">
        <v>19</v>
      </c>
      <c r="J670" s="3">
        <v>3163</v>
      </c>
      <c r="K670" s="3">
        <v>1565</v>
      </c>
      <c r="L670" s="3">
        <v>4</v>
      </c>
      <c r="M670" s="4">
        <f t="shared" si="83"/>
        <v>0.49478343344925702</v>
      </c>
      <c r="N670" s="4">
        <f t="shared" si="84"/>
        <v>2.5559105431309905E-3</v>
      </c>
      <c r="O670">
        <v>3553</v>
      </c>
      <c r="P670" s="5">
        <v>0.66666666666666663</v>
      </c>
      <c r="Q670" s="7">
        <v>1</v>
      </c>
      <c r="R670" t="str">
        <f t="shared" si="90"/>
        <v>код для проверки</v>
      </c>
      <c r="S670" t="str">
        <f t="shared" si="85"/>
        <v>Больше половины</v>
      </c>
      <c r="T670" t="str">
        <f t="shared" si="86"/>
        <v>Низшая четверть</v>
      </c>
      <c r="U670" t="str">
        <f t="shared" si="87"/>
        <v>код для проверки</v>
      </c>
      <c r="V670" t="str">
        <f t="shared" si="88"/>
        <v>Больше половины</v>
      </c>
      <c r="W670" t="str">
        <f t="shared" si="89"/>
        <v>Низшая четверть</v>
      </c>
      <c r="X670">
        <v>21</v>
      </c>
    </row>
    <row r="671" spans="1:24" x14ac:dyDescent="0.35">
      <c r="A671" s="1" t="s">
        <v>926</v>
      </c>
      <c r="B671" s="2" t="s">
        <v>927</v>
      </c>
      <c r="C671" s="3" t="s">
        <v>13</v>
      </c>
      <c r="D671" s="2" t="s">
        <v>77</v>
      </c>
      <c r="E671" s="3" t="s">
        <v>89</v>
      </c>
      <c r="F671" s="2" t="s">
        <v>34</v>
      </c>
      <c r="G671" s="3" t="s">
        <v>35</v>
      </c>
      <c r="H671" s="2" t="s">
        <v>18</v>
      </c>
      <c r="I671" s="3" t="s">
        <v>19</v>
      </c>
      <c r="J671" s="3">
        <v>3109</v>
      </c>
      <c r="K671" s="3">
        <v>339</v>
      </c>
      <c r="L671" s="3">
        <v>11</v>
      </c>
      <c r="M671" s="4">
        <f t="shared" si="83"/>
        <v>0.10903827597298167</v>
      </c>
      <c r="N671" s="4">
        <f t="shared" si="84"/>
        <v>3.2448377581120944E-2</v>
      </c>
      <c r="O671">
        <v>162</v>
      </c>
      <c r="P671" s="5">
        <v>1</v>
      </c>
      <c r="Q671" s="7">
        <v>1</v>
      </c>
      <c r="R671" t="str">
        <f t="shared" si="90"/>
        <v>нормальный код</v>
      </c>
      <c r="S671" t="str">
        <f t="shared" si="85"/>
        <v>Больше половины</v>
      </c>
      <c r="T671" t="str">
        <f t="shared" si="86"/>
        <v>Больше половины</v>
      </c>
      <c r="U671" t="str">
        <f t="shared" si="87"/>
        <v>нормальный код</v>
      </c>
      <c r="V671" t="str">
        <f t="shared" si="88"/>
        <v>Больше половины</v>
      </c>
      <c r="W671" t="str">
        <f t="shared" si="89"/>
        <v>Больше половины</v>
      </c>
      <c r="X671">
        <v>12</v>
      </c>
    </row>
    <row r="672" spans="1:24" x14ac:dyDescent="0.35">
      <c r="A672" s="1" t="s">
        <v>1412</v>
      </c>
      <c r="B672" s="2" t="s">
        <v>1413</v>
      </c>
      <c r="C672" s="3" t="s">
        <v>55</v>
      </c>
      <c r="D672" s="2" t="s">
        <v>985</v>
      </c>
      <c r="E672" s="3" t="s">
        <v>986</v>
      </c>
      <c r="F672" s="2" t="s">
        <v>34</v>
      </c>
      <c r="G672" s="3" t="s">
        <v>17</v>
      </c>
      <c r="H672" s="2" t="s">
        <v>18</v>
      </c>
      <c r="I672" s="3" t="s">
        <v>19</v>
      </c>
      <c r="J672" s="3">
        <v>3102</v>
      </c>
      <c r="K672" s="3">
        <v>186</v>
      </c>
      <c r="L672" s="3">
        <v>6</v>
      </c>
      <c r="M672" s="4">
        <f t="shared" si="83"/>
        <v>5.9961315280464215E-2</v>
      </c>
      <c r="N672" s="4">
        <f t="shared" si="84"/>
        <v>3.2258064516129031E-2</v>
      </c>
      <c r="O672">
        <v>557</v>
      </c>
      <c r="P672" s="5">
        <v>1</v>
      </c>
      <c r="Q672" s="7">
        <v>1</v>
      </c>
      <c r="R672" t="str">
        <f t="shared" si="90"/>
        <v>нормальный код</v>
      </c>
      <c r="S672" t="str">
        <f t="shared" si="85"/>
        <v>Вторая четверть</v>
      </c>
      <c r="T672" t="str">
        <f t="shared" si="86"/>
        <v>Больше половины</v>
      </c>
      <c r="U672" t="str">
        <f t="shared" si="87"/>
        <v>нормальный код</v>
      </c>
      <c r="V672" t="str">
        <f t="shared" si="88"/>
        <v>Больше половины</v>
      </c>
      <c r="W672" t="str">
        <f t="shared" si="89"/>
        <v>Вторая четверть</v>
      </c>
      <c r="X672">
        <v>9</v>
      </c>
    </row>
    <row r="673" spans="1:24" x14ac:dyDescent="0.35">
      <c r="A673" s="1" t="s">
        <v>1082</v>
      </c>
      <c r="B673" s="2" t="s">
        <v>1083</v>
      </c>
      <c r="C673" s="3" t="s">
        <v>13</v>
      </c>
      <c r="D673" s="2" t="s">
        <v>77</v>
      </c>
      <c r="E673" s="3" t="s">
        <v>427</v>
      </c>
      <c r="F673" s="2" t="s">
        <v>71</v>
      </c>
      <c r="G673" s="3" t="s">
        <v>35</v>
      </c>
      <c r="H673" s="2" t="s">
        <v>18</v>
      </c>
      <c r="I673" s="3" t="s">
        <v>19</v>
      </c>
      <c r="J673" s="3">
        <v>3094</v>
      </c>
      <c r="K673" s="3">
        <v>353</v>
      </c>
      <c r="L673" s="3">
        <v>2</v>
      </c>
      <c r="M673" s="4">
        <f t="shared" si="83"/>
        <v>0.11409179056237879</v>
      </c>
      <c r="N673" s="4">
        <f t="shared" si="84"/>
        <v>5.6657223796033997E-3</v>
      </c>
      <c r="O673">
        <v>102</v>
      </c>
      <c r="P673" s="5">
        <v>1</v>
      </c>
      <c r="Q673" s="7">
        <v>1</v>
      </c>
      <c r="R673" t="str">
        <f t="shared" si="90"/>
        <v>код для проверки</v>
      </c>
      <c r="S673" t="str">
        <f t="shared" si="85"/>
        <v>Больше половины</v>
      </c>
      <c r="T673" t="str">
        <f t="shared" si="86"/>
        <v>Низшая четверть</v>
      </c>
      <c r="U673" t="str">
        <f t="shared" si="87"/>
        <v>нормальный код</v>
      </c>
      <c r="V673" t="str">
        <f t="shared" si="88"/>
        <v>Больше половины</v>
      </c>
      <c r="W673" t="str">
        <f t="shared" si="89"/>
        <v>Вторая четверть</v>
      </c>
      <c r="X673">
        <v>19</v>
      </c>
    </row>
    <row r="674" spans="1:24" x14ac:dyDescent="0.35">
      <c r="A674" s="1" t="s">
        <v>1660</v>
      </c>
      <c r="B674" s="2" t="s">
        <v>1661</v>
      </c>
      <c r="C674" s="3" t="s">
        <v>55</v>
      </c>
      <c r="D674" s="2" t="s">
        <v>94</v>
      </c>
      <c r="E674" s="3" t="s">
        <v>812</v>
      </c>
      <c r="F674" s="2" t="s">
        <v>96</v>
      </c>
      <c r="G674" s="3" t="s">
        <v>17</v>
      </c>
      <c r="H674" s="2" t="s">
        <v>18</v>
      </c>
      <c r="I674" s="3" t="s">
        <v>19</v>
      </c>
      <c r="J674" s="3">
        <v>3091</v>
      </c>
      <c r="K674" s="3">
        <v>528</v>
      </c>
      <c r="L674" s="3">
        <v>21</v>
      </c>
      <c r="M674" s="4">
        <f t="shared" si="83"/>
        <v>0.1708185053380783</v>
      </c>
      <c r="N674" s="4">
        <f t="shared" si="84"/>
        <v>3.9772727272727272E-2</v>
      </c>
      <c r="O674">
        <v>878</v>
      </c>
      <c r="P674" s="5">
        <v>1</v>
      </c>
      <c r="Q674" s="7">
        <v>1</v>
      </c>
      <c r="R674" t="str">
        <f t="shared" si="90"/>
        <v>нормальный код</v>
      </c>
      <c r="S674" t="str">
        <f t="shared" si="85"/>
        <v>Больше половины</v>
      </c>
      <c r="T674" t="str">
        <f t="shared" si="86"/>
        <v>Больше половины</v>
      </c>
      <c r="U674" t="str">
        <f t="shared" si="87"/>
        <v>нормальный код</v>
      </c>
      <c r="V674" t="str">
        <f t="shared" si="88"/>
        <v>Больше половины</v>
      </c>
      <c r="W674" t="str">
        <f t="shared" si="89"/>
        <v>Больше половины</v>
      </c>
      <c r="X674">
        <v>7</v>
      </c>
    </row>
    <row r="675" spans="1:24" x14ac:dyDescent="0.35">
      <c r="A675" s="1" t="s">
        <v>817</v>
      </c>
      <c r="B675" s="2" t="s">
        <v>818</v>
      </c>
      <c r="C675" s="3" t="s">
        <v>13</v>
      </c>
      <c r="D675" s="2" t="s">
        <v>155</v>
      </c>
      <c r="E675" s="3" t="s">
        <v>156</v>
      </c>
      <c r="F675" s="2" t="s">
        <v>34</v>
      </c>
      <c r="G675" s="3" t="s">
        <v>17</v>
      </c>
      <c r="H675" s="2" t="s">
        <v>18</v>
      </c>
      <c r="I675" s="3" t="s">
        <v>19</v>
      </c>
      <c r="J675" s="3">
        <v>3086</v>
      </c>
      <c r="K675" s="3">
        <v>585</v>
      </c>
      <c r="L675" s="3">
        <v>4</v>
      </c>
      <c r="M675" s="4">
        <f t="shared" si="83"/>
        <v>0.18956578094620868</v>
      </c>
      <c r="N675" s="4">
        <f t="shared" si="84"/>
        <v>6.8376068376068376E-3</v>
      </c>
      <c r="O675">
        <v>85</v>
      </c>
      <c r="P675" s="5">
        <v>1</v>
      </c>
      <c r="Q675" s="7">
        <v>1</v>
      </c>
      <c r="R675" t="str">
        <f t="shared" si="90"/>
        <v>код для проверки</v>
      </c>
      <c r="S675" t="str">
        <f t="shared" si="85"/>
        <v>Больше половины</v>
      </c>
      <c r="T675" t="str">
        <f t="shared" si="86"/>
        <v>Низшая четверть</v>
      </c>
      <c r="U675" t="str">
        <f t="shared" si="87"/>
        <v>код для проверки</v>
      </c>
      <c r="V675" t="str">
        <f t="shared" si="88"/>
        <v>Больше половины</v>
      </c>
      <c r="W675" t="str">
        <f t="shared" si="89"/>
        <v>Низшая четверть</v>
      </c>
      <c r="X675">
        <v>10</v>
      </c>
    </row>
    <row r="676" spans="1:24" x14ac:dyDescent="0.35">
      <c r="A676" s="1" t="s">
        <v>2217</v>
      </c>
      <c r="B676" s="2" t="s">
        <v>2218</v>
      </c>
      <c r="C676" s="3" t="s">
        <v>13</v>
      </c>
      <c r="D676" s="2" t="s">
        <v>69</v>
      </c>
      <c r="E676" s="3" t="s">
        <v>2219</v>
      </c>
      <c r="F676" s="2" t="s">
        <v>34</v>
      </c>
      <c r="G676" s="3" t="s">
        <v>72</v>
      </c>
      <c r="H676" s="2" t="s">
        <v>18</v>
      </c>
      <c r="I676" s="3" t="s">
        <v>19</v>
      </c>
      <c r="J676" s="3">
        <v>3079</v>
      </c>
      <c r="K676" s="3">
        <v>274</v>
      </c>
      <c r="L676" s="3">
        <v>15</v>
      </c>
      <c r="M676" s="4">
        <f t="shared" si="83"/>
        <v>8.8989931796037675E-2</v>
      </c>
      <c r="N676" s="4">
        <f t="shared" si="84"/>
        <v>5.4744525547445258E-2</v>
      </c>
      <c r="O676">
        <v>109</v>
      </c>
      <c r="P676" s="5">
        <v>1</v>
      </c>
      <c r="Q676" s="7">
        <v>1</v>
      </c>
      <c r="R676" t="str">
        <f t="shared" si="90"/>
        <v>нормальный код</v>
      </c>
      <c r="S676" t="str">
        <f t="shared" si="85"/>
        <v>Вторая четверть</v>
      </c>
      <c r="T676" t="str">
        <f t="shared" si="86"/>
        <v>Больше половины</v>
      </c>
      <c r="U676" t="str">
        <f t="shared" si="87"/>
        <v>нормальный код</v>
      </c>
      <c r="V676" t="str">
        <f t="shared" si="88"/>
        <v>Больше половины</v>
      </c>
      <c r="W676" t="str">
        <f t="shared" si="89"/>
        <v>Больше половины</v>
      </c>
      <c r="X676">
        <v>9</v>
      </c>
    </row>
    <row r="677" spans="1:24" x14ac:dyDescent="0.35">
      <c r="A677" s="1" t="s">
        <v>1588</v>
      </c>
      <c r="B677" s="2" t="s">
        <v>1589</v>
      </c>
      <c r="C677" s="3" t="s">
        <v>13</v>
      </c>
      <c r="D677" s="2" t="s">
        <v>85</v>
      </c>
      <c r="E677" s="3" t="s">
        <v>599</v>
      </c>
      <c r="F677" s="2" t="s">
        <v>34</v>
      </c>
      <c r="G677" s="3" t="s">
        <v>17</v>
      </c>
      <c r="H677" s="2" t="s">
        <v>18</v>
      </c>
      <c r="I677" s="3" t="s">
        <v>19</v>
      </c>
      <c r="J677" s="3">
        <v>3078</v>
      </c>
      <c r="K677" s="3">
        <v>299</v>
      </c>
      <c r="L677" s="3">
        <v>4</v>
      </c>
      <c r="M677" s="4">
        <f t="shared" si="83"/>
        <v>9.7141000649772574E-2</v>
      </c>
      <c r="N677" s="4">
        <f t="shared" si="84"/>
        <v>1.3377926421404682E-2</v>
      </c>
      <c r="O677">
        <v>648</v>
      </c>
      <c r="P677" s="5">
        <v>1</v>
      </c>
      <c r="Q677" s="7">
        <v>1</v>
      </c>
      <c r="R677" t="str">
        <f t="shared" si="90"/>
        <v>нормальный код</v>
      </c>
      <c r="S677" t="str">
        <f t="shared" si="85"/>
        <v>Больше половины</v>
      </c>
      <c r="T677" t="str">
        <f t="shared" si="86"/>
        <v>Вторая четверть</v>
      </c>
      <c r="U677" t="str">
        <f t="shared" si="87"/>
        <v>код для проверки</v>
      </c>
      <c r="V677" t="str">
        <f t="shared" si="88"/>
        <v>Больше половины</v>
      </c>
      <c r="W677" t="str">
        <f t="shared" si="89"/>
        <v>Низшая четверть</v>
      </c>
      <c r="X677">
        <v>19</v>
      </c>
    </row>
    <row r="678" spans="1:24" x14ac:dyDescent="0.35">
      <c r="A678" s="1" t="s">
        <v>1722</v>
      </c>
      <c r="B678" s="2" t="s">
        <v>1723</v>
      </c>
      <c r="C678" s="3" t="s">
        <v>55</v>
      </c>
      <c r="D678" s="2" t="s">
        <v>94</v>
      </c>
      <c r="E678" s="3" t="s">
        <v>95</v>
      </c>
      <c r="F678" s="2" t="s">
        <v>96</v>
      </c>
      <c r="G678" s="3" t="s">
        <v>17</v>
      </c>
      <c r="H678" s="2" t="s">
        <v>97</v>
      </c>
      <c r="I678" s="3" t="s">
        <v>19</v>
      </c>
      <c r="J678" s="3">
        <v>3061</v>
      </c>
      <c r="K678" s="3">
        <v>4449</v>
      </c>
      <c r="L678" s="3">
        <v>10</v>
      </c>
      <c r="M678" s="4">
        <f t="shared" si="83"/>
        <v>1.4534465860829795</v>
      </c>
      <c r="N678" s="4">
        <f t="shared" si="84"/>
        <v>2.2476961114857273E-3</v>
      </c>
      <c r="O678">
        <v>1027</v>
      </c>
      <c r="P678" s="5">
        <v>0.55555555555555558</v>
      </c>
      <c r="Q678" s="7">
        <v>1</v>
      </c>
      <c r="R678" t="str">
        <f t="shared" si="90"/>
        <v>код для проверки</v>
      </c>
      <c r="S678" t="str">
        <f t="shared" si="85"/>
        <v>Больше половины</v>
      </c>
      <c r="T678" t="str">
        <f t="shared" si="86"/>
        <v>Низшая четверть</v>
      </c>
      <c r="U678" t="str">
        <f t="shared" si="87"/>
        <v>код для проверки</v>
      </c>
      <c r="V678" t="str">
        <f t="shared" si="88"/>
        <v>Больше половины</v>
      </c>
      <c r="W678" t="str">
        <f t="shared" si="89"/>
        <v>Низшая четверть</v>
      </c>
      <c r="X678">
        <v>24</v>
      </c>
    </row>
    <row r="679" spans="1:24" x14ac:dyDescent="0.35">
      <c r="A679" s="1" t="s">
        <v>460</v>
      </c>
      <c r="B679" s="2" t="s">
        <v>461</v>
      </c>
      <c r="C679" s="3" t="s">
        <v>13</v>
      </c>
      <c r="D679" s="2" t="s">
        <v>155</v>
      </c>
      <c r="E679" s="3" t="s">
        <v>244</v>
      </c>
      <c r="F679" s="2" t="s">
        <v>34</v>
      </c>
      <c r="G679" s="3" t="s">
        <v>17</v>
      </c>
      <c r="H679" s="2" t="s">
        <v>18</v>
      </c>
      <c r="I679" s="3" t="s">
        <v>19</v>
      </c>
      <c r="J679" s="3">
        <v>3060</v>
      </c>
      <c r="K679" s="3">
        <v>480</v>
      </c>
      <c r="L679" s="3">
        <v>3</v>
      </c>
      <c r="M679" s="4">
        <f t="shared" si="83"/>
        <v>0.15686274509803921</v>
      </c>
      <c r="N679" s="4">
        <f t="shared" si="84"/>
        <v>6.2500000000000003E-3</v>
      </c>
      <c r="O679">
        <v>503</v>
      </c>
      <c r="P679" s="5">
        <v>1</v>
      </c>
      <c r="Q679" s="7">
        <v>1</v>
      </c>
      <c r="R679" t="str">
        <f t="shared" si="90"/>
        <v>код для проверки</v>
      </c>
      <c r="S679" t="str">
        <f t="shared" si="85"/>
        <v>Больше половины</v>
      </c>
      <c r="T679" t="str">
        <f t="shared" si="86"/>
        <v>Низшая четверть</v>
      </c>
      <c r="U679" t="str">
        <f t="shared" si="87"/>
        <v>нормальный код</v>
      </c>
      <c r="V679" t="str">
        <f t="shared" si="88"/>
        <v>Больше половины</v>
      </c>
      <c r="W679" t="str">
        <f t="shared" si="89"/>
        <v>Вторая четверть</v>
      </c>
      <c r="X679">
        <v>13</v>
      </c>
    </row>
    <row r="680" spans="1:24" x14ac:dyDescent="0.35">
      <c r="A680" s="1" t="s">
        <v>1726</v>
      </c>
      <c r="B680" s="2" t="s">
        <v>1727</v>
      </c>
      <c r="C680" s="3" t="s">
        <v>55</v>
      </c>
      <c r="D680" s="2" t="s">
        <v>94</v>
      </c>
      <c r="E680" s="3" t="s">
        <v>95</v>
      </c>
      <c r="F680" s="2" t="s">
        <v>96</v>
      </c>
      <c r="G680" s="3" t="s">
        <v>17</v>
      </c>
      <c r="H680" s="2" t="s">
        <v>97</v>
      </c>
      <c r="I680" s="3" t="s">
        <v>19</v>
      </c>
      <c r="J680" s="3">
        <v>3052</v>
      </c>
      <c r="K680" s="3">
        <v>2075</v>
      </c>
      <c r="L680" s="3">
        <v>6</v>
      </c>
      <c r="M680" s="4">
        <f t="shared" si="83"/>
        <v>0.67988204456094359</v>
      </c>
      <c r="N680" s="4">
        <f t="shared" si="84"/>
        <v>2.891566265060241E-3</v>
      </c>
      <c r="O680">
        <v>2989</v>
      </c>
      <c r="P680" s="5">
        <v>0.77777777777777779</v>
      </c>
      <c r="Q680" s="7">
        <v>1</v>
      </c>
      <c r="R680" t="str">
        <f t="shared" si="90"/>
        <v>код для проверки</v>
      </c>
      <c r="S680" t="str">
        <f t="shared" si="85"/>
        <v>Больше половины</v>
      </c>
      <c r="T680" t="str">
        <f t="shared" si="86"/>
        <v>Низшая четверть</v>
      </c>
      <c r="U680" t="str">
        <f t="shared" si="87"/>
        <v>код для проверки</v>
      </c>
      <c r="V680" t="str">
        <f t="shared" si="88"/>
        <v>Больше половины</v>
      </c>
      <c r="W680" t="str">
        <f t="shared" si="89"/>
        <v>Низшая четверть</v>
      </c>
      <c r="X680">
        <v>24</v>
      </c>
    </row>
    <row r="681" spans="1:24" x14ac:dyDescent="0.35">
      <c r="A681" s="1" t="s">
        <v>1938</v>
      </c>
      <c r="B681" s="2" t="s">
        <v>1939</v>
      </c>
      <c r="C681" s="3" t="s">
        <v>13</v>
      </c>
      <c r="D681" s="2" t="s">
        <v>69</v>
      </c>
      <c r="E681" s="3" t="s">
        <v>290</v>
      </c>
      <c r="F681" s="2" t="s">
        <v>34</v>
      </c>
      <c r="G681" s="3" t="s">
        <v>72</v>
      </c>
      <c r="H681" s="2" t="s">
        <v>18</v>
      </c>
      <c r="I681" s="3" t="s">
        <v>19</v>
      </c>
      <c r="J681" s="3">
        <v>3051</v>
      </c>
      <c r="K681" s="3">
        <v>720</v>
      </c>
      <c r="L681" s="3">
        <v>9</v>
      </c>
      <c r="M681" s="4">
        <f t="shared" si="83"/>
        <v>0.2359882005899705</v>
      </c>
      <c r="N681" s="4">
        <f t="shared" si="84"/>
        <v>1.2500000000000001E-2</v>
      </c>
      <c r="O681">
        <v>5</v>
      </c>
      <c r="P681" s="5">
        <v>0.8</v>
      </c>
      <c r="Q681" s="7">
        <v>0</v>
      </c>
      <c r="R681" t="s">
        <v>2350</v>
      </c>
      <c r="S681" t="str">
        <f t="shared" si="85"/>
        <v>Больше половины</v>
      </c>
      <c r="T681" t="str">
        <f t="shared" si="86"/>
        <v>Вторая четверть</v>
      </c>
      <c r="U681" t="str">
        <f t="shared" si="87"/>
        <v>нормальный код</v>
      </c>
      <c r="V681" t="str">
        <f t="shared" si="88"/>
        <v>Больше половины</v>
      </c>
      <c r="W681" t="str">
        <f t="shared" si="89"/>
        <v>Вторая четверть</v>
      </c>
      <c r="X681">
        <v>18</v>
      </c>
    </row>
    <row r="682" spans="1:24" x14ac:dyDescent="0.35">
      <c r="A682" s="1" t="s">
        <v>871</v>
      </c>
      <c r="B682" s="2" t="s">
        <v>872</v>
      </c>
      <c r="C682" s="3" t="s">
        <v>13</v>
      </c>
      <c r="D682" s="2" t="s">
        <v>121</v>
      </c>
      <c r="E682" s="3" t="s">
        <v>650</v>
      </c>
      <c r="F682" s="2" t="s">
        <v>71</v>
      </c>
      <c r="G682" s="3" t="s">
        <v>17</v>
      </c>
      <c r="H682" s="2" t="s">
        <v>18</v>
      </c>
      <c r="I682" s="3" t="s">
        <v>19</v>
      </c>
      <c r="J682" s="3">
        <v>3026</v>
      </c>
      <c r="K682" s="3">
        <v>330</v>
      </c>
      <c r="L682" s="3">
        <v>7</v>
      </c>
      <c r="M682" s="4">
        <f t="shared" si="83"/>
        <v>0.10905485789821547</v>
      </c>
      <c r="N682" s="4">
        <f t="shared" si="84"/>
        <v>2.1212121212121213E-2</v>
      </c>
      <c r="O682">
        <v>377</v>
      </c>
      <c r="P682" s="5">
        <v>1</v>
      </c>
      <c r="Q682" s="7">
        <v>1</v>
      </c>
      <c r="R682" t="str">
        <f t="shared" ref="R682:R690" si="91">IF(OR(M682&lt;$S$1*0.5,N682&lt;$T$1*0.5),"код для проверки","нормальный код")</f>
        <v>нормальный код</v>
      </c>
      <c r="S682" t="str">
        <f t="shared" si="85"/>
        <v>Больше половины</v>
      </c>
      <c r="T682" t="str">
        <f t="shared" si="86"/>
        <v>Больше половины</v>
      </c>
      <c r="U682" t="str">
        <f t="shared" si="87"/>
        <v>нормальный код</v>
      </c>
      <c r="V682" t="str">
        <f t="shared" si="88"/>
        <v>Вторая четверть</v>
      </c>
      <c r="W682" t="str">
        <f t="shared" si="89"/>
        <v>Больше половины</v>
      </c>
      <c r="X682">
        <v>10</v>
      </c>
    </row>
    <row r="683" spans="1:24" x14ac:dyDescent="0.35">
      <c r="A683" s="1" t="s">
        <v>170</v>
      </c>
      <c r="B683" s="2" t="s">
        <v>171</v>
      </c>
      <c r="C683" s="3" t="s">
        <v>13</v>
      </c>
      <c r="D683" s="2" t="s">
        <v>77</v>
      </c>
      <c r="E683" s="3" t="s">
        <v>172</v>
      </c>
      <c r="F683" s="2" t="s">
        <v>34</v>
      </c>
      <c r="G683" s="3" t="s">
        <v>17</v>
      </c>
      <c r="H683" s="2" t="s">
        <v>18</v>
      </c>
      <c r="I683" s="3" t="s">
        <v>19</v>
      </c>
      <c r="J683" s="3">
        <v>3023</v>
      </c>
      <c r="K683" s="3">
        <v>721</v>
      </c>
      <c r="L683" s="3">
        <v>3</v>
      </c>
      <c r="M683" s="4">
        <f t="shared" si="83"/>
        <v>0.23850479655970891</v>
      </c>
      <c r="N683" s="4">
        <f t="shared" si="84"/>
        <v>4.160887656033287E-3</v>
      </c>
      <c r="O683">
        <v>490</v>
      </c>
      <c r="P683" s="5">
        <v>1</v>
      </c>
      <c r="Q683" s="7">
        <v>1</v>
      </c>
      <c r="R683" t="str">
        <f t="shared" si="91"/>
        <v>код для проверки</v>
      </c>
      <c r="S683" t="str">
        <f t="shared" si="85"/>
        <v>Больше половины</v>
      </c>
      <c r="T683" t="str">
        <f t="shared" si="86"/>
        <v>Низшая четверть</v>
      </c>
      <c r="U683" t="str">
        <f t="shared" si="87"/>
        <v>код для проверки</v>
      </c>
      <c r="V683" t="str">
        <f t="shared" si="88"/>
        <v>Больше половины</v>
      </c>
      <c r="W683" t="str">
        <f t="shared" si="89"/>
        <v>Низшая четверть</v>
      </c>
      <c r="X683">
        <v>16</v>
      </c>
    </row>
    <row r="684" spans="1:24" x14ac:dyDescent="0.35">
      <c r="A684" s="1" t="s">
        <v>716</v>
      </c>
      <c r="B684" s="2" t="s">
        <v>717</v>
      </c>
      <c r="C684" s="3" t="s">
        <v>13</v>
      </c>
      <c r="D684" s="2" t="s">
        <v>121</v>
      </c>
      <c r="E684" s="3" t="s">
        <v>122</v>
      </c>
      <c r="F684" s="2" t="s">
        <v>123</v>
      </c>
      <c r="G684" s="3" t="s">
        <v>17</v>
      </c>
      <c r="H684" s="2" t="s">
        <v>18</v>
      </c>
      <c r="I684" s="3" t="s">
        <v>19</v>
      </c>
      <c r="J684" s="3">
        <v>3009</v>
      </c>
      <c r="K684" s="3">
        <v>200</v>
      </c>
      <c r="L684" s="3">
        <v>7</v>
      </c>
      <c r="M684" s="4">
        <f t="shared" si="83"/>
        <v>6.6467264872050513E-2</v>
      </c>
      <c r="N684" s="4">
        <f t="shared" si="84"/>
        <v>3.5000000000000003E-2</v>
      </c>
      <c r="O684">
        <v>133</v>
      </c>
      <c r="P684" s="5">
        <v>0.8</v>
      </c>
      <c r="Q684" s="7">
        <v>1</v>
      </c>
      <c r="R684" t="str">
        <f t="shared" si="91"/>
        <v>нормальный код</v>
      </c>
      <c r="S684" t="str">
        <f t="shared" si="85"/>
        <v>Вторая четверть</v>
      </c>
      <c r="T684" t="str">
        <f t="shared" si="86"/>
        <v>Больше половины</v>
      </c>
      <c r="U684" t="str">
        <f t="shared" si="87"/>
        <v>нормальный код</v>
      </c>
      <c r="V684" t="str">
        <f t="shared" si="88"/>
        <v>Вторая четверть</v>
      </c>
      <c r="W684" t="str">
        <f t="shared" si="89"/>
        <v>Больше половины</v>
      </c>
      <c r="X684">
        <v>16</v>
      </c>
    </row>
    <row r="685" spans="1:24" x14ac:dyDescent="0.35">
      <c r="A685" s="1" t="s">
        <v>2297</v>
      </c>
      <c r="B685" s="2" t="s">
        <v>2298</v>
      </c>
      <c r="C685" s="3" t="s">
        <v>13</v>
      </c>
      <c r="D685" s="2" t="s">
        <v>155</v>
      </c>
      <c r="E685" s="3" t="s">
        <v>156</v>
      </c>
      <c r="F685" s="2" t="s">
        <v>34</v>
      </c>
      <c r="G685" s="3" t="s">
        <v>35</v>
      </c>
      <c r="H685" s="2" t="s">
        <v>18</v>
      </c>
      <c r="I685" s="3" t="s">
        <v>19</v>
      </c>
      <c r="J685" s="3">
        <v>3007</v>
      </c>
      <c r="K685" s="3">
        <v>427</v>
      </c>
      <c r="L685" s="3">
        <v>4</v>
      </c>
      <c r="M685" s="4">
        <f t="shared" si="83"/>
        <v>0.14200199534419689</v>
      </c>
      <c r="N685" s="4">
        <f t="shared" si="84"/>
        <v>9.3676814988290398E-3</v>
      </c>
      <c r="O685">
        <v>690</v>
      </c>
      <c r="P685" s="5">
        <v>1</v>
      </c>
      <c r="Q685" s="7">
        <v>1</v>
      </c>
      <c r="R685" t="str">
        <f t="shared" si="91"/>
        <v>код для проверки</v>
      </c>
      <c r="S685" t="str">
        <f t="shared" si="85"/>
        <v>Больше половины</v>
      </c>
      <c r="T685" t="str">
        <f t="shared" si="86"/>
        <v>Низшая четверть</v>
      </c>
      <c r="U685" t="str">
        <f t="shared" si="87"/>
        <v>нормальный код</v>
      </c>
      <c r="V685" t="str">
        <f t="shared" si="88"/>
        <v>Больше половины</v>
      </c>
      <c r="W685" t="str">
        <f t="shared" si="89"/>
        <v>Вторая четверть</v>
      </c>
      <c r="X685">
        <v>15</v>
      </c>
    </row>
    <row r="686" spans="1:24" x14ac:dyDescent="0.35">
      <c r="A686" s="1" t="s">
        <v>1854</v>
      </c>
      <c r="B686" s="2" t="s">
        <v>1855</v>
      </c>
      <c r="C686" s="3" t="s">
        <v>13</v>
      </c>
      <c r="D686" s="2" t="s">
        <v>630</v>
      </c>
      <c r="E686" s="3" t="s">
        <v>685</v>
      </c>
      <c r="F686" s="2" t="s">
        <v>61</v>
      </c>
      <c r="G686" s="3" t="s">
        <v>17</v>
      </c>
      <c r="H686" s="2" t="s">
        <v>97</v>
      </c>
      <c r="I686" s="3" t="s">
        <v>19</v>
      </c>
      <c r="J686" s="3">
        <v>3002</v>
      </c>
      <c r="K686" s="3">
        <v>376</v>
      </c>
      <c r="L686" s="3">
        <v>1</v>
      </c>
      <c r="M686" s="4">
        <f t="shared" si="83"/>
        <v>0.12524983344437041</v>
      </c>
      <c r="N686" s="4">
        <f t="shared" si="84"/>
        <v>2.6595744680851063E-3</v>
      </c>
      <c r="O686">
        <v>592</v>
      </c>
      <c r="P686" s="5">
        <v>1</v>
      </c>
      <c r="Q686" s="7">
        <v>1</v>
      </c>
      <c r="R686" t="str">
        <f t="shared" si="91"/>
        <v>код для проверки</v>
      </c>
      <c r="S686" t="str">
        <f t="shared" si="85"/>
        <v>Больше половины</v>
      </c>
      <c r="T686" t="str">
        <f t="shared" si="86"/>
        <v>Низшая четверть</v>
      </c>
      <c r="U686" t="str">
        <f t="shared" si="87"/>
        <v>код для проверки</v>
      </c>
      <c r="V686" t="str">
        <f t="shared" si="88"/>
        <v>Больше половины</v>
      </c>
      <c r="W686" t="str">
        <f t="shared" si="89"/>
        <v>Низшая четверть</v>
      </c>
      <c r="X686">
        <v>8</v>
      </c>
    </row>
    <row r="687" spans="1:24" x14ac:dyDescent="0.35">
      <c r="A687" s="1" t="s">
        <v>1021</v>
      </c>
      <c r="B687" s="2" t="s">
        <v>1022</v>
      </c>
      <c r="C687" s="3" t="s">
        <v>55</v>
      </c>
      <c r="D687" s="2" t="s">
        <v>340</v>
      </c>
      <c r="E687" s="3" t="s">
        <v>341</v>
      </c>
      <c r="F687" s="2" t="s">
        <v>96</v>
      </c>
      <c r="G687" s="3" t="s">
        <v>17</v>
      </c>
      <c r="H687" s="2" t="s">
        <v>97</v>
      </c>
      <c r="I687" s="3" t="s">
        <v>19</v>
      </c>
      <c r="J687" s="3">
        <v>3000</v>
      </c>
      <c r="K687" s="3">
        <v>234</v>
      </c>
      <c r="L687" s="3">
        <v>2</v>
      </c>
      <c r="M687" s="4">
        <f t="shared" si="83"/>
        <v>7.8E-2</v>
      </c>
      <c r="N687" s="4">
        <f t="shared" si="84"/>
        <v>8.5470085470085479E-3</v>
      </c>
      <c r="O687">
        <v>640</v>
      </c>
      <c r="P687" s="5">
        <v>1</v>
      </c>
      <c r="Q687" s="7">
        <v>1</v>
      </c>
      <c r="R687" t="str">
        <f t="shared" si="91"/>
        <v>код для проверки</v>
      </c>
      <c r="S687" t="str">
        <f t="shared" si="85"/>
        <v>Вторая четверть</v>
      </c>
      <c r="T687" t="str">
        <f t="shared" si="86"/>
        <v>Низшая четверть</v>
      </c>
      <c r="U687" t="str">
        <f t="shared" si="87"/>
        <v>нормальный код</v>
      </c>
      <c r="V687" t="str">
        <f t="shared" si="88"/>
        <v>Вторая четверть</v>
      </c>
      <c r="W687" t="str">
        <f t="shared" si="89"/>
        <v>Вторая четверть</v>
      </c>
      <c r="X687">
        <v>14</v>
      </c>
    </row>
    <row r="688" spans="1:24" x14ac:dyDescent="0.35">
      <c r="A688" s="1" t="s">
        <v>1812</v>
      </c>
      <c r="B688" s="2" t="s">
        <v>1813</v>
      </c>
      <c r="C688" s="3" t="s">
        <v>55</v>
      </c>
      <c r="D688" s="2" t="s">
        <v>94</v>
      </c>
      <c r="E688" s="3" t="s">
        <v>95</v>
      </c>
      <c r="F688" s="2" t="s">
        <v>96</v>
      </c>
      <c r="G688" s="3" t="s">
        <v>17</v>
      </c>
      <c r="H688" s="2" t="s">
        <v>97</v>
      </c>
      <c r="I688" s="3" t="s">
        <v>19</v>
      </c>
      <c r="J688" s="3">
        <v>2994</v>
      </c>
      <c r="K688" s="3">
        <v>3514</v>
      </c>
      <c r="L688" s="3">
        <v>3</v>
      </c>
      <c r="M688" s="4">
        <f t="shared" si="83"/>
        <v>1.1736806947227789</v>
      </c>
      <c r="N688" s="4">
        <f t="shared" si="84"/>
        <v>8.5372794536141153E-4</v>
      </c>
      <c r="O688">
        <v>1196</v>
      </c>
      <c r="P688" s="5">
        <v>0.77777777777777779</v>
      </c>
      <c r="Q688" s="7">
        <v>1</v>
      </c>
      <c r="R688" t="str">
        <f t="shared" si="91"/>
        <v>код для проверки</v>
      </c>
      <c r="S688" t="str">
        <f t="shared" si="85"/>
        <v>Больше половины</v>
      </c>
      <c r="T688" t="str">
        <f t="shared" si="86"/>
        <v>Низшая четверть</v>
      </c>
      <c r="U688" t="str">
        <f t="shared" si="87"/>
        <v>код для проверки</v>
      </c>
      <c r="V688" t="str">
        <f t="shared" si="88"/>
        <v>Больше половины</v>
      </c>
      <c r="W688" t="str">
        <f t="shared" si="89"/>
        <v>Низшая четверть</v>
      </c>
      <c r="X688">
        <v>18</v>
      </c>
    </row>
    <row r="689" spans="1:24" x14ac:dyDescent="0.35">
      <c r="A689" s="1" t="s">
        <v>932</v>
      </c>
      <c r="B689" s="2" t="s">
        <v>933</v>
      </c>
      <c r="C689" s="3" t="s">
        <v>55</v>
      </c>
      <c r="D689" s="2" t="s">
        <v>340</v>
      </c>
      <c r="E689" s="3" t="s">
        <v>341</v>
      </c>
      <c r="F689" s="2" t="s">
        <v>96</v>
      </c>
      <c r="G689" s="3" t="s">
        <v>17</v>
      </c>
      <c r="H689" s="2" t="s">
        <v>97</v>
      </c>
      <c r="I689" s="3" t="s">
        <v>19</v>
      </c>
      <c r="J689" s="3">
        <v>2971</v>
      </c>
      <c r="K689" s="3">
        <v>668</v>
      </c>
      <c r="L689" s="3">
        <v>2</v>
      </c>
      <c r="M689" s="4">
        <f t="shared" si="83"/>
        <v>0.22484012117132279</v>
      </c>
      <c r="N689" s="4">
        <f t="shared" si="84"/>
        <v>2.9940119760479044E-3</v>
      </c>
      <c r="O689">
        <v>382</v>
      </c>
      <c r="P689" s="5">
        <v>1</v>
      </c>
      <c r="Q689" s="7">
        <v>1</v>
      </c>
      <c r="R689" t="str">
        <f t="shared" si="91"/>
        <v>код для проверки</v>
      </c>
      <c r="S689" t="str">
        <f t="shared" si="85"/>
        <v>Больше половины</v>
      </c>
      <c r="T689" t="str">
        <f t="shared" si="86"/>
        <v>Низшая четверть</v>
      </c>
      <c r="U689" t="str">
        <f t="shared" si="87"/>
        <v>код для проверки</v>
      </c>
      <c r="V689" t="str">
        <f t="shared" si="88"/>
        <v>Больше половины</v>
      </c>
      <c r="W689" t="str">
        <f t="shared" si="89"/>
        <v>Низшая четверть</v>
      </c>
      <c r="X689">
        <v>14</v>
      </c>
    </row>
    <row r="690" spans="1:24" x14ac:dyDescent="0.35">
      <c r="A690" s="1" t="s">
        <v>1180</v>
      </c>
      <c r="B690" s="2" t="s">
        <v>1181</v>
      </c>
      <c r="C690" s="3" t="s">
        <v>55</v>
      </c>
      <c r="D690" s="2" t="s">
        <v>985</v>
      </c>
      <c r="E690" s="3" t="s">
        <v>986</v>
      </c>
      <c r="F690" s="2" t="s">
        <v>34</v>
      </c>
      <c r="G690" s="3" t="s">
        <v>17</v>
      </c>
      <c r="H690" s="2" t="s">
        <v>18</v>
      </c>
      <c r="I690" s="3" t="s">
        <v>19</v>
      </c>
      <c r="J690" s="3">
        <v>2962</v>
      </c>
      <c r="K690" s="3">
        <v>268</v>
      </c>
      <c r="L690" s="3">
        <v>11</v>
      </c>
      <c r="M690" s="4">
        <f t="shared" si="83"/>
        <v>9.0479405806887236E-2</v>
      </c>
      <c r="N690" s="4">
        <f t="shared" si="84"/>
        <v>4.1044776119402986E-2</v>
      </c>
      <c r="O690">
        <v>158</v>
      </c>
      <c r="P690" s="5">
        <v>1</v>
      </c>
      <c r="Q690" s="7">
        <v>1</v>
      </c>
      <c r="R690" t="str">
        <f t="shared" si="91"/>
        <v>нормальный код</v>
      </c>
      <c r="S690" t="str">
        <f t="shared" si="85"/>
        <v>Вторая четверть</v>
      </c>
      <c r="T690" t="str">
        <f t="shared" si="86"/>
        <v>Больше половины</v>
      </c>
      <c r="U690" t="str">
        <f t="shared" si="87"/>
        <v>нормальный код</v>
      </c>
      <c r="V690" t="str">
        <f t="shared" si="88"/>
        <v>Больше половины</v>
      </c>
      <c r="W690" t="str">
        <f t="shared" si="89"/>
        <v>Больше половины</v>
      </c>
      <c r="X690">
        <v>10</v>
      </c>
    </row>
    <row r="691" spans="1:24" x14ac:dyDescent="0.35">
      <c r="A691" s="1" t="s">
        <v>773</v>
      </c>
      <c r="B691" s="2" t="s">
        <v>774</v>
      </c>
      <c r="C691" s="3" t="s">
        <v>13</v>
      </c>
      <c r="D691" s="2" t="s">
        <v>630</v>
      </c>
      <c r="E691" s="3" t="s">
        <v>631</v>
      </c>
      <c r="F691" s="2" t="s">
        <v>61</v>
      </c>
      <c r="G691" s="3" t="s">
        <v>17</v>
      </c>
      <c r="H691" s="2" t="s">
        <v>97</v>
      </c>
      <c r="I691" s="3" t="s">
        <v>19</v>
      </c>
      <c r="J691" s="3">
        <v>2959</v>
      </c>
      <c r="K691" s="3">
        <v>354</v>
      </c>
      <c r="L691" s="3">
        <v>4</v>
      </c>
      <c r="M691" s="4">
        <f t="shared" si="83"/>
        <v>0.11963501182832038</v>
      </c>
      <c r="N691" s="4">
        <f t="shared" si="84"/>
        <v>1.1299435028248588E-2</v>
      </c>
      <c r="O691">
        <v>0</v>
      </c>
      <c r="P691" s="5">
        <v>0</v>
      </c>
      <c r="Q691" s="7">
        <v>0</v>
      </c>
      <c r="R691" t="s">
        <v>2350</v>
      </c>
      <c r="S691" t="str">
        <f t="shared" si="85"/>
        <v>Больше половины</v>
      </c>
      <c r="T691" t="str">
        <f t="shared" si="86"/>
        <v>Вторая четверть</v>
      </c>
      <c r="U691" t="str">
        <f t="shared" si="87"/>
        <v>нормальный код</v>
      </c>
      <c r="V691" t="str">
        <f t="shared" si="88"/>
        <v>Больше половины</v>
      </c>
      <c r="W691" t="str">
        <f t="shared" si="89"/>
        <v>Больше половины</v>
      </c>
      <c r="X691">
        <v>10</v>
      </c>
    </row>
    <row r="692" spans="1:24" x14ac:dyDescent="0.35">
      <c r="A692" s="1" t="s">
        <v>2463</v>
      </c>
      <c r="B692" s="2" t="s">
        <v>2464</v>
      </c>
      <c r="C692" s="3" t="s">
        <v>13</v>
      </c>
      <c r="D692" s="2" t="s">
        <v>69</v>
      </c>
      <c r="E692" s="3" t="s">
        <v>316</v>
      </c>
      <c r="F692" s="2" t="s">
        <v>34</v>
      </c>
      <c r="G692" s="3" t="s">
        <v>72</v>
      </c>
      <c r="H692" s="2" t="s">
        <v>18</v>
      </c>
      <c r="I692" s="3" t="s">
        <v>19</v>
      </c>
      <c r="J692" s="3">
        <v>2953</v>
      </c>
      <c r="K692" s="3">
        <v>135</v>
      </c>
      <c r="L692" s="3">
        <v>3</v>
      </c>
      <c r="M692" s="4">
        <f t="shared" si="83"/>
        <v>4.5716220792414497E-2</v>
      </c>
      <c r="N692" s="4">
        <f t="shared" si="84"/>
        <v>2.2222222222222223E-2</v>
      </c>
      <c r="O692">
        <v>653</v>
      </c>
      <c r="P692" s="5">
        <v>1</v>
      </c>
      <c r="Q692" s="7">
        <v>1</v>
      </c>
      <c r="R692" t="str">
        <f>IF(OR(M692&lt;$S$1*0.5,N692&lt;$T$1*0.5),"код для проверки","нормальный код")</f>
        <v>код для проверки</v>
      </c>
      <c r="S692" t="str">
        <f t="shared" si="85"/>
        <v>Низшая четверть</v>
      </c>
      <c r="T692" t="str">
        <f t="shared" si="86"/>
        <v>Больше половины</v>
      </c>
      <c r="U692" t="str">
        <f t="shared" si="87"/>
        <v>нормальный код</v>
      </c>
      <c r="V692" t="str">
        <f t="shared" si="88"/>
        <v>Вторая четверть</v>
      </c>
      <c r="W692" t="str">
        <f t="shared" si="89"/>
        <v>Вторая четверть</v>
      </c>
      <c r="X692">
        <v>12</v>
      </c>
    </row>
    <row r="693" spans="1:24" x14ac:dyDescent="0.35">
      <c r="A693" s="1" t="s">
        <v>1473</v>
      </c>
      <c r="B693" s="2" t="s">
        <v>1474</v>
      </c>
      <c r="C693" s="3" t="s">
        <v>13</v>
      </c>
      <c r="D693" s="2" t="s">
        <v>630</v>
      </c>
      <c r="E693" s="3" t="s">
        <v>685</v>
      </c>
      <c r="F693" s="2" t="s">
        <v>61</v>
      </c>
      <c r="G693" s="3" t="s">
        <v>17</v>
      </c>
      <c r="H693" s="2" t="s">
        <v>97</v>
      </c>
      <c r="I693" s="3" t="s">
        <v>19</v>
      </c>
      <c r="J693" s="3">
        <v>2948</v>
      </c>
      <c r="K693" s="3">
        <v>295</v>
      </c>
      <c r="L693" s="3">
        <v>3</v>
      </c>
      <c r="M693" s="4">
        <f t="shared" si="83"/>
        <v>0.10006784260515604</v>
      </c>
      <c r="N693" s="4">
        <f t="shared" si="84"/>
        <v>1.0169491525423728E-2</v>
      </c>
      <c r="O693">
        <v>0</v>
      </c>
      <c r="P693" s="5">
        <v>0</v>
      </c>
      <c r="Q693" s="7">
        <v>0</v>
      </c>
      <c r="R693" t="s">
        <v>2350</v>
      </c>
      <c r="S693" t="str">
        <f t="shared" si="85"/>
        <v>Больше половины</v>
      </c>
      <c r="T693" t="str">
        <f t="shared" si="86"/>
        <v>Вторая четверть</v>
      </c>
      <c r="U693" t="str">
        <f t="shared" si="87"/>
        <v>код для проверки</v>
      </c>
      <c r="V693" t="str">
        <f t="shared" si="88"/>
        <v>Вторая четверть</v>
      </c>
      <c r="W693" t="str">
        <f t="shared" si="89"/>
        <v>Низшая четверть</v>
      </c>
      <c r="X693">
        <v>9</v>
      </c>
    </row>
    <row r="694" spans="1:24" x14ac:dyDescent="0.35">
      <c r="A694" s="1" t="s">
        <v>861</v>
      </c>
      <c r="B694" s="2" t="s">
        <v>862</v>
      </c>
      <c r="C694" s="3" t="s">
        <v>13</v>
      </c>
      <c r="D694" s="2" t="s">
        <v>77</v>
      </c>
      <c r="E694" s="3" t="s">
        <v>193</v>
      </c>
      <c r="F694" s="2" t="s">
        <v>34</v>
      </c>
      <c r="G694" s="3" t="s">
        <v>17</v>
      </c>
      <c r="H694" s="2" t="s">
        <v>18</v>
      </c>
      <c r="I694" s="3" t="s">
        <v>19</v>
      </c>
      <c r="J694" s="3">
        <v>2945</v>
      </c>
      <c r="K694" s="3">
        <v>474</v>
      </c>
      <c r="L694" s="3">
        <v>4</v>
      </c>
      <c r="M694" s="4">
        <f t="shared" si="83"/>
        <v>0.16095076400679117</v>
      </c>
      <c r="N694" s="4">
        <f t="shared" si="84"/>
        <v>8.4388185654008432E-3</v>
      </c>
      <c r="O694">
        <v>227</v>
      </c>
      <c r="P694" s="5">
        <v>1</v>
      </c>
      <c r="Q694" s="7">
        <v>1</v>
      </c>
      <c r="R694" t="str">
        <f t="shared" ref="R694:R729" si="92">IF(OR(M694&lt;$S$1*0.5,N694&lt;$T$1*0.5),"код для проверки","нормальный код")</f>
        <v>код для проверки</v>
      </c>
      <c r="S694" t="str">
        <f t="shared" si="85"/>
        <v>Больше половины</v>
      </c>
      <c r="T694" t="str">
        <f t="shared" si="86"/>
        <v>Низшая четверть</v>
      </c>
      <c r="U694" t="str">
        <f t="shared" si="87"/>
        <v>нормальный код</v>
      </c>
      <c r="V694" t="str">
        <f t="shared" si="88"/>
        <v>Больше половины</v>
      </c>
      <c r="W694" t="str">
        <f t="shared" si="89"/>
        <v>Вторая четверть</v>
      </c>
      <c r="X694">
        <v>15</v>
      </c>
    </row>
    <row r="695" spans="1:24" x14ac:dyDescent="0.35">
      <c r="A695" s="1" t="s">
        <v>2054</v>
      </c>
      <c r="B695" s="2" t="s">
        <v>2055</v>
      </c>
      <c r="C695" s="3" t="s">
        <v>13</v>
      </c>
      <c r="D695" s="2" t="s">
        <v>69</v>
      </c>
      <c r="E695" s="3" t="s">
        <v>159</v>
      </c>
      <c r="F695" s="2" t="s">
        <v>34</v>
      </c>
      <c r="G695" s="3" t="s">
        <v>72</v>
      </c>
      <c r="H695" s="2" t="s">
        <v>18</v>
      </c>
      <c r="I695" s="3" t="s">
        <v>19</v>
      </c>
      <c r="J695" s="3">
        <v>2938</v>
      </c>
      <c r="K695" s="3">
        <v>754</v>
      </c>
      <c r="L695" s="3">
        <v>8</v>
      </c>
      <c r="M695" s="4">
        <f t="shared" si="83"/>
        <v>0.25663716814159293</v>
      </c>
      <c r="N695" s="4">
        <f t="shared" si="84"/>
        <v>1.0610079575596816E-2</v>
      </c>
      <c r="O695">
        <v>833</v>
      </c>
      <c r="P695" s="5">
        <v>1</v>
      </c>
      <c r="Q695" s="7">
        <v>1</v>
      </c>
      <c r="R695" t="str">
        <f t="shared" si="92"/>
        <v>нормальный код</v>
      </c>
      <c r="S695" t="str">
        <f t="shared" si="85"/>
        <v>Больше половины</v>
      </c>
      <c r="T695" t="str">
        <f t="shared" si="86"/>
        <v>Вторая четверть</v>
      </c>
      <c r="U695" t="str">
        <f t="shared" si="87"/>
        <v>код для проверки</v>
      </c>
      <c r="V695" t="str">
        <f t="shared" si="88"/>
        <v>Больше половины</v>
      </c>
      <c r="W695" t="str">
        <f t="shared" si="89"/>
        <v>Низшая четверть</v>
      </c>
      <c r="X695">
        <v>5</v>
      </c>
    </row>
    <row r="696" spans="1:24" x14ac:dyDescent="0.35">
      <c r="A696" s="1" t="s">
        <v>1631</v>
      </c>
      <c r="B696" s="2" t="s">
        <v>1632</v>
      </c>
      <c r="C696" s="3" t="s">
        <v>55</v>
      </c>
      <c r="D696" s="2" t="s">
        <v>1221</v>
      </c>
      <c r="E696" s="3" t="s">
        <v>1222</v>
      </c>
      <c r="F696" s="2" t="s">
        <v>96</v>
      </c>
      <c r="G696" s="3" t="s">
        <v>17</v>
      </c>
      <c r="H696" s="2" t="s">
        <v>1223</v>
      </c>
      <c r="I696" s="3" t="s">
        <v>19</v>
      </c>
      <c r="J696" s="3">
        <v>2925</v>
      </c>
      <c r="K696" s="3">
        <v>223</v>
      </c>
      <c r="L696" s="3">
        <v>3</v>
      </c>
      <c r="M696" s="4">
        <f t="shared" si="83"/>
        <v>7.6239316239316235E-2</v>
      </c>
      <c r="N696" s="4">
        <f t="shared" si="84"/>
        <v>1.3452914798206279E-2</v>
      </c>
      <c r="O696">
        <v>157</v>
      </c>
      <c r="P696" s="5">
        <v>1</v>
      </c>
      <c r="Q696" s="7">
        <v>1</v>
      </c>
      <c r="R696" t="str">
        <f t="shared" si="92"/>
        <v>нормальный код</v>
      </c>
      <c r="S696" t="str">
        <f t="shared" si="85"/>
        <v>Вторая четверть</v>
      </c>
      <c r="T696" t="str">
        <f t="shared" si="86"/>
        <v>Вторая четверть</v>
      </c>
      <c r="U696" t="str">
        <f t="shared" si="87"/>
        <v>нормальный код</v>
      </c>
      <c r="V696" t="str">
        <f t="shared" si="88"/>
        <v>Вторая четверть</v>
      </c>
      <c r="W696" t="str">
        <f t="shared" si="89"/>
        <v>Больше половины</v>
      </c>
      <c r="X696">
        <v>20</v>
      </c>
    </row>
    <row r="697" spans="1:24" x14ac:dyDescent="0.35">
      <c r="A697" s="1" t="s">
        <v>2361</v>
      </c>
      <c r="B697" s="2" t="s">
        <v>2362</v>
      </c>
      <c r="C697" s="3" t="s">
        <v>55</v>
      </c>
      <c r="D697" s="2" t="s">
        <v>336</v>
      </c>
      <c r="E697" s="3" t="s">
        <v>2360</v>
      </c>
      <c r="F697" s="2" t="s">
        <v>34</v>
      </c>
      <c r="G697" s="3" t="s">
        <v>17</v>
      </c>
      <c r="H697" s="2" t="s">
        <v>18</v>
      </c>
      <c r="I697" s="3" t="s">
        <v>19</v>
      </c>
      <c r="J697" s="3">
        <v>2912</v>
      </c>
      <c r="K697" s="3">
        <v>114</v>
      </c>
      <c r="L697" s="3">
        <v>6</v>
      </c>
      <c r="M697" s="4">
        <f t="shared" si="83"/>
        <v>3.9148351648351648E-2</v>
      </c>
      <c r="N697" s="4">
        <f t="shared" si="84"/>
        <v>5.2631578947368418E-2</v>
      </c>
      <c r="O697">
        <v>5983</v>
      </c>
      <c r="P697" s="5">
        <v>1</v>
      </c>
      <c r="Q697" s="7">
        <v>1</v>
      </c>
      <c r="R697" t="str">
        <f t="shared" si="92"/>
        <v>код для проверки</v>
      </c>
      <c r="S697" t="str">
        <f t="shared" si="85"/>
        <v>Низшая четверть</v>
      </c>
      <c r="T697" t="str">
        <f t="shared" si="86"/>
        <v>Больше половины</v>
      </c>
      <c r="U697" t="str">
        <f t="shared" si="87"/>
        <v>код для проверки</v>
      </c>
      <c r="V697" t="str">
        <f t="shared" si="88"/>
        <v>Низшая четверть</v>
      </c>
      <c r="W697" t="str">
        <f t="shared" si="89"/>
        <v>Больше половины</v>
      </c>
      <c r="X697">
        <v>5</v>
      </c>
    </row>
    <row r="698" spans="1:24" x14ac:dyDescent="0.35">
      <c r="A698" s="1" t="s">
        <v>728</v>
      </c>
      <c r="B698" s="2" t="s">
        <v>729</v>
      </c>
      <c r="C698" s="3" t="s">
        <v>13</v>
      </c>
      <c r="D698" s="2" t="s">
        <v>104</v>
      </c>
      <c r="E698" s="3" t="s">
        <v>711</v>
      </c>
      <c r="F698" s="2" t="s">
        <v>96</v>
      </c>
      <c r="G698" s="3" t="s">
        <v>17</v>
      </c>
      <c r="H698" s="2" t="s">
        <v>18</v>
      </c>
      <c r="I698" s="3" t="s">
        <v>19</v>
      </c>
      <c r="J698" s="3">
        <v>2905</v>
      </c>
      <c r="K698" s="3">
        <v>149</v>
      </c>
      <c r="L698" s="3">
        <v>3</v>
      </c>
      <c r="M698" s="4">
        <f t="shared" si="83"/>
        <v>5.129087779690189E-2</v>
      </c>
      <c r="N698" s="4">
        <f t="shared" si="84"/>
        <v>2.0134228187919462E-2</v>
      </c>
      <c r="O698">
        <v>256</v>
      </c>
      <c r="P698" s="5">
        <v>0.875</v>
      </c>
      <c r="Q698" s="7">
        <v>1</v>
      </c>
      <c r="R698" t="str">
        <f t="shared" si="92"/>
        <v>нормальный код</v>
      </c>
      <c r="S698" t="str">
        <f t="shared" si="85"/>
        <v>Вторая четверть</v>
      </c>
      <c r="T698" t="str">
        <f t="shared" si="86"/>
        <v>Вторая четверть</v>
      </c>
      <c r="U698" t="str">
        <f t="shared" si="87"/>
        <v>нормальный код</v>
      </c>
      <c r="V698" t="str">
        <f t="shared" si="88"/>
        <v>Вторая четверть</v>
      </c>
      <c r="W698" t="str">
        <f t="shared" si="89"/>
        <v>Вторая четверть</v>
      </c>
      <c r="X698">
        <v>15</v>
      </c>
    </row>
    <row r="699" spans="1:24" x14ac:dyDescent="0.35">
      <c r="A699" s="1" t="s">
        <v>1343</v>
      </c>
      <c r="B699" s="2" t="s">
        <v>1344</v>
      </c>
      <c r="C699" s="3" t="s">
        <v>55</v>
      </c>
      <c r="D699" s="2" t="s">
        <v>94</v>
      </c>
      <c r="E699" s="3" t="s">
        <v>95</v>
      </c>
      <c r="F699" s="2" t="s">
        <v>96</v>
      </c>
      <c r="G699" s="3" t="s">
        <v>17</v>
      </c>
      <c r="H699" s="2" t="s">
        <v>97</v>
      </c>
      <c r="I699" s="3" t="s">
        <v>19</v>
      </c>
      <c r="J699" s="3">
        <v>2899</v>
      </c>
      <c r="K699" s="3">
        <v>1946</v>
      </c>
      <c r="L699" s="3">
        <v>13</v>
      </c>
      <c r="M699" s="4">
        <f t="shared" si="83"/>
        <v>0.67126595377716458</v>
      </c>
      <c r="N699" s="4">
        <f t="shared" si="84"/>
        <v>6.6803699897225073E-3</v>
      </c>
      <c r="O699">
        <v>1726</v>
      </c>
      <c r="P699" s="5">
        <v>0.66666666666666663</v>
      </c>
      <c r="Q699" s="7">
        <v>1</v>
      </c>
      <c r="R699" t="str">
        <f t="shared" si="92"/>
        <v>код для проверки</v>
      </c>
      <c r="S699" t="str">
        <f t="shared" si="85"/>
        <v>Больше половины</v>
      </c>
      <c r="T699" t="str">
        <f t="shared" si="86"/>
        <v>Низшая четверть</v>
      </c>
      <c r="U699" t="str">
        <f t="shared" si="87"/>
        <v>нормальный код</v>
      </c>
      <c r="V699" t="str">
        <f t="shared" si="88"/>
        <v>Больше половины</v>
      </c>
      <c r="W699" t="str">
        <f t="shared" si="89"/>
        <v>Вторая четверть</v>
      </c>
      <c r="X699">
        <v>22</v>
      </c>
    </row>
    <row r="700" spans="1:24" x14ac:dyDescent="0.35">
      <c r="A700" s="1" t="s">
        <v>1720</v>
      </c>
      <c r="B700" s="2" t="s">
        <v>1721</v>
      </c>
      <c r="C700" s="3" t="s">
        <v>55</v>
      </c>
      <c r="D700" s="2" t="s">
        <v>1221</v>
      </c>
      <c r="E700" s="3" t="s">
        <v>1222</v>
      </c>
      <c r="F700" s="2" t="s">
        <v>96</v>
      </c>
      <c r="G700" s="3" t="s">
        <v>17</v>
      </c>
      <c r="H700" s="2" t="s">
        <v>1223</v>
      </c>
      <c r="I700" s="3" t="s">
        <v>19</v>
      </c>
      <c r="J700" s="3">
        <v>2891</v>
      </c>
      <c r="K700" s="3">
        <v>277</v>
      </c>
      <c r="L700" s="3">
        <v>3</v>
      </c>
      <c r="M700" s="4">
        <f t="shared" si="83"/>
        <v>9.5814597025250775E-2</v>
      </c>
      <c r="N700" s="4">
        <f t="shared" si="84"/>
        <v>1.0830324909747292E-2</v>
      </c>
      <c r="O700">
        <v>357</v>
      </c>
      <c r="P700" s="5">
        <v>1</v>
      </c>
      <c r="Q700" s="7">
        <v>1</v>
      </c>
      <c r="R700" t="str">
        <f t="shared" si="92"/>
        <v>нормальный код</v>
      </c>
      <c r="S700" t="str">
        <f t="shared" si="85"/>
        <v>Больше половины</v>
      </c>
      <c r="T700" t="str">
        <f t="shared" si="86"/>
        <v>Вторая четверть</v>
      </c>
      <c r="U700" t="str">
        <f t="shared" si="87"/>
        <v>нормальный код</v>
      </c>
      <c r="V700" t="str">
        <f t="shared" si="88"/>
        <v>Вторая четверть</v>
      </c>
      <c r="W700" t="str">
        <f t="shared" si="89"/>
        <v>Вторая четверть</v>
      </c>
      <c r="X700">
        <v>21</v>
      </c>
    </row>
    <row r="701" spans="1:24" x14ac:dyDescent="0.35">
      <c r="A701" s="1" t="s">
        <v>2079</v>
      </c>
      <c r="B701" s="2" t="s">
        <v>2080</v>
      </c>
      <c r="C701" s="3" t="s">
        <v>13</v>
      </c>
      <c r="D701" s="2" t="s">
        <v>85</v>
      </c>
      <c r="E701" s="3" t="s">
        <v>1937</v>
      </c>
      <c r="F701" s="2" t="s">
        <v>96</v>
      </c>
      <c r="G701" s="3" t="s">
        <v>35</v>
      </c>
      <c r="H701" s="2" t="s">
        <v>18</v>
      </c>
      <c r="I701" s="3" t="s">
        <v>19</v>
      </c>
      <c r="J701" s="3">
        <v>2875</v>
      </c>
      <c r="K701" s="3">
        <v>360</v>
      </c>
      <c r="L701" s="3">
        <v>7</v>
      </c>
      <c r="M701" s="4">
        <f t="shared" si="83"/>
        <v>0.12521739130434784</v>
      </c>
      <c r="N701" s="4">
        <f t="shared" si="84"/>
        <v>1.9444444444444445E-2</v>
      </c>
      <c r="O701">
        <v>472</v>
      </c>
      <c r="P701" s="5">
        <v>1</v>
      </c>
      <c r="Q701" s="7">
        <v>1</v>
      </c>
      <c r="R701" t="str">
        <f t="shared" si="92"/>
        <v>нормальный код</v>
      </c>
      <c r="S701" t="str">
        <f t="shared" si="85"/>
        <v>Больше половины</v>
      </c>
      <c r="T701" t="str">
        <f t="shared" si="86"/>
        <v>Вторая четверть</v>
      </c>
      <c r="U701" t="str">
        <f t="shared" si="87"/>
        <v>нормальный код</v>
      </c>
      <c r="V701" t="str">
        <f t="shared" si="88"/>
        <v>Больше половины</v>
      </c>
      <c r="W701" t="str">
        <f t="shared" si="89"/>
        <v>Вторая четверть</v>
      </c>
      <c r="X701">
        <v>17</v>
      </c>
    </row>
    <row r="702" spans="1:24" x14ac:dyDescent="0.35">
      <c r="A702" s="1" t="s">
        <v>1734</v>
      </c>
      <c r="B702" s="2" t="s">
        <v>1735</v>
      </c>
      <c r="C702" s="3" t="s">
        <v>55</v>
      </c>
      <c r="D702" s="2" t="s">
        <v>56</v>
      </c>
      <c r="E702" s="3" t="s">
        <v>60</v>
      </c>
      <c r="F702" s="2" t="s">
        <v>61</v>
      </c>
      <c r="G702" s="3" t="s">
        <v>17</v>
      </c>
      <c r="H702" s="2" t="s">
        <v>18</v>
      </c>
      <c r="I702" s="3" t="s">
        <v>19</v>
      </c>
      <c r="J702" s="3">
        <v>2866</v>
      </c>
      <c r="K702" s="3">
        <v>152</v>
      </c>
      <c r="L702" s="3">
        <v>1</v>
      </c>
      <c r="M702" s="4">
        <f t="shared" si="83"/>
        <v>5.3035589672016749E-2</v>
      </c>
      <c r="N702" s="4">
        <f t="shared" si="84"/>
        <v>6.5789473684210523E-3</v>
      </c>
      <c r="O702">
        <v>379</v>
      </c>
      <c r="P702" s="5">
        <v>1</v>
      </c>
      <c r="Q702" s="7">
        <v>1</v>
      </c>
      <c r="R702" t="str">
        <f t="shared" si="92"/>
        <v>код для проверки</v>
      </c>
      <c r="S702" t="str">
        <f t="shared" si="85"/>
        <v>Вторая четверть</v>
      </c>
      <c r="T702" t="str">
        <f t="shared" si="86"/>
        <v>Низшая четверть</v>
      </c>
      <c r="U702" t="str">
        <f t="shared" si="87"/>
        <v>нормальный код</v>
      </c>
      <c r="V702" t="str">
        <f t="shared" si="88"/>
        <v>Вторая четверть</v>
      </c>
      <c r="W702" t="str">
        <f t="shared" si="89"/>
        <v>Вторая четверть</v>
      </c>
      <c r="X702">
        <v>19</v>
      </c>
    </row>
    <row r="703" spans="1:24" x14ac:dyDescent="0.35">
      <c r="A703" s="1" t="s">
        <v>2511</v>
      </c>
      <c r="B703" s="2" t="s">
        <v>2512</v>
      </c>
      <c r="C703" s="3" t="s">
        <v>13</v>
      </c>
      <c r="D703" s="2" t="s">
        <v>69</v>
      </c>
      <c r="E703" s="3" t="s">
        <v>2268</v>
      </c>
      <c r="F703" s="2" t="s">
        <v>96</v>
      </c>
      <c r="G703" s="3" t="s">
        <v>72</v>
      </c>
      <c r="H703" s="2" t="s">
        <v>18</v>
      </c>
      <c r="I703" s="3" t="s">
        <v>19</v>
      </c>
      <c r="J703" s="3">
        <v>2859</v>
      </c>
      <c r="K703" s="3">
        <v>150</v>
      </c>
      <c r="L703" s="3">
        <v>2</v>
      </c>
      <c r="M703" s="4">
        <f t="shared" si="83"/>
        <v>5.2465897166841552E-2</v>
      </c>
      <c r="N703" s="4">
        <f t="shared" si="84"/>
        <v>1.3333333333333334E-2</v>
      </c>
      <c r="O703">
        <v>476</v>
      </c>
      <c r="P703" s="5">
        <v>1</v>
      </c>
      <c r="Q703" s="7">
        <v>1</v>
      </c>
      <c r="R703" t="str">
        <f t="shared" si="92"/>
        <v>нормальный код</v>
      </c>
      <c r="S703" t="str">
        <f t="shared" si="85"/>
        <v>Вторая четверть</v>
      </c>
      <c r="T703" t="str">
        <f t="shared" si="86"/>
        <v>Вторая четверть</v>
      </c>
      <c r="U703" t="str">
        <f t="shared" si="87"/>
        <v>нормальный код</v>
      </c>
      <c r="V703" t="str">
        <f t="shared" si="88"/>
        <v>Вторая четверть</v>
      </c>
      <c r="W703" t="str">
        <f t="shared" si="89"/>
        <v>Вторая четверть</v>
      </c>
      <c r="X703">
        <v>8</v>
      </c>
    </row>
    <row r="704" spans="1:24" x14ac:dyDescent="0.35">
      <c r="A704" s="1" t="s">
        <v>1133</v>
      </c>
      <c r="B704" s="2" t="s">
        <v>1134</v>
      </c>
      <c r="C704" s="3" t="s">
        <v>55</v>
      </c>
      <c r="D704" s="2" t="s">
        <v>1049</v>
      </c>
      <c r="E704" s="3" t="s">
        <v>1050</v>
      </c>
      <c r="F704" s="2" t="s">
        <v>34</v>
      </c>
      <c r="G704" s="3" t="s">
        <v>17</v>
      </c>
      <c r="H704" s="2" t="s">
        <v>18</v>
      </c>
      <c r="I704" s="3" t="s">
        <v>19</v>
      </c>
      <c r="J704" s="3">
        <v>2857</v>
      </c>
      <c r="K704" s="3">
        <v>72</v>
      </c>
      <c r="L704" s="3">
        <v>3</v>
      </c>
      <c r="M704" s="4">
        <f t="shared" si="83"/>
        <v>2.5201260063003151E-2</v>
      </c>
      <c r="N704" s="4">
        <f t="shared" si="84"/>
        <v>4.1666666666666664E-2</v>
      </c>
      <c r="O704">
        <v>29</v>
      </c>
      <c r="P704" s="5">
        <v>0.4</v>
      </c>
      <c r="Q704" s="7">
        <v>1</v>
      </c>
      <c r="R704" t="str">
        <f t="shared" si="92"/>
        <v>код для проверки</v>
      </c>
      <c r="S704" t="str">
        <f t="shared" si="85"/>
        <v>Низшая четверть</v>
      </c>
      <c r="T704" t="str">
        <f t="shared" si="86"/>
        <v>Больше половины</v>
      </c>
      <c r="U704" t="str">
        <f t="shared" si="87"/>
        <v>код для проверки</v>
      </c>
      <c r="V704" t="str">
        <f t="shared" si="88"/>
        <v>Низшая четверть</v>
      </c>
      <c r="W704" t="str">
        <f t="shared" si="89"/>
        <v>Больше половины</v>
      </c>
      <c r="X704">
        <v>12</v>
      </c>
    </row>
    <row r="705" spans="1:24" x14ac:dyDescent="0.35">
      <c r="A705" s="1" t="s">
        <v>2303</v>
      </c>
      <c r="B705" s="2" t="s">
        <v>2304</v>
      </c>
      <c r="C705" s="3" t="s">
        <v>13</v>
      </c>
      <c r="D705" s="2" t="s">
        <v>155</v>
      </c>
      <c r="E705" s="3" t="s">
        <v>156</v>
      </c>
      <c r="F705" s="2" t="s">
        <v>34</v>
      </c>
      <c r="G705" s="3" t="s">
        <v>17</v>
      </c>
      <c r="H705" s="2" t="s">
        <v>18</v>
      </c>
      <c r="I705" s="3" t="s">
        <v>19</v>
      </c>
      <c r="J705" s="3">
        <v>2857</v>
      </c>
      <c r="K705" s="3">
        <v>1975</v>
      </c>
      <c r="L705" s="3">
        <v>15</v>
      </c>
      <c r="M705" s="4">
        <f t="shared" si="83"/>
        <v>0.69128456422821138</v>
      </c>
      <c r="N705" s="4">
        <f t="shared" si="84"/>
        <v>7.5949367088607592E-3</v>
      </c>
      <c r="O705">
        <v>317</v>
      </c>
      <c r="P705" s="5">
        <v>1</v>
      </c>
      <c r="Q705" s="7">
        <v>1</v>
      </c>
      <c r="R705" t="str">
        <f t="shared" si="92"/>
        <v>код для проверки</v>
      </c>
      <c r="S705" t="str">
        <f t="shared" si="85"/>
        <v>Больше половины</v>
      </c>
      <c r="T705" t="str">
        <f t="shared" si="86"/>
        <v>Низшая четверть</v>
      </c>
      <c r="U705" t="str">
        <f t="shared" si="87"/>
        <v>код для проверки</v>
      </c>
      <c r="V705" t="str">
        <f t="shared" si="88"/>
        <v>Больше половины</v>
      </c>
      <c r="W705" t="str">
        <f t="shared" si="89"/>
        <v>Низшая четверть</v>
      </c>
      <c r="X705">
        <v>16</v>
      </c>
    </row>
    <row r="706" spans="1:24" x14ac:dyDescent="0.35">
      <c r="A706" s="1" t="s">
        <v>2118</v>
      </c>
      <c r="B706" s="2" t="s">
        <v>2119</v>
      </c>
      <c r="C706" s="3" t="s">
        <v>55</v>
      </c>
      <c r="D706" s="2" t="s">
        <v>56</v>
      </c>
      <c r="E706" s="3" t="s">
        <v>472</v>
      </c>
      <c r="F706" s="2" t="s">
        <v>34</v>
      </c>
      <c r="G706" s="3" t="s">
        <v>17</v>
      </c>
      <c r="H706" s="2" t="s">
        <v>18</v>
      </c>
      <c r="I706" s="3" t="s">
        <v>19</v>
      </c>
      <c r="J706" s="3">
        <v>2848</v>
      </c>
      <c r="K706" s="3">
        <v>218</v>
      </c>
      <c r="L706" s="3">
        <v>9</v>
      </c>
      <c r="M706" s="4">
        <f t="shared" si="83"/>
        <v>7.6544943820224726E-2</v>
      </c>
      <c r="N706" s="4">
        <f t="shared" si="84"/>
        <v>4.1284403669724773E-2</v>
      </c>
      <c r="O706">
        <v>567</v>
      </c>
      <c r="P706" s="5">
        <v>1</v>
      </c>
      <c r="Q706" s="7">
        <v>1</v>
      </c>
      <c r="R706" t="str">
        <f t="shared" si="92"/>
        <v>нормальный код</v>
      </c>
      <c r="S706" t="str">
        <f t="shared" si="85"/>
        <v>Вторая четверть</v>
      </c>
      <c r="T706" t="str">
        <f t="shared" si="86"/>
        <v>Больше половины</v>
      </c>
      <c r="U706" t="str">
        <f t="shared" si="87"/>
        <v>нормальный код</v>
      </c>
      <c r="V706" t="str">
        <f t="shared" si="88"/>
        <v>Больше половины</v>
      </c>
      <c r="W706" t="str">
        <f t="shared" si="89"/>
        <v>Вторая четверть</v>
      </c>
      <c r="X706">
        <v>18</v>
      </c>
    </row>
    <row r="707" spans="1:24" x14ac:dyDescent="0.35">
      <c r="A707" s="1" t="s">
        <v>1442</v>
      </c>
      <c r="B707" s="2" t="s">
        <v>1443</v>
      </c>
      <c r="C707" s="3" t="s">
        <v>13</v>
      </c>
      <c r="D707" s="2" t="s">
        <v>104</v>
      </c>
      <c r="E707" s="3" t="s">
        <v>875</v>
      </c>
      <c r="F707" s="2" t="s">
        <v>71</v>
      </c>
      <c r="G707" s="3" t="s">
        <v>35</v>
      </c>
      <c r="H707" s="2" t="s">
        <v>18</v>
      </c>
      <c r="I707" s="3" t="s">
        <v>19</v>
      </c>
      <c r="J707" s="3">
        <v>2846</v>
      </c>
      <c r="K707" s="3">
        <v>421</v>
      </c>
      <c r="L707" s="3">
        <v>9</v>
      </c>
      <c r="M707" s="4">
        <f t="shared" si="83"/>
        <v>0.14792691496837668</v>
      </c>
      <c r="N707" s="4">
        <f t="shared" si="84"/>
        <v>2.1377672209026127E-2</v>
      </c>
      <c r="O707">
        <v>171</v>
      </c>
      <c r="P707" s="5">
        <v>0.6</v>
      </c>
      <c r="Q707" s="7">
        <v>1</v>
      </c>
      <c r="R707" t="str">
        <f t="shared" si="92"/>
        <v>нормальный код</v>
      </c>
      <c r="S707" t="str">
        <f t="shared" si="85"/>
        <v>Больше половины</v>
      </c>
      <c r="T707" t="str">
        <f t="shared" si="86"/>
        <v>Больше половины</v>
      </c>
      <c r="U707" t="str">
        <f t="shared" si="87"/>
        <v>нормальный код</v>
      </c>
      <c r="V707" t="str">
        <f t="shared" si="88"/>
        <v>Больше половины</v>
      </c>
      <c r="W707" t="str">
        <f t="shared" si="89"/>
        <v>Больше половины</v>
      </c>
      <c r="X707">
        <v>14</v>
      </c>
    </row>
    <row r="708" spans="1:24" x14ac:dyDescent="0.35">
      <c r="A708" s="1" t="s">
        <v>1129</v>
      </c>
      <c r="B708" s="2" t="s">
        <v>1130</v>
      </c>
      <c r="C708" s="3" t="s">
        <v>55</v>
      </c>
      <c r="D708" s="2" t="s">
        <v>56</v>
      </c>
      <c r="E708" s="3" t="s">
        <v>700</v>
      </c>
      <c r="F708" s="2" t="s">
        <v>96</v>
      </c>
      <c r="G708" s="3" t="s">
        <v>17</v>
      </c>
      <c r="H708" s="2" t="s">
        <v>18</v>
      </c>
      <c r="I708" s="3" t="s">
        <v>19</v>
      </c>
      <c r="J708" s="3">
        <v>2845</v>
      </c>
      <c r="K708" s="3">
        <v>110</v>
      </c>
      <c r="L708" s="3">
        <v>3</v>
      </c>
      <c r="M708" s="4">
        <f t="shared" ref="M708:M771" si="93">IFERROR(K708/J708,0)</f>
        <v>3.8664323374340948E-2</v>
      </c>
      <c r="N708" s="4">
        <f t="shared" ref="N708:N771" si="94">IFERROR(L708/K708,0)</f>
        <v>2.7272727272727271E-2</v>
      </c>
      <c r="O708">
        <v>706</v>
      </c>
      <c r="P708" s="5">
        <v>1</v>
      </c>
      <c r="Q708" s="7">
        <v>1</v>
      </c>
      <c r="R708" t="str">
        <f t="shared" si="92"/>
        <v>код для проверки</v>
      </c>
      <c r="S708" t="str">
        <f t="shared" ref="S708:S771" si="95">IF(M708&lt;$S$1*0.5,"Низшая четверть",IF(M708&lt;$S$1,"Вторая четверть","Больше половины"))</f>
        <v>Низшая четверть</v>
      </c>
      <c r="T708" t="str">
        <f t="shared" ref="T708:T771" si="96">IF(N708&lt;$T$1*0.5,"Низшая четверть",IF(N708&lt;$T$1,"Вторая четверть","Больше половины"))</f>
        <v>Больше половины</v>
      </c>
      <c r="U708" t="str">
        <f t="shared" ref="U708:U771" si="97">IF(OR(M708&lt;SUMIFS(K:K,Q:Q,1,E:E,E708)/SUMIFS(J:J,Q:Q,1,E:E,E708)*0.5,N708&lt;SUMIFS(L:L,Q:Q,1,E:E,E708)/SUMIFS(K:K,Q:Q,1,E:E,E708)*0.5),"код для проверки","нормальный код")</f>
        <v>код для проверки</v>
      </c>
      <c r="V708" t="str">
        <f t="shared" ref="V708:V771" si="98">IF(M708&lt;SUMIFS(K:K,Q:Q,1,E:E,E708)/SUMIFS(J:J,Q:Q,1,E:E,E708)*0.5,"Низшая четверть",IF(M708&lt;SUMIFS(K:K,Q:Q,1,E:E,E708)/SUMIFS(J:J,Q:Q,1,E:E,E708),"Вторая четверть","Больше половины"))</f>
        <v>Вторая четверть</v>
      </c>
      <c r="W708" t="str">
        <f t="shared" ref="W708:W771" si="99">IF(N708&lt;SUMIFS(L:L,Q:Q,1,E:E,E708)/SUMIFS(K:K,Q:Q,1,E:E,E708)*0.5,"Низшая четверть",IF(N708&lt;SUMIFS(L:L,Q:Q,1,E:E,E708)/SUMIFS(K:K,Q:Q,1,E:E,E708),"Вторая четверть","Больше половины"))</f>
        <v>Низшая четверть</v>
      </c>
      <c r="X708">
        <v>26</v>
      </c>
    </row>
    <row r="709" spans="1:24" x14ac:dyDescent="0.35">
      <c r="A709" s="1" t="s">
        <v>880</v>
      </c>
      <c r="B709" s="2" t="s">
        <v>881</v>
      </c>
      <c r="C709" s="3" t="s">
        <v>13</v>
      </c>
      <c r="D709" s="2" t="s">
        <v>164</v>
      </c>
      <c r="E709" s="3" t="s">
        <v>538</v>
      </c>
      <c r="F709" s="2" t="s">
        <v>71</v>
      </c>
      <c r="G709" s="3" t="s">
        <v>35</v>
      </c>
      <c r="H709" s="2" t="s">
        <v>18</v>
      </c>
      <c r="I709" s="3" t="s">
        <v>19</v>
      </c>
      <c r="J709" s="3">
        <v>2824</v>
      </c>
      <c r="K709" s="3">
        <v>428</v>
      </c>
      <c r="L709" s="3">
        <v>5</v>
      </c>
      <c r="M709" s="4">
        <f t="shared" si="93"/>
        <v>0.15155807365439095</v>
      </c>
      <c r="N709" s="4">
        <f t="shared" si="94"/>
        <v>1.1682242990654205E-2</v>
      </c>
      <c r="O709">
        <v>96</v>
      </c>
      <c r="P709" s="5">
        <v>0.6</v>
      </c>
      <c r="Q709" s="7">
        <v>1</v>
      </c>
      <c r="R709" t="str">
        <f t="shared" si="92"/>
        <v>нормальный код</v>
      </c>
      <c r="S709" t="str">
        <f t="shared" si="95"/>
        <v>Больше половины</v>
      </c>
      <c r="T709" t="str">
        <f t="shared" si="96"/>
        <v>Вторая четверть</v>
      </c>
      <c r="U709" t="str">
        <f t="shared" si="97"/>
        <v>нормальный код</v>
      </c>
      <c r="V709" t="str">
        <f t="shared" si="98"/>
        <v>Больше половины</v>
      </c>
      <c r="W709" t="str">
        <f t="shared" si="99"/>
        <v>Больше половины</v>
      </c>
      <c r="X709">
        <v>23</v>
      </c>
    </row>
    <row r="710" spans="1:24" x14ac:dyDescent="0.35">
      <c r="A710" s="1" t="s">
        <v>853</v>
      </c>
      <c r="B710" s="2" t="s">
        <v>854</v>
      </c>
      <c r="C710" s="3" t="s">
        <v>13</v>
      </c>
      <c r="D710" s="2" t="s">
        <v>77</v>
      </c>
      <c r="E710" s="3" t="s">
        <v>89</v>
      </c>
      <c r="F710" s="2" t="s">
        <v>34</v>
      </c>
      <c r="G710" s="3" t="s">
        <v>17</v>
      </c>
      <c r="H710" s="2" t="s">
        <v>18</v>
      </c>
      <c r="I710" s="3" t="s">
        <v>19</v>
      </c>
      <c r="J710" s="3">
        <v>2818</v>
      </c>
      <c r="K710" s="3">
        <v>872</v>
      </c>
      <c r="L710" s="3">
        <v>4</v>
      </c>
      <c r="M710" s="4">
        <f t="shared" si="93"/>
        <v>0.30943931866572039</v>
      </c>
      <c r="N710" s="4">
        <f t="shared" si="94"/>
        <v>4.5871559633027525E-3</v>
      </c>
      <c r="O710">
        <v>356</v>
      </c>
      <c r="P710" s="5">
        <v>1</v>
      </c>
      <c r="Q710" s="7">
        <v>1</v>
      </c>
      <c r="R710" t="str">
        <f t="shared" si="92"/>
        <v>код для проверки</v>
      </c>
      <c r="S710" t="str">
        <f t="shared" si="95"/>
        <v>Больше половины</v>
      </c>
      <c r="T710" t="str">
        <f t="shared" si="96"/>
        <v>Низшая четверть</v>
      </c>
      <c r="U710" t="str">
        <f t="shared" si="97"/>
        <v>код для проверки</v>
      </c>
      <c r="V710" t="str">
        <f t="shared" si="98"/>
        <v>Больше половины</v>
      </c>
      <c r="W710" t="str">
        <f t="shared" si="99"/>
        <v>Низшая четверть</v>
      </c>
      <c r="X710">
        <v>10</v>
      </c>
    </row>
    <row r="711" spans="1:24" x14ac:dyDescent="0.35">
      <c r="A711" s="1" t="s">
        <v>536</v>
      </c>
      <c r="B711" s="2" t="s">
        <v>537</v>
      </c>
      <c r="C711" s="3" t="s">
        <v>13</v>
      </c>
      <c r="D711" s="2" t="s">
        <v>164</v>
      </c>
      <c r="E711" s="3" t="s">
        <v>538</v>
      </c>
      <c r="F711" s="2" t="s">
        <v>71</v>
      </c>
      <c r="G711" s="3" t="s">
        <v>17</v>
      </c>
      <c r="H711" s="2" t="s">
        <v>18</v>
      </c>
      <c r="I711" s="3" t="s">
        <v>19</v>
      </c>
      <c r="J711" s="3">
        <v>2801</v>
      </c>
      <c r="K711" s="3">
        <v>214</v>
      </c>
      <c r="L711" s="3">
        <v>3</v>
      </c>
      <c r="M711" s="4">
        <f t="shared" si="93"/>
        <v>7.6401285255265974E-2</v>
      </c>
      <c r="N711" s="4">
        <f t="shared" si="94"/>
        <v>1.4018691588785047E-2</v>
      </c>
      <c r="O711">
        <v>154</v>
      </c>
      <c r="P711" s="5">
        <v>1</v>
      </c>
      <c r="Q711" s="7">
        <v>1</v>
      </c>
      <c r="R711" t="str">
        <f t="shared" si="92"/>
        <v>нормальный код</v>
      </c>
      <c r="S711" t="str">
        <f t="shared" si="95"/>
        <v>Вторая четверть</v>
      </c>
      <c r="T711" t="str">
        <f t="shared" si="96"/>
        <v>Вторая четверть</v>
      </c>
      <c r="U711" t="str">
        <f t="shared" si="97"/>
        <v>нормальный код</v>
      </c>
      <c r="V711" t="str">
        <f t="shared" si="98"/>
        <v>Вторая четверть</v>
      </c>
      <c r="W711" t="str">
        <f t="shared" si="99"/>
        <v>Больше половины</v>
      </c>
      <c r="X711">
        <v>14</v>
      </c>
    </row>
    <row r="712" spans="1:24" x14ac:dyDescent="0.35">
      <c r="A712" s="1" t="s">
        <v>1666</v>
      </c>
      <c r="B712" s="2" t="s">
        <v>1667</v>
      </c>
      <c r="C712" s="3" t="s">
        <v>55</v>
      </c>
      <c r="D712" s="2" t="s">
        <v>94</v>
      </c>
      <c r="E712" s="3" t="s">
        <v>812</v>
      </c>
      <c r="F712" s="2" t="s">
        <v>96</v>
      </c>
      <c r="G712" s="3" t="s">
        <v>17</v>
      </c>
      <c r="H712" s="2" t="s">
        <v>18</v>
      </c>
      <c r="I712" s="3" t="s">
        <v>19</v>
      </c>
      <c r="J712" s="3">
        <v>2801</v>
      </c>
      <c r="K712" s="3">
        <v>633</v>
      </c>
      <c r="L712" s="3">
        <v>3</v>
      </c>
      <c r="M712" s="4">
        <f t="shared" si="93"/>
        <v>0.22599071760085684</v>
      </c>
      <c r="N712" s="4">
        <f t="shared" si="94"/>
        <v>4.7393364928909956E-3</v>
      </c>
      <c r="O712">
        <v>816</v>
      </c>
      <c r="P712" s="5">
        <v>1</v>
      </c>
      <c r="Q712" s="7">
        <v>1</v>
      </c>
      <c r="R712" t="str">
        <f t="shared" si="92"/>
        <v>код для проверки</v>
      </c>
      <c r="S712" t="str">
        <f t="shared" si="95"/>
        <v>Больше половины</v>
      </c>
      <c r="T712" t="str">
        <f t="shared" si="96"/>
        <v>Низшая четверть</v>
      </c>
      <c r="U712" t="str">
        <f t="shared" si="97"/>
        <v>код для проверки</v>
      </c>
      <c r="V712" t="str">
        <f t="shared" si="98"/>
        <v>Больше половины</v>
      </c>
      <c r="W712" t="str">
        <f t="shared" si="99"/>
        <v>Низшая четверть</v>
      </c>
      <c r="X712">
        <v>8</v>
      </c>
    </row>
    <row r="713" spans="1:24" x14ac:dyDescent="0.35">
      <c r="A713" s="1" t="s">
        <v>1690</v>
      </c>
      <c r="B713" s="2" t="s">
        <v>1691</v>
      </c>
      <c r="C713" s="3" t="s">
        <v>55</v>
      </c>
      <c r="D713" s="2" t="s">
        <v>94</v>
      </c>
      <c r="E713" s="3" t="s">
        <v>812</v>
      </c>
      <c r="F713" s="2" t="s">
        <v>96</v>
      </c>
      <c r="G713" s="3" t="s">
        <v>17</v>
      </c>
      <c r="H713" s="2" t="s">
        <v>18</v>
      </c>
      <c r="I713" s="3" t="s">
        <v>19</v>
      </c>
      <c r="J713" s="3">
        <v>2800</v>
      </c>
      <c r="K713" s="3">
        <v>485</v>
      </c>
      <c r="L713" s="3">
        <v>25</v>
      </c>
      <c r="M713" s="4">
        <f t="shared" si="93"/>
        <v>0.17321428571428571</v>
      </c>
      <c r="N713" s="4">
        <f t="shared" si="94"/>
        <v>5.1546391752577317E-2</v>
      </c>
      <c r="O713">
        <v>936</v>
      </c>
      <c r="P713" s="5">
        <v>1</v>
      </c>
      <c r="Q713" s="7">
        <v>1</v>
      </c>
      <c r="R713" t="str">
        <f t="shared" si="92"/>
        <v>нормальный код</v>
      </c>
      <c r="S713" t="str">
        <f t="shared" si="95"/>
        <v>Больше половины</v>
      </c>
      <c r="T713" t="str">
        <f t="shared" si="96"/>
        <v>Больше половины</v>
      </c>
      <c r="U713" t="str">
        <f t="shared" si="97"/>
        <v>нормальный код</v>
      </c>
      <c r="V713" t="str">
        <f t="shared" si="98"/>
        <v>Больше половины</v>
      </c>
      <c r="W713" t="str">
        <f t="shared" si="99"/>
        <v>Больше половины</v>
      </c>
      <c r="X713">
        <v>5</v>
      </c>
    </row>
    <row r="714" spans="1:24" x14ac:dyDescent="0.35">
      <c r="A714" s="1" t="s">
        <v>867</v>
      </c>
      <c r="B714" s="2" t="s">
        <v>868</v>
      </c>
      <c r="C714" s="3" t="s">
        <v>13</v>
      </c>
      <c r="D714" s="2" t="s">
        <v>77</v>
      </c>
      <c r="E714" s="3" t="s">
        <v>193</v>
      </c>
      <c r="F714" s="2" t="s">
        <v>34</v>
      </c>
      <c r="G714" s="3" t="s">
        <v>35</v>
      </c>
      <c r="H714" s="2" t="s">
        <v>18</v>
      </c>
      <c r="I714" s="3" t="s">
        <v>19</v>
      </c>
      <c r="J714" s="3">
        <v>2793</v>
      </c>
      <c r="K714" s="3">
        <v>282</v>
      </c>
      <c r="L714" s="3">
        <v>0</v>
      </c>
      <c r="M714" s="4">
        <f t="shared" si="93"/>
        <v>0.10096670247046187</v>
      </c>
      <c r="N714" s="4">
        <f t="shared" si="94"/>
        <v>0</v>
      </c>
      <c r="O714">
        <v>347</v>
      </c>
      <c r="P714" s="5">
        <v>1</v>
      </c>
      <c r="Q714" s="7">
        <v>1</v>
      </c>
      <c r="R714" t="str">
        <f t="shared" si="92"/>
        <v>код для проверки</v>
      </c>
      <c r="S714" t="str">
        <f t="shared" si="95"/>
        <v>Больше половины</v>
      </c>
      <c r="T714" t="str">
        <f t="shared" si="96"/>
        <v>Низшая четверть</v>
      </c>
      <c r="U714" t="str">
        <f t="shared" si="97"/>
        <v>код для проверки</v>
      </c>
      <c r="V714" t="str">
        <f t="shared" si="98"/>
        <v>Больше половины</v>
      </c>
      <c r="W714" t="str">
        <f t="shared" si="99"/>
        <v>Низшая четверть</v>
      </c>
      <c r="X714">
        <v>21</v>
      </c>
    </row>
    <row r="715" spans="1:24" x14ac:dyDescent="0.35">
      <c r="A715" s="1" t="s">
        <v>2262</v>
      </c>
      <c r="B715" s="2" t="s">
        <v>2263</v>
      </c>
      <c r="C715" s="3" t="s">
        <v>13</v>
      </c>
      <c r="D715" s="2" t="s">
        <v>69</v>
      </c>
      <c r="E715" s="3" t="s">
        <v>1511</v>
      </c>
      <c r="F715" s="2" t="s">
        <v>34</v>
      </c>
      <c r="G715" s="3" t="s">
        <v>72</v>
      </c>
      <c r="H715" s="2" t="s">
        <v>18</v>
      </c>
      <c r="I715" s="3" t="s">
        <v>19</v>
      </c>
      <c r="J715" s="3">
        <v>2792</v>
      </c>
      <c r="K715" s="3">
        <v>1683</v>
      </c>
      <c r="L715" s="3">
        <v>112</v>
      </c>
      <c r="M715" s="4">
        <f t="shared" si="93"/>
        <v>0.60279369627507162</v>
      </c>
      <c r="N715" s="4">
        <f t="shared" si="94"/>
        <v>6.6547831253713607E-2</v>
      </c>
      <c r="O715">
        <v>189</v>
      </c>
      <c r="P715" s="5">
        <v>1</v>
      </c>
      <c r="Q715" s="7">
        <v>1</v>
      </c>
      <c r="R715" t="str">
        <f t="shared" si="92"/>
        <v>нормальный код</v>
      </c>
      <c r="S715" t="str">
        <f t="shared" si="95"/>
        <v>Больше половины</v>
      </c>
      <c r="T715" t="str">
        <f t="shared" si="96"/>
        <v>Больше половины</v>
      </c>
      <c r="U715" t="str">
        <f t="shared" si="97"/>
        <v>нормальный код</v>
      </c>
      <c r="V715" t="str">
        <f t="shared" si="98"/>
        <v>Больше половины</v>
      </c>
      <c r="W715" t="str">
        <f t="shared" si="99"/>
        <v>Больше половины</v>
      </c>
      <c r="X715">
        <v>14</v>
      </c>
    </row>
    <row r="716" spans="1:24" x14ac:dyDescent="0.35">
      <c r="A716" s="1" t="s">
        <v>1109</v>
      </c>
      <c r="B716" s="2" t="s">
        <v>1110</v>
      </c>
      <c r="C716" s="3" t="s">
        <v>13</v>
      </c>
      <c r="D716" s="2" t="s">
        <v>77</v>
      </c>
      <c r="E716" s="3" t="s">
        <v>89</v>
      </c>
      <c r="F716" s="2" t="s">
        <v>34</v>
      </c>
      <c r="G716" s="3" t="s">
        <v>17</v>
      </c>
      <c r="H716" s="2" t="s">
        <v>18</v>
      </c>
      <c r="I716" s="3" t="s">
        <v>19</v>
      </c>
      <c r="J716" s="3">
        <v>2791</v>
      </c>
      <c r="K716" s="3">
        <v>542</v>
      </c>
      <c r="L716" s="3">
        <v>8</v>
      </c>
      <c r="M716" s="4">
        <f t="shared" si="93"/>
        <v>0.19419562880687927</v>
      </c>
      <c r="N716" s="4">
        <f t="shared" si="94"/>
        <v>1.4760147601476014E-2</v>
      </c>
      <c r="O716">
        <v>270</v>
      </c>
      <c r="P716" s="5">
        <v>1</v>
      </c>
      <c r="Q716" s="7">
        <v>1</v>
      </c>
      <c r="R716" t="str">
        <f t="shared" si="92"/>
        <v>нормальный код</v>
      </c>
      <c r="S716" t="str">
        <f t="shared" si="95"/>
        <v>Больше половины</v>
      </c>
      <c r="T716" t="str">
        <f t="shared" si="96"/>
        <v>Вторая четверть</v>
      </c>
      <c r="U716" t="str">
        <f t="shared" si="97"/>
        <v>нормальный код</v>
      </c>
      <c r="V716" t="str">
        <f t="shared" si="98"/>
        <v>Больше половины</v>
      </c>
      <c r="W716" t="str">
        <f t="shared" si="99"/>
        <v>Вторая четверть</v>
      </c>
      <c r="X716">
        <v>5</v>
      </c>
    </row>
    <row r="717" spans="1:24" x14ac:dyDescent="0.35">
      <c r="A717" s="1" t="s">
        <v>2412</v>
      </c>
      <c r="B717" s="2" t="s">
        <v>2413</v>
      </c>
      <c r="C717" s="3" t="s">
        <v>13</v>
      </c>
      <c r="D717" s="2" t="s">
        <v>155</v>
      </c>
      <c r="E717" s="3" t="s">
        <v>156</v>
      </c>
      <c r="F717" s="2" t="s">
        <v>34</v>
      </c>
      <c r="G717" s="3" t="s">
        <v>17</v>
      </c>
      <c r="H717" s="2" t="s">
        <v>18</v>
      </c>
      <c r="I717" s="3" t="s">
        <v>19</v>
      </c>
      <c r="J717" s="3">
        <v>2791</v>
      </c>
      <c r="K717" s="3">
        <v>49</v>
      </c>
      <c r="L717" s="3">
        <v>2</v>
      </c>
      <c r="M717" s="4">
        <f t="shared" si="93"/>
        <v>1.7556431386599784E-2</v>
      </c>
      <c r="N717" s="4">
        <f t="shared" si="94"/>
        <v>4.0816326530612242E-2</v>
      </c>
      <c r="O717">
        <v>1473</v>
      </c>
      <c r="P717" s="5">
        <v>1</v>
      </c>
      <c r="Q717" s="7">
        <v>1</v>
      </c>
      <c r="R717" t="str">
        <f t="shared" si="92"/>
        <v>код для проверки</v>
      </c>
      <c r="S717" t="str">
        <f t="shared" si="95"/>
        <v>Низшая четверть</v>
      </c>
      <c r="T717" t="str">
        <f t="shared" si="96"/>
        <v>Больше половины</v>
      </c>
      <c r="U717" t="str">
        <f t="shared" si="97"/>
        <v>код для проверки</v>
      </c>
      <c r="V717" t="str">
        <f t="shared" si="98"/>
        <v>Низшая четверть</v>
      </c>
      <c r="W717" t="str">
        <f t="shared" si="99"/>
        <v>Больше половины</v>
      </c>
      <c r="X717">
        <v>27</v>
      </c>
    </row>
    <row r="718" spans="1:24" x14ac:dyDescent="0.35">
      <c r="A718" s="1" t="s">
        <v>2203</v>
      </c>
      <c r="B718" s="2" t="s">
        <v>2204</v>
      </c>
      <c r="C718" s="3" t="s">
        <v>13</v>
      </c>
      <c r="D718" s="2" t="s">
        <v>164</v>
      </c>
      <c r="E718" s="3" t="s">
        <v>1210</v>
      </c>
      <c r="F718" s="2" t="s">
        <v>123</v>
      </c>
      <c r="G718" s="3" t="s">
        <v>17</v>
      </c>
      <c r="H718" s="2" t="s">
        <v>18</v>
      </c>
      <c r="I718" s="3" t="s">
        <v>19</v>
      </c>
      <c r="J718" s="3">
        <v>2786</v>
      </c>
      <c r="K718" s="3">
        <v>414</v>
      </c>
      <c r="L718" s="3">
        <v>2</v>
      </c>
      <c r="M718" s="4">
        <f t="shared" si="93"/>
        <v>0.14860014357501794</v>
      </c>
      <c r="N718" s="4">
        <f t="shared" si="94"/>
        <v>4.830917874396135E-3</v>
      </c>
      <c r="O718">
        <v>509</v>
      </c>
      <c r="P718" s="5">
        <v>1</v>
      </c>
      <c r="Q718" s="7">
        <v>1</v>
      </c>
      <c r="R718" t="str">
        <f t="shared" si="92"/>
        <v>код для проверки</v>
      </c>
      <c r="S718" t="str">
        <f t="shared" si="95"/>
        <v>Больше половины</v>
      </c>
      <c r="T718" t="str">
        <f t="shared" si="96"/>
        <v>Низшая четверть</v>
      </c>
      <c r="U718" t="str">
        <f t="shared" si="97"/>
        <v>код для проверки</v>
      </c>
      <c r="V718" t="str">
        <f t="shared" si="98"/>
        <v>Больше половины</v>
      </c>
      <c r="W718" t="str">
        <f t="shared" si="99"/>
        <v>Низшая четверть</v>
      </c>
      <c r="X718">
        <v>9</v>
      </c>
    </row>
    <row r="719" spans="1:24" x14ac:dyDescent="0.35">
      <c r="A719" s="1" t="s">
        <v>1208</v>
      </c>
      <c r="B719" s="2" t="s">
        <v>1209</v>
      </c>
      <c r="C719" s="3" t="s">
        <v>13</v>
      </c>
      <c r="D719" s="2" t="s">
        <v>164</v>
      </c>
      <c r="E719" s="3" t="s">
        <v>1210</v>
      </c>
      <c r="F719" s="2" t="s">
        <v>123</v>
      </c>
      <c r="G719" s="3" t="s">
        <v>35</v>
      </c>
      <c r="H719" s="2" t="s">
        <v>18</v>
      </c>
      <c r="I719" s="3" t="s">
        <v>19</v>
      </c>
      <c r="J719" s="3">
        <v>2785</v>
      </c>
      <c r="K719" s="3">
        <v>90</v>
      </c>
      <c r="L719" s="3">
        <v>3</v>
      </c>
      <c r="M719" s="4">
        <f t="shared" si="93"/>
        <v>3.231597845601436E-2</v>
      </c>
      <c r="N719" s="4">
        <f t="shared" si="94"/>
        <v>3.3333333333333333E-2</v>
      </c>
      <c r="O719">
        <v>422</v>
      </c>
      <c r="P719" s="5">
        <v>1</v>
      </c>
      <c r="Q719" s="7">
        <v>1</v>
      </c>
      <c r="R719" t="str">
        <f t="shared" si="92"/>
        <v>код для проверки</v>
      </c>
      <c r="S719" t="str">
        <f t="shared" si="95"/>
        <v>Низшая четверть</v>
      </c>
      <c r="T719" t="str">
        <f t="shared" si="96"/>
        <v>Больше половины</v>
      </c>
      <c r="U719" t="str">
        <f t="shared" si="97"/>
        <v>нормальный код</v>
      </c>
      <c r="V719" t="str">
        <f t="shared" si="98"/>
        <v>Вторая четверть</v>
      </c>
      <c r="W719" t="str">
        <f t="shared" si="99"/>
        <v>Больше половины</v>
      </c>
      <c r="X719">
        <v>8</v>
      </c>
    </row>
    <row r="720" spans="1:24" x14ac:dyDescent="0.35">
      <c r="A720" s="1" t="s">
        <v>1493</v>
      </c>
      <c r="B720" s="2" t="s">
        <v>1494</v>
      </c>
      <c r="C720" s="3" t="s">
        <v>13</v>
      </c>
      <c r="D720" s="2" t="s">
        <v>630</v>
      </c>
      <c r="E720" s="3" t="s">
        <v>685</v>
      </c>
      <c r="F720" s="2" t="s">
        <v>61</v>
      </c>
      <c r="G720" s="3" t="s">
        <v>17</v>
      </c>
      <c r="H720" s="2" t="s">
        <v>97</v>
      </c>
      <c r="I720" s="3" t="s">
        <v>19</v>
      </c>
      <c r="J720" s="3">
        <v>2776</v>
      </c>
      <c r="K720" s="3">
        <v>347</v>
      </c>
      <c r="L720" s="3">
        <v>8</v>
      </c>
      <c r="M720" s="4">
        <f t="shared" si="93"/>
        <v>0.125</v>
      </c>
      <c r="N720" s="4">
        <f t="shared" si="94"/>
        <v>2.3054755043227664E-2</v>
      </c>
      <c r="O720">
        <v>636</v>
      </c>
      <c r="P720" s="5">
        <v>1</v>
      </c>
      <c r="Q720" s="7">
        <v>1</v>
      </c>
      <c r="R720" t="str">
        <f t="shared" si="92"/>
        <v>нормальный код</v>
      </c>
      <c r="S720" t="str">
        <f t="shared" si="95"/>
        <v>Больше половины</v>
      </c>
      <c r="T720" t="str">
        <f t="shared" si="96"/>
        <v>Больше половины</v>
      </c>
      <c r="U720" t="str">
        <f t="shared" si="97"/>
        <v>нормальный код</v>
      </c>
      <c r="V720" t="str">
        <f t="shared" si="98"/>
        <v>Больше половины</v>
      </c>
      <c r="W720" t="str">
        <f t="shared" si="99"/>
        <v>Больше половины</v>
      </c>
      <c r="X720">
        <v>9</v>
      </c>
    </row>
    <row r="721" spans="1:24" x14ac:dyDescent="0.35">
      <c r="A721" s="1" t="s">
        <v>724</v>
      </c>
      <c r="B721" s="2" t="s">
        <v>725</v>
      </c>
      <c r="C721" s="3" t="s">
        <v>13</v>
      </c>
      <c r="D721" s="2" t="s">
        <v>77</v>
      </c>
      <c r="E721" s="3" t="s">
        <v>444</v>
      </c>
      <c r="F721" s="2" t="s">
        <v>96</v>
      </c>
      <c r="G721" s="3" t="s">
        <v>35</v>
      </c>
      <c r="H721" s="2" t="s">
        <v>18</v>
      </c>
      <c r="I721" s="3" t="s">
        <v>19</v>
      </c>
      <c r="J721" s="3">
        <v>2775</v>
      </c>
      <c r="K721" s="3">
        <v>842</v>
      </c>
      <c r="L721" s="3">
        <v>5</v>
      </c>
      <c r="M721" s="4">
        <f t="shared" si="93"/>
        <v>0.30342342342342343</v>
      </c>
      <c r="N721" s="4">
        <f t="shared" si="94"/>
        <v>5.9382422802850355E-3</v>
      </c>
      <c r="O721">
        <v>266</v>
      </c>
      <c r="P721" s="5">
        <v>1</v>
      </c>
      <c r="Q721" s="7">
        <v>1</v>
      </c>
      <c r="R721" t="str">
        <f t="shared" si="92"/>
        <v>код для проверки</v>
      </c>
      <c r="S721" t="str">
        <f t="shared" si="95"/>
        <v>Больше половины</v>
      </c>
      <c r="T721" t="str">
        <f t="shared" si="96"/>
        <v>Низшая четверть</v>
      </c>
      <c r="U721" t="str">
        <f t="shared" si="97"/>
        <v>нормальный код</v>
      </c>
      <c r="V721" t="str">
        <f t="shared" si="98"/>
        <v>Больше половины</v>
      </c>
      <c r="W721" t="str">
        <f t="shared" si="99"/>
        <v>Вторая четверть</v>
      </c>
      <c r="X721">
        <v>19</v>
      </c>
    </row>
    <row r="722" spans="1:24" x14ac:dyDescent="0.35">
      <c r="A722" s="1" t="s">
        <v>2120</v>
      </c>
      <c r="B722" s="2" t="s">
        <v>2121</v>
      </c>
      <c r="C722" s="3" t="s">
        <v>13</v>
      </c>
      <c r="D722" s="2" t="s">
        <v>155</v>
      </c>
      <c r="E722" s="3" t="s">
        <v>156</v>
      </c>
      <c r="F722" s="2" t="s">
        <v>34</v>
      </c>
      <c r="G722" s="3" t="s">
        <v>17</v>
      </c>
      <c r="H722" s="2" t="s">
        <v>18</v>
      </c>
      <c r="I722" s="3" t="s">
        <v>19</v>
      </c>
      <c r="J722" s="3">
        <v>2772</v>
      </c>
      <c r="K722" s="3">
        <v>476</v>
      </c>
      <c r="L722" s="3">
        <v>5</v>
      </c>
      <c r="M722" s="4">
        <f t="shared" si="93"/>
        <v>0.17171717171717171</v>
      </c>
      <c r="N722" s="4">
        <f t="shared" si="94"/>
        <v>1.050420168067227E-2</v>
      </c>
      <c r="O722">
        <v>365</v>
      </c>
      <c r="P722" s="5">
        <v>1</v>
      </c>
      <c r="Q722" s="7">
        <v>1</v>
      </c>
      <c r="R722" t="str">
        <f t="shared" si="92"/>
        <v>нормальный код</v>
      </c>
      <c r="S722" t="str">
        <f t="shared" si="95"/>
        <v>Больше половины</v>
      </c>
      <c r="T722" t="str">
        <f t="shared" si="96"/>
        <v>Вторая четверть</v>
      </c>
      <c r="U722" t="str">
        <f t="shared" si="97"/>
        <v>нормальный код</v>
      </c>
      <c r="V722" t="str">
        <f t="shared" si="98"/>
        <v>Больше половины</v>
      </c>
      <c r="W722" t="str">
        <f t="shared" si="99"/>
        <v>Вторая четверть</v>
      </c>
      <c r="X722">
        <v>9</v>
      </c>
    </row>
    <row r="723" spans="1:24" x14ac:dyDescent="0.35">
      <c r="A723" s="1" t="s">
        <v>1408</v>
      </c>
      <c r="B723" s="2" t="s">
        <v>1409</v>
      </c>
      <c r="C723" s="3" t="s">
        <v>13</v>
      </c>
      <c r="D723" s="2" t="s">
        <v>85</v>
      </c>
      <c r="E723" s="3" t="s">
        <v>599</v>
      </c>
      <c r="F723" s="2" t="s">
        <v>34</v>
      </c>
      <c r="G723" s="3" t="s">
        <v>35</v>
      </c>
      <c r="H723" s="2" t="s">
        <v>18</v>
      </c>
      <c r="I723" s="3" t="s">
        <v>19</v>
      </c>
      <c r="J723" s="3">
        <v>2772</v>
      </c>
      <c r="K723" s="3">
        <v>87</v>
      </c>
      <c r="L723" s="3">
        <v>5</v>
      </c>
      <c r="M723" s="4">
        <f t="shared" si="93"/>
        <v>3.1385281385281384E-2</v>
      </c>
      <c r="N723" s="4">
        <f t="shared" si="94"/>
        <v>5.7471264367816091E-2</v>
      </c>
      <c r="O723">
        <v>410</v>
      </c>
      <c r="P723" s="5">
        <v>0.8</v>
      </c>
      <c r="Q723" s="7">
        <v>1</v>
      </c>
      <c r="R723" t="str">
        <f t="shared" si="92"/>
        <v>код для проверки</v>
      </c>
      <c r="S723" t="str">
        <f t="shared" si="95"/>
        <v>Низшая четверть</v>
      </c>
      <c r="T723" t="str">
        <f t="shared" si="96"/>
        <v>Больше половины</v>
      </c>
      <c r="U723" t="str">
        <f t="shared" si="97"/>
        <v>нормальный код</v>
      </c>
      <c r="V723" t="str">
        <f t="shared" si="98"/>
        <v>Вторая четверть</v>
      </c>
      <c r="W723" t="str">
        <f t="shared" si="99"/>
        <v>Больше половины</v>
      </c>
      <c r="X723">
        <v>16</v>
      </c>
    </row>
    <row r="724" spans="1:24" x14ac:dyDescent="0.35">
      <c r="A724" s="1" t="s">
        <v>743</v>
      </c>
      <c r="B724" s="2" t="s">
        <v>744</v>
      </c>
      <c r="C724" s="3" t="s">
        <v>13</v>
      </c>
      <c r="D724" s="2" t="s">
        <v>155</v>
      </c>
      <c r="E724" s="3" t="s">
        <v>156</v>
      </c>
      <c r="F724" s="2" t="s">
        <v>34</v>
      </c>
      <c r="G724" s="3" t="s">
        <v>35</v>
      </c>
      <c r="H724" s="2" t="s">
        <v>18</v>
      </c>
      <c r="I724" s="3" t="s">
        <v>19</v>
      </c>
      <c r="J724" s="3">
        <v>2751</v>
      </c>
      <c r="K724" s="3">
        <v>425</v>
      </c>
      <c r="L724" s="3">
        <v>6</v>
      </c>
      <c r="M724" s="4">
        <f t="shared" si="93"/>
        <v>0.15448927662668122</v>
      </c>
      <c r="N724" s="4">
        <f t="shared" si="94"/>
        <v>1.411764705882353E-2</v>
      </c>
      <c r="O724">
        <v>373</v>
      </c>
      <c r="P724" s="5">
        <v>1</v>
      </c>
      <c r="Q724" s="7">
        <v>1</v>
      </c>
      <c r="R724" t="str">
        <f t="shared" si="92"/>
        <v>нормальный код</v>
      </c>
      <c r="S724" t="str">
        <f t="shared" si="95"/>
        <v>Больше половины</v>
      </c>
      <c r="T724" t="str">
        <f t="shared" si="96"/>
        <v>Вторая четверть</v>
      </c>
      <c r="U724" t="str">
        <f t="shared" si="97"/>
        <v>нормальный код</v>
      </c>
      <c r="V724" t="str">
        <f t="shared" si="98"/>
        <v>Больше половины</v>
      </c>
      <c r="W724" t="str">
        <f t="shared" si="99"/>
        <v>Вторая четверть</v>
      </c>
      <c r="X724">
        <v>24</v>
      </c>
    </row>
    <row r="725" spans="1:24" x14ac:dyDescent="0.35">
      <c r="A725" s="1" t="s">
        <v>1428</v>
      </c>
      <c r="B725" s="2" t="s">
        <v>1429</v>
      </c>
      <c r="C725" s="3" t="s">
        <v>13</v>
      </c>
      <c r="D725" s="2" t="s">
        <v>104</v>
      </c>
      <c r="E725" s="3" t="s">
        <v>875</v>
      </c>
      <c r="F725" s="2" t="s">
        <v>71</v>
      </c>
      <c r="G725" s="3" t="s">
        <v>17</v>
      </c>
      <c r="H725" s="2" t="s">
        <v>18</v>
      </c>
      <c r="I725" s="3" t="s">
        <v>19</v>
      </c>
      <c r="J725" s="3">
        <v>2750</v>
      </c>
      <c r="K725" s="3">
        <v>184</v>
      </c>
      <c r="L725" s="3">
        <v>7</v>
      </c>
      <c r="M725" s="4">
        <f t="shared" si="93"/>
        <v>6.6909090909090904E-2</v>
      </c>
      <c r="N725" s="4">
        <f t="shared" si="94"/>
        <v>3.8043478260869568E-2</v>
      </c>
      <c r="O725">
        <v>222</v>
      </c>
      <c r="P725" s="5">
        <v>1</v>
      </c>
      <c r="Q725" s="7">
        <v>1</v>
      </c>
      <c r="R725" t="str">
        <f t="shared" si="92"/>
        <v>нормальный код</v>
      </c>
      <c r="S725" t="str">
        <f t="shared" si="95"/>
        <v>Вторая четверть</v>
      </c>
      <c r="T725" t="str">
        <f t="shared" si="96"/>
        <v>Больше половины</v>
      </c>
      <c r="U725" t="str">
        <f t="shared" si="97"/>
        <v>нормальный код</v>
      </c>
      <c r="V725" t="str">
        <f t="shared" si="98"/>
        <v>Вторая четверть</v>
      </c>
      <c r="W725" t="str">
        <f t="shared" si="99"/>
        <v>Больше половины</v>
      </c>
      <c r="X725">
        <v>16</v>
      </c>
    </row>
    <row r="726" spans="1:24" x14ac:dyDescent="0.35">
      <c r="A726" s="1" t="s">
        <v>553</v>
      </c>
      <c r="B726" s="2" t="s">
        <v>554</v>
      </c>
      <c r="C726" s="3" t="s">
        <v>13</v>
      </c>
      <c r="D726" s="2" t="s">
        <v>77</v>
      </c>
      <c r="E726" s="3" t="s">
        <v>193</v>
      </c>
      <c r="F726" s="2" t="s">
        <v>34</v>
      </c>
      <c r="G726" s="3" t="s">
        <v>17</v>
      </c>
      <c r="H726" s="2" t="s">
        <v>18</v>
      </c>
      <c r="I726" s="3" t="s">
        <v>19</v>
      </c>
      <c r="J726" s="3">
        <v>2735</v>
      </c>
      <c r="K726" s="3">
        <v>163</v>
      </c>
      <c r="L726" s="3">
        <v>1</v>
      </c>
      <c r="M726" s="4">
        <f t="shared" si="93"/>
        <v>5.9597806215722124E-2</v>
      </c>
      <c r="N726" s="4">
        <f t="shared" si="94"/>
        <v>6.1349693251533744E-3</v>
      </c>
      <c r="O726">
        <v>304</v>
      </c>
      <c r="P726" s="5">
        <v>1</v>
      </c>
      <c r="Q726" s="7">
        <v>1</v>
      </c>
      <c r="R726" t="str">
        <f t="shared" si="92"/>
        <v>код для проверки</v>
      </c>
      <c r="S726" t="str">
        <f t="shared" si="95"/>
        <v>Вторая четверть</v>
      </c>
      <c r="T726" t="str">
        <f t="shared" si="96"/>
        <v>Низшая четверть</v>
      </c>
      <c r="U726" t="str">
        <f t="shared" si="97"/>
        <v>код для проверки</v>
      </c>
      <c r="V726" t="str">
        <f t="shared" si="98"/>
        <v>Вторая четверть</v>
      </c>
      <c r="W726" t="str">
        <f t="shared" si="99"/>
        <v>Низшая четверть</v>
      </c>
      <c r="X726">
        <v>17</v>
      </c>
    </row>
    <row r="727" spans="1:24" x14ac:dyDescent="0.35">
      <c r="A727" s="1" t="s">
        <v>2371</v>
      </c>
      <c r="B727" s="2" t="s">
        <v>2372</v>
      </c>
      <c r="C727" s="3" t="s">
        <v>13</v>
      </c>
      <c r="D727" s="2" t="s">
        <v>69</v>
      </c>
      <c r="E727" s="3" t="s">
        <v>159</v>
      </c>
      <c r="F727" s="2" t="s">
        <v>34</v>
      </c>
      <c r="G727" s="3" t="s">
        <v>72</v>
      </c>
      <c r="H727" s="2" t="s">
        <v>18</v>
      </c>
      <c r="I727" s="3" t="s">
        <v>19</v>
      </c>
      <c r="J727" s="3">
        <v>2729</v>
      </c>
      <c r="K727" s="3">
        <v>107</v>
      </c>
      <c r="L727" s="3">
        <v>4</v>
      </c>
      <c r="M727" s="4">
        <f t="shared" si="93"/>
        <v>3.9208501282521069E-2</v>
      </c>
      <c r="N727" s="4">
        <f t="shared" si="94"/>
        <v>3.7383177570093455E-2</v>
      </c>
      <c r="O727">
        <v>652</v>
      </c>
      <c r="P727" s="5">
        <v>1</v>
      </c>
      <c r="Q727" s="7">
        <v>1</v>
      </c>
      <c r="R727" t="str">
        <f t="shared" si="92"/>
        <v>код для проверки</v>
      </c>
      <c r="S727" t="str">
        <f t="shared" si="95"/>
        <v>Низшая четверть</v>
      </c>
      <c r="T727" t="str">
        <f t="shared" si="96"/>
        <v>Больше половины</v>
      </c>
      <c r="U727" t="str">
        <f t="shared" si="97"/>
        <v>код для проверки</v>
      </c>
      <c r="V727" t="str">
        <f t="shared" si="98"/>
        <v>Низшая четверть</v>
      </c>
      <c r="W727" t="str">
        <f t="shared" si="99"/>
        <v>Больше половины</v>
      </c>
      <c r="X727">
        <v>15</v>
      </c>
    </row>
    <row r="728" spans="1:24" x14ac:dyDescent="0.35">
      <c r="A728" s="1" t="s">
        <v>959</v>
      </c>
      <c r="B728" s="2" t="s">
        <v>960</v>
      </c>
      <c r="C728" s="3" t="s">
        <v>13</v>
      </c>
      <c r="D728" s="2" t="s">
        <v>567</v>
      </c>
      <c r="E728" s="3" t="s">
        <v>568</v>
      </c>
      <c r="F728" s="2" t="s">
        <v>34</v>
      </c>
      <c r="G728" s="3" t="s">
        <v>35</v>
      </c>
      <c r="H728" s="2" t="s">
        <v>18</v>
      </c>
      <c r="I728" s="3" t="s">
        <v>19</v>
      </c>
      <c r="J728" s="3">
        <v>2717</v>
      </c>
      <c r="K728" s="3">
        <v>380</v>
      </c>
      <c r="L728" s="3">
        <v>2</v>
      </c>
      <c r="M728" s="4">
        <f t="shared" si="93"/>
        <v>0.13986013986013987</v>
      </c>
      <c r="N728" s="4">
        <f t="shared" si="94"/>
        <v>5.263157894736842E-3</v>
      </c>
      <c r="O728">
        <v>367</v>
      </c>
      <c r="P728" s="5">
        <v>1</v>
      </c>
      <c r="Q728" s="7">
        <v>1</v>
      </c>
      <c r="R728" t="str">
        <f t="shared" si="92"/>
        <v>код для проверки</v>
      </c>
      <c r="S728" t="str">
        <f t="shared" si="95"/>
        <v>Больше половины</v>
      </c>
      <c r="T728" t="str">
        <f t="shared" si="96"/>
        <v>Низшая четверть</v>
      </c>
      <c r="U728" t="str">
        <f t="shared" si="97"/>
        <v>код для проверки</v>
      </c>
      <c r="V728" t="str">
        <f t="shared" si="98"/>
        <v>Больше половины</v>
      </c>
      <c r="W728" t="str">
        <f t="shared" si="99"/>
        <v>Низшая четверть</v>
      </c>
      <c r="X728">
        <v>12</v>
      </c>
    </row>
    <row r="729" spans="1:24" x14ac:dyDescent="0.35">
      <c r="A729" s="1" t="s">
        <v>1107</v>
      </c>
      <c r="B729" s="2" t="s">
        <v>1108</v>
      </c>
      <c r="C729" s="3" t="s">
        <v>55</v>
      </c>
      <c r="D729" s="2" t="s">
        <v>94</v>
      </c>
      <c r="E729" s="3" t="s">
        <v>95</v>
      </c>
      <c r="F729" s="2" t="s">
        <v>96</v>
      </c>
      <c r="G729" s="3" t="s">
        <v>17</v>
      </c>
      <c r="H729" s="2" t="s">
        <v>97</v>
      </c>
      <c r="I729" s="3" t="s">
        <v>19</v>
      </c>
      <c r="J729" s="3">
        <v>2713</v>
      </c>
      <c r="K729" s="3">
        <v>6347</v>
      </c>
      <c r="L729" s="3">
        <v>2</v>
      </c>
      <c r="M729" s="4">
        <f t="shared" si="93"/>
        <v>2.3394765941761886</v>
      </c>
      <c r="N729" s="4">
        <f t="shared" si="94"/>
        <v>3.1510950055144165E-4</v>
      </c>
      <c r="O729">
        <v>1371</v>
      </c>
      <c r="P729" s="5">
        <v>0.77777777777777779</v>
      </c>
      <c r="Q729" s="7">
        <v>1</v>
      </c>
      <c r="R729" t="str">
        <f t="shared" si="92"/>
        <v>код для проверки</v>
      </c>
      <c r="S729" t="str">
        <f t="shared" si="95"/>
        <v>Больше половины</v>
      </c>
      <c r="T729" t="str">
        <f t="shared" si="96"/>
        <v>Низшая четверть</v>
      </c>
      <c r="U729" t="str">
        <f t="shared" si="97"/>
        <v>код для проверки</v>
      </c>
      <c r="V729" t="str">
        <f t="shared" si="98"/>
        <v>Больше половины</v>
      </c>
      <c r="W729" t="str">
        <f t="shared" si="99"/>
        <v>Низшая четверть</v>
      </c>
      <c r="X729">
        <v>15</v>
      </c>
    </row>
    <row r="730" spans="1:24" x14ac:dyDescent="0.35">
      <c r="A730" s="1" t="s">
        <v>1519</v>
      </c>
      <c r="B730" s="2" t="s">
        <v>1520</v>
      </c>
      <c r="C730" s="3" t="s">
        <v>13</v>
      </c>
      <c r="D730" s="2" t="s">
        <v>155</v>
      </c>
      <c r="E730" s="3" t="s">
        <v>156</v>
      </c>
      <c r="F730" s="2" t="s">
        <v>34</v>
      </c>
      <c r="G730" s="3" t="s">
        <v>35</v>
      </c>
      <c r="H730" s="2" t="s">
        <v>18</v>
      </c>
      <c r="I730" s="3" t="s">
        <v>19</v>
      </c>
      <c r="J730" s="3">
        <v>2702</v>
      </c>
      <c r="K730" s="3">
        <v>1729</v>
      </c>
      <c r="L730" s="3">
        <v>58</v>
      </c>
      <c r="M730" s="4">
        <f t="shared" si="93"/>
        <v>0.63989637305699487</v>
      </c>
      <c r="N730" s="4">
        <f t="shared" si="94"/>
        <v>3.3545401966454599E-2</v>
      </c>
      <c r="O730">
        <v>0</v>
      </c>
      <c r="P730" s="5">
        <v>1</v>
      </c>
      <c r="Q730" s="7">
        <v>0</v>
      </c>
      <c r="R730" t="s">
        <v>2350</v>
      </c>
      <c r="S730" t="str">
        <f t="shared" si="95"/>
        <v>Больше половины</v>
      </c>
      <c r="T730" t="str">
        <f t="shared" si="96"/>
        <v>Больше половины</v>
      </c>
      <c r="U730" t="str">
        <f t="shared" si="97"/>
        <v>нормальный код</v>
      </c>
      <c r="V730" t="str">
        <f t="shared" si="98"/>
        <v>Больше половины</v>
      </c>
      <c r="W730" t="str">
        <f t="shared" si="99"/>
        <v>Больше половины</v>
      </c>
      <c r="X730">
        <v>5</v>
      </c>
    </row>
    <row r="731" spans="1:24" x14ac:dyDescent="0.35">
      <c r="A731" s="1" t="s">
        <v>1778</v>
      </c>
      <c r="B731" s="2" t="s">
        <v>1779</v>
      </c>
      <c r="C731" s="3" t="s">
        <v>13</v>
      </c>
      <c r="D731" s="2" t="s">
        <v>69</v>
      </c>
      <c r="E731" s="3" t="s">
        <v>1780</v>
      </c>
      <c r="F731" s="2" t="s">
        <v>61</v>
      </c>
      <c r="G731" s="3" t="s">
        <v>72</v>
      </c>
      <c r="H731" s="2" t="s">
        <v>18</v>
      </c>
      <c r="I731" s="3" t="s">
        <v>19</v>
      </c>
      <c r="J731" s="3">
        <v>2696</v>
      </c>
      <c r="K731" s="3">
        <v>111</v>
      </c>
      <c r="L731" s="3">
        <v>6</v>
      </c>
      <c r="M731" s="4">
        <f t="shared" si="93"/>
        <v>4.1172106824925815E-2</v>
      </c>
      <c r="N731" s="4">
        <f t="shared" si="94"/>
        <v>5.4054054054054057E-2</v>
      </c>
      <c r="O731">
        <v>654</v>
      </c>
      <c r="P731" s="5">
        <v>1</v>
      </c>
      <c r="Q731" s="7">
        <v>1</v>
      </c>
      <c r="R731" t="str">
        <f t="shared" ref="R731:R749" si="100">IF(OR(M731&lt;$S$1*0.5,N731&lt;$T$1*0.5),"код для проверки","нормальный код")</f>
        <v>код для проверки</v>
      </c>
      <c r="S731" t="str">
        <f t="shared" si="95"/>
        <v>Низшая четверть</v>
      </c>
      <c r="T731" t="str">
        <f t="shared" si="96"/>
        <v>Больше половины</v>
      </c>
      <c r="U731" t="str">
        <f t="shared" si="97"/>
        <v>нормальный код</v>
      </c>
      <c r="V731" t="str">
        <f t="shared" si="98"/>
        <v>Больше половины</v>
      </c>
      <c r="W731" t="str">
        <f t="shared" si="99"/>
        <v>Больше половины</v>
      </c>
      <c r="X731">
        <v>20</v>
      </c>
    </row>
    <row r="732" spans="1:24" x14ac:dyDescent="0.35">
      <c r="A732" s="1" t="s">
        <v>1410</v>
      </c>
      <c r="B732" s="2" t="s">
        <v>1411</v>
      </c>
      <c r="C732" s="3" t="s">
        <v>55</v>
      </c>
      <c r="D732" s="2" t="s">
        <v>972</v>
      </c>
      <c r="E732" s="3" t="s">
        <v>973</v>
      </c>
      <c r="F732" s="2" t="s">
        <v>34</v>
      </c>
      <c r="G732" s="3" t="s">
        <v>17</v>
      </c>
      <c r="H732" s="2" t="s">
        <v>18</v>
      </c>
      <c r="I732" s="3" t="s">
        <v>19</v>
      </c>
      <c r="J732" s="3">
        <v>2689</v>
      </c>
      <c r="K732" s="3">
        <v>537</v>
      </c>
      <c r="L732" s="3">
        <v>8</v>
      </c>
      <c r="M732" s="4">
        <f t="shared" si="93"/>
        <v>0.19970249163257717</v>
      </c>
      <c r="N732" s="4">
        <f t="shared" si="94"/>
        <v>1.4897579143389199E-2</v>
      </c>
      <c r="O732">
        <v>248</v>
      </c>
      <c r="P732" s="5">
        <v>1</v>
      </c>
      <c r="Q732" s="7">
        <v>1</v>
      </c>
      <c r="R732" t="str">
        <f t="shared" si="100"/>
        <v>нормальный код</v>
      </c>
      <c r="S732" t="str">
        <f t="shared" si="95"/>
        <v>Больше половины</v>
      </c>
      <c r="T732" t="str">
        <f t="shared" si="96"/>
        <v>Вторая четверть</v>
      </c>
      <c r="U732" t="str">
        <f t="shared" si="97"/>
        <v>нормальный код</v>
      </c>
      <c r="V732" t="str">
        <f t="shared" si="98"/>
        <v>Больше половины</v>
      </c>
      <c r="W732" t="str">
        <f t="shared" si="99"/>
        <v>Вторая четверть</v>
      </c>
      <c r="X732">
        <v>23</v>
      </c>
    </row>
    <row r="733" spans="1:24" x14ac:dyDescent="0.35">
      <c r="A733" s="1" t="s">
        <v>2513</v>
      </c>
      <c r="B733" s="2" t="s">
        <v>2514</v>
      </c>
      <c r="C733" s="3" t="s">
        <v>55</v>
      </c>
      <c r="D733" s="2" t="s">
        <v>94</v>
      </c>
      <c r="E733" s="3" t="s">
        <v>95</v>
      </c>
      <c r="F733" s="2" t="s">
        <v>96</v>
      </c>
      <c r="G733" s="3" t="s">
        <v>17</v>
      </c>
      <c r="H733" s="2" t="s">
        <v>97</v>
      </c>
      <c r="I733" s="3" t="s">
        <v>19</v>
      </c>
      <c r="J733" s="3">
        <v>2671</v>
      </c>
      <c r="K733" s="3">
        <v>6179</v>
      </c>
      <c r="L733" s="3">
        <v>15</v>
      </c>
      <c r="M733" s="4">
        <f t="shared" si="93"/>
        <v>2.3133657806065142</v>
      </c>
      <c r="N733" s="4">
        <f t="shared" si="94"/>
        <v>2.4275772778766789E-3</v>
      </c>
      <c r="O733">
        <v>1845</v>
      </c>
      <c r="P733" s="5">
        <v>0.77777777777777779</v>
      </c>
      <c r="Q733" s="7">
        <v>1</v>
      </c>
      <c r="R733" t="str">
        <f t="shared" si="100"/>
        <v>код для проверки</v>
      </c>
      <c r="S733" t="str">
        <f t="shared" si="95"/>
        <v>Больше половины</v>
      </c>
      <c r="T733" t="str">
        <f t="shared" si="96"/>
        <v>Низшая четверть</v>
      </c>
      <c r="U733" t="str">
        <f t="shared" si="97"/>
        <v>код для проверки</v>
      </c>
      <c r="V733" t="str">
        <f t="shared" si="98"/>
        <v>Больше половины</v>
      </c>
      <c r="W733" t="str">
        <f t="shared" si="99"/>
        <v>Низшая четверть</v>
      </c>
      <c r="X733">
        <v>21</v>
      </c>
    </row>
    <row r="734" spans="1:24" x14ac:dyDescent="0.35">
      <c r="A734" s="1" t="s">
        <v>1035</v>
      </c>
      <c r="B734" s="2" t="s">
        <v>1036</v>
      </c>
      <c r="C734" s="3" t="s">
        <v>13</v>
      </c>
      <c r="D734" s="2" t="s">
        <v>630</v>
      </c>
      <c r="E734" s="3" t="s">
        <v>685</v>
      </c>
      <c r="F734" s="2" t="s">
        <v>61</v>
      </c>
      <c r="G734" s="3" t="s">
        <v>17</v>
      </c>
      <c r="H734" s="2" t="s">
        <v>97</v>
      </c>
      <c r="I734" s="3" t="s">
        <v>19</v>
      </c>
      <c r="J734" s="3">
        <v>2670</v>
      </c>
      <c r="K734" s="3">
        <v>251</v>
      </c>
      <c r="L734" s="3">
        <v>1</v>
      </c>
      <c r="M734" s="4">
        <f t="shared" si="93"/>
        <v>9.4007490636704119E-2</v>
      </c>
      <c r="N734" s="4">
        <f t="shared" si="94"/>
        <v>3.9840637450199202E-3</v>
      </c>
      <c r="O734">
        <v>681</v>
      </c>
      <c r="P734" s="5">
        <v>1</v>
      </c>
      <c r="Q734" s="7">
        <v>1</v>
      </c>
      <c r="R734" t="str">
        <f t="shared" si="100"/>
        <v>код для проверки</v>
      </c>
      <c r="S734" t="str">
        <f t="shared" si="95"/>
        <v>Вторая четверть</v>
      </c>
      <c r="T734" t="str">
        <f t="shared" si="96"/>
        <v>Низшая четверть</v>
      </c>
      <c r="U734" t="str">
        <f t="shared" si="97"/>
        <v>код для проверки</v>
      </c>
      <c r="V734" t="str">
        <f t="shared" si="98"/>
        <v>Вторая четверть</v>
      </c>
      <c r="W734" t="str">
        <f t="shared" si="99"/>
        <v>Низшая четверть</v>
      </c>
      <c r="X734">
        <v>8</v>
      </c>
    </row>
    <row r="735" spans="1:24" x14ac:dyDescent="0.35">
      <c r="A735" s="1" t="s">
        <v>1184</v>
      </c>
      <c r="B735" s="2" t="s">
        <v>1185</v>
      </c>
      <c r="C735" s="3" t="s">
        <v>13</v>
      </c>
      <c r="D735" s="2" t="s">
        <v>121</v>
      </c>
      <c r="E735" s="3" t="s">
        <v>531</v>
      </c>
      <c r="F735" s="2" t="s">
        <v>123</v>
      </c>
      <c r="G735" s="3" t="s">
        <v>35</v>
      </c>
      <c r="H735" s="2" t="s">
        <v>18</v>
      </c>
      <c r="I735" s="3" t="s">
        <v>19</v>
      </c>
      <c r="J735" s="3">
        <v>2659</v>
      </c>
      <c r="K735" s="3">
        <v>258</v>
      </c>
      <c r="L735" s="3">
        <v>4</v>
      </c>
      <c r="M735" s="4">
        <f t="shared" si="93"/>
        <v>9.7028958254983075E-2</v>
      </c>
      <c r="N735" s="4">
        <f t="shared" si="94"/>
        <v>1.5503875968992248E-2</v>
      </c>
      <c r="O735">
        <v>154</v>
      </c>
      <c r="P735" s="5">
        <v>0.8</v>
      </c>
      <c r="Q735" s="7">
        <v>1</v>
      </c>
      <c r="R735" t="str">
        <f t="shared" si="100"/>
        <v>нормальный код</v>
      </c>
      <c r="S735" t="str">
        <f t="shared" si="95"/>
        <v>Больше половины</v>
      </c>
      <c r="T735" t="str">
        <f t="shared" si="96"/>
        <v>Вторая четверть</v>
      </c>
      <c r="U735" t="str">
        <f t="shared" si="97"/>
        <v>нормальный код</v>
      </c>
      <c r="V735" t="str">
        <f t="shared" si="98"/>
        <v>Больше половины</v>
      </c>
      <c r="W735" t="str">
        <f t="shared" si="99"/>
        <v>Вторая четверть</v>
      </c>
      <c r="X735">
        <v>22</v>
      </c>
    </row>
    <row r="736" spans="1:24" x14ac:dyDescent="0.35">
      <c r="A736" s="1" t="s">
        <v>1645</v>
      </c>
      <c r="B736" s="2" t="s">
        <v>1646</v>
      </c>
      <c r="C736" s="3" t="s">
        <v>55</v>
      </c>
      <c r="D736" s="2" t="s">
        <v>94</v>
      </c>
      <c r="E736" s="3" t="s">
        <v>95</v>
      </c>
      <c r="F736" s="2" t="s">
        <v>96</v>
      </c>
      <c r="G736" s="3" t="s">
        <v>17</v>
      </c>
      <c r="H736" s="2" t="s">
        <v>97</v>
      </c>
      <c r="I736" s="3" t="s">
        <v>19</v>
      </c>
      <c r="J736" s="3">
        <v>2652</v>
      </c>
      <c r="K736" s="3">
        <v>4995</v>
      </c>
      <c r="L736" s="3">
        <v>10</v>
      </c>
      <c r="M736" s="4">
        <f t="shared" si="93"/>
        <v>1.8834841628959276</v>
      </c>
      <c r="N736" s="4">
        <f t="shared" si="94"/>
        <v>2.002002002002002E-3</v>
      </c>
      <c r="O736">
        <v>1469</v>
      </c>
      <c r="P736" s="5">
        <v>0.66666666666666663</v>
      </c>
      <c r="Q736" s="7">
        <v>1</v>
      </c>
      <c r="R736" t="str">
        <f t="shared" si="100"/>
        <v>код для проверки</v>
      </c>
      <c r="S736" t="str">
        <f t="shared" si="95"/>
        <v>Больше половины</v>
      </c>
      <c r="T736" t="str">
        <f t="shared" si="96"/>
        <v>Низшая четверть</v>
      </c>
      <c r="U736" t="str">
        <f t="shared" si="97"/>
        <v>код для проверки</v>
      </c>
      <c r="V736" t="str">
        <f t="shared" si="98"/>
        <v>Больше половины</v>
      </c>
      <c r="W736" t="str">
        <f t="shared" si="99"/>
        <v>Низшая четверть</v>
      </c>
      <c r="X736">
        <v>22</v>
      </c>
    </row>
    <row r="737" spans="1:24" x14ac:dyDescent="0.35">
      <c r="A737" s="1" t="s">
        <v>559</v>
      </c>
      <c r="B737" s="2" t="s">
        <v>560</v>
      </c>
      <c r="C737" s="3" t="s">
        <v>55</v>
      </c>
      <c r="D737" s="2" t="s">
        <v>340</v>
      </c>
      <c r="E737" s="3" t="s">
        <v>341</v>
      </c>
      <c r="F737" s="2" t="s">
        <v>96</v>
      </c>
      <c r="G737" s="3" t="s">
        <v>17</v>
      </c>
      <c r="H737" s="2" t="s">
        <v>97</v>
      </c>
      <c r="I737" s="3" t="s">
        <v>19</v>
      </c>
      <c r="J737" s="3">
        <v>2651</v>
      </c>
      <c r="K737" s="3">
        <v>195</v>
      </c>
      <c r="L737" s="3">
        <v>8</v>
      </c>
      <c r="M737" s="4">
        <f t="shared" si="93"/>
        <v>7.355714824594492E-2</v>
      </c>
      <c r="N737" s="4">
        <f t="shared" si="94"/>
        <v>4.1025641025641026E-2</v>
      </c>
      <c r="O737">
        <v>1585</v>
      </c>
      <c r="P737" s="5">
        <v>1</v>
      </c>
      <c r="Q737" s="7">
        <v>1</v>
      </c>
      <c r="R737" t="str">
        <f t="shared" si="100"/>
        <v>нормальный код</v>
      </c>
      <c r="S737" t="str">
        <f t="shared" si="95"/>
        <v>Вторая четверть</v>
      </c>
      <c r="T737" t="str">
        <f t="shared" si="96"/>
        <v>Больше половины</v>
      </c>
      <c r="U737" t="str">
        <f t="shared" si="97"/>
        <v>нормальный код</v>
      </c>
      <c r="V737" t="str">
        <f t="shared" si="98"/>
        <v>Вторая четверть</v>
      </c>
      <c r="W737" t="str">
        <f t="shared" si="99"/>
        <v>Больше половины</v>
      </c>
      <c r="X737">
        <v>13</v>
      </c>
    </row>
    <row r="738" spans="1:24" x14ac:dyDescent="0.35">
      <c r="A738" s="1" t="s">
        <v>703</v>
      </c>
      <c r="B738" s="2" t="s">
        <v>704</v>
      </c>
      <c r="C738" s="3" t="s">
        <v>13</v>
      </c>
      <c r="D738" s="2" t="s">
        <v>567</v>
      </c>
      <c r="E738" s="3" t="s">
        <v>568</v>
      </c>
      <c r="F738" s="2" t="s">
        <v>34</v>
      </c>
      <c r="G738" s="3" t="s">
        <v>35</v>
      </c>
      <c r="H738" s="2" t="s">
        <v>18</v>
      </c>
      <c r="I738" s="3" t="s">
        <v>19</v>
      </c>
      <c r="J738" s="3">
        <v>2649</v>
      </c>
      <c r="K738" s="3">
        <v>290</v>
      </c>
      <c r="L738" s="3">
        <v>8</v>
      </c>
      <c r="M738" s="4">
        <f t="shared" si="93"/>
        <v>0.10947527368818422</v>
      </c>
      <c r="N738" s="4">
        <f t="shared" si="94"/>
        <v>2.7586206896551724E-2</v>
      </c>
      <c r="O738">
        <v>287</v>
      </c>
      <c r="P738" s="5">
        <v>1</v>
      </c>
      <c r="Q738" s="7">
        <v>1</v>
      </c>
      <c r="R738" t="str">
        <f t="shared" si="100"/>
        <v>нормальный код</v>
      </c>
      <c r="S738" t="str">
        <f t="shared" si="95"/>
        <v>Больше половины</v>
      </c>
      <c r="T738" t="str">
        <f t="shared" si="96"/>
        <v>Больше половины</v>
      </c>
      <c r="U738" t="str">
        <f t="shared" si="97"/>
        <v>нормальный код</v>
      </c>
      <c r="V738" t="str">
        <f t="shared" si="98"/>
        <v>Больше половины</v>
      </c>
      <c r="W738" t="str">
        <f t="shared" si="99"/>
        <v>Больше половины</v>
      </c>
      <c r="X738">
        <v>25</v>
      </c>
    </row>
    <row r="739" spans="1:24" x14ac:dyDescent="0.35">
      <c r="A739" s="1" t="s">
        <v>974</v>
      </c>
      <c r="B739" s="2" t="s">
        <v>975</v>
      </c>
      <c r="C739" s="3" t="s">
        <v>13</v>
      </c>
      <c r="D739" s="2" t="s">
        <v>69</v>
      </c>
      <c r="E739" s="3" t="s">
        <v>958</v>
      </c>
      <c r="F739" s="2" t="s">
        <v>96</v>
      </c>
      <c r="G739" s="3" t="s">
        <v>72</v>
      </c>
      <c r="H739" s="2" t="s">
        <v>18</v>
      </c>
      <c r="I739" s="3" t="s">
        <v>19</v>
      </c>
      <c r="J739" s="3">
        <v>2645</v>
      </c>
      <c r="K739" s="3">
        <v>404</v>
      </c>
      <c r="L739" s="3">
        <v>3</v>
      </c>
      <c r="M739" s="4">
        <f t="shared" si="93"/>
        <v>0.15274102079395085</v>
      </c>
      <c r="N739" s="4">
        <f t="shared" si="94"/>
        <v>7.4257425742574254E-3</v>
      </c>
      <c r="O739">
        <v>989</v>
      </c>
      <c r="P739" s="5">
        <v>1</v>
      </c>
      <c r="Q739" s="7">
        <v>1</v>
      </c>
      <c r="R739" t="str">
        <f t="shared" si="100"/>
        <v>код для проверки</v>
      </c>
      <c r="S739" t="str">
        <f t="shared" si="95"/>
        <v>Больше половины</v>
      </c>
      <c r="T739" t="str">
        <f t="shared" si="96"/>
        <v>Низшая четверть</v>
      </c>
      <c r="U739" t="str">
        <f t="shared" si="97"/>
        <v>нормальный код</v>
      </c>
      <c r="V739" t="str">
        <f t="shared" si="98"/>
        <v>Вторая четверть</v>
      </c>
      <c r="W739" t="str">
        <f t="shared" si="99"/>
        <v>Больше половины</v>
      </c>
      <c r="X739">
        <v>13</v>
      </c>
    </row>
    <row r="740" spans="1:24" x14ac:dyDescent="0.35">
      <c r="A740" s="1" t="s">
        <v>1019</v>
      </c>
      <c r="B740" s="2" t="s">
        <v>1020</v>
      </c>
      <c r="C740" s="3" t="s">
        <v>13</v>
      </c>
      <c r="D740" s="2" t="s">
        <v>77</v>
      </c>
      <c r="E740" s="3" t="s">
        <v>444</v>
      </c>
      <c r="F740" s="2" t="s">
        <v>96</v>
      </c>
      <c r="G740" s="3" t="s">
        <v>35</v>
      </c>
      <c r="H740" s="2" t="s">
        <v>18</v>
      </c>
      <c r="I740" s="3" t="s">
        <v>19</v>
      </c>
      <c r="J740" s="3">
        <v>2641</v>
      </c>
      <c r="K740" s="3">
        <v>627</v>
      </c>
      <c r="L740" s="3">
        <v>1</v>
      </c>
      <c r="M740" s="4">
        <f t="shared" si="93"/>
        <v>0.23741007194244604</v>
      </c>
      <c r="N740" s="4">
        <f t="shared" si="94"/>
        <v>1.594896331738437E-3</v>
      </c>
      <c r="O740">
        <v>298</v>
      </c>
      <c r="P740" s="5">
        <v>1</v>
      </c>
      <c r="Q740" s="7">
        <v>1</v>
      </c>
      <c r="R740" t="str">
        <f t="shared" si="100"/>
        <v>код для проверки</v>
      </c>
      <c r="S740" t="str">
        <f t="shared" si="95"/>
        <v>Больше половины</v>
      </c>
      <c r="T740" t="str">
        <f t="shared" si="96"/>
        <v>Низшая четверть</v>
      </c>
      <c r="U740" t="str">
        <f t="shared" si="97"/>
        <v>код для проверки</v>
      </c>
      <c r="V740" t="str">
        <f t="shared" si="98"/>
        <v>Больше половины</v>
      </c>
      <c r="W740" t="str">
        <f t="shared" si="99"/>
        <v>Низшая четверть</v>
      </c>
      <c r="X740">
        <v>20</v>
      </c>
    </row>
    <row r="741" spans="1:24" x14ac:dyDescent="0.35">
      <c r="A741" s="1" t="s">
        <v>956</v>
      </c>
      <c r="B741" s="2" t="s">
        <v>957</v>
      </c>
      <c r="C741" s="3" t="s">
        <v>13</v>
      </c>
      <c r="D741" s="2" t="s">
        <v>69</v>
      </c>
      <c r="E741" s="3" t="s">
        <v>958</v>
      </c>
      <c r="F741" s="2" t="s">
        <v>96</v>
      </c>
      <c r="G741" s="3" t="s">
        <v>72</v>
      </c>
      <c r="H741" s="2" t="s">
        <v>18</v>
      </c>
      <c r="I741" s="3" t="s">
        <v>19</v>
      </c>
      <c r="J741" s="3">
        <v>2638</v>
      </c>
      <c r="K741" s="3">
        <v>589</v>
      </c>
      <c r="L741" s="3">
        <v>4</v>
      </c>
      <c r="M741" s="4">
        <f t="shared" si="93"/>
        <v>0.22327520849128127</v>
      </c>
      <c r="N741" s="4">
        <f t="shared" si="94"/>
        <v>6.7911714770797962E-3</v>
      </c>
      <c r="O741">
        <v>1356</v>
      </c>
      <c r="P741" s="5">
        <v>1</v>
      </c>
      <c r="Q741" s="7">
        <v>1</v>
      </c>
      <c r="R741" t="str">
        <f t="shared" si="100"/>
        <v>код для проверки</v>
      </c>
      <c r="S741" t="str">
        <f t="shared" si="95"/>
        <v>Больше половины</v>
      </c>
      <c r="T741" t="str">
        <f t="shared" si="96"/>
        <v>Низшая четверть</v>
      </c>
      <c r="U741" t="str">
        <f t="shared" si="97"/>
        <v>нормальный код</v>
      </c>
      <c r="V741" t="str">
        <f t="shared" si="98"/>
        <v>Больше половины</v>
      </c>
      <c r="W741" t="str">
        <f t="shared" si="99"/>
        <v>Больше половины</v>
      </c>
      <c r="X741">
        <v>13</v>
      </c>
    </row>
    <row r="742" spans="1:24" x14ac:dyDescent="0.35">
      <c r="A742" s="1" t="s">
        <v>1802</v>
      </c>
      <c r="B742" s="2" t="s">
        <v>1803</v>
      </c>
      <c r="C742" s="3" t="s">
        <v>55</v>
      </c>
      <c r="D742" s="2" t="s">
        <v>94</v>
      </c>
      <c r="E742" s="3" t="s">
        <v>95</v>
      </c>
      <c r="F742" s="2" t="s">
        <v>96</v>
      </c>
      <c r="G742" s="3" t="s">
        <v>17</v>
      </c>
      <c r="H742" s="2" t="s">
        <v>97</v>
      </c>
      <c r="I742" s="3" t="s">
        <v>19</v>
      </c>
      <c r="J742" s="3">
        <v>2627</v>
      </c>
      <c r="K742" s="3">
        <v>8463</v>
      </c>
      <c r="L742" s="3">
        <v>11</v>
      </c>
      <c r="M742" s="4">
        <f t="shared" si="93"/>
        <v>3.221545489151123</v>
      </c>
      <c r="N742" s="4">
        <f t="shared" si="94"/>
        <v>1.2997754933238804E-3</v>
      </c>
      <c r="O742">
        <v>2168</v>
      </c>
      <c r="P742" s="5">
        <v>0.88888888888888884</v>
      </c>
      <c r="Q742" s="7">
        <v>1</v>
      </c>
      <c r="R742" t="str">
        <f t="shared" si="100"/>
        <v>код для проверки</v>
      </c>
      <c r="S742" t="str">
        <f t="shared" si="95"/>
        <v>Больше половины</v>
      </c>
      <c r="T742" t="str">
        <f t="shared" si="96"/>
        <v>Низшая четверть</v>
      </c>
      <c r="U742" t="str">
        <f t="shared" si="97"/>
        <v>код для проверки</v>
      </c>
      <c r="V742" t="str">
        <f t="shared" si="98"/>
        <v>Больше половины</v>
      </c>
      <c r="W742" t="str">
        <f t="shared" si="99"/>
        <v>Низшая четверть</v>
      </c>
      <c r="X742">
        <v>15</v>
      </c>
    </row>
    <row r="743" spans="1:24" x14ac:dyDescent="0.35">
      <c r="A743" s="1" t="s">
        <v>2258</v>
      </c>
      <c r="B743" s="2" t="s">
        <v>2259</v>
      </c>
      <c r="C743" s="3" t="s">
        <v>13</v>
      </c>
      <c r="D743" s="2" t="s">
        <v>69</v>
      </c>
      <c r="E743" s="3" t="s">
        <v>371</v>
      </c>
      <c r="F743" s="2" t="s">
        <v>96</v>
      </c>
      <c r="G743" s="3" t="s">
        <v>72</v>
      </c>
      <c r="H743" s="2" t="s">
        <v>18</v>
      </c>
      <c r="I743" s="3" t="s">
        <v>19</v>
      </c>
      <c r="J743" s="3">
        <v>2626</v>
      </c>
      <c r="K743" s="3">
        <v>331</v>
      </c>
      <c r="L743" s="3">
        <v>9</v>
      </c>
      <c r="M743" s="4">
        <f t="shared" si="93"/>
        <v>0.12604722010662606</v>
      </c>
      <c r="N743" s="4">
        <f t="shared" si="94"/>
        <v>2.7190332326283987E-2</v>
      </c>
      <c r="O743">
        <v>335</v>
      </c>
      <c r="P743" s="5">
        <v>1</v>
      </c>
      <c r="Q743" s="7">
        <v>1</v>
      </c>
      <c r="R743" t="str">
        <f t="shared" si="100"/>
        <v>нормальный код</v>
      </c>
      <c r="S743" t="str">
        <f t="shared" si="95"/>
        <v>Больше половины</v>
      </c>
      <c r="T743" t="str">
        <f t="shared" si="96"/>
        <v>Больше половины</v>
      </c>
      <c r="U743" t="str">
        <f t="shared" si="97"/>
        <v>нормальный код</v>
      </c>
      <c r="V743" t="str">
        <f t="shared" si="98"/>
        <v>Больше половины</v>
      </c>
      <c r="W743" t="str">
        <f t="shared" si="99"/>
        <v>Больше половины</v>
      </c>
      <c r="X743">
        <v>14</v>
      </c>
    </row>
    <row r="744" spans="1:24" x14ac:dyDescent="0.35">
      <c r="A744" s="1" t="s">
        <v>1627</v>
      </c>
      <c r="B744" s="2" t="s">
        <v>1628</v>
      </c>
      <c r="C744" s="3" t="s">
        <v>55</v>
      </c>
      <c r="D744" s="2" t="s">
        <v>56</v>
      </c>
      <c r="E744" s="3" t="s">
        <v>700</v>
      </c>
      <c r="F744" s="2" t="s">
        <v>96</v>
      </c>
      <c r="G744" s="3" t="s">
        <v>17</v>
      </c>
      <c r="H744" s="2" t="s">
        <v>18</v>
      </c>
      <c r="I744" s="3" t="s">
        <v>19</v>
      </c>
      <c r="J744" s="3">
        <v>2613</v>
      </c>
      <c r="K744" s="3">
        <v>97</v>
      </c>
      <c r="L744" s="3">
        <v>2</v>
      </c>
      <c r="M744" s="4">
        <f t="shared" si="93"/>
        <v>3.7122081898201299E-2</v>
      </c>
      <c r="N744" s="4">
        <f t="shared" si="94"/>
        <v>2.0618556701030927E-2</v>
      </c>
      <c r="O744">
        <v>313</v>
      </c>
      <c r="P744" s="5">
        <v>1</v>
      </c>
      <c r="Q744" s="7">
        <v>1</v>
      </c>
      <c r="R744" t="str">
        <f t="shared" si="100"/>
        <v>код для проверки</v>
      </c>
      <c r="S744" t="str">
        <f t="shared" si="95"/>
        <v>Низшая четверть</v>
      </c>
      <c r="T744" t="str">
        <f t="shared" si="96"/>
        <v>Больше половины</v>
      </c>
      <c r="U744" t="str">
        <f t="shared" si="97"/>
        <v>код для проверки</v>
      </c>
      <c r="V744" t="str">
        <f t="shared" si="98"/>
        <v>Вторая четверть</v>
      </c>
      <c r="W744" t="str">
        <f t="shared" si="99"/>
        <v>Низшая четверть</v>
      </c>
      <c r="X744">
        <v>16</v>
      </c>
    </row>
    <row r="745" spans="1:24" x14ac:dyDescent="0.35">
      <c r="A745" s="1" t="s">
        <v>1563</v>
      </c>
      <c r="B745" s="2" t="s">
        <v>1564</v>
      </c>
      <c r="C745" s="3" t="s">
        <v>55</v>
      </c>
      <c r="D745" s="2" t="s">
        <v>94</v>
      </c>
      <c r="E745" s="3" t="s">
        <v>95</v>
      </c>
      <c r="F745" s="2" t="s">
        <v>96</v>
      </c>
      <c r="G745" s="3" t="s">
        <v>17</v>
      </c>
      <c r="H745" s="2" t="s">
        <v>97</v>
      </c>
      <c r="I745" s="3" t="s">
        <v>19</v>
      </c>
      <c r="J745" s="3">
        <v>2608</v>
      </c>
      <c r="K745" s="3">
        <v>1537</v>
      </c>
      <c r="L745" s="3">
        <v>2</v>
      </c>
      <c r="M745" s="4">
        <f t="shared" si="93"/>
        <v>0.58934049079754602</v>
      </c>
      <c r="N745" s="4">
        <f t="shared" si="94"/>
        <v>1.3012361743656475E-3</v>
      </c>
      <c r="O745">
        <v>2115</v>
      </c>
      <c r="P745" s="5">
        <v>0.77777777777777779</v>
      </c>
      <c r="Q745" s="7">
        <v>1</v>
      </c>
      <c r="R745" t="str">
        <f t="shared" si="100"/>
        <v>код для проверки</v>
      </c>
      <c r="S745" t="str">
        <f t="shared" si="95"/>
        <v>Больше половины</v>
      </c>
      <c r="T745" t="str">
        <f t="shared" si="96"/>
        <v>Низшая четверть</v>
      </c>
      <c r="U745" t="str">
        <f t="shared" si="97"/>
        <v>код для проверки</v>
      </c>
      <c r="V745" t="str">
        <f t="shared" si="98"/>
        <v>Больше половины</v>
      </c>
      <c r="W745" t="str">
        <f t="shared" si="99"/>
        <v>Низшая четверть</v>
      </c>
      <c r="X745">
        <v>18</v>
      </c>
    </row>
    <row r="746" spans="1:24" x14ac:dyDescent="0.35">
      <c r="A746" s="1" t="s">
        <v>432</v>
      </c>
      <c r="B746" s="2" t="s">
        <v>433</v>
      </c>
      <c r="C746" s="3" t="s">
        <v>13</v>
      </c>
      <c r="D746" s="2" t="s">
        <v>121</v>
      </c>
      <c r="E746" s="3" t="s">
        <v>122</v>
      </c>
      <c r="F746" s="2" t="s">
        <v>123</v>
      </c>
      <c r="G746" s="3" t="s">
        <v>35</v>
      </c>
      <c r="H746" s="2" t="s">
        <v>18</v>
      </c>
      <c r="I746" s="3" t="s">
        <v>19</v>
      </c>
      <c r="J746" s="3">
        <v>2606</v>
      </c>
      <c r="K746" s="3">
        <v>302</v>
      </c>
      <c r="L746" s="3">
        <v>3</v>
      </c>
      <c r="M746" s="4">
        <f t="shared" si="93"/>
        <v>0.11588641596316193</v>
      </c>
      <c r="N746" s="4">
        <f t="shared" si="94"/>
        <v>9.9337748344370865E-3</v>
      </c>
      <c r="O746">
        <v>327</v>
      </c>
      <c r="P746" s="5">
        <v>1</v>
      </c>
      <c r="Q746" s="7">
        <v>1</v>
      </c>
      <c r="R746" t="str">
        <f t="shared" si="100"/>
        <v>код для проверки</v>
      </c>
      <c r="S746" t="str">
        <f t="shared" si="95"/>
        <v>Больше половины</v>
      </c>
      <c r="T746" t="str">
        <f t="shared" si="96"/>
        <v>Низшая четверть</v>
      </c>
      <c r="U746" t="str">
        <f t="shared" si="97"/>
        <v>нормальный код</v>
      </c>
      <c r="V746" t="str">
        <f t="shared" si="98"/>
        <v>Больше половины</v>
      </c>
      <c r="W746" t="str">
        <f t="shared" si="99"/>
        <v>Вторая четверть</v>
      </c>
      <c r="X746">
        <v>17</v>
      </c>
    </row>
    <row r="747" spans="1:24" x14ac:dyDescent="0.35">
      <c r="A747" s="1" t="s">
        <v>1446</v>
      </c>
      <c r="B747" s="2" t="s">
        <v>1447</v>
      </c>
      <c r="C747" s="3" t="s">
        <v>13</v>
      </c>
      <c r="D747" s="2" t="s">
        <v>630</v>
      </c>
      <c r="E747" s="3" t="s">
        <v>631</v>
      </c>
      <c r="F747" s="2" t="s">
        <v>61</v>
      </c>
      <c r="G747" s="3" t="s">
        <v>17</v>
      </c>
      <c r="H747" s="2" t="s">
        <v>97</v>
      </c>
      <c r="I747" s="3" t="s">
        <v>19</v>
      </c>
      <c r="J747" s="3">
        <v>2606</v>
      </c>
      <c r="K747" s="3">
        <v>218</v>
      </c>
      <c r="L747" s="3">
        <v>2</v>
      </c>
      <c r="M747" s="4">
        <f t="shared" si="93"/>
        <v>8.3653108211818886E-2</v>
      </c>
      <c r="N747" s="4">
        <f t="shared" si="94"/>
        <v>9.1743119266055051E-3</v>
      </c>
      <c r="O747">
        <v>447</v>
      </c>
      <c r="P747" s="5">
        <v>1</v>
      </c>
      <c r="Q747" s="7">
        <v>1</v>
      </c>
      <c r="R747" t="str">
        <f t="shared" si="100"/>
        <v>код для проверки</v>
      </c>
      <c r="S747" t="str">
        <f t="shared" si="95"/>
        <v>Вторая четверть</v>
      </c>
      <c r="T747" t="str">
        <f t="shared" si="96"/>
        <v>Низшая четверть</v>
      </c>
      <c r="U747" t="str">
        <f t="shared" si="97"/>
        <v>нормальный код</v>
      </c>
      <c r="V747" t="str">
        <f t="shared" si="98"/>
        <v>Вторая четверть</v>
      </c>
      <c r="W747" t="str">
        <f t="shared" si="99"/>
        <v>Больше половины</v>
      </c>
      <c r="X747">
        <v>6</v>
      </c>
    </row>
    <row r="748" spans="1:24" x14ac:dyDescent="0.35">
      <c r="A748" s="1" t="s">
        <v>1236</v>
      </c>
      <c r="B748" s="2" t="s">
        <v>1237</v>
      </c>
      <c r="C748" s="3" t="s">
        <v>55</v>
      </c>
      <c r="D748" s="2" t="s">
        <v>56</v>
      </c>
      <c r="E748" s="3" t="s">
        <v>57</v>
      </c>
      <c r="F748" s="2" t="s">
        <v>34</v>
      </c>
      <c r="G748" s="3" t="s">
        <v>17</v>
      </c>
      <c r="H748" s="2" t="s">
        <v>18</v>
      </c>
      <c r="I748" s="3" t="s">
        <v>19</v>
      </c>
      <c r="J748" s="3">
        <v>2602</v>
      </c>
      <c r="K748" s="3">
        <v>872</v>
      </c>
      <c r="L748" s="3">
        <v>4</v>
      </c>
      <c r="M748" s="4">
        <f t="shared" si="93"/>
        <v>0.33512682551883166</v>
      </c>
      <c r="N748" s="4">
        <f t="shared" si="94"/>
        <v>4.5871559633027525E-3</v>
      </c>
      <c r="O748">
        <v>593</v>
      </c>
      <c r="P748" s="5">
        <v>1</v>
      </c>
      <c r="Q748" s="7">
        <v>1</v>
      </c>
      <c r="R748" t="str">
        <f t="shared" si="100"/>
        <v>код для проверки</v>
      </c>
      <c r="S748" t="str">
        <f t="shared" si="95"/>
        <v>Больше половины</v>
      </c>
      <c r="T748" t="str">
        <f t="shared" si="96"/>
        <v>Низшая четверть</v>
      </c>
      <c r="U748" t="str">
        <f t="shared" si="97"/>
        <v>код для проверки</v>
      </c>
      <c r="V748" t="str">
        <f t="shared" si="98"/>
        <v>Больше половины</v>
      </c>
      <c r="W748" t="str">
        <f t="shared" si="99"/>
        <v>Низшая четверть</v>
      </c>
      <c r="X748">
        <v>12</v>
      </c>
    </row>
    <row r="749" spans="1:24" x14ac:dyDescent="0.35">
      <c r="A749" s="1" t="s">
        <v>399</v>
      </c>
      <c r="B749" s="2" t="s">
        <v>400</v>
      </c>
      <c r="C749" s="3" t="s">
        <v>13</v>
      </c>
      <c r="D749" s="2" t="s">
        <v>77</v>
      </c>
      <c r="E749" s="3" t="s">
        <v>193</v>
      </c>
      <c r="F749" s="2" t="s">
        <v>34</v>
      </c>
      <c r="G749" s="3" t="s">
        <v>17</v>
      </c>
      <c r="H749" s="2" t="s">
        <v>18</v>
      </c>
      <c r="I749" s="3" t="s">
        <v>19</v>
      </c>
      <c r="J749" s="3">
        <v>2596</v>
      </c>
      <c r="K749" s="3">
        <v>187</v>
      </c>
      <c r="L749" s="3">
        <v>2</v>
      </c>
      <c r="M749" s="4">
        <f t="shared" si="93"/>
        <v>7.2033898305084748E-2</v>
      </c>
      <c r="N749" s="4">
        <f t="shared" si="94"/>
        <v>1.06951871657754E-2</v>
      </c>
      <c r="O749">
        <v>258</v>
      </c>
      <c r="P749" s="5">
        <v>1</v>
      </c>
      <c r="Q749" s="7">
        <v>1</v>
      </c>
      <c r="R749" t="str">
        <f t="shared" si="100"/>
        <v>нормальный код</v>
      </c>
      <c r="S749" t="str">
        <f t="shared" si="95"/>
        <v>Вторая четверть</v>
      </c>
      <c r="T749" t="str">
        <f t="shared" si="96"/>
        <v>Вторая четверть</v>
      </c>
      <c r="U749" t="str">
        <f t="shared" si="97"/>
        <v>нормальный код</v>
      </c>
      <c r="V749" t="str">
        <f t="shared" si="98"/>
        <v>Вторая четверть</v>
      </c>
      <c r="W749" t="str">
        <f t="shared" si="99"/>
        <v>Вторая четверть</v>
      </c>
      <c r="X749">
        <v>17</v>
      </c>
    </row>
    <row r="750" spans="1:24" x14ac:dyDescent="0.35">
      <c r="A750" s="1" t="s">
        <v>771</v>
      </c>
      <c r="B750" s="2" t="s">
        <v>772</v>
      </c>
      <c r="C750" s="3" t="s">
        <v>13</v>
      </c>
      <c r="D750" s="2" t="s">
        <v>630</v>
      </c>
      <c r="E750" s="3" t="s">
        <v>685</v>
      </c>
      <c r="F750" s="2" t="s">
        <v>61</v>
      </c>
      <c r="G750" s="3" t="s">
        <v>17</v>
      </c>
      <c r="H750" s="2" t="s">
        <v>97</v>
      </c>
      <c r="I750" s="3" t="s">
        <v>19</v>
      </c>
      <c r="J750" s="3">
        <v>2591</v>
      </c>
      <c r="K750" s="3">
        <v>279</v>
      </c>
      <c r="L750" s="3">
        <v>6</v>
      </c>
      <c r="M750" s="4">
        <f t="shared" si="93"/>
        <v>0.10768043226553455</v>
      </c>
      <c r="N750" s="4">
        <f t="shared" si="94"/>
        <v>2.1505376344086023E-2</v>
      </c>
      <c r="O750">
        <v>0</v>
      </c>
      <c r="P750" s="5">
        <v>0</v>
      </c>
      <c r="Q750" s="7">
        <v>0</v>
      </c>
      <c r="R750" t="s">
        <v>2350</v>
      </c>
      <c r="S750" t="str">
        <f t="shared" si="95"/>
        <v>Больше половины</v>
      </c>
      <c r="T750" t="str">
        <f t="shared" si="96"/>
        <v>Больше половины</v>
      </c>
      <c r="U750" t="str">
        <f t="shared" si="97"/>
        <v>нормальный код</v>
      </c>
      <c r="V750" t="str">
        <f t="shared" si="98"/>
        <v>Больше половины</v>
      </c>
      <c r="W750" t="str">
        <f t="shared" si="99"/>
        <v>Больше половины</v>
      </c>
      <c r="X750">
        <v>8</v>
      </c>
    </row>
    <row r="751" spans="1:24" x14ac:dyDescent="0.35">
      <c r="A751" s="1" t="s">
        <v>98</v>
      </c>
      <c r="B751" s="2" t="s">
        <v>99</v>
      </c>
      <c r="C751" s="3" t="s">
        <v>13</v>
      </c>
      <c r="D751" s="2" t="s">
        <v>77</v>
      </c>
      <c r="E751" s="3" t="s">
        <v>78</v>
      </c>
      <c r="F751" s="2" t="s">
        <v>34</v>
      </c>
      <c r="G751" s="3" t="s">
        <v>35</v>
      </c>
      <c r="H751" s="2" t="s">
        <v>18</v>
      </c>
      <c r="I751" s="3" t="s">
        <v>19</v>
      </c>
      <c r="J751" s="3">
        <v>2589</v>
      </c>
      <c r="K751" s="3">
        <v>495</v>
      </c>
      <c r="L751" s="3">
        <v>10</v>
      </c>
      <c r="M751" s="4">
        <f t="shared" si="93"/>
        <v>0.19119351100811124</v>
      </c>
      <c r="N751" s="4">
        <f t="shared" si="94"/>
        <v>2.0202020202020204E-2</v>
      </c>
      <c r="O751">
        <v>0</v>
      </c>
      <c r="P751" s="5">
        <v>0.8</v>
      </c>
      <c r="Q751" s="7">
        <v>0</v>
      </c>
      <c r="R751" t="s">
        <v>2350</v>
      </c>
      <c r="S751" t="str">
        <f t="shared" si="95"/>
        <v>Больше половины</v>
      </c>
      <c r="T751" t="str">
        <f t="shared" si="96"/>
        <v>Вторая четверть</v>
      </c>
      <c r="U751" t="str">
        <f t="shared" si="97"/>
        <v>нормальный код</v>
      </c>
      <c r="V751" t="str">
        <f t="shared" si="98"/>
        <v>Больше половины</v>
      </c>
      <c r="W751" t="str">
        <f t="shared" si="99"/>
        <v>Вторая четверть</v>
      </c>
      <c r="X751">
        <v>13</v>
      </c>
    </row>
    <row r="752" spans="1:24" x14ac:dyDescent="0.35">
      <c r="A752" s="1" t="s">
        <v>2515</v>
      </c>
      <c r="B752" s="2" t="s">
        <v>2516</v>
      </c>
      <c r="C752" s="3" t="s">
        <v>13</v>
      </c>
      <c r="D752" s="2" t="s">
        <v>69</v>
      </c>
      <c r="E752" s="3" t="s">
        <v>1511</v>
      </c>
      <c r="F752" s="2" t="s">
        <v>34</v>
      </c>
      <c r="G752" s="3" t="s">
        <v>72</v>
      </c>
      <c r="H752" s="2" t="s">
        <v>18</v>
      </c>
      <c r="I752" s="3" t="s">
        <v>19</v>
      </c>
      <c r="J752" s="3">
        <v>2584</v>
      </c>
      <c r="K752" s="3">
        <v>216</v>
      </c>
      <c r="L752" s="3">
        <v>14</v>
      </c>
      <c r="M752" s="4">
        <f t="shared" si="93"/>
        <v>8.3591331269349839E-2</v>
      </c>
      <c r="N752" s="4">
        <f t="shared" si="94"/>
        <v>6.4814814814814811E-2</v>
      </c>
      <c r="O752">
        <v>590</v>
      </c>
      <c r="P752" s="5">
        <v>1</v>
      </c>
      <c r="Q752" s="7">
        <v>1</v>
      </c>
      <c r="R752" t="str">
        <f t="shared" ref="R752:R761" si="101">IF(OR(M752&lt;$S$1*0.5,N752&lt;$T$1*0.5),"код для проверки","нормальный код")</f>
        <v>нормальный код</v>
      </c>
      <c r="S752" t="str">
        <f t="shared" si="95"/>
        <v>Вторая четверть</v>
      </c>
      <c r="T752" t="str">
        <f t="shared" si="96"/>
        <v>Больше половины</v>
      </c>
      <c r="U752" t="str">
        <f t="shared" si="97"/>
        <v>код для проверки</v>
      </c>
      <c r="V752" t="str">
        <f t="shared" si="98"/>
        <v>Низшая четверть</v>
      </c>
      <c r="W752" t="str">
        <f t="shared" si="99"/>
        <v>Больше половины</v>
      </c>
      <c r="X752">
        <v>9</v>
      </c>
    </row>
    <row r="753" spans="1:24" x14ac:dyDescent="0.35">
      <c r="A753" s="1" t="s">
        <v>1031</v>
      </c>
      <c r="B753" s="2" t="s">
        <v>1032</v>
      </c>
      <c r="C753" s="3" t="s">
        <v>13</v>
      </c>
      <c r="D753" s="2" t="s">
        <v>121</v>
      </c>
      <c r="E753" s="3" t="s">
        <v>650</v>
      </c>
      <c r="F753" s="2" t="s">
        <v>71</v>
      </c>
      <c r="G753" s="3" t="s">
        <v>17</v>
      </c>
      <c r="H753" s="2" t="s">
        <v>18</v>
      </c>
      <c r="I753" s="3" t="s">
        <v>19</v>
      </c>
      <c r="J753" s="3">
        <v>2576</v>
      </c>
      <c r="K753" s="3">
        <v>333</v>
      </c>
      <c r="L753" s="3">
        <v>3</v>
      </c>
      <c r="M753" s="4">
        <f t="shared" si="93"/>
        <v>0.12927018633540371</v>
      </c>
      <c r="N753" s="4">
        <f t="shared" si="94"/>
        <v>9.0090090090090089E-3</v>
      </c>
      <c r="O753">
        <v>124</v>
      </c>
      <c r="P753" s="5">
        <v>0.6</v>
      </c>
      <c r="Q753" s="7">
        <v>1</v>
      </c>
      <c r="R753" t="str">
        <f t="shared" si="101"/>
        <v>код для проверки</v>
      </c>
      <c r="S753" t="str">
        <f t="shared" si="95"/>
        <v>Больше половины</v>
      </c>
      <c r="T753" t="str">
        <f t="shared" si="96"/>
        <v>Низшая четверть</v>
      </c>
      <c r="U753" t="str">
        <f t="shared" si="97"/>
        <v>нормальный код</v>
      </c>
      <c r="V753" t="str">
        <f t="shared" si="98"/>
        <v>Больше половины</v>
      </c>
      <c r="W753" t="str">
        <f t="shared" si="99"/>
        <v>Вторая четверть</v>
      </c>
      <c r="X753">
        <v>20</v>
      </c>
    </row>
    <row r="754" spans="1:24" x14ac:dyDescent="0.35">
      <c r="A754" s="1" t="s">
        <v>2517</v>
      </c>
      <c r="B754" s="2" t="s">
        <v>2518</v>
      </c>
      <c r="C754" s="3" t="s">
        <v>13</v>
      </c>
      <c r="D754" s="2" t="s">
        <v>69</v>
      </c>
      <c r="E754" s="3" t="s">
        <v>969</v>
      </c>
      <c r="F754" s="2" t="s">
        <v>96</v>
      </c>
      <c r="G754" s="3" t="s">
        <v>72</v>
      </c>
      <c r="H754" s="2" t="s">
        <v>18</v>
      </c>
      <c r="I754" s="3" t="s">
        <v>19</v>
      </c>
      <c r="J754" s="3">
        <v>2576</v>
      </c>
      <c r="K754" s="3">
        <v>133</v>
      </c>
      <c r="L754" s="3">
        <v>2</v>
      </c>
      <c r="M754" s="4">
        <f t="shared" si="93"/>
        <v>5.1630434782608696E-2</v>
      </c>
      <c r="N754" s="4">
        <f t="shared" si="94"/>
        <v>1.5037593984962405E-2</v>
      </c>
      <c r="O754">
        <v>297</v>
      </c>
      <c r="P754" s="5">
        <v>1</v>
      </c>
      <c r="Q754" s="7">
        <v>1</v>
      </c>
      <c r="R754" t="str">
        <f t="shared" si="101"/>
        <v>нормальный код</v>
      </c>
      <c r="S754" t="str">
        <f t="shared" si="95"/>
        <v>Вторая четверть</v>
      </c>
      <c r="T754" t="str">
        <f t="shared" si="96"/>
        <v>Вторая четверть</v>
      </c>
      <c r="U754" t="str">
        <f t="shared" si="97"/>
        <v>код для проверки</v>
      </c>
      <c r="V754" t="str">
        <f t="shared" si="98"/>
        <v>Низшая четверть</v>
      </c>
      <c r="W754" t="str">
        <f t="shared" si="99"/>
        <v>Вторая четверть</v>
      </c>
      <c r="X754">
        <v>15</v>
      </c>
    </row>
    <row r="755" spans="1:24" x14ac:dyDescent="0.35">
      <c r="A755" s="1" t="s">
        <v>2375</v>
      </c>
      <c r="B755" s="2" t="s">
        <v>2376</v>
      </c>
      <c r="C755" s="3" t="s">
        <v>55</v>
      </c>
      <c r="D755" s="2" t="s">
        <v>1221</v>
      </c>
      <c r="E755" s="3" t="s">
        <v>2377</v>
      </c>
      <c r="F755" s="2" t="s">
        <v>34</v>
      </c>
      <c r="G755" s="3" t="s">
        <v>17</v>
      </c>
      <c r="H755" s="2" t="s">
        <v>18</v>
      </c>
      <c r="I755" s="3" t="s">
        <v>19</v>
      </c>
      <c r="J755" s="3">
        <v>2575</v>
      </c>
      <c r="K755" s="3">
        <v>100</v>
      </c>
      <c r="L755" s="3">
        <v>1</v>
      </c>
      <c r="M755" s="4">
        <f t="shared" si="93"/>
        <v>3.8834951456310676E-2</v>
      </c>
      <c r="N755" s="4">
        <f t="shared" si="94"/>
        <v>0.01</v>
      </c>
      <c r="O755">
        <v>370</v>
      </c>
      <c r="P755" s="5">
        <v>1</v>
      </c>
      <c r="Q755" s="7">
        <v>1</v>
      </c>
      <c r="R755" t="str">
        <f t="shared" si="101"/>
        <v>код для проверки</v>
      </c>
      <c r="S755" t="str">
        <f t="shared" si="95"/>
        <v>Низшая четверть</v>
      </c>
      <c r="T755" t="str">
        <f t="shared" si="96"/>
        <v>Низшая четверть</v>
      </c>
      <c r="U755" t="str">
        <f t="shared" si="97"/>
        <v>нормальный код</v>
      </c>
      <c r="V755" t="str">
        <f t="shared" si="98"/>
        <v>Больше половины</v>
      </c>
      <c r="W755" t="str">
        <f t="shared" si="99"/>
        <v>Больше половины</v>
      </c>
      <c r="X755">
        <v>9</v>
      </c>
    </row>
    <row r="756" spans="1:24" x14ac:dyDescent="0.35">
      <c r="A756" s="1" t="s">
        <v>855</v>
      </c>
      <c r="B756" s="2" t="s">
        <v>856</v>
      </c>
      <c r="C756" s="3" t="s">
        <v>13</v>
      </c>
      <c r="D756" s="2" t="s">
        <v>164</v>
      </c>
      <c r="E756" s="3" t="s">
        <v>485</v>
      </c>
      <c r="F756" s="2" t="s">
        <v>123</v>
      </c>
      <c r="G756" s="3" t="s">
        <v>35</v>
      </c>
      <c r="H756" s="2" t="s">
        <v>18</v>
      </c>
      <c r="I756" s="3" t="s">
        <v>19</v>
      </c>
      <c r="J756" s="3">
        <v>2573</v>
      </c>
      <c r="K756" s="3">
        <v>323</v>
      </c>
      <c r="L756" s="3">
        <v>1</v>
      </c>
      <c r="M756" s="4">
        <f t="shared" si="93"/>
        <v>0.12553439564710456</v>
      </c>
      <c r="N756" s="4">
        <f t="shared" si="94"/>
        <v>3.0959752321981426E-3</v>
      </c>
      <c r="O756">
        <v>352</v>
      </c>
      <c r="P756" s="5">
        <v>1</v>
      </c>
      <c r="Q756" s="7">
        <v>1</v>
      </c>
      <c r="R756" t="str">
        <f t="shared" si="101"/>
        <v>код для проверки</v>
      </c>
      <c r="S756" t="str">
        <f t="shared" si="95"/>
        <v>Больше половины</v>
      </c>
      <c r="T756" t="str">
        <f t="shared" si="96"/>
        <v>Низшая четверть</v>
      </c>
      <c r="U756" t="str">
        <f t="shared" si="97"/>
        <v>код для проверки</v>
      </c>
      <c r="V756" t="str">
        <f t="shared" si="98"/>
        <v>Больше половины</v>
      </c>
      <c r="W756" t="str">
        <f t="shared" si="99"/>
        <v>Низшая четверть</v>
      </c>
      <c r="X756">
        <v>19</v>
      </c>
    </row>
    <row r="757" spans="1:24" x14ac:dyDescent="0.35">
      <c r="A757" s="1" t="s">
        <v>2287</v>
      </c>
      <c r="B757" s="2" t="s">
        <v>2288</v>
      </c>
      <c r="C757" s="3" t="s">
        <v>13</v>
      </c>
      <c r="D757" s="2" t="s">
        <v>155</v>
      </c>
      <c r="E757" s="3" t="s">
        <v>156</v>
      </c>
      <c r="F757" s="2" t="s">
        <v>34</v>
      </c>
      <c r="G757" s="3" t="s">
        <v>17</v>
      </c>
      <c r="H757" s="2" t="s">
        <v>18</v>
      </c>
      <c r="I757" s="3" t="s">
        <v>19</v>
      </c>
      <c r="J757" s="3">
        <v>2573</v>
      </c>
      <c r="K757" s="3">
        <v>437</v>
      </c>
      <c r="L757" s="3">
        <v>8</v>
      </c>
      <c r="M757" s="4">
        <f t="shared" si="93"/>
        <v>0.16984065293431791</v>
      </c>
      <c r="N757" s="4">
        <f t="shared" si="94"/>
        <v>1.8306636155606407E-2</v>
      </c>
      <c r="O757">
        <v>947</v>
      </c>
      <c r="P757" s="5">
        <v>1</v>
      </c>
      <c r="Q757" s="7">
        <v>1</v>
      </c>
      <c r="R757" t="str">
        <f t="shared" si="101"/>
        <v>нормальный код</v>
      </c>
      <c r="S757" t="str">
        <f t="shared" si="95"/>
        <v>Больше половины</v>
      </c>
      <c r="T757" t="str">
        <f t="shared" si="96"/>
        <v>Вторая четверть</v>
      </c>
      <c r="U757" t="str">
        <f t="shared" si="97"/>
        <v>нормальный код</v>
      </c>
      <c r="V757" t="str">
        <f t="shared" si="98"/>
        <v>Больше половины</v>
      </c>
      <c r="W757" t="str">
        <f t="shared" si="99"/>
        <v>Вторая четверть</v>
      </c>
      <c r="X757">
        <v>19</v>
      </c>
    </row>
    <row r="758" spans="1:24" x14ac:dyDescent="0.35">
      <c r="A758" s="1" t="s">
        <v>1613</v>
      </c>
      <c r="B758" s="2" t="s">
        <v>1614</v>
      </c>
      <c r="C758" s="3" t="s">
        <v>55</v>
      </c>
      <c r="D758" s="2" t="s">
        <v>94</v>
      </c>
      <c r="E758" s="3" t="s">
        <v>812</v>
      </c>
      <c r="F758" s="2" t="s">
        <v>96</v>
      </c>
      <c r="G758" s="3" t="s">
        <v>17</v>
      </c>
      <c r="H758" s="2" t="s">
        <v>18</v>
      </c>
      <c r="I758" s="3" t="s">
        <v>19</v>
      </c>
      <c r="J758" s="3">
        <v>2572</v>
      </c>
      <c r="K758" s="3">
        <v>217</v>
      </c>
      <c r="L758" s="3">
        <v>1</v>
      </c>
      <c r="M758" s="4">
        <f t="shared" si="93"/>
        <v>8.4370139968895808E-2</v>
      </c>
      <c r="N758" s="4">
        <f t="shared" si="94"/>
        <v>4.608294930875576E-3</v>
      </c>
      <c r="O758">
        <v>2220</v>
      </c>
      <c r="P758" s="5">
        <v>1</v>
      </c>
      <c r="Q758" s="7">
        <v>1</v>
      </c>
      <c r="R758" t="str">
        <f t="shared" si="101"/>
        <v>код для проверки</v>
      </c>
      <c r="S758" t="str">
        <f t="shared" si="95"/>
        <v>Вторая четверть</v>
      </c>
      <c r="T758" t="str">
        <f t="shared" si="96"/>
        <v>Низшая четверть</v>
      </c>
      <c r="U758" t="str">
        <f t="shared" si="97"/>
        <v>код для проверки</v>
      </c>
      <c r="V758" t="str">
        <f t="shared" si="98"/>
        <v>Вторая четверть</v>
      </c>
      <c r="W758" t="str">
        <f t="shared" si="99"/>
        <v>Низшая четверть</v>
      </c>
      <c r="X758">
        <v>10</v>
      </c>
    </row>
    <row r="759" spans="1:24" x14ac:dyDescent="0.35">
      <c r="A759" s="1" t="s">
        <v>1182</v>
      </c>
      <c r="B759" s="2" t="s">
        <v>1183</v>
      </c>
      <c r="C759" s="3" t="s">
        <v>13</v>
      </c>
      <c r="D759" s="2" t="s">
        <v>77</v>
      </c>
      <c r="E759" s="3" t="s">
        <v>427</v>
      </c>
      <c r="F759" s="2" t="s">
        <v>71</v>
      </c>
      <c r="G759" s="3" t="s">
        <v>35</v>
      </c>
      <c r="H759" s="2" t="s">
        <v>18</v>
      </c>
      <c r="I759" s="3" t="s">
        <v>19</v>
      </c>
      <c r="J759" s="3">
        <v>2570</v>
      </c>
      <c r="K759" s="3">
        <v>361</v>
      </c>
      <c r="L759" s="3">
        <v>1</v>
      </c>
      <c r="M759" s="4">
        <f t="shared" si="93"/>
        <v>0.14046692607003891</v>
      </c>
      <c r="N759" s="4">
        <f t="shared" si="94"/>
        <v>2.7700831024930748E-3</v>
      </c>
      <c r="O759">
        <v>310</v>
      </c>
      <c r="P759" s="5">
        <v>1</v>
      </c>
      <c r="Q759" s="7">
        <v>1</v>
      </c>
      <c r="R759" t="str">
        <f t="shared" si="101"/>
        <v>код для проверки</v>
      </c>
      <c r="S759" t="str">
        <f t="shared" si="95"/>
        <v>Больше половины</v>
      </c>
      <c r="T759" t="str">
        <f t="shared" si="96"/>
        <v>Низшая четверть</v>
      </c>
      <c r="U759" t="str">
        <f t="shared" si="97"/>
        <v>код для проверки</v>
      </c>
      <c r="V759" t="str">
        <f t="shared" si="98"/>
        <v>Больше половины</v>
      </c>
      <c r="W759" t="str">
        <f t="shared" si="99"/>
        <v>Низшая четверть</v>
      </c>
      <c r="X759">
        <v>21</v>
      </c>
    </row>
    <row r="760" spans="1:24" x14ac:dyDescent="0.35">
      <c r="A760" s="1" t="s">
        <v>902</v>
      </c>
      <c r="B760" s="2" t="s">
        <v>903</v>
      </c>
      <c r="C760" s="3" t="s">
        <v>13</v>
      </c>
      <c r="D760" s="2" t="s">
        <v>69</v>
      </c>
      <c r="E760" s="3" t="s">
        <v>70</v>
      </c>
      <c r="F760" s="2" t="s">
        <v>71</v>
      </c>
      <c r="G760" s="3" t="s">
        <v>72</v>
      </c>
      <c r="H760" s="2" t="s">
        <v>18</v>
      </c>
      <c r="I760" s="3" t="s">
        <v>19</v>
      </c>
      <c r="J760" s="3">
        <v>2568</v>
      </c>
      <c r="K760" s="3">
        <v>1221</v>
      </c>
      <c r="L760" s="3">
        <v>3</v>
      </c>
      <c r="M760" s="4">
        <f t="shared" si="93"/>
        <v>0.47546728971962615</v>
      </c>
      <c r="N760" s="4">
        <f t="shared" si="94"/>
        <v>2.4570024570024569E-3</v>
      </c>
      <c r="O760">
        <v>104</v>
      </c>
      <c r="P760" s="5">
        <v>0.5</v>
      </c>
      <c r="Q760" s="7">
        <v>1</v>
      </c>
      <c r="R760" t="str">
        <f t="shared" si="101"/>
        <v>код для проверки</v>
      </c>
      <c r="S760" t="str">
        <f t="shared" si="95"/>
        <v>Больше половины</v>
      </c>
      <c r="T760" t="str">
        <f t="shared" si="96"/>
        <v>Низшая четверть</v>
      </c>
      <c r="U760" t="str">
        <f t="shared" si="97"/>
        <v>код для проверки</v>
      </c>
      <c r="V760" t="str">
        <f t="shared" si="98"/>
        <v>Больше половины</v>
      </c>
      <c r="W760" t="str">
        <f t="shared" si="99"/>
        <v>Низшая четверть</v>
      </c>
      <c r="X760">
        <v>16</v>
      </c>
    </row>
    <row r="761" spans="1:24" x14ac:dyDescent="0.35">
      <c r="A761" s="1" t="s">
        <v>602</v>
      </c>
      <c r="B761" s="2" t="s">
        <v>603</v>
      </c>
      <c r="C761" s="3" t="s">
        <v>13</v>
      </c>
      <c r="D761" s="2" t="s">
        <v>155</v>
      </c>
      <c r="E761" s="3" t="s">
        <v>156</v>
      </c>
      <c r="F761" s="2" t="s">
        <v>34</v>
      </c>
      <c r="G761" s="3" t="s">
        <v>35</v>
      </c>
      <c r="H761" s="2" t="s">
        <v>18</v>
      </c>
      <c r="I761" s="3" t="s">
        <v>19</v>
      </c>
      <c r="J761" s="3">
        <v>2553</v>
      </c>
      <c r="K761" s="3">
        <v>1119</v>
      </c>
      <c r="L761" s="3">
        <v>6</v>
      </c>
      <c r="M761" s="4">
        <f t="shared" si="93"/>
        <v>0.4383078730904818</v>
      </c>
      <c r="N761" s="4">
        <f t="shared" si="94"/>
        <v>5.3619302949061663E-3</v>
      </c>
      <c r="O761">
        <v>165</v>
      </c>
      <c r="P761" s="5">
        <v>1</v>
      </c>
      <c r="Q761" s="7">
        <v>1</v>
      </c>
      <c r="R761" t="str">
        <f t="shared" si="101"/>
        <v>код для проверки</v>
      </c>
      <c r="S761" t="str">
        <f t="shared" si="95"/>
        <v>Больше половины</v>
      </c>
      <c r="T761" t="str">
        <f t="shared" si="96"/>
        <v>Низшая четверть</v>
      </c>
      <c r="U761" t="str">
        <f t="shared" si="97"/>
        <v>код для проверки</v>
      </c>
      <c r="V761" t="str">
        <f t="shared" si="98"/>
        <v>Больше половины</v>
      </c>
      <c r="W761" t="str">
        <f t="shared" si="99"/>
        <v>Низшая четверть</v>
      </c>
      <c r="X761">
        <v>14</v>
      </c>
    </row>
    <row r="762" spans="1:24" x14ac:dyDescent="0.35">
      <c r="A762" s="1" t="s">
        <v>1910</v>
      </c>
      <c r="B762" s="2" t="s">
        <v>1911</v>
      </c>
      <c r="C762" s="3" t="s">
        <v>13</v>
      </c>
      <c r="D762" s="2" t="s">
        <v>155</v>
      </c>
      <c r="E762" s="3" t="s">
        <v>244</v>
      </c>
      <c r="F762" s="2" t="s">
        <v>34</v>
      </c>
      <c r="G762" s="3" t="s">
        <v>35</v>
      </c>
      <c r="H762" s="2" t="s">
        <v>18</v>
      </c>
      <c r="I762" s="3" t="s">
        <v>19</v>
      </c>
      <c r="J762" s="3">
        <v>2546</v>
      </c>
      <c r="K762" s="3">
        <v>595</v>
      </c>
      <c r="L762" s="3">
        <v>5</v>
      </c>
      <c r="M762" s="4">
        <f t="shared" si="93"/>
        <v>0.23369992144540455</v>
      </c>
      <c r="N762" s="4">
        <f t="shared" si="94"/>
        <v>8.4033613445378148E-3</v>
      </c>
      <c r="O762">
        <v>4</v>
      </c>
      <c r="P762" s="5">
        <v>0.6</v>
      </c>
      <c r="Q762" s="7">
        <v>0</v>
      </c>
      <c r="R762" t="s">
        <v>2350</v>
      </c>
      <c r="S762" t="str">
        <f t="shared" si="95"/>
        <v>Больше половины</v>
      </c>
      <c r="T762" t="str">
        <f t="shared" si="96"/>
        <v>Низшая четверть</v>
      </c>
      <c r="U762" t="str">
        <f t="shared" si="97"/>
        <v>нормальный код</v>
      </c>
      <c r="V762" t="str">
        <f t="shared" si="98"/>
        <v>Больше половины</v>
      </c>
      <c r="W762" t="str">
        <f t="shared" si="99"/>
        <v>Вторая четверть</v>
      </c>
      <c r="X762">
        <v>10</v>
      </c>
    </row>
    <row r="763" spans="1:24" x14ac:dyDescent="0.35">
      <c r="A763" s="1" t="s">
        <v>677</v>
      </c>
      <c r="B763" s="2" t="s">
        <v>678</v>
      </c>
      <c r="C763" s="3" t="s">
        <v>13</v>
      </c>
      <c r="D763" s="2" t="s">
        <v>77</v>
      </c>
      <c r="E763" s="3" t="s">
        <v>89</v>
      </c>
      <c r="F763" s="2" t="s">
        <v>34</v>
      </c>
      <c r="G763" s="3" t="s">
        <v>17</v>
      </c>
      <c r="H763" s="2" t="s">
        <v>18</v>
      </c>
      <c r="I763" s="3" t="s">
        <v>19</v>
      </c>
      <c r="J763" s="3">
        <v>2540</v>
      </c>
      <c r="K763" s="3">
        <v>166</v>
      </c>
      <c r="L763" s="3">
        <v>1</v>
      </c>
      <c r="M763" s="4">
        <f t="shared" si="93"/>
        <v>6.5354330708661423E-2</v>
      </c>
      <c r="N763" s="4">
        <f t="shared" si="94"/>
        <v>6.024096385542169E-3</v>
      </c>
      <c r="O763">
        <v>238</v>
      </c>
      <c r="P763" s="5">
        <v>1</v>
      </c>
      <c r="Q763" s="7">
        <v>1</v>
      </c>
      <c r="R763" t="str">
        <f t="shared" ref="R763:R804" si="102">IF(OR(M763&lt;$S$1*0.5,N763&lt;$T$1*0.5),"код для проверки","нормальный код")</f>
        <v>код для проверки</v>
      </c>
      <c r="S763" t="str">
        <f t="shared" si="95"/>
        <v>Вторая четверть</v>
      </c>
      <c r="T763" t="str">
        <f t="shared" si="96"/>
        <v>Низшая четверть</v>
      </c>
      <c r="U763" t="str">
        <f t="shared" si="97"/>
        <v>код для проверки</v>
      </c>
      <c r="V763" t="str">
        <f t="shared" si="98"/>
        <v>Вторая четверть</v>
      </c>
      <c r="W763" t="str">
        <f t="shared" si="99"/>
        <v>Низшая четверть</v>
      </c>
      <c r="X763">
        <v>17</v>
      </c>
    </row>
    <row r="764" spans="1:24" x14ac:dyDescent="0.35">
      <c r="A764" s="1" t="s">
        <v>2187</v>
      </c>
      <c r="B764" s="2" t="s">
        <v>2188</v>
      </c>
      <c r="C764" s="3" t="s">
        <v>13</v>
      </c>
      <c r="D764" s="2" t="s">
        <v>121</v>
      </c>
      <c r="E764" s="3" t="s">
        <v>531</v>
      </c>
      <c r="F764" s="2" t="s">
        <v>123</v>
      </c>
      <c r="G764" s="3" t="s">
        <v>17</v>
      </c>
      <c r="H764" s="2" t="s">
        <v>18</v>
      </c>
      <c r="I764" s="3" t="s">
        <v>19</v>
      </c>
      <c r="J764" s="3">
        <v>2536</v>
      </c>
      <c r="K764" s="3">
        <v>465</v>
      </c>
      <c r="L764" s="3">
        <v>3</v>
      </c>
      <c r="M764" s="4">
        <f t="shared" si="93"/>
        <v>0.1833596214511041</v>
      </c>
      <c r="N764" s="4">
        <f t="shared" si="94"/>
        <v>6.4516129032258064E-3</v>
      </c>
      <c r="O764">
        <v>652</v>
      </c>
      <c r="P764" s="5">
        <v>1</v>
      </c>
      <c r="Q764" s="7">
        <v>1</v>
      </c>
      <c r="R764" t="str">
        <f t="shared" si="102"/>
        <v>код для проверки</v>
      </c>
      <c r="S764" t="str">
        <f t="shared" si="95"/>
        <v>Больше половины</v>
      </c>
      <c r="T764" t="str">
        <f t="shared" si="96"/>
        <v>Низшая четверть</v>
      </c>
      <c r="U764" t="str">
        <f t="shared" si="97"/>
        <v>код для проверки</v>
      </c>
      <c r="V764" t="str">
        <f t="shared" si="98"/>
        <v>Больше половины</v>
      </c>
      <c r="W764" t="str">
        <f t="shared" si="99"/>
        <v>Низшая четверть</v>
      </c>
      <c r="X764">
        <v>24</v>
      </c>
    </row>
    <row r="765" spans="1:24" x14ac:dyDescent="0.35">
      <c r="A765" s="1" t="s">
        <v>2291</v>
      </c>
      <c r="B765" s="2" t="s">
        <v>2292</v>
      </c>
      <c r="C765" s="3" t="s">
        <v>13</v>
      </c>
      <c r="D765" s="2" t="s">
        <v>85</v>
      </c>
      <c r="E765" s="3" t="s">
        <v>1937</v>
      </c>
      <c r="F765" s="2" t="s">
        <v>96</v>
      </c>
      <c r="G765" s="3" t="s">
        <v>35</v>
      </c>
      <c r="H765" s="2" t="s">
        <v>18</v>
      </c>
      <c r="I765" s="3" t="s">
        <v>19</v>
      </c>
      <c r="J765" s="3">
        <v>2532</v>
      </c>
      <c r="K765" s="3">
        <v>239</v>
      </c>
      <c r="L765" s="3">
        <v>7</v>
      </c>
      <c r="M765" s="4">
        <f t="shared" si="93"/>
        <v>9.4391785150078983E-2</v>
      </c>
      <c r="N765" s="4">
        <f t="shared" si="94"/>
        <v>2.9288702928870293E-2</v>
      </c>
      <c r="O765">
        <v>586</v>
      </c>
      <c r="P765" s="5">
        <v>1</v>
      </c>
      <c r="Q765" s="7">
        <v>1</v>
      </c>
      <c r="R765" t="str">
        <f t="shared" si="102"/>
        <v>нормальный код</v>
      </c>
      <c r="S765" t="str">
        <f t="shared" si="95"/>
        <v>Вторая четверть</v>
      </c>
      <c r="T765" t="str">
        <f t="shared" si="96"/>
        <v>Больше половины</v>
      </c>
      <c r="U765" t="str">
        <f t="shared" si="97"/>
        <v>нормальный код</v>
      </c>
      <c r="V765" t="str">
        <f t="shared" si="98"/>
        <v>Больше половины</v>
      </c>
      <c r="W765" t="str">
        <f t="shared" si="99"/>
        <v>Вторая четверть</v>
      </c>
      <c r="X765">
        <v>14</v>
      </c>
    </row>
    <row r="766" spans="1:24" x14ac:dyDescent="0.35">
      <c r="A766" s="1" t="s">
        <v>832</v>
      </c>
      <c r="B766" s="2" t="s">
        <v>833</v>
      </c>
      <c r="C766" s="3" t="s">
        <v>13</v>
      </c>
      <c r="D766" s="2" t="s">
        <v>77</v>
      </c>
      <c r="E766" s="3" t="s">
        <v>89</v>
      </c>
      <c r="F766" s="2" t="s">
        <v>34</v>
      </c>
      <c r="G766" s="3" t="s">
        <v>35</v>
      </c>
      <c r="H766" s="2" t="s">
        <v>18</v>
      </c>
      <c r="I766" s="3" t="s">
        <v>19</v>
      </c>
      <c r="J766" s="3">
        <v>2527</v>
      </c>
      <c r="K766" s="3">
        <v>480</v>
      </c>
      <c r="L766" s="3">
        <v>6</v>
      </c>
      <c r="M766" s="4">
        <f t="shared" si="93"/>
        <v>0.18994855559952512</v>
      </c>
      <c r="N766" s="4">
        <f t="shared" si="94"/>
        <v>1.2500000000000001E-2</v>
      </c>
      <c r="O766">
        <v>41</v>
      </c>
      <c r="P766" s="5">
        <v>0.8</v>
      </c>
      <c r="Q766" s="7">
        <v>1</v>
      </c>
      <c r="R766" t="str">
        <f t="shared" si="102"/>
        <v>нормальный код</v>
      </c>
      <c r="S766" t="str">
        <f t="shared" si="95"/>
        <v>Больше половины</v>
      </c>
      <c r="T766" t="str">
        <f t="shared" si="96"/>
        <v>Вторая четверть</v>
      </c>
      <c r="U766" t="str">
        <f t="shared" si="97"/>
        <v>нормальный код</v>
      </c>
      <c r="V766" t="str">
        <f t="shared" si="98"/>
        <v>Больше половины</v>
      </c>
      <c r="W766" t="str">
        <f t="shared" si="99"/>
        <v>Вторая четверть</v>
      </c>
      <c r="X766">
        <v>12</v>
      </c>
    </row>
    <row r="767" spans="1:24" x14ac:dyDescent="0.35">
      <c r="A767" s="1" t="s">
        <v>1432</v>
      </c>
      <c r="B767" s="2" t="s">
        <v>1433</v>
      </c>
      <c r="C767" s="3" t="s">
        <v>13</v>
      </c>
      <c r="D767" s="2" t="s">
        <v>630</v>
      </c>
      <c r="E767" s="3" t="s">
        <v>631</v>
      </c>
      <c r="F767" s="2" t="s">
        <v>61</v>
      </c>
      <c r="G767" s="3" t="s">
        <v>17</v>
      </c>
      <c r="H767" s="2" t="s">
        <v>97</v>
      </c>
      <c r="I767" s="3" t="s">
        <v>19</v>
      </c>
      <c r="J767" s="3">
        <v>2527</v>
      </c>
      <c r="K767" s="3">
        <v>210</v>
      </c>
      <c r="L767" s="3">
        <v>2</v>
      </c>
      <c r="M767" s="4">
        <f t="shared" si="93"/>
        <v>8.3102493074792241E-2</v>
      </c>
      <c r="N767" s="4">
        <f t="shared" si="94"/>
        <v>9.5238095238095247E-3</v>
      </c>
      <c r="O767">
        <v>346</v>
      </c>
      <c r="P767" s="5">
        <v>1</v>
      </c>
      <c r="Q767" s="7">
        <v>1</v>
      </c>
      <c r="R767" t="str">
        <f t="shared" si="102"/>
        <v>код для проверки</v>
      </c>
      <c r="S767" t="str">
        <f t="shared" si="95"/>
        <v>Вторая четверть</v>
      </c>
      <c r="T767" t="str">
        <f t="shared" si="96"/>
        <v>Низшая четверть</v>
      </c>
      <c r="U767" t="str">
        <f t="shared" si="97"/>
        <v>нормальный код</v>
      </c>
      <c r="V767" t="str">
        <f t="shared" si="98"/>
        <v>Вторая четверть</v>
      </c>
      <c r="W767" t="str">
        <f t="shared" si="99"/>
        <v>Больше половины</v>
      </c>
      <c r="X767">
        <v>6</v>
      </c>
    </row>
    <row r="768" spans="1:24" x14ac:dyDescent="0.35">
      <c r="A768" s="1" t="s">
        <v>2110</v>
      </c>
      <c r="B768" s="2" t="s">
        <v>2111</v>
      </c>
      <c r="C768" s="3" t="s">
        <v>55</v>
      </c>
      <c r="D768" s="2" t="s">
        <v>94</v>
      </c>
      <c r="E768" s="3" t="s">
        <v>95</v>
      </c>
      <c r="F768" s="2" t="s">
        <v>96</v>
      </c>
      <c r="G768" s="3" t="s">
        <v>17</v>
      </c>
      <c r="H768" s="2" t="s">
        <v>97</v>
      </c>
      <c r="I768" s="3" t="s">
        <v>19</v>
      </c>
      <c r="J768" s="3">
        <v>2512</v>
      </c>
      <c r="K768" s="3">
        <v>2799</v>
      </c>
      <c r="L768" s="3">
        <v>13</v>
      </c>
      <c r="M768" s="4">
        <f t="shared" si="93"/>
        <v>1.1142515923566878</v>
      </c>
      <c r="N768" s="4">
        <f t="shared" si="94"/>
        <v>4.6445158985351908E-3</v>
      </c>
      <c r="O768">
        <v>270</v>
      </c>
      <c r="P768" s="5">
        <v>1</v>
      </c>
      <c r="Q768" s="7">
        <v>1</v>
      </c>
      <c r="R768" t="str">
        <f t="shared" si="102"/>
        <v>код для проверки</v>
      </c>
      <c r="S768" t="str">
        <f t="shared" si="95"/>
        <v>Больше половины</v>
      </c>
      <c r="T768" t="str">
        <f t="shared" si="96"/>
        <v>Низшая четверть</v>
      </c>
      <c r="U768" t="str">
        <f t="shared" si="97"/>
        <v>код для проверки</v>
      </c>
      <c r="V768" t="str">
        <f t="shared" si="98"/>
        <v>Больше половины</v>
      </c>
      <c r="W768" t="str">
        <f t="shared" si="99"/>
        <v>Низшая четверть</v>
      </c>
      <c r="X768">
        <v>21</v>
      </c>
    </row>
    <row r="769" spans="1:24" x14ac:dyDescent="0.35">
      <c r="A769" s="1" t="s">
        <v>1190</v>
      </c>
      <c r="B769" s="2" t="s">
        <v>1191</v>
      </c>
      <c r="C769" s="3" t="s">
        <v>13</v>
      </c>
      <c r="D769" s="2" t="s">
        <v>121</v>
      </c>
      <c r="E769" s="3" t="s">
        <v>650</v>
      </c>
      <c r="F769" s="2" t="s">
        <v>71</v>
      </c>
      <c r="G769" s="3" t="s">
        <v>35</v>
      </c>
      <c r="H769" s="2" t="s">
        <v>18</v>
      </c>
      <c r="I769" s="3" t="s">
        <v>19</v>
      </c>
      <c r="J769" s="3">
        <v>2508</v>
      </c>
      <c r="K769" s="3">
        <v>283</v>
      </c>
      <c r="L769" s="3">
        <v>4</v>
      </c>
      <c r="M769" s="4">
        <f t="shared" si="93"/>
        <v>0.11283891547049442</v>
      </c>
      <c r="N769" s="4">
        <f t="shared" si="94"/>
        <v>1.4134275618374558E-2</v>
      </c>
      <c r="O769">
        <v>381</v>
      </c>
      <c r="P769" s="5">
        <v>1</v>
      </c>
      <c r="Q769" s="7">
        <v>1</v>
      </c>
      <c r="R769" t="str">
        <f t="shared" si="102"/>
        <v>нормальный код</v>
      </c>
      <c r="S769" t="str">
        <f t="shared" si="95"/>
        <v>Больше половины</v>
      </c>
      <c r="T769" t="str">
        <f t="shared" si="96"/>
        <v>Вторая четверть</v>
      </c>
      <c r="U769" t="str">
        <f t="shared" si="97"/>
        <v>нормальный код</v>
      </c>
      <c r="V769" t="str">
        <f t="shared" si="98"/>
        <v>Вторая четверть</v>
      </c>
      <c r="W769" t="str">
        <f t="shared" si="99"/>
        <v>Больше половины</v>
      </c>
      <c r="X769">
        <v>20</v>
      </c>
    </row>
    <row r="770" spans="1:24" x14ac:dyDescent="0.35">
      <c r="A770" s="1" t="s">
        <v>1361</v>
      </c>
      <c r="B770" s="2" t="s">
        <v>1362</v>
      </c>
      <c r="C770" s="3" t="s">
        <v>55</v>
      </c>
      <c r="D770" s="2" t="s">
        <v>94</v>
      </c>
      <c r="E770" s="3" t="s">
        <v>95</v>
      </c>
      <c r="F770" s="2" t="s">
        <v>96</v>
      </c>
      <c r="G770" s="3" t="s">
        <v>17</v>
      </c>
      <c r="H770" s="2" t="s">
        <v>97</v>
      </c>
      <c r="I770" s="3" t="s">
        <v>19</v>
      </c>
      <c r="J770" s="3">
        <v>2506</v>
      </c>
      <c r="K770" s="3">
        <v>1360</v>
      </c>
      <c r="L770" s="3">
        <v>8</v>
      </c>
      <c r="M770" s="4">
        <f t="shared" si="93"/>
        <v>0.54269752593774945</v>
      </c>
      <c r="N770" s="4">
        <f t="shared" si="94"/>
        <v>5.8823529411764705E-3</v>
      </c>
      <c r="O770">
        <v>2250</v>
      </c>
      <c r="P770" s="5">
        <v>0.66666666666666663</v>
      </c>
      <c r="Q770" s="7">
        <v>1</v>
      </c>
      <c r="R770" t="str">
        <f t="shared" si="102"/>
        <v>код для проверки</v>
      </c>
      <c r="S770" t="str">
        <f t="shared" si="95"/>
        <v>Больше половины</v>
      </c>
      <c r="T770" t="str">
        <f t="shared" si="96"/>
        <v>Низшая четверть</v>
      </c>
      <c r="U770" t="str">
        <f t="shared" si="97"/>
        <v>нормальный код</v>
      </c>
      <c r="V770" t="str">
        <f t="shared" si="98"/>
        <v>Больше половины</v>
      </c>
      <c r="W770" t="str">
        <f t="shared" si="99"/>
        <v>Вторая четверть</v>
      </c>
      <c r="X770">
        <v>25</v>
      </c>
    </row>
    <row r="771" spans="1:24" x14ac:dyDescent="0.35">
      <c r="A771" s="1" t="s">
        <v>1386</v>
      </c>
      <c r="B771" s="2" t="s">
        <v>1387</v>
      </c>
      <c r="C771" s="3" t="s">
        <v>13</v>
      </c>
      <c r="D771" s="2" t="s">
        <v>405</v>
      </c>
      <c r="E771" s="3" t="s">
        <v>406</v>
      </c>
      <c r="F771" s="2" t="s">
        <v>34</v>
      </c>
      <c r="G771" s="3" t="s">
        <v>17</v>
      </c>
      <c r="H771" s="2" t="s">
        <v>18</v>
      </c>
      <c r="I771" s="3" t="s">
        <v>19</v>
      </c>
      <c r="J771" s="3">
        <v>2502</v>
      </c>
      <c r="K771" s="3">
        <v>198</v>
      </c>
      <c r="L771" s="3">
        <v>3</v>
      </c>
      <c r="M771" s="4">
        <f t="shared" si="93"/>
        <v>7.9136690647482008E-2</v>
      </c>
      <c r="N771" s="4">
        <f t="shared" si="94"/>
        <v>1.5151515151515152E-2</v>
      </c>
      <c r="O771">
        <v>316</v>
      </c>
      <c r="P771" s="5">
        <v>1</v>
      </c>
      <c r="Q771" s="7">
        <v>1</v>
      </c>
      <c r="R771" t="str">
        <f t="shared" si="102"/>
        <v>нормальный код</v>
      </c>
      <c r="S771" t="str">
        <f t="shared" si="95"/>
        <v>Вторая четверть</v>
      </c>
      <c r="T771" t="str">
        <f t="shared" si="96"/>
        <v>Вторая четверть</v>
      </c>
      <c r="U771" t="str">
        <f t="shared" si="97"/>
        <v>нормальный код</v>
      </c>
      <c r="V771" t="str">
        <f t="shared" si="98"/>
        <v>Больше половины</v>
      </c>
      <c r="W771" t="str">
        <f t="shared" si="99"/>
        <v>Вторая четверть</v>
      </c>
      <c r="X771">
        <v>14</v>
      </c>
    </row>
    <row r="772" spans="1:24" x14ac:dyDescent="0.35">
      <c r="A772" s="1" t="s">
        <v>981</v>
      </c>
      <c r="B772" s="2" t="s">
        <v>982</v>
      </c>
      <c r="C772" s="3" t="s">
        <v>13</v>
      </c>
      <c r="D772" s="2" t="s">
        <v>77</v>
      </c>
      <c r="E772" s="3" t="s">
        <v>427</v>
      </c>
      <c r="F772" s="2" t="s">
        <v>71</v>
      </c>
      <c r="G772" s="3" t="s">
        <v>35</v>
      </c>
      <c r="H772" s="2" t="s">
        <v>18</v>
      </c>
      <c r="I772" s="3" t="s">
        <v>19</v>
      </c>
      <c r="J772" s="3">
        <v>2499</v>
      </c>
      <c r="K772" s="3">
        <v>325</v>
      </c>
      <c r="L772" s="3">
        <v>0</v>
      </c>
      <c r="M772" s="4">
        <f t="shared" ref="M772:M835" si="103">IFERROR(K772/J772,0)</f>
        <v>0.13005202080832334</v>
      </c>
      <c r="N772" s="4">
        <f t="shared" ref="N772:N835" si="104">IFERROR(L772/K772,0)</f>
        <v>0</v>
      </c>
      <c r="O772">
        <v>207</v>
      </c>
      <c r="P772" s="5">
        <v>1</v>
      </c>
      <c r="Q772" s="7">
        <v>1</v>
      </c>
      <c r="R772" t="str">
        <f t="shared" si="102"/>
        <v>код для проверки</v>
      </c>
      <c r="S772" t="str">
        <f t="shared" ref="S772:S835" si="105">IF(M772&lt;$S$1*0.5,"Низшая четверть",IF(M772&lt;$S$1,"Вторая четверть","Больше половины"))</f>
        <v>Больше половины</v>
      </c>
      <c r="T772" t="str">
        <f t="shared" ref="T772:T835" si="106">IF(N772&lt;$T$1*0.5,"Низшая четверть",IF(N772&lt;$T$1,"Вторая четверть","Больше половины"))</f>
        <v>Низшая четверть</v>
      </c>
      <c r="U772" t="str">
        <f t="shared" ref="U772:U835" si="107">IF(OR(M772&lt;SUMIFS(K:K,Q:Q,1,E:E,E772)/SUMIFS(J:J,Q:Q,1,E:E,E772)*0.5,N772&lt;SUMIFS(L:L,Q:Q,1,E:E,E772)/SUMIFS(K:K,Q:Q,1,E:E,E772)*0.5),"код для проверки","нормальный код")</f>
        <v>код для проверки</v>
      </c>
      <c r="V772" t="str">
        <f t="shared" ref="V772:V835" si="108">IF(M772&lt;SUMIFS(K:K,Q:Q,1,E:E,E772)/SUMIFS(J:J,Q:Q,1,E:E,E772)*0.5,"Низшая четверть",IF(M772&lt;SUMIFS(K:K,Q:Q,1,E:E,E772)/SUMIFS(J:J,Q:Q,1,E:E,E772),"Вторая четверть","Больше половины"))</f>
        <v>Больше половины</v>
      </c>
      <c r="W772" t="str">
        <f t="shared" ref="W772:W835" si="109">IF(N772&lt;SUMIFS(L:L,Q:Q,1,E:E,E772)/SUMIFS(K:K,Q:Q,1,E:E,E772)*0.5,"Низшая четверть",IF(N772&lt;SUMIFS(L:L,Q:Q,1,E:E,E772)/SUMIFS(K:K,Q:Q,1,E:E,E772),"Вторая четверть","Больше половины"))</f>
        <v>Низшая четверть</v>
      </c>
      <c r="X772">
        <v>21</v>
      </c>
    </row>
    <row r="773" spans="1:24" x14ac:dyDescent="0.35">
      <c r="A773" s="1" t="s">
        <v>2391</v>
      </c>
      <c r="B773" s="2" t="s">
        <v>2392</v>
      </c>
      <c r="C773" s="3" t="s">
        <v>13</v>
      </c>
      <c r="D773" s="2" t="s">
        <v>77</v>
      </c>
      <c r="E773" s="3" t="s">
        <v>444</v>
      </c>
      <c r="F773" s="2" t="s">
        <v>96</v>
      </c>
      <c r="G773" s="3" t="s">
        <v>35</v>
      </c>
      <c r="H773" s="2" t="s">
        <v>18</v>
      </c>
      <c r="I773" s="3" t="s">
        <v>19</v>
      </c>
      <c r="J773" s="3">
        <v>2498</v>
      </c>
      <c r="K773" s="3">
        <v>108</v>
      </c>
      <c r="L773" s="3">
        <v>3</v>
      </c>
      <c r="M773" s="4">
        <f t="shared" si="103"/>
        <v>4.3234587670136111E-2</v>
      </c>
      <c r="N773" s="4">
        <f t="shared" si="104"/>
        <v>2.7777777777777776E-2</v>
      </c>
      <c r="O773">
        <v>687</v>
      </c>
      <c r="P773" s="5">
        <v>1</v>
      </c>
      <c r="Q773" s="7">
        <v>1</v>
      </c>
      <c r="R773" t="str">
        <f t="shared" si="102"/>
        <v>код для проверки</v>
      </c>
      <c r="S773" t="str">
        <f t="shared" si="105"/>
        <v>Низшая четверть</v>
      </c>
      <c r="T773" t="str">
        <f t="shared" si="106"/>
        <v>Больше половины</v>
      </c>
      <c r="U773" t="str">
        <f t="shared" si="107"/>
        <v>код для проверки</v>
      </c>
      <c r="V773" t="str">
        <f t="shared" si="108"/>
        <v>Низшая четверть</v>
      </c>
      <c r="W773" t="str">
        <f t="shared" si="109"/>
        <v>Больше половины</v>
      </c>
      <c r="X773">
        <v>9</v>
      </c>
    </row>
    <row r="774" spans="1:24" x14ac:dyDescent="0.35">
      <c r="A774" s="1" t="s">
        <v>1619</v>
      </c>
      <c r="B774" s="2" t="s">
        <v>1620</v>
      </c>
      <c r="C774" s="3" t="s">
        <v>55</v>
      </c>
      <c r="D774" s="2" t="s">
        <v>56</v>
      </c>
      <c r="E774" s="3" t="s">
        <v>253</v>
      </c>
      <c r="F774" s="2" t="s">
        <v>34</v>
      </c>
      <c r="G774" s="3" t="s">
        <v>17</v>
      </c>
      <c r="H774" s="2" t="s">
        <v>18</v>
      </c>
      <c r="I774" s="3" t="s">
        <v>19</v>
      </c>
      <c r="J774" s="3">
        <v>2486</v>
      </c>
      <c r="K774" s="3">
        <v>244</v>
      </c>
      <c r="L774" s="3">
        <v>0</v>
      </c>
      <c r="M774" s="4">
        <f t="shared" si="103"/>
        <v>9.8149637972646822E-2</v>
      </c>
      <c r="N774" s="4">
        <f t="shared" si="104"/>
        <v>0</v>
      </c>
      <c r="O774">
        <v>232</v>
      </c>
      <c r="P774" s="5">
        <v>1</v>
      </c>
      <c r="Q774" s="7">
        <v>1</v>
      </c>
      <c r="R774" t="str">
        <f t="shared" si="102"/>
        <v>код для проверки</v>
      </c>
      <c r="S774" t="str">
        <f t="shared" si="105"/>
        <v>Больше половины</v>
      </c>
      <c r="T774" t="str">
        <f t="shared" si="106"/>
        <v>Низшая четверть</v>
      </c>
      <c r="U774" t="str">
        <f t="shared" si="107"/>
        <v>код для проверки</v>
      </c>
      <c r="V774" t="str">
        <f t="shared" si="108"/>
        <v>Больше половины</v>
      </c>
      <c r="W774" t="str">
        <f t="shared" si="109"/>
        <v>Низшая четверть</v>
      </c>
      <c r="X774">
        <v>23</v>
      </c>
    </row>
    <row r="775" spans="1:24" x14ac:dyDescent="0.35">
      <c r="A775" s="1" t="s">
        <v>1080</v>
      </c>
      <c r="B775" s="2" t="s">
        <v>1081</v>
      </c>
      <c r="C775" s="3" t="s">
        <v>55</v>
      </c>
      <c r="D775" s="2" t="s">
        <v>94</v>
      </c>
      <c r="E775" s="3" t="s">
        <v>95</v>
      </c>
      <c r="F775" s="2" t="s">
        <v>96</v>
      </c>
      <c r="G775" s="3" t="s">
        <v>17</v>
      </c>
      <c r="H775" s="2" t="s">
        <v>97</v>
      </c>
      <c r="I775" s="3" t="s">
        <v>19</v>
      </c>
      <c r="J775" s="3">
        <v>2475</v>
      </c>
      <c r="K775" s="3">
        <v>3646</v>
      </c>
      <c r="L775" s="3">
        <v>10</v>
      </c>
      <c r="M775" s="4">
        <f t="shared" si="103"/>
        <v>1.4731313131313131</v>
      </c>
      <c r="N775" s="4">
        <f t="shared" si="104"/>
        <v>2.7427317608337905E-3</v>
      </c>
      <c r="O775">
        <v>1066</v>
      </c>
      <c r="P775" s="5">
        <v>0.55555555555555558</v>
      </c>
      <c r="Q775" s="7">
        <v>1</v>
      </c>
      <c r="R775" t="str">
        <f t="shared" si="102"/>
        <v>код для проверки</v>
      </c>
      <c r="S775" t="str">
        <f t="shared" si="105"/>
        <v>Больше половины</v>
      </c>
      <c r="T775" t="str">
        <f t="shared" si="106"/>
        <v>Низшая четверть</v>
      </c>
      <c r="U775" t="str">
        <f t="shared" si="107"/>
        <v>код для проверки</v>
      </c>
      <c r="V775" t="str">
        <f t="shared" si="108"/>
        <v>Больше половины</v>
      </c>
      <c r="W775" t="str">
        <f t="shared" si="109"/>
        <v>Низшая четверть</v>
      </c>
      <c r="X775">
        <v>25</v>
      </c>
    </row>
    <row r="776" spans="1:24" x14ac:dyDescent="0.35">
      <c r="A776" s="1" t="s">
        <v>2266</v>
      </c>
      <c r="B776" s="2" t="s">
        <v>2267</v>
      </c>
      <c r="C776" s="3" t="s">
        <v>13</v>
      </c>
      <c r="D776" s="2" t="s">
        <v>69</v>
      </c>
      <c r="E776" s="3" t="s">
        <v>2268</v>
      </c>
      <c r="F776" s="2" t="s">
        <v>96</v>
      </c>
      <c r="G776" s="3" t="s">
        <v>72</v>
      </c>
      <c r="H776" s="2" t="s">
        <v>18</v>
      </c>
      <c r="I776" s="3" t="s">
        <v>19</v>
      </c>
      <c r="J776" s="3">
        <v>2464</v>
      </c>
      <c r="K776" s="3">
        <v>373</v>
      </c>
      <c r="L776" s="3">
        <v>2</v>
      </c>
      <c r="M776" s="4">
        <f t="shared" si="103"/>
        <v>0.15137987012987014</v>
      </c>
      <c r="N776" s="4">
        <f t="shared" si="104"/>
        <v>5.3619302949061663E-3</v>
      </c>
      <c r="O776">
        <v>487</v>
      </c>
      <c r="P776" s="5">
        <v>1</v>
      </c>
      <c r="Q776" s="7">
        <v>1</v>
      </c>
      <c r="R776" t="str">
        <f t="shared" si="102"/>
        <v>код для проверки</v>
      </c>
      <c r="S776" t="str">
        <f t="shared" si="105"/>
        <v>Больше половины</v>
      </c>
      <c r="T776" t="str">
        <f t="shared" si="106"/>
        <v>Низшая четверть</v>
      </c>
      <c r="U776" t="str">
        <f t="shared" si="107"/>
        <v>код для проверки</v>
      </c>
      <c r="V776" t="str">
        <f t="shared" si="108"/>
        <v>Больше половины</v>
      </c>
      <c r="W776" t="str">
        <f t="shared" si="109"/>
        <v>Низшая четверть</v>
      </c>
      <c r="X776">
        <v>11</v>
      </c>
    </row>
    <row r="777" spans="1:24" x14ac:dyDescent="0.35">
      <c r="A777" s="1" t="s">
        <v>1908</v>
      </c>
      <c r="B777" s="2" t="s">
        <v>1909</v>
      </c>
      <c r="C777" s="3" t="s">
        <v>55</v>
      </c>
      <c r="D777" s="2" t="s">
        <v>1049</v>
      </c>
      <c r="E777" s="3" t="s">
        <v>1050</v>
      </c>
      <c r="F777" s="2" t="s">
        <v>34</v>
      </c>
      <c r="G777" s="3" t="s">
        <v>17</v>
      </c>
      <c r="H777" s="2" t="s">
        <v>18</v>
      </c>
      <c r="I777" s="3" t="s">
        <v>19</v>
      </c>
      <c r="J777" s="3">
        <v>2460</v>
      </c>
      <c r="K777" s="3">
        <v>1935</v>
      </c>
      <c r="L777" s="3">
        <v>8</v>
      </c>
      <c r="M777" s="4">
        <f t="shared" si="103"/>
        <v>0.78658536585365857</v>
      </c>
      <c r="N777" s="4">
        <f t="shared" si="104"/>
        <v>4.1343669250645991E-3</v>
      </c>
      <c r="O777">
        <v>402</v>
      </c>
      <c r="P777" s="5">
        <v>1</v>
      </c>
      <c r="Q777" s="7">
        <v>1</v>
      </c>
      <c r="R777" t="str">
        <f t="shared" si="102"/>
        <v>код для проверки</v>
      </c>
      <c r="S777" t="str">
        <f t="shared" si="105"/>
        <v>Больше половины</v>
      </c>
      <c r="T777" t="str">
        <f t="shared" si="106"/>
        <v>Низшая четверть</v>
      </c>
      <c r="U777" t="str">
        <f t="shared" si="107"/>
        <v>код для проверки</v>
      </c>
      <c r="V777" t="str">
        <f t="shared" si="108"/>
        <v>Больше половины</v>
      </c>
      <c r="W777" t="str">
        <f t="shared" si="109"/>
        <v>Низшая четверть</v>
      </c>
      <c r="X777">
        <v>20</v>
      </c>
    </row>
    <row r="778" spans="1:24" x14ac:dyDescent="0.35">
      <c r="A778" s="1" t="s">
        <v>1763</v>
      </c>
      <c r="B778" s="2" t="s">
        <v>1764</v>
      </c>
      <c r="C778" s="3" t="s">
        <v>55</v>
      </c>
      <c r="D778" s="2" t="s">
        <v>94</v>
      </c>
      <c r="E778" s="3" t="s">
        <v>812</v>
      </c>
      <c r="F778" s="2" t="s">
        <v>96</v>
      </c>
      <c r="G778" s="3" t="s">
        <v>17</v>
      </c>
      <c r="H778" s="2" t="s">
        <v>18</v>
      </c>
      <c r="I778" s="3" t="s">
        <v>19</v>
      </c>
      <c r="J778" s="3">
        <v>2455</v>
      </c>
      <c r="K778" s="3">
        <v>505</v>
      </c>
      <c r="L778" s="3">
        <v>0</v>
      </c>
      <c r="M778" s="4">
        <f t="shared" si="103"/>
        <v>0.20570264765784113</v>
      </c>
      <c r="N778" s="4">
        <f t="shared" si="104"/>
        <v>0</v>
      </c>
      <c r="O778">
        <v>878</v>
      </c>
      <c r="P778" s="5">
        <v>1</v>
      </c>
      <c r="Q778" s="7">
        <v>1</v>
      </c>
      <c r="R778" t="str">
        <f t="shared" si="102"/>
        <v>код для проверки</v>
      </c>
      <c r="S778" t="str">
        <f t="shared" si="105"/>
        <v>Больше половины</v>
      </c>
      <c r="T778" t="str">
        <f t="shared" si="106"/>
        <v>Низшая четверть</v>
      </c>
      <c r="U778" t="str">
        <f t="shared" si="107"/>
        <v>код для проверки</v>
      </c>
      <c r="V778" t="str">
        <f t="shared" si="108"/>
        <v>Больше половины</v>
      </c>
      <c r="W778" t="str">
        <f t="shared" si="109"/>
        <v>Низшая четверть</v>
      </c>
      <c r="X778">
        <v>7</v>
      </c>
    </row>
    <row r="779" spans="1:24" x14ac:dyDescent="0.35">
      <c r="A779" s="1" t="s">
        <v>1489</v>
      </c>
      <c r="B779" s="2" t="s">
        <v>1490</v>
      </c>
      <c r="C779" s="3" t="s">
        <v>13</v>
      </c>
      <c r="D779" s="2" t="s">
        <v>412</v>
      </c>
      <c r="E779" s="3" t="s">
        <v>413</v>
      </c>
      <c r="F779" s="2" t="s">
        <v>61</v>
      </c>
      <c r="G779" s="3" t="s">
        <v>17</v>
      </c>
      <c r="H779" s="2" t="s">
        <v>97</v>
      </c>
      <c r="I779" s="3" t="s">
        <v>19</v>
      </c>
      <c r="J779" s="3">
        <v>2449</v>
      </c>
      <c r="K779" s="3">
        <v>669</v>
      </c>
      <c r="L779" s="3">
        <v>10</v>
      </c>
      <c r="M779" s="4">
        <f t="shared" si="103"/>
        <v>0.27317272356063699</v>
      </c>
      <c r="N779" s="4">
        <f t="shared" si="104"/>
        <v>1.4947683109118086E-2</v>
      </c>
      <c r="O779">
        <v>576</v>
      </c>
      <c r="P779" s="5">
        <v>1</v>
      </c>
      <c r="Q779" s="7">
        <v>1</v>
      </c>
      <c r="R779" t="str">
        <f t="shared" si="102"/>
        <v>нормальный код</v>
      </c>
      <c r="S779" t="str">
        <f t="shared" si="105"/>
        <v>Больше половины</v>
      </c>
      <c r="T779" t="str">
        <f t="shared" si="106"/>
        <v>Вторая четверть</v>
      </c>
      <c r="U779" t="str">
        <f t="shared" si="107"/>
        <v>нормальный код</v>
      </c>
      <c r="V779" t="str">
        <f t="shared" si="108"/>
        <v>Больше половины</v>
      </c>
      <c r="W779" t="str">
        <f t="shared" si="109"/>
        <v>Вторая четверть</v>
      </c>
      <c r="X779">
        <v>11</v>
      </c>
    </row>
    <row r="780" spans="1:24" x14ac:dyDescent="0.35">
      <c r="A780" s="1" t="s">
        <v>919</v>
      </c>
      <c r="B780" s="2" t="s">
        <v>920</v>
      </c>
      <c r="C780" s="3" t="s">
        <v>13</v>
      </c>
      <c r="D780" s="2" t="s">
        <v>77</v>
      </c>
      <c r="E780" s="3" t="s">
        <v>427</v>
      </c>
      <c r="F780" s="2" t="s">
        <v>71</v>
      </c>
      <c r="G780" s="3" t="s">
        <v>35</v>
      </c>
      <c r="H780" s="2" t="s">
        <v>18</v>
      </c>
      <c r="I780" s="3" t="s">
        <v>19</v>
      </c>
      <c r="J780" s="3">
        <v>2448</v>
      </c>
      <c r="K780" s="3">
        <v>421</v>
      </c>
      <c r="L780" s="3">
        <v>2</v>
      </c>
      <c r="M780" s="4">
        <f t="shared" si="103"/>
        <v>0.17197712418300654</v>
      </c>
      <c r="N780" s="4">
        <f t="shared" si="104"/>
        <v>4.7505938242280287E-3</v>
      </c>
      <c r="O780">
        <v>213</v>
      </c>
      <c r="P780" s="5">
        <v>1</v>
      </c>
      <c r="Q780" s="7">
        <v>1</v>
      </c>
      <c r="R780" t="str">
        <f t="shared" si="102"/>
        <v>код для проверки</v>
      </c>
      <c r="S780" t="str">
        <f t="shared" si="105"/>
        <v>Больше половины</v>
      </c>
      <c r="T780" t="str">
        <f t="shared" si="106"/>
        <v>Низшая четверть</v>
      </c>
      <c r="U780" t="str">
        <f t="shared" si="107"/>
        <v>нормальный код</v>
      </c>
      <c r="V780" t="str">
        <f t="shared" si="108"/>
        <v>Больше половины</v>
      </c>
      <c r="W780" t="str">
        <f t="shared" si="109"/>
        <v>Вторая четверть</v>
      </c>
      <c r="X780">
        <v>7</v>
      </c>
    </row>
    <row r="781" spans="1:24" x14ac:dyDescent="0.35">
      <c r="A781" s="1" t="s">
        <v>900</v>
      </c>
      <c r="B781" s="2" t="s">
        <v>901</v>
      </c>
      <c r="C781" s="3" t="s">
        <v>13</v>
      </c>
      <c r="D781" s="2" t="s">
        <v>77</v>
      </c>
      <c r="E781" s="3" t="s">
        <v>427</v>
      </c>
      <c r="F781" s="2" t="s">
        <v>71</v>
      </c>
      <c r="G781" s="3" t="s">
        <v>35</v>
      </c>
      <c r="H781" s="2" t="s">
        <v>18</v>
      </c>
      <c r="I781" s="3" t="s">
        <v>19</v>
      </c>
      <c r="J781" s="3">
        <v>2442</v>
      </c>
      <c r="K781" s="3">
        <v>245</v>
      </c>
      <c r="L781" s="3">
        <v>1</v>
      </c>
      <c r="M781" s="4">
        <f t="shared" si="103"/>
        <v>0.10032760032760032</v>
      </c>
      <c r="N781" s="4">
        <f t="shared" si="104"/>
        <v>4.0816326530612249E-3</v>
      </c>
      <c r="O781">
        <v>189</v>
      </c>
      <c r="P781" s="5">
        <v>0.6</v>
      </c>
      <c r="Q781" s="7">
        <v>1</v>
      </c>
      <c r="R781" t="str">
        <f t="shared" si="102"/>
        <v>код для проверки</v>
      </c>
      <c r="S781" t="str">
        <f t="shared" si="105"/>
        <v>Больше половины</v>
      </c>
      <c r="T781" t="str">
        <f t="shared" si="106"/>
        <v>Низшая четверть</v>
      </c>
      <c r="U781" t="str">
        <f t="shared" si="107"/>
        <v>код для проверки</v>
      </c>
      <c r="V781" t="str">
        <f t="shared" si="108"/>
        <v>Больше половины</v>
      </c>
      <c r="W781" t="str">
        <f t="shared" si="109"/>
        <v>Низшая четверть</v>
      </c>
      <c r="X781">
        <v>16</v>
      </c>
    </row>
    <row r="782" spans="1:24" x14ac:dyDescent="0.35">
      <c r="A782" s="1" t="s">
        <v>648</v>
      </c>
      <c r="B782" s="2" t="s">
        <v>649</v>
      </c>
      <c r="C782" s="3" t="s">
        <v>13</v>
      </c>
      <c r="D782" s="2" t="s">
        <v>121</v>
      </c>
      <c r="E782" s="3" t="s">
        <v>650</v>
      </c>
      <c r="F782" s="2" t="s">
        <v>71</v>
      </c>
      <c r="G782" s="3" t="s">
        <v>17</v>
      </c>
      <c r="H782" s="2" t="s">
        <v>18</v>
      </c>
      <c r="I782" s="3" t="s">
        <v>19</v>
      </c>
      <c r="J782" s="3">
        <v>2433</v>
      </c>
      <c r="K782" s="3">
        <v>233</v>
      </c>
      <c r="L782" s="3">
        <v>4</v>
      </c>
      <c r="M782" s="4">
        <f t="shared" si="103"/>
        <v>9.5766543362104398E-2</v>
      </c>
      <c r="N782" s="4">
        <f t="shared" si="104"/>
        <v>1.7167381974248927E-2</v>
      </c>
      <c r="O782">
        <v>413</v>
      </c>
      <c r="P782" s="5">
        <v>1</v>
      </c>
      <c r="Q782" s="7">
        <v>1</v>
      </c>
      <c r="R782" t="str">
        <f t="shared" si="102"/>
        <v>нормальный код</v>
      </c>
      <c r="S782" t="str">
        <f t="shared" si="105"/>
        <v>Больше половины</v>
      </c>
      <c r="T782" t="str">
        <f t="shared" si="106"/>
        <v>Вторая четверть</v>
      </c>
      <c r="U782" t="str">
        <f t="shared" si="107"/>
        <v>нормальный код</v>
      </c>
      <c r="V782" t="str">
        <f t="shared" si="108"/>
        <v>Вторая четверть</v>
      </c>
      <c r="W782" t="str">
        <f t="shared" si="109"/>
        <v>Больше половины</v>
      </c>
      <c r="X782">
        <v>10</v>
      </c>
    </row>
    <row r="783" spans="1:24" x14ac:dyDescent="0.35">
      <c r="A783" s="1" t="s">
        <v>2264</v>
      </c>
      <c r="B783" s="2" t="s">
        <v>2265</v>
      </c>
      <c r="C783" s="3" t="s">
        <v>13</v>
      </c>
      <c r="D783" s="2" t="s">
        <v>32</v>
      </c>
      <c r="E783" s="3" t="s">
        <v>2178</v>
      </c>
      <c r="F783" s="2" t="s">
        <v>61</v>
      </c>
      <c r="G783" s="3" t="s">
        <v>17</v>
      </c>
      <c r="H783" s="2" t="s">
        <v>18</v>
      </c>
      <c r="I783" s="3" t="s">
        <v>19</v>
      </c>
      <c r="J783" s="3">
        <v>2430</v>
      </c>
      <c r="K783" s="3">
        <v>218</v>
      </c>
      <c r="L783" s="3">
        <v>2</v>
      </c>
      <c r="M783" s="4">
        <f t="shared" si="103"/>
        <v>8.9711934156378598E-2</v>
      </c>
      <c r="N783" s="4">
        <f t="shared" si="104"/>
        <v>9.1743119266055051E-3</v>
      </c>
      <c r="O783">
        <v>602</v>
      </c>
      <c r="P783" s="5">
        <v>1</v>
      </c>
      <c r="Q783" s="7">
        <v>1</v>
      </c>
      <c r="R783" t="str">
        <f t="shared" si="102"/>
        <v>код для проверки</v>
      </c>
      <c r="S783" t="str">
        <f t="shared" si="105"/>
        <v>Вторая четверть</v>
      </c>
      <c r="T783" t="str">
        <f t="shared" si="106"/>
        <v>Низшая четверть</v>
      </c>
      <c r="U783" t="str">
        <f t="shared" si="107"/>
        <v>нормальный код</v>
      </c>
      <c r="V783" t="str">
        <f t="shared" si="108"/>
        <v>Больше половины</v>
      </c>
      <c r="W783" t="str">
        <f t="shared" si="109"/>
        <v>Больше половины</v>
      </c>
      <c r="X783">
        <v>18</v>
      </c>
    </row>
    <row r="784" spans="1:24" x14ac:dyDescent="0.35">
      <c r="A784" s="1" t="s">
        <v>712</v>
      </c>
      <c r="B784" s="2" t="s">
        <v>713</v>
      </c>
      <c r="C784" s="3" t="s">
        <v>13</v>
      </c>
      <c r="D784" s="2" t="s">
        <v>164</v>
      </c>
      <c r="E784" s="3" t="s">
        <v>538</v>
      </c>
      <c r="F784" s="2" t="s">
        <v>71</v>
      </c>
      <c r="G784" s="3" t="s">
        <v>35</v>
      </c>
      <c r="H784" s="2" t="s">
        <v>18</v>
      </c>
      <c r="I784" s="3" t="s">
        <v>19</v>
      </c>
      <c r="J784" s="3">
        <v>2423</v>
      </c>
      <c r="K784" s="3">
        <v>312</v>
      </c>
      <c r="L784" s="3">
        <v>1</v>
      </c>
      <c r="M784" s="4">
        <f t="shared" si="103"/>
        <v>0.12876599257119273</v>
      </c>
      <c r="N784" s="4">
        <f t="shared" si="104"/>
        <v>3.205128205128205E-3</v>
      </c>
      <c r="O784">
        <v>87</v>
      </c>
      <c r="P784" s="5">
        <v>0.6</v>
      </c>
      <c r="Q784" s="7">
        <v>1</v>
      </c>
      <c r="R784" t="str">
        <f t="shared" si="102"/>
        <v>код для проверки</v>
      </c>
      <c r="S784" t="str">
        <f t="shared" si="105"/>
        <v>Больше половины</v>
      </c>
      <c r="T784" t="str">
        <f t="shared" si="106"/>
        <v>Низшая четверть</v>
      </c>
      <c r="U784" t="str">
        <f t="shared" si="107"/>
        <v>код для проверки</v>
      </c>
      <c r="V784" t="str">
        <f t="shared" si="108"/>
        <v>Больше половины</v>
      </c>
      <c r="W784" t="str">
        <f t="shared" si="109"/>
        <v>Низшая четверть</v>
      </c>
      <c r="X784">
        <v>23</v>
      </c>
    </row>
    <row r="785" spans="1:24" x14ac:dyDescent="0.35">
      <c r="A785" s="1" t="s">
        <v>1603</v>
      </c>
      <c r="B785" s="2" t="s">
        <v>1604</v>
      </c>
      <c r="C785" s="3" t="s">
        <v>55</v>
      </c>
      <c r="D785" s="2" t="s">
        <v>94</v>
      </c>
      <c r="E785" s="3" t="s">
        <v>812</v>
      </c>
      <c r="F785" s="2" t="s">
        <v>96</v>
      </c>
      <c r="G785" s="3" t="s">
        <v>17</v>
      </c>
      <c r="H785" s="2" t="s">
        <v>18</v>
      </c>
      <c r="I785" s="3" t="s">
        <v>19</v>
      </c>
      <c r="J785" s="3">
        <v>2406</v>
      </c>
      <c r="K785" s="3">
        <v>312</v>
      </c>
      <c r="L785" s="3">
        <v>1</v>
      </c>
      <c r="M785" s="4">
        <f t="shared" si="103"/>
        <v>0.12967581047381546</v>
      </c>
      <c r="N785" s="4">
        <f t="shared" si="104"/>
        <v>3.205128205128205E-3</v>
      </c>
      <c r="O785">
        <v>2018</v>
      </c>
      <c r="P785" s="5">
        <v>1</v>
      </c>
      <c r="Q785" s="7">
        <v>1</v>
      </c>
      <c r="R785" t="str">
        <f t="shared" si="102"/>
        <v>код для проверки</v>
      </c>
      <c r="S785" t="str">
        <f t="shared" si="105"/>
        <v>Больше половины</v>
      </c>
      <c r="T785" t="str">
        <f t="shared" si="106"/>
        <v>Низшая четверть</v>
      </c>
      <c r="U785" t="str">
        <f t="shared" si="107"/>
        <v>код для проверки</v>
      </c>
      <c r="V785" t="str">
        <f t="shared" si="108"/>
        <v>Вторая четверть</v>
      </c>
      <c r="W785" t="str">
        <f t="shared" si="109"/>
        <v>Низшая четверть</v>
      </c>
      <c r="X785">
        <v>10</v>
      </c>
    </row>
    <row r="786" spans="1:24" x14ac:dyDescent="0.35">
      <c r="A786" s="1" t="s">
        <v>2519</v>
      </c>
      <c r="B786" s="2" t="s">
        <v>2520</v>
      </c>
      <c r="C786" s="3" t="s">
        <v>13</v>
      </c>
      <c r="D786" s="2" t="s">
        <v>412</v>
      </c>
      <c r="E786" s="3" t="s">
        <v>413</v>
      </c>
      <c r="F786" s="2" t="s">
        <v>61</v>
      </c>
      <c r="G786" s="3" t="s">
        <v>17</v>
      </c>
      <c r="H786" s="2" t="s">
        <v>97</v>
      </c>
      <c r="I786" s="3" t="s">
        <v>19</v>
      </c>
      <c r="J786" s="3">
        <v>2404</v>
      </c>
      <c r="K786" s="3">
        <v>309</v>
      </c>
      <c r="L786" s="3">
        <v>13</v>
      </c>
      <c r="M786" s="4">
        <f t="shared" si="103"/>
        <v>0.12853577371048253</v>
      </c>
      <c r="N786" s="4">
        <f t="shared" si="104"/>
        <v>4.2071197411003236E-2</v>
      </c>
      <c r="O786">
        <v>488</v>
      </c>
      <c r="P786" s="5">
        <v>1</v>
      </c>
      <c r="Q786" s="7">
        <v>1</v>
      </c>
      <c r="R786" t="str">
        <f t="shared" si="102"/>
        <v>нормальный код</v>
      </c>
      <c r="S786" t="str">
        <f t="shared" si="105"/>
        <v>Больше половины</v>
      </c>
      <c r="T786" t="str">
        <f t="shared" si="106"/>
        <v>Больше половины</v>
      </c>
      <c r="U786" t="str">
        <f t="shared" si="107"/>
        <v>нормальный код</v>
      </c>
      <c r="V786" t="str">
        <f t="shared" si="108"/>
        <v>Больше половины</v>
      </c>
      <c r="W786" t="str">
        <f t="shared" si="109"/>
        <v>Больше половины</v>
      </c>
      <c r="X786">
        <v>10</v>
      </c>
    </row>
    <row r="787" spans="1:24" x14ac:dyDescent="0.35">
      <c r="A787" s="1" t="s">
        <v>545</v>
      </c>
      <c r="B787" s="2" t="s">
        <v>546</v>
      </c>
      <c r="C787" s="3" t="s">
        <v>13</v>
      </c>
      <c r="D787" s="2" t="s">
        <v>77</v>
      </c>
      <c r="E787" s="3" t="s">
        <v>172</v>
      </c>
      <c r="F787" s="2" t="s">
        <v>34</v>
      </c>
      <c r="G787" s="3" t="s">
        <v>17</v>
      </c>
      <c r="H787" s="2" t="s">
        <v>18</v>
      </c>
      <c r="I787" s="3" t="s">
        <v>19</v>
      </c>
      <c r="J787" s="3">
        <v>2402</v>
      </c>
      <c r="K787" s="3">
        <v>513</v>
      </c>
      <c r="L787" s="3">
        <v>3</v>
      </c>
      <c r="M787" s="4">
        <f t="shared" si="103"/>
        <v>0.21357202331390507</v>
      </c>
      <c r="N787" s="4">
        <f t="shared" si="104"/>
        <v>5.8479532163742687E-3</v>
      </c>
      <c r="O787">
        <v>642</v>
      </c>
      <c r="P787" s="5">
        <v>1</v>
      </c>
      <c r="Q787" s="7">
        <v>1</v>
      </c>
      <c r="R787" t="str">
        <f t="shared" si="102"/>
        <v>код для проверки</v>
      </c>
      <c r="S787" t="str">
        <f t="shared" si="105"/>
        <v>Больше половины</v>
      </c>
      <c r="T787" t="str">
        <f t="shared" si="106"/>
        <v>Низшая четверть</v>
      </c>
      <c r="U787" t="str">
        <f t="shared" si="107"/>
        <v>код для проверки</v>
      </c>
      <c r="V787" t="str">
        <f t="shared" si="108"/>
        <v>Больше половины</v>
      </c>
      <c r="W787" t="str">
        <f t="shared" si="109"/>
        <v>Низшая четверть</v>
      </c>
      <c r="X787">
        <v>20</v>
      </c>
    </row>
    <row r="788" spans="1:24" x14ac:dyDescent="0.35">
      <c r="A788" s="1" t="s">
        <v>1240</v>
      </c>
      <c r="B788" s="2" t="s">
        <v>1241</v>
      </c>
      <c r="C788" s="3" t="s">
        <v>13</v>
      </c>
      <c r="D788" s="2" t="s">
        <v>121</v>
      </c>
      <c r="E788" s="3" t="s">
        <v>531</v>
      </c>
      <c r="F788" s="2" t="s">
        <v>123</v>
      </c>
      <c r="G788" s="3" t="s">
        <v>35</v>
      </c>
      <c r="H788" s="2" t="s">
        <v>18</v>
      </c>
      <c r="I788" s="3" t="s">
        <v>19</v>
      </c>
      <c r="J788" s="3">
        <v>2394</v>
      </c>
      <c r="K788" s="3">
        <v>107</v>
      </c>
      <c r="L788" s="3">
        <v>2</v>
      </c>
      <c r="M788" s="4">
        <f t="shared" si="103"/>
        <v>4.4695071010860482E-2</v>
      </c>
      <c r="N788" s="4">
        <f t="shared" si="104"/>
        <v>1.8691588785046728E-2</v>
      </c>
      <c r="O788">
        <v>364</v>
      </c>
      <c r="P788" s="5">
        <v>0.8</v>
      </c>
      <c r="Q788" s="7">
        <v>1</v>
      </c>
      <c r="R788" t="str">
        <f t="shared" si="102"/>
        <v>код для проверки</v>
      </c>
      <c r="S788" t="str">
        <f t="shared" si="105"/>
        <v>Низшая четверть</v>
      </c>
      <c r="T788" t="str">
        <f t="shared" si="106"/>
        <v>Вторая четверть</v>
      </c>
      <c r="U788" t="str">
        <f t="shared" si="107"/>
        <v>нормальный код</v>
      </c>
      <c r="V788" t="str">
        <f t="shared" si="108"/>
        <v>Вторая четверть</v>
      </c>
      <c r="W788" t="str">
        <f t="shared" si="109"/>
        <v>Вторая четверть</v>
      </c>
      <c r="X788">
        <v>14</v>
      </c>
    </row>
    <row r="789" spans="1:24" x14ac:dyDescent="0.35">
      <c r="A789" s="1" t="s">
        <v>1463</v>
      </c>
      <c r="B789" s="2" t="s">
        <v>1464</v>
      </c>
      <c r="C789" s="3" t="s">
        <v>55</v>
      </c>
      <c r="D789" s="2" t="s">
        <v>56</v>
      </c>
      <c r="E789" s="3" t="s">
        <v>472</v>
      </c>
      <c r="F789" s="2" t="s">
        <v>34</v>
      </c>
      <c r="G789" s="3" t="s">
        <v>17</v>
      </c>
      <c r="H789" s="2" t="s">
        <v>18</v>
      </c>
      <c r="I789" s="3" t="s">
        <v>19</v>
      </c>
      <c r="J789" s="3">
        <v>2391</v>
      </c>
      <c r="K789" s="3">
        <v>175</v>
      </c>
      <c r="L789" s="3">
        <v>6</v>
      </c>
      <c r="M789" s="4">
        <f t="shared" si="103"/>
        <v>7.3191133416980345E-2</v>
      </c>
      <c r="N789" s="4">
        <f t="shared" si="104"/>
        <v>3.4285714285714287E-2</v>
      </c>
      <c r="O789">
        <v>491</v>
      </c>
      <c r="P789" s="5">
        <v>1</v>
      </c>
      <c r="Q789" s="7">
        <v>1</v>
      </c>
      <c r="R789" t="str">
        <f t="shared" si="102"/>
        <v>нормальный код</v>
      </c>
      <c r="S789" t="str">
        <f t="shared" si="105"/>
        <v>Вторая четверть</v>
      </c>
      <c r="T789" t="str">
        <f t="shared" si="106"/>
        <v>Больше половины</v>
      </c>
      <c r="U789" t="str">
        <f t="shared" si="107"/>
        <v>нормальный код</v>
      </c>
      <c r="V789" t="str">
        <f t="shared" si="108"/>
        <v>Больше половины</v>
      </c>
      <c r="W789" t="str">
        <f t="shared" si="109"/>
        <v>Вторая четверть</v>
      </c>
      <c r="X789">
        <v>19</v>
      </c>
    </row>
    <row r="790" spans="1:24" x14ac:dyDescent="0.35">
      <c r="A790" s="1" t="s">
        <v>2293</v>
      </c>
      <c r="B790" s="2" t="s">
        <v>2294</v>
      </c>
      <c r="C790" s="3" t="s">
        <v>55</v>
      </c>
      <c r="D790" s="2" t="s">
        <v>56</v>
      </c>
      <c r="E790" s="3" t="s">
        <v>472</v>
      </c>
      <c r="F790" s="2" t="s">
        <v>34</v>
      </c>
      <c r="G790" s="3" t="s">
        <v>17</v>
      </c>
      <c r="H790" s="2" t="s">
        <v>18</v>
      </c>
      <c r="I790" s="3" t="s">
        <v>19</v>
      </c>
      <c r="J790" s="3">
        <v>2381</v>
      </c>
      <c r="K790" s="3">
        <v>302</v>
      </c>
      <c r="L790" s="3">
        <v>10</v>
      </c>
      <c r="M790" s="4">
        <f t="shared" si="103"/>
        <v>0.12683746325073497</v>
      </c>
      <c r="N790" s="4">
        <f t="shared" si="104"/>
        <v>3.3112582781456956E-2</v>
      </c>
      <c r="O790">
        <v>231</v>
      </c>
      <c r="P790" s="5">
        <v>0.83333333333333337</v>
      </c>
      <c r="Q790" s="7">
        <v>1</v>
      </c>
      <c r="R790" t="str">
        <f t="shared" si="102"/>
        <v>нормальный код</v>
      </c>
      <c r="S790" t="str">
        <f t="shared" si="105"/>
        <v>Больше половины</v>
      </c>
      <c r="T790" t="str">
        <f t="shared" si="106"/>
        <v>Больше половины</v>
      </c>
      <c r="U790" t="str">
        <f t="shared" si="107"/>
        <v>нормальный код</v>
      </c>
      <c r="V790" t="str">
        <f t="shared" si="108"/>
        <v>Больше половины</v>
      </c>
      <c r="W790" t="str">
        <f t="shared" si="109"/>
        <v>Вторая четверть</v>
      </c>
      <c r="X790">
        <v>16</v>
      </c>
    </row>
    <row r="791" spans="1:24" x14ac:dyDescent="0.35">
      <c r="A791" s="1" t="s">
        <v>2220</v>
      </c>
      <c r="B791" s="2" t="s">
        <v>2221</v>
      </c>
      <c r="C791" s="3" t="s">
        <v>13</v>
      </c>
      <c r="D791" s="2" t="s">
        <v>77</v>
      </c>
      <c r="E791" s="3" t="s">
        <v>444</v>
      </c>
      <c r="F791" s="2" t="s">
        <v>96</v>
      </c>
      <c r="G791" s="3" t="s">
        <v>17</v>
      </c>
      <c r="H791" s="2" t="s">
        <v>18</v>
      </c>
      <c r="I791" s="3" t="s">
        <v>19</v>
      </c>
      <c r="J791" s="3">
        <v>2379</v>
      </c>
      <c r="K791" s="3">
        <v>69</v>
      </c>
      <c r="L791" s="3">
        <v>3</v>
      </c>
      <c r="M791" s="4">
        <f t="shared" si="103"/>
        <v>2.9003783102143757E-2</v>
      </c>
      <c r="N791" s="4">
        <f t="shared" si="104"/>
        <v>4.3478260869565216E-2</v>
      </c>
      <c r="O791">
        <v>591</v>
      </c>
      <c r="P791" s="5">
        <v>1</v>
      </c>
      <c r="Q791" s="7">
        <v>1</v>
      </c>
      <c r="R791" t="str">
        <f t="shared" si="102"/>
        <v>код для проверки</v>
      </c>
      <c r="S791" t="str">
        <f t="shared" si="105"/>
        <v>Низшая четверть</v>
      </c>
      <c r="T791" t="str">
        <f t="shared" si="106"/>
        <v>Больше половины</v>
      </c>
      <c r="U791" t="str">
        <f t="shared" si="107"/>
        <v>код для проверки</v>
      </c>
      <c r="V791" t="str">
        <f t="shared" si="108"/>
        <v>Низшая четверть</v>
      </c>
      <c r="W791" t="str">
        <f t="shared" si="109"/>
        <v>Больше половины</v>
      </c>
      <c r="X791">
        <v>8</v>
      </c>
    </row>
    <row r="792" spans="1:24" x14ac:dyDescent="0.35">
      <c r="A792" s="1" t="s">
        <v>2096</v>
      </c>
      <c r="B792" s="2" t="s">
        <v>2097</v>
      </c>
      <c r="C792" s="3" t="s">
        <v>13</v>
      </c>
      <c r="D792" s="2" t="s">
        <v>104</v>
      </c>
      <c r="E792" s="3" t="s">
        <v>1649</v>
      </c>
      <c r="F792" s="2" t="s">
        <v>61</v>
      </c>
      <c r="G792" s="3" t="s">
        <v>17</v>
      </c>
      <c r="H792" s="2" t="s">
        <v>18</v>
      </c>
      <c r="I792" s="3" t="s">
        <v>19</v>
      </c>
      <c r="J792" s="3">
        <v>2373</v>
      </c>
      <c r="K792" s="3">
        <v>284</v>
      </c>
      <c r="L792" s="3">
        <v>5</v>
      </c>
      <c r="M792" s="4">
        <f t="shared" si="103"/>
        <v>0.11967973029919933</v>
      </c>
      <c r="N792" s="4">
        <f t="shared" si="104"/>
        <v>1.7605633802816902E-2</v>
      </c>
      <c r="O792">
        <v>410</v>
      </c>
      <c r="P792" s="5">
        <v>1</v>
      </c>
      <c r="Q792" s="7">
        <v>1</v>
      </c>
      <c r="R792" t="str">
        <f t="shared" si="102"/>
        <v>нормальный код</v>
      </c>
      <c r="S792" t="str">
        <f t="shared" si="105"/>
        <v>Больше половины</v>
      </c>
      <c r="T792" t="str">
        <f t="shared" si="106"/>
        <v>Вторая четверть</v>
      </c>
      <c r="U792" t="str">
        <f t="shared" si="107"/>
        <v>код для проверки</v>
      </c>
      <c r="V792" t="str">
        <f t="shared" si="108"/>
        <v>Больше половины</v>
      </c>
      <c r="W792" t="str">
        <f t="shared" si="109"/>
        <v>Низшая четверть</v>
      </c>
      <c r="X792">
        <v>16</v>
      </c>
    </row>
    <row r="793" spans="1:24" x14ac:dyDescent="0.35">
      <c r="A793" s="1" t="s">
        <v>2521</v>
      </c>
      <c r="B793" s="2" t="s">
        <v>2522</v>
      </c>
      <c r="C793" s="3" t="s">
        <v>13</v>
      </c>
      <c r="D793" s="2" t="s">
        <v>69</v>
      </c>
      <c r="E793" s="3" t="s">
        <v>2268</v>
      </c>
      <c r="F793" s="2" t="s">
        <v>96</v>
      </c>
      <c r="G793" s="3" t="s">
        <v>72</v>
      </c>
      <c r="H793" s="2" t="s">
        <v>18</v>
      </c>
      <c r="I793" s="3" t="s">
        <v>19</v>
      </c>
      <c r="J793" s="3">
        <v>2327</v>
      </c>
      <c r="K793" s="3">
        <v>116</v>
      </c>
      <c r="L793" s="3">
        <v>7</v>
      </c>
      <c r="M793" s="4">
        <f t="shared" si="103"/>
        <v>4.9849591749033091E-2</v>
      </c>
      <c r="N793" s="4">
        <f t="shared" si="104"/>
        <v>6.0344827586206899E-2</v>
      </c>
      <c r="O793">
        <v>612</v>
      </c>
      <c r="P793" s="5">
        <v>1</v>
      </c>
      <c r="Q793" s="7">
        <v>1</v>
      </c>
      <c r="R793" t="str">
        <f t="shared" si="102"/>
        <v>нормальный код</v>
      </c>
      <c r="S793" t="str">
        <f t="shared" si="105"/>
        <v>Вторая четверть</v>
      </c>
      <c r="T793" t="str">
        <f t="shared" si="106"/>
        <v>Больше половины</v>
      </c>
      <c r="U793" t="str">
        <f t="shared" si="107"/>
        <v>нормальный код</v>
      </c>
      <c r="V793" t="str">
        <f t="shared" si="108"/>
        <v>Вторая четверть</v>
      </c>
      <c r="W793" t="str">
        <f t="shared" si="109"/>
        <v>Больше половины</v>
      </c>
      <c r="X793">
        <v>9</v>
      </c>
    </row>
    <row r="794" spans="1:24" x14ac:dyDescent="0.35">
      <c r="A794" s="1" t="s">
        <v>777</v>
      </c>
      <c r="B794" s="2" t="s">
        <v>778</v>
      </c>
      <c r="C794" s="3" t="s">
        <v>13</v>
      </c>
      <c r="D794" s="2" t="s">
        <v>143</v>
      </c>
      <c r="E794" s="3" t="s">
        <v>144</v>
      </c>
      <c r="F794" s="2" t="s">
        <v>34</v>
      </c>
      <c r="G794" s="3" t="s">
        <v>35</v>
      </c>
      <c r="H794" s="2" t="s">
        <v>18</v>
      </c>
      <c r="I794" s="3" t="s">
        <v>19</v>
      </c>
      <c r="J794" s="3">
        <v>2325</v>
      </c>
      <c r="K794" s="3">
        <v>681</v>
      </c>
      <c r="L794" s="3">
        <v>0</v>
      </c>
      <c r="M794" s="4">
        <f t="shared" si="103"/>
        <v>0.29290322580645162</v>
      </c>
      <c r="N794" s="4">
        <f t="shared" si="104"/>
        <v>0</v>
      </c>
      <c r="O794">
        <v>275</v>
      </c>
      <c r="P794" s="5">
        <v>1</v>
      </c>
      <c r="Q794" s="7">
        <v>1</v>
      </c>
      <c r="R794" t="str">
        <f t="shared" si="102"/>
        <v>код для проверки</v>
      </c>
      <c r="S794" t="str">
        <f t="shared" si="105"/>
        <v>Больше половины</v>
      </c>
      <c r="T794" t="str">
        <f t="shared" si="106"/>
        <v>Низшая четверть</v>
      </c>
      <c r="U794" t="str">
        <f t="shared" si="107"/>
        <v>код для проверки</v>
      </c>
      <c r="V794" t="str">
        <f t="shared" si="108"/>
        <v>Больше половины</v>
      </c>
      <c r="W794" t="str">
        <f t="shared" si="109"/>
        <v>Низшая четверть</v>
      </c>
      <c r="X794">
        <v>27</v>
      </c>
    </row>
    <row r="795" spans="1:24" x14ac:dyDescent="0.35">
      <c r="A795" s="1" t="s">
        <v>1422</v>
      </c>
      <c r="B795" s="2" t="s">
        <v>1423</v>
      </c>
      <c r="C795" s="3" t="s">
        <v>13</v>
      </c>
      <c r="D795" s="2" t="s">
        <v>85</v>
      </c>
      <c r="E795" s="3" t="s">
        <v>86</v>
      </c>
      <c r="F795" s="2" t="s">
        <v>71</v>
      </c>
      <c r="G795" s="3" t="s">
        <v>17</v>
      </c>
      <c r="H795" s="2" t="s">
        <v>18</v>
      </c>
      <c r="I795" s="3" t="s">
        <v>19</v>
      </c>
      <c r="J795" s="3">
        <v>2324</v>
      </c>
      <c r="K795" s="3">
        <v>674</v>
      </c>
      <c r="L795" s="3">
        <v>8</v>
      </c>
      <c r="M795" s="4">
        <f t="shared" si="103"/>
        <v>0.29001721170395867</v>
      </c>
      <c r="N795" s="4">
        <f t="shared" si="104"/>
        <v>1.1869436201780416E-2</v>
      </c>
      <c r="O795">
        <v>411</v>
      </c>
      <c r="P795" s="5">
        <v>1</v>
      </c>
      <c r="Q795" s="7">
        <v>1</v>
      </c>
      <c r="R795" t="str">
        <f t="shared" si="102"/>
        <v>нормальный код</v>
      </c>
      <c r="S795" t="str">
        <f t="shared" si="105"/>
        <v>Больше половины</v>
      </c>
      <c r="T795" t="str">
        <f t="shared" si="106"/>
        <v>Вторая четверть</v>
      </c>
      <c r="U795" t="str">
        <f t="shared" si="107"/>
        <v>нормальный код</v>
      </c>
      <c r="V795" t="str">
        <f t="shared" si="108"/>
        <v>Больше половины</v>
      </c>
      <c r="W795" t="str">
        <f t="shared" si="109"/>
        <v>Вторая четверть</v>
      </c>
      <c r="X795">
        <v>12</v>
      </c>
    </row>
    <row r="796" spans="1:24" x14ac:dyDescent="0.35">
      <c r="A796" s="1" t="s">
        <v>1804</v>
      </c>
      <c r="B796" s="2" t="s">
        <v>1805</v>
      </c>
      <c r="C796" s="3" t="s">
        <v>13</v>
      </c>
      <c r="D796" s="2" t="s">
        <v>77</v>
      </c>
      <c r="E796" s="3" t="s">
        <v>1592</v>
      </c>
      <c r="F796" s="2" t="s">
        <v>96</v>
      </c>
      <c r="G796" s="3" t="s">
        <v>17</v>
      </c>
      <c r="H796" s="2" t="s">
        <v>18</v>
      </c>
      <c r="I796" s="3" t="s">
        <v>19</v>
      </c>
      <c r="J796" s="3">
        <v>2310</v>
      </c>
      <c r="K796" s="3">
        <v>216</v>
      </c>
      <c r="L796" s="3">
        <v>8</v>
      </c>
      <c r="M796" s="4">
        <f t="shared" si="103"/>
        <v>9.350649350649351E-2</v>
      </c>
      <c r="N796" s="4">
        <f t="shared" si="104"/>
        <v>3.7037037037037035E-2</v>
      </c>
      <c r="O796">
        <v>680</v>
      </c>
      <c r="P796" s="5">
        <v>1</v>
      </c>
      <c r="Q796" s="7">
        <v>1</v>
      </c>
      <c r="R796" t="str">
        <f t="shared" si="102"/>
        <v>нормальный код</v>
      </c>
      <c r="S796" t="str">
        <f t="shared" si="105"/>
        <v>Вторая четверть</v>
      </c>
      <c r="T796" t="str">
        <f t="shared" si="106"/>
        <v>Больше половины</v>
      </c>
      <c r="U796" t="str">
        <f t="shared" si="107"/>
        <v>нормальный код</v>
      </c>
      <c r="V796" t="str">
        <f t="shared" si="108"/>
        <v>Вторая четверть</v>
      </c>
      <c r="W796" t="str">
        <f t="shared" si="109"/>
        <v>Больше половины</v>
      </c>
      <c r="X796">
        <v>8</v>
      </c>
    </row>
    <row r="797" spans="1:24" x14ac:dyDescent="0.35">
      <c r="A797" s="1" t="s">
        <v>722</v>
      </c>
      <c r="B797" s="2" t="s">
        <v>723</v>
      </c>
      <c r="C797" s="3" t="s">
        <v>55</v>
      </c>
      <c r="D797" s="2" t="s">
        <v>56</v>
      </c>
      <c r="E797" s="3" t="s">
        <v>112</v>
      </c>
      <c r="F797" s="2" t="s">
        <v>34</v>
      </c>
      <c r="G797" s="3" t="s">
        <v>17</v>
      </c>
      <c r="H797" s="2" t="s">
        <v>18</v>
      </c>
      <c r="I797" s="3" t="s">
        <v>19</v>
      </c>
      <c r="J797" s="3">
        <v>2300</v>
      </c>
      <c r="K797" s="3">
        <v>306</v>
      </c>
      <c r="L797" s="3">
        <v>3</v>
      </c>
      <c r="M797" s="4">
        <f t="shared" si="103"/>
        <v>0.13304347826086957</v>
      </c>
      <c r="N797" s="4">
        <f t="shared" si="104"/>
        <v>9.8039215686274508E-3</v>
      </c>
      <c r="O797">
        <v>287</v>
      </c>
      <c r="P797" s="5">
        <v>1</v>
      </c>
      <c r="Q797" s="7">
        <v>1</v>
      </c>
      <c r="R797" t="str">
        <f t="shared" si="102"/>
        <v>код для проверки</v>
      </c>
      <c r="S797" t="str">
        <f t="shared" si="105"/>
        <v>Больше половины</v>
      </c>
      <c r="T797" t="str">
        <f t="shared" si="106"/>
        <v>Низшая четверть</v>
      </c>
      <c r="U797" t="str">
        <f t="shared" si="107"/>
        <v>нормальный код</v>
      </c>
      <c r="V797" t="str">
        <f t="shared" si="108"/>
        <v>Больше половины</v>
      </c>
      <c r="W797" t="str">
        <f t="shared" si="109"/>
        <v>Вторая четверть</v>
      </c>
      <c r="X797">
        <v>15</v>
      </c>
    </row>
    <row r="798" spans="1:24" x14ac:dyDescent="0.35">
      <c r="A798" s="1" t="s">
        <v>753</v>
      </c>
      <c r="B798" s="2" t="s">
        <v>754</v>
      </c>
      <c r="C798" s="3" t="s">
        <v>55</v>
      </c>
      <c r="D798" s="2" t="s">
        <v>56</v>
      </c>
      <c r="E798" s="3" t="s">
        <v>755</v>
      </c>
      <c r="F798" s="2" t="s">
        <v>34</v>
      </c>
      <c r="G798" s="3" t="s">
        <v>17</v>
      </c>
      <c r="H798" s="2" t="s">
        <v>18</v>
      </c>
      <c r="I798" s="3" t="s">
        <v>19</v>
      </c>
      <c r="J798" s="3">
        <v>2297</v>
      </c>
      <c r="K798" s="3">
        <v>168</v>
      </c>
      <c r="L798" s="3">
        <v>3</v>
      </c>
      <c r="M798" s="4">
        <f t="shared" si="103"/>
        <v>7.3138876795820637E-2</v>
      </c>
      <c r="N798" s="4">
        <f t="shared" si="104"/>
        <v>1.7857142857142856E-2</v>
      </c>
      <c r="O798">
        <v>228</v>
      </c>
      <c r="P798" s="5">
        <v>1</v>
      </c>
      <c r="Q798" s="7">
        <v>1</v>
      </c>
      <c r="R798" t="str">
        <f t="shared" si="102"/>
        <v>нормальный код</v>
      </c>
      <c r="S798" t="str">
        <f t="shared" si="105"/>
        <v>Вторая четверть</v>
      </c>
      <c r="T798" t="str">
        <f t="shared" si="106"/>
        <v>Вторая четверть</v>
      </c>
      <c r="U798" t="str">
        <f t="shared" si="107"/>
        <v>нормальный код</v>
      </c>
      <c r="V798" t="str">
        <f t="shared" si="108"/>
        <v>Больше половины</v>
      </c>
      <c r="W798" t="str">
        <f t="shared" si="109"/>
        <v>Вторая четверть</v>
      </c>
      <c r="X798">
        <v>4</v>
      </c>
    </row>
    <row r="799" spans="1:24" x14ac:dyDescent="0.35">
      <c r="A799" s="1" t="s">
        <v>1076</v>
      </c>
      <c r="B799" s="2" t="s">
        <v>1077</v>
      </c>
      <c r="C799" s="3" t="s">
        <v>13</v>
      </c>
      <c r="D799" s="2" t="s">
        <v>77</v>
      </c>
      <c r="E799" s="3" t="s">
        <v>427</v>
      </c>
      <c r="F799" s="2" t="s">
        <v>71</v>
      </c>
      <c r="G799" s="3" t="s">
        <v>17</v>
      </c>
      <c r="H799" s="2" t="s">
        <v>18</v>
      </c>
      <c r="I799" s="3" t="s">
        <v>19</v>
      </c>
      <c r="J799" s="3">
        <v>2293</v>
      </c>
      <c r="K799" s="3">
        <v>96</v>
      </c>
      <c r="L799" s="3">
        <v>1</v>
      </c>
      <c r="M799" s="4">
        <f t="shared" si="103"/>
        <v>4.1866550370693416E-2</v>
      </c>
      <c r="N799" s="4">
        <f t="shared" si="104"/>
        <v>1.0416666666666666E-2</v>
      </c>
      <c r="O799">
        <v>400</v>
      </c>
      <c r="P799" s="5">
        <v>1</v>
      </c>
      <c r="Q799" s="7">
        <v>1</v>
      </c>
      <c r="R799" t="str">
        <f t="shared" si="102"/>
        <v>код для проверки</v>
      </c>
      <c r="S799" t="str">
        <f t="shared" si="105"/>
        <v>Низшая четверть</v>
      </c>
      <c r="T799" t="str">
        <f t="shared" si="106"/>
        <v>Вторая четверть</v>
      </c>
      <c r="U799" t="str">
        <f t="shared" si="107"/>
        <v>код для проверки</v>
      </c>
      <c r="V799" t="str">
        <f t="shared" si="108"/>
        <v>Низшая четверть</v>
      </c>
      <c r="W799" t="str">
        <f t="shared" si="109"/>
        <v>Больше половины</v>
      </c>
      <c r="X799">
        <v>19</v>
      </c>
    </row>
    <row r="800" spans="1:24" x14ac:dyDescent="0.35">
      <c r="A800" s="1" t="s">
        <v>1103</v>
      </c>
      <c r="B800" s="2" t="s">
        <v>1104</v>
      </c>
      <c r="C800" s="3" t="s">
        <v>13</v>
      </c>
      <c r="D800" s="2" t="s">
        <v>155</v>
      </c>
      <c r="E800" s="3" t="s">
        <v>156</v>
      </c>
      <c r="F800" s="2" t="s">
        <v>34</v>
      </c>
      <c r="G800" s="3" t="s">
        <v>35</v>
      </c>
      <c r="H800" s="2" t="s">
        <v>18</v>
      </c>
      <c r="I800" s="3" t="s">
        <v>19</v>
      </c>
      <c r="J800" s="3">
        <v>2288</v>
      </c>
      <c r="K800" s="3">
        <v>1389</v>
      </c>
      <c r="L800" s="3">
        <v>1</v>
      </c>
      <c r="M800" s="4">
        <f t="shared" si="103"/>
        <v>0.60708041958041958</v>
      </c>
      <c r="N800" s="4">
        <f t="shared" si="104"/>
        <v>7.1994240460763136E-4</v>
      </c>
      <c r="O800">
        <v>332</v>
      </c>
      <c r="P800" s="5">
        <v>1</v>
      </c>
      <c r="Q800" s="7">
        <v>1</v>
      </c>
      <c r="R800" t="str">
        <f t="shared" si="102"/>
        <v>код для проверки</v>
      </c>
      <c r="S800" t="str">
        <f t="shared" si="105"/>
        <v>Больше половины</v>
      </c>
      <c r="T800" t="str">
        <f t="shared" si="106"/>
        <v>Низшая четверть</v>
      </c>
      <c r="U800" t="str">
        <f t="shared" si="107"/>
        <v>код для проверки</v>
      </c>
      <c r="V800" t="str">
        <f t="shared" si="108"/>
        <v>Больше половины</v>
      </c>
      <c r="W800" t="str">
        <f t="shared" si="109"/>
        <v>Низшая четверть</v>
      </c>
      <c r="X800">
        <v>16</v>
      </c>
    </row>
    <row r="801" spans="1:24" x14ac:dyDescent="0.35">
      <c r="A801" s="1" t="s">
        <v>2038</v>
      </c>
      <c r="B801" s="2" t="s">
        <v>2039</v>
      </c>
      <c r="C801" s="3" t="s">
        <v>55</v>
      </c>
      <c r="D801" s="2" t="s">
        <v>56</v>
      </c>
      <c r="E801" s="3" t="s">
        <v>112</v>
      </c>
      <c r="F801" s="2" t="s">
        <v>34</v>
      </c>
      <c r="G801" s="3" t="s">
        <v>17</v>
      </c>
      <c r="H801" s="2" t="s">
        <v>18</v>
      </c>
      <c r="I801" s="3" t="s">
        <v>19</v>
      </c>
      <c r="J801" s="3">
        <v>2282</v>
      </c>
      <c r="K801" s="3">
        <v>330</v>
      </c>
      <c r="L801" s="3">
        <v>7</v>
      </c>
      <c r="M801" s="4">
        <f t="shared" si="103"/>
        <v>0.1446099912357581</v>
      </c>
      <c r="N801" s="4">
        <f t="shared" si="104"/>
        <v>2.1212121212121213E-2</v>
      </c>
      <c r="O801">
        <v>292</v>
      </c>
      <c r="P801" s="5">
        <v>1</v>
      </c>
      <c r="Q801" s="7">
        <v>1</v>
      </c>
      <c r="R801" t="str">
        <f t="shared" si="102"/>
        <v>нормальный код</v>
      </c>
      <c r="S801" t="str">
        <f t="shared" si="105"/>
        <v>Больше половины</v>
      </c>
      <c r="T801" t="str">
        <f t="shared" si="106"/>
        <v>Больше половины</v>
      </c>
      <c r="U801" t="str">
        <f t="shared" si="107"/>
        <v>нормальный код</v>
      </c>
      <c r="V801" t="str">
        <f t="shared" si="108"/>
        <v>Больше половины</v>
      </c>
      <c r="W801" t="str">
        <f t="shared" si="109"/>
        <v>Больше половины</v>
      </c>
      <c r="X801">
        <v>16</v>
      </c>
    </row>
    <row r="802" spans="1:24" x14ac:dyDescent="0.35">
      <c r="A802" s="1" t="s">
        <v>2523</v>
      </c>
      <c r="B802" s="2" t="s">
        <v>2524</v>
      </c>
      <c r="C802" s="3" t="s">
        <v>55</v>
      </c>
      <c r="D802" s="2" t="s">
        <v>972</v>
      </c>
      <c r="E802" s="3" t="s">
        <v>973</v>
      </c>
      <c r="F802" s="2" t="s">
        <v>34</v>
      </c>
      <c r="G802" s="3" t="s">
        <v>17</v>
      </c>
      <c r="H802" s="2" t="s">
        <v>18</v>
      </c>
      <c r="I802" s="3" t="s">
        <v>19</v>
      </c>
      <c r="J802" s="3">
        <v>2281</v>
      </c>
      <c r="K802" s="3">
        <v>451</v>
      </c>
      <c r="L802" s="3">
        <v>16</v>
      </c>
      <c r="M802" s="4">
        <f t="shared" si="103"/>
        <v>0.19772029811486191</v>
      </c>
      <c r="N802" s="4">
        <f t="shared" si="104"/>
        <v>3.5476718403547672E-2</v>
      </c>
      <c r="O802">
        <v>435</v>
      </c>
      <c r="P802" s="5">
        <v>1</v>
      </c>
      <c r="Q802" s="7">
        <v>1</v>
      </c>
      <c r="R802" t="str">
        <f t="shared" si="102"/>
        <v>нормальный код</v>
      </c>
      <c r="S802" t="str">
        <f t="shared" si="105"/>
        <v>Больше половины</v>
      </c>
      <c r="T802" t="str">
        <f t="shared" si="106"/>
        <v>Больше половины</v>
      </c>
      <c r="U802" t="str">
        <f t="shared" si="107"/>
        <v>нормальный код</v>
      </c>
      <c r="V802" t="str">
        <f t="shared" si="108"/>
        <v>Больше половины</v>
      </c>
      <c r="W802" t="str">
        <f t="shared" si="109"/>
        <v>Больше половины</v>
      </c>
      <c r="X802">
        <v>22</v>
      </c>
    </row>
    <row r="803" spans="1:24" x14ac:dyDescent="0.35">
      <c r="A803" s="1" t="s">
        <v>965</v>
      </c>
      <c r="B803" s="2" t="s">
        <v>966</v>
      </c>
      <c r="C803" s="3" t="s">
        <v>55</v>
      </c>
      <c r="D803" s="2" t="s">
        <v>94</v>
      </c>
      <c r="E803" s="3" t="s">
        <v>812</v>
      </c>
      <c r="F803" s="2" t="s">
        <v>96</v>
      </c>
      <c r="G803" s="3" t="s">
        <v>17</v>
      </c>
      <c r="H803" s="2" t="s">
        <v>18</v>
      </c>
      <c r="I803" s="3" t="s">
        <v>19</v>
      </c>
      <c r="J803" s="3">
        <v>2270</v>
      </c>
      <c r="K803" s="3">
        <v>198</v>
      </c>
      <c r="L803" s="3">
        <v>3</v>
      </c>
      <c r="M803" s="4">
        <f t="shared" si="103"/>
        <v>8.7224669603524235E-2</v>
      </c>
      <c r="N803" s="4">
        <f t="shared" si="104"/>
        <v>1.5151515151515152E-2</v>
      </c>
      <c r="O803">
        <v>1353</v>
      </c>
      <c r="P803" s="5">
        <v>1</v>
      </c>
      <c r="Q803" s="7">
        <v>1</v>
      </c>
      <c r="R803" t="str">
        <f t="shared" si="102"/>
        <v>нормальный код</v>
      </c>
      <c r="S803" t="str">
        <f t="shared" si="105"/>
        <v>Вторая четверть</v>
      </c>
      <c r="T803" t="str">
        <f t="shared" si="106"/>
        <v>Вторая четверть</v>
      </c>
      <c r="U803" t="str">
        <f t="shared" si="107"/>
        <v>нормальный код</v>
      </c>
      <c r="V803" t="str">
        <f t="shared" si="108"/>
        <v>Вторая четверть</v>
      </c>
      <c r="W803" t="str">
        <f t="shared" si="109"/>
        <v>Больше половины</v>
      </c>
      <c r="X803">
        <v>8</v>
      </c>
    </row>
    <row r="804" spans="1:24" x14ac:dyDescent="0.35">
      <c r="A804" s="1" t="s">
        <v>884</v>
      </c>
      <c r="B804" s="2" t="s">
        <v>885</v>
      </c>
      <c r="C804" s="3" t="s">
        <v>55</v>
      </c>
      <c r="D804" s="2" t="s">
        <v>56</v>
      </c>
      <c r="E804" s="3" t="s">
        <v>57</v>
      </c>
      <c r="F804" s="2" t="s">
        <v>34</v>
      </c>
      <c r="G804" s="3" t="s">
        <v>17</v>
      </c>
      <c r="H804" s="2" t="s">
        <v>18</v>
      </c>
      <c r="I804" s="3" t="s">
        <v>19</v>
      </c>
      <c r="J804" s="3">
        <v>2259</v>
      </c>
      <c r="K804" s="3">
        <v>80</v>
      </c>
      <c r="L804" s="3">
        <v>1</v>
      </c>
      <c r="M804" s="4">
        <f t="shared" si="103"/>
        <v>3.5413899955732624E-2</v>
      </c>
      <c r="N804" s="4">
        <f t="shared" si="104"/>
        <v>1.2500000000000001E-2</v>
      </c>
      <c r="O804">
        <v>62</v>
      </c>
      <c r="P804" s="5">
        <v>0.6</v>
      </c>
      <c r="Q804" s="7">
        <v>1</v>
      </c>
      <c r="R804" t="str">
        <f t="shared" si="102"/>
        <v>код для проверки</v>
      </c>
      <c r="S804" t="str">
        <f t="shared" si="105"/>
        <v>Низшая четверть</v>
      </c>
      <c r="T804" t="str">
        <f t="shared" si="106"/>
        <v>Вторая четверть</v>
      </c>
      <c r="U804" t="str">
        <f t="shared" si="107"/>
        <v>код для проверки</v>
      </c>
      <c r="V804" t="str">
        <f t="shared" si="108"/>
        <v>Низшая четверть</v>
      </c>
      <c r="W804" t="str">
        <f t="shared" si="109"/>
        <v>Вторая четверть</v>
      </c>
      <c r="X804">
        <v>7</v>
      </c>
    </row>
    <row r="805" spans="1:24" x14ac:dyDescent="0.35">
      <c r="A805" s="1" t="s">
        <v>628</v>
      </c>
      <c r="B805" s="2" t="s">
        <v>629</v>
      </c>
      <c r="C805" s="3" t="s">
        <v>13</v>
      </c>
      <c r="D805" s="2" t="s">
        <v>630</v>
      </c>
      <c r="E805" s="3" t="s">
        <v>631</v>
      </c>
      <c r="F805" s="2" t="s">
        <v>61</v>
      </c>
      <c r="G805" s="3" t="s">
        <v>17</v>
      </c>
      <c r="H805" s="2" t="s">
        <v>97</v>
      </c>
      <c r="I805" s="3" t="s">
        <v>19</v>
      </c>
      <c r="J805" s="3">
        <v>2258</v>
      </c>
      <c r="K805" s="3">
        <v>202</v>
      </c>
      <c r="L805" s="3">
        <v>2</v>
      </c>
      <c r="M805" s="4">
        <f t="shared" si="103"/>
        <v>8.9459698848538535E-2</v>
      </c>
      <c r="N805" s="4">
        <f t="shared" si="104"/>
        <v>9.9009900990099011E-3</v>
      </c>
      <c r="O805">
        <v>0</v>
      </c>
      <c r="P805" s="5">
        <v>0</v>
      </c>
      <c r="Q805" s="7">
        <v>0</v>
      </c>
      <c r="R805" t="s">
        <v>2350</v>
      </c>
      <c r="S805" t="str">
        <f t="shared" si="105"/>
        <v>Вторая четверть</v>
      </c>
      <c r="T805" t="str">
        <f t="shared" si="106"/>
        <v>Низшая четверть</v>
      </c>
      <c r="U805" t="str">
        <f t="shared" si="107"/>
        <v>нормальный код</v>
      </c>
      <c r="V805" t="str">
        <f t="shared" si="108"/>
        <v>Вторая четверть</v>
      </c>
      <c r="W805" t="str">
        <f t="shared" si="109"/>
        <v>Больше половины</v>
      </c>
      <c r="X805">
        <v>4</v>
      </c>
    </row>
    <row r="806" spans="1:24" x14ac:dyDescent="0.35">
      <c r="A806" s="1" t="s">
        <v>1448</v>
      </c>
      <c r="B806" s="2" t="s">
        <v>1449</v>
      </c>
      <c r="C806" s="3" t="s">
        <v>55</v>
      </c>
      <c r="D806" s="2" t="s">
        <v>1221</v>
      </c>
      <c r="E806" s="3" t="s">
        <v>1450</v>
      </c>
      <c r="F806" s="2" t="s">
        <v>61</v>
      </c>
      <c r="G806" s="3" t="s">
        <v>17</v>
      </c>
      <c r="H806" s="2" t="s">
        <v>18</v>
      </c>
      <c r="I806" s="3" t="s">
        <v>19</v>
      </c>
      <c r="J806" s="3">
        <v>2254</v>
      </c>
      <c r="K806" s="3">
        <v>97</v>
      </c>
      <c r="L806" s="3">
        <v>6</v>
      </c>
      <c r="M806" s="4">
        <f t="shared" si="103"/>
        <v>4.3034605146406391E-2</v>
      </c>
      <c r="N806" s="4">
        <f t="shared" si="104"/>
        <v>6.1855670103092786E-2</v>
      </c>
      <c r="O806">
        <v>172</v>
      </c>
      <c r="P806" s="5">
        <v>0.625</v>
      </c>
      <c r="Q806" s="7">
        <v>1</v>
      </c>
      <c r="R806" t="str">
        <f t="shared" ref="R806:R827" si="110">IF(OR(M806&lt;$S$1*0.5,N806&lt;$T$1*0.5),"код для проверки","нормальный код")</f>
        <v>код для проверки</v>
      </c>
      <c r="S806" t="str">
        <f t="shared" si="105"/>
        <v>Низшая четверть</v>
      </c>
      <c r="T806" t="str">
        <f t="shared" si="106"/>
        <v>Больше половины</v>
      </c>
      <c r="U806" t="str">
        <f t="shared" si="107"/>
        <v>нормальный код</v>
      </c>
      <c r="V806" t="str">
        <f t="shared" si="108"/>
        <v>Больше половины</v>
      </c>
      <c r="W806" t="str">
        <f t="shared" si="109"/>
        <v>Больше половины</v>
      </c>
      <c r="X806">
        <v>8</v>
      </c>
    </row>
    <row r="807" spans="1:24" x14ac:dyDescent="0.35">
      <c r="A807" s="1" t="s">
        <v>1244</v>
      </c>
      <c r="B807" s="2" t="s">
        <v>1245</v>
      </c>
      <c r="C807" s="3" t="s">
        <v>13</v>
      </c>
      <c r="D807" s="2" t="s">
        <v>32</v>
      </c>
      <c r="E807" s="3" t="s">
        <v>33</v>
      </c>
      <c r="F807" s="2" t="s">
        <v>34</v>
      </c>
      <c r="G807" s="3" t="s">
        <v>17</v>
      </c>
      <c r="H807" s="2" t="s">
        <v>18</v>
      </c>
      <c r="I807" s="3" t="s">
        <v>19</v>
      </c>
      <c r="J807" s="3">
        <v>2242</v>
      </c>
      <c r="K807" s="3">
        <v>603</v>
      </c>
      <c r="L807" s="3">
        <v>5</v>
      </c>
      <c r="M807" s="4">
        <f t="shared" si="103"/>
        <v>0.26895628902765389</v>
      </c>
      <c r="N807" s="4">
        <f t="shared" si="104"/>
        <v>8.291873963515755E-3</v>
      </c>
      <c r="O807">
        <v>110</v>
      </c>
      <c r="P807" s="5">
        <v>0.8</v>
      </c>
      <c r="Q807" s="7">
        <v>1</v>
      </c>
      <c r="R807" t="str">
        <f t="shared" si="110"/>
        <v>код для проверки</v>
      </c>
      <c r="S807" t="str">
        <f t="shared" si="105"/>
        <v>Больше половины</v>
      </c>
      <c r="T807" t="str">
        <f t="shared" si="106"/>
        <v>Низшая четверть</v>
      </c>
      <c r="U807" t="str">
        <f t="shared" si="107"/>
        <v>код для проверки</v>
      </c>
      <c r="V807" t="str">
        <f t="shared" si="108"/>
        <v>Больше половины</v>
      </c>
      <c r="W807" t="str">
        <f t="shared" si="109"/>
        <v>Низшая четверть</v>
      </c>
      <c r="X807">
        <v>9</v>
      </c>
    </row>
    <row r="808" spans="1:24" x14ac:dyDescent="0.35">
      <c r="A808" s="1" t="s">
        <v>2397</v>
      </c>
      <c r="B808" s="2" t="s">
        <v>2398</v>
      </c>
      <c r="C808" s="3" t="s">
        <v>13</v>
      </c>
      <c r="D808" s="2" t="s">
        <v>69</v>
      </c>
      <c r="E808" s="3" t="s">
        <v>227</v>
      </c>
      <c r="F808" s="2" t="s">
        <v>34</v>
      </c>
      <c r="G808" s="3" t="s">
        <v>72</v>
      </c>
      <c r="H808" s="2" t="s">
        <v>18</v>
      </c>
      <c r="I808" s="3" t="s">
        <v>19</v>
      </c>
      <c r="J808" s="3">
        <v>2241</v>
      </c>
      <c r="K808" s="3">
        <v>101</v>
      </c>
      <c r="L808" s="3">
        <v>2</v>
      </c>
      <c r="M808" s="4">
        <f t="shared" si="103"/>
        <v>4.5069165551093263E-2</v>
      </c>
      <c r="N808" s="4">
        <f t="shared" si="104"/>
        <v>1.9801980198019802E-2</v>
      </c>
      <c r="O808">
        <v>409</v>
      </c>
      <c r="P808" s="5">
        <v>1</v>
      </c>
      <c r="Q808" s="7">
        <v>1</v>
      </c>
      <c r="R808" t="str">
        <f t="shared" si="110"/>
        <v>код для проверки</v>
      </c>
      <c r="S808" t="str">
        <f t="shared" si="105"/>
        <v>Низшая четверть</v>
      </c>
      <c r="T808" t="str">
        <f t="shared" si="106"/>
        <v>Вторая четверть</v>
      </c>
      <c r="U808" t="str">
        <f t="shared" si="107"/>
        <v>нормальный код</v>
      </c>
      <c r="V808" t="str">
        <f t="shared" si="108"/>
        <v>Вторая четверть</v>
      </c>
      <c r="W808" t="str">
        <f t="shared" si="109"/>
        <v>Больше половины</v>
      </c>
      <c r="X808">
        <v>16</v>
      </c>
    </row>
    <row r="809" spans="1:24" x14ac:dyDescent="0.35">
      <c r="A809" s="1" t="s">
        <v>1246</v>
      </c>
      <c r="B809" s="2" t="s">
        <v>1247</v>
      </c>
      <c r="C809" s="3" t="s">
        <v>13</v>
      </c>
      <c r="D809" s="2" t="s">
        <v>164</v>
      </c>
      <c r="E809" s="3" t="s">
        <v>485</v>
      </c>
      <c r="F809" s="2" t="s">
        <v>123</v>
      </c>
      <c r="G809" s="3" t="s">
        <v>35</v>
      </c>
      <c r="H809" s="2" t="s">
        <v>18</v>
      </c>
      <c r="I809" s="3" t="s">
        <v>19</v>
      </c>
      <c r="J809" s="3">
        <v>2238</v>
      </c>
      <c r="K809" s="3">
        <v>193</v>
      </c>
      <c r="L809" s="3">
        <v>5</v>
      </c>
      <c r="M809" s="4">
        <f t="shared" si="103"/>
        <v>8.623771224307418E-2</v>
      </c>
      <c r="N809" s="4">
        <f t="shared" si="104"/>
        <v>2.5906735751295335E-2</v>
      </c>
      <c r="O809">
        <v>437</v>
      </c>
      <c r="P809" s="5">
        <v>1</v>
      </c>
      <c r="Q809" s="7">
        <v>1</v>
      </c>
      <c r="R809" t="str">
        <f t="shared" si="110"/>
        <v>нормальный код</v>
      </c>
      <c r="S809" t="str">
        <f t="shared" si="105"/>
        <v>Вторая четверть</v>
      </c>
      <c r="T809" t="str">
        <f t="shared" si="106"/>
        <v>Больше половины</v>
      </c>
      <c r="U809" t="str">
        <f t="shared" si="107"/>
        <v>нормальный код</v>
      </c>
      <c r="V809" t="str">
        <f t="shared" si="108"/>
        <v>Больше половины</v>
      </c>
      <c r="W809" t="str">
        <f t="shared" si="109"/>
        <v>Больше половины</v>
      </c>
      <c r="X809">
        <v>22</v>
      </c>
    </row>
    <row r="810" spans="1:24" x14ac:dyDescent="0.35">
      <c r="A810" s="1" t="s">
        <v>1959</v>
      </c>
      <c r="B810" s="2" t="s">
        <v>1960</v>
      </c>
      <c r="C810" s="3" t="s">
        <v>13</v>
      </c>
      <c r="D810" s="2" t="s">
        <v>104</v>
      </c>
      <c r="E810" s="3" t="s">
        <v>711</v>
      </c>
      <c r="F810" s="2" t="s">
        <v>96</v>
      </c>
      <c r="G810" s="3" t="s">
        <v>35</v>
      </c>
      <c r="H810" s="2" t="s">
        <v>18</v>
      </c>
      <c r="I810" s="3" t="s">
        <v>19</v>
      </c>
      <c r="J810" s="3">
        <v>2237</v>
      </c>
      <c r="K810" s="3">
        <v>471</v>
      </c>
      <c r="L810" s="3">
        <v>0</v>
      </c>
      <c r="M810" s="4">
        <f t="shared" si="103"/>
        <v>0.21054984354045597</v>
      </c>
      <c r="N810" s="4">
        <f t="shared" si="104"/>
        <v>0</v>
      </c>
      <c r="O810">
        <v>842</v>
      </c>
      <c r="P810" s="5">
        <v>1</v>
      </c>
      <c r="Q810" s="7">
        <v>1</v>
      </c>
      <c r="R810" t="str">
        <f t="shared" si="110"/>
        <v>код для проверки</v>
      </c>
      <c r="S810" t="str">
        <f t="shared" si="105"/>
        <v>Больше половины</v>
      </c>
      <c r="T810" t="str">
        <f t="shared" si="106"/>
        <v>Низшая четверть</v>
      </c>
      <c r="U810" t="str">
        <f t="shared" si="107"/>
        <v>код для проверки</v>
      </c>
      <c r="V810" t="str">
        <f t="shared" si="108"/>
        <v>Больше половины</v>
      </c>
      <c r="W810" t="str">
        <f t="shared" si="109"/>
        <v>Низшая четверть</v>
      </c>
      <c r="X810">
        <v>18</v>
      </c>
    </row>
    <row r="811" spans="1:24" x14ac:dyDescent="0.35">
      <c r="A811" s="1" t="s">
        <v>1234</v>
      </c>
      <c r="B811" s="2" t="s">
        <v>1235</v>
      </c>
      <c r="C811" s="3" t="s">
        <v>13</v>
      </c>
      <c r="D811" s="2" t="s">
        <v>77</v>
      </c>
      <c r="E811" s="3" t="s">
        <v>89</v>
      </c>
      <c r="F811" s="2" t="s">
        <v>34</v>
      </c>
      <c r="G811" s="3" t="s">
        <v>17</v>
      </c>
      <c r="H811" s="2" t="s">
        <v>18</v>
      </c>
      <c r="I811" s="3" t="s">
        <v>19</v>
      </c>
      <c r="J811" s="3">
        <v>2236</v>
      </c>
      <c r="K811" s="3">
        <v>253</v>
      </c>
      <c r="L811" s="3">
        <v>10</v>
      </c>
      <c r="M811" s="4">
        <f t="shared" si="103"/>
        <v>0.1131484794275492</v>
      </c>
      <c r="N811" s="4">
        <f t="shared" si="104"/>
        <v>3.9525691699604744E-2</v>
      </c>
      <c r="O811">
        <v>491</v>
      </c>
      <c r="P811" s="5">
        <v>1</v>
      </c>
      <c r="Q811" s="7">
        <v>1</v>
      </c>
      <c r="R811" t="str">
        <f t="shared" si="110"/>
        <v>нормальный код</v>
      </c>
      <c r="S811" t="str">
        <f t="shared" si="105"/>
        <v>Больше половины</v>
      </c>
      <c r="T811" t="str">
        <f t="shared" si="106"/>
        <v>Больше половины</v>
      </c>
      <c r="U811" t="str">
        <f t="shared" si="107"/>
        <v>нормальный код</v>
      </c>
      <c r="V811" t="str">
        <f t="shared" si="108"/>
        <v>Больше половины</v>
      </c>
      <c r="W811" t="str">
        <f t="shared" si="109"/>
        <v>Больше половины</v>
      </c>
      <c r="X811">
        <v>13</v>
      </c>
    </row>
    <row r="812" spans="1:24" x14ac:dyDescent="0.35">
      <c r="A812" s="1" t="s">
        <v>2446</v>
      </c>
      <c r="B812" s="2" t="s">
        <v>2447</v>
      </c>
      <c r="C812" s="3" t="s">
        <v>13</v>
      </c>
      <c r="D812" s="2" t="s">
        <v>69</v>
      </c>
      <c r="E812" s="3" t="s">
        <v>2448</v>
      </c>
      <c r="F812" s="2" t="s">
        <v>34</v>
      </c>
      <c r="G812" s="3" t="s">
        <v>72</v>
      </c>
      <c r="H812" s="2" t="s">
        <v>18</v>
      </c>
      <c r="I812" s="3" t="s">
        <v>19</v>
      </c>
      <c r="J812" s="3">
        <v>2235</v>
      </c>
      <c r="K812" s="3">
        <v>142</v>
      </c>
      <c r="L812" s="3">
        <v>14</v>
      </c>
      <c r="M812" s="4">
        <f t="shared" si="103"/>
        <v>6.3534675615212532E-2</v>
      </c>
      <c r="N812" s="4">
        <f t="shared" si="104"/>
        <v>9.8591549295774641E-2</v>
      </c>
      <c r="O812">
        <v>424</v>
      </c>
      <c r="P812" s="5">
        <v>1</v>
      </c>
      <c r="Q812" s="7">
        <v>1</v>
      </c>
      <c r="R812" t="str">
        <f t="shared" si="110"/>
        <v>нормальный код</v>
      </c>
      <c r="S812" t="str">
        <f t="shared" si="105"/>
        <v>Вторая четверть</v>
      </c>
      <c r="T812" t="str">
        <f t="shared" si="106"/>
        <v>Больше половины</v>
      </c>
      <c r="U812" t="str">
        <f t="shared" si="107"/>
        <v>нормальный код</v>
      </c>
      <c r="V812" t="str">
        <f t="shared" si="108"/>
        <v>Больше половины</v>
      </c>
      <c r="W812" t="str">
        <f t="shared" si="109"/>
        <v>Больше половины</v>
      </c>
      <c r="X812">
        <v>12</v>
      </c>
    </row>
    <row r="813" spans="1:24" x14ac:dyDescent="0.35">
      <c r="A813" s="1" t="s">
        <v>1039</v>
      </c>
      <c r="B813" s="2" t="s">
        <v>1040</v>
      </c>
      <c r="C813" s="3" t="s">
        <v>13</v>
      </c>
      <c r="D813" s="2" t="s">
        <v>77</v>
      </c>
      <c r="E813" s="3" t="s">
        <v>89</v>
      </c>
      <c r="F813" s="2" t="s">
        <v>34</v>
      </c>
      <c r="G813" s="3" t="s">
        <v>17</v>
      </c>
      <c r="H813" s="2" t="s">
        <v>18</v>
      </c>
      <c r="I813" s="3" t="s">
        <v>19</v>
      </c>
      <c r="J813" s="3">
        <v>2221</v>
      </c>
      <c r="K813" s="3">
        <v>129</v>
      </c>
      <c r="L813" s="3">
        <v>1</v>
      </c>
      <c r="M813" s="4">
        <f t="shared" si="103"/>
        <v>5.8081945069788386E-2</v>
      </c>
      <c r="N813" s="4">
        <f t="shared" si="104"/>
        <v>7.7519379844961239E-3</v>
      </c>
      <c r="O813">
        <v>453</v>
      </c>
      <c r="P813" s="5">
        <v>1</v>
      </c>
      <c r="Q813" s="7">
        <v>1</v>
      </c>
      <c r="R813" t="str">
        <f t="shared" si="110"/>
        <v>код для проверки</v>
      </c>
      <c r="S813" t="str">
        <f t="shared" si="105"/>
        <v>Вторая четверть</v>
      </c>
      <c r="T813" t="str">
        <f t="shared" si="106"/>
        <v>Низшая четверть</v>
      </c>
      <c r="U813" t="str">
        <f t="shared" si="107"/>
        <v>код для проверки</v>
      </c>
      <c r="V813" t="str">
        <f t="shared" si="108"/>
        <v>Вторая четверть</v>
      </c>
      <c r="W813" t="str">
        <f t="shared" si="109"/>
        <v>Низшая четверть</v>
      </c>
      <c r="X813">
        <v>14</v>
      </c>
    </row>
    <row r="814" spans="1:24" x14ac:dyDescent="0.35">
      <c r="A814" s="1" t="s">
        <v>1359</v>
      </c>
      <c r="B814" s="2" t="s">
        <v>1360</v>
      </c>
      <c r="C814" s="3" t="s">
        <v>55</v>
      </c>
      <c r="D814" s="2" t="s">
        <v>972</v>
      </c>
      <c r="E814" s="3" t="s">
        <v>973</v>
      </c>
      <c r="F814" s="2" t="s">
        <v>34</v>
      </c>
      <c r="G814" s="3" t="s">
        <v>17</v>
      </c>
      <c r="H814" s="2" t="s">
        <v>18</v>
      </c>
      <c r="I814" s="3" t="s">
        <v>19</v>
      </c>
      <c r="J814" s="3">
        <v>2221</v>
      </c>
      <c r="K814" s="3">
        <v>215</v>
      </c>
      <c r="L814" s="3">
        <v>9</v>
      </c>
      <c r="M814" s="4">
        <f t="shared" si="103"/>
        <v>9.6803241782980637E-2</v>
      </c>
      <c r="N814" s="4">
        <f t="shared" si="104"/>
        <v>4.1860465116279069E-2</v>
      </c>
      <c r="O814">
        <v>165</v>
      </c>
      <c r="P814" s="5">
        <v>0.36363636363636365</v>
      </c>
      <c r="Q814" s="7">
        <v>1</v>
      </c>
      <c r="R814" t="str">
        <f t="shared" si="110"/>
        <v>нормальный код</v>
      </c>
      <c r="S814" t="str">
        <f t="shared" si="105"/>
        <v>Больше половины</v>
      </c>
      <c r="T814" t="str">
        <f t="shared" si="106"/>
        <v>Больше половины</v>
      </c>
      <c r="U814" t="str">
        <f t="shared" si="107"/>
        <v>нормальный код</v>
      </c>
      <c r="V814" t="str">
        <f t="shared" si="108"/>
        <v>Вторая четверть</v>
      </c>
      <c r="W814" t="str">
        <f t="shared" si="109"/>
        <v>Больше половины</v>
      </c>
      <c r="X814">
        <v>12</v>
      </c>
    </row>
    <row r="815" spans="1:24" x14ac:dyDescent="0.35">
      <c r="A815" s="1" t="s">
        <v>1477</v>
      </c>
      <c r="B815" s="2" t="s">
        <v>1478</v>
      </c>
      <c r="C815" s="3" t="s">
        <v>55</v>
      </c>
      <c r="D815" s="2" t="s">
        <v>1479</v>
      </c>
      <c r="E815" s="3" t="s">
        <v>1480</v>
      </c>
      <c r="F815" s="2" t="s">
        <v>34</v>
      </c>
      <c r="G815" s="3" t="s">
        <v>17</v>
      </c>
      <c r="H815" s="2" t="s">
        <v>18</v>
      </c>
      <c r="I815" s="3" t="s">
        <v>19</v>
      </c>
      <c r="J815" s="3">
        <v>2217</v>
      </c>
      <c r="K815" s="3">
        <v>183</v>
      </c>
      <c r="L815" s="3">
        <v>2</v>
      </c>
      <c r="M815" s="4">
        <f t="shared" si="103"/>
        <v>8.2543978349120431E-2</v>
      </c>
      <c r="N815" s="4">
        <f t="shared" si="104"/>
        <v>1.092896174863388E-2</v>
      </c>
      <c r="O815">
        <v>151</v>
      </c>
      <c r="P815" s="5">
        <v>1</v>
      </c>
      <c r="Q815" s="7">
        <v>1</v>
      </c>
      <c r="R815" t="str">
        <f t="shared" si="110"/>
        <v>нормальный код</v>
      </c>
      <c r="S815" t="str">
        <f t="shared" si="105"/>
        <v>Вторая четверть</v>
      </c>
      <c r="T815" t="str">
        <f t="shared" si="106"/>
        <v>Вторая четверть</v>
      </c>
      <c r="U815" t="str">
        <f t="shared" si="107"/>
        <v>код для проверки</v>
      </c>
      <c r="V815" t="str">
        <f t="shared" si="108"/>
        <v>Вторая четверть</v>
      </c>
      <c r="W815" t="str">
        <f t="shared" si="109"/>
        <v>Низшая четверть</v>
      </c>
      <c r="X815">
        <v>6</v>
      </c>
    </row>
    <row r="816" spans="1:24" x14ac:dyDescent="0.35">
      <c r="A816" s="1" t="s">
        <v>2525</v>
      </c>
      <c r="B816" s="2" t="s">
        <v>2526</v>
      </c>
      <c r="C816" s="3" t="s">
        <v>13</v>
      </c>
      <c r="D816" s="2" t="s">
        <v>38</v>
      </c>
      <c r="E816" s="3" t="s">
        <v>39</v>
      </c>
      <c r="F816" s="2" t="s">
        <v>34</v>
      </c>
      <c r="G816" s="3" t="s">
        <v>35</v>
      </c>
      <c r="H816" s="2" t="s">
        <v>18</v>
      </c>
      <c r="I816" s="3" t="s">
        <v>19</v>
      </c>
      <c r="J816" s="3">
        <v>2217</v>
      </c>
      <c r="K816" s="3">
        <v>193</v>
      </c>
      <c r="L816" s="3">
        <v>6</v>
      </c>
      <c r="M816" s="4">
        <f t="shared" si="103"/>
        <v>8.705457825890843E-2</v>
      </c>
      <c r="N816" s="4">
        <f t="shared" si="104"/>
        <v>3.1088082901554404E-2</v>
      </c>
      <c r="O816">
        <v>354</v>
      </c>
      <c r="P816" s="5">
        <v>1</v>
      </c>
      <c r="Q816" s="7">
        <v>1</v>
      </c>
      <c r="R816" t="str">
        <f t="shared" si="110"/>
        <v>нормальный код</v>
      </c>
      <c r="S816" t="str">
        <f t="shared" si="105"/>
        <v>Вторая четверть</v>
      </c>
      <c r="T816" t="str">
        <f t="shared" si="106"/>
        <v>Больше половины</v>
      </c>
      <c r="U816" t="str">
        <f t="shared" si="107"/>
        <v>нормальный код</v>
      </c>
      <c r="V816" t="str">
        <f t="shared" si="108"/>
        <v>Больше половины</v>
      </c>
      <c r="W816" t="str">
        <f t="shared" si="109"/>
        <v>Вторая четверть</v>
      </c>
      <c r="X816">
        <v>18</v>
      </c>
    </row>
    <row r="817" spans="1:24" x14ac:dyDescent="0.35">
      <c r="A817" s="1" t="s">
        <v>1147</v>
      </c>
      <c r="B817" s="2" t="s">
        <v>1148</v>
      </c>
      <c r="C817" s="3" t="s">
        <v>13</v>
      </c>
      <c r="D817" s="2" t="s">
        <v>85</v>
      </c>
      <c r="E817" s="3" t="s">
        <v>599</v>
      </c>
      <c r="F817" s="2" t="s">
        <v>34</v>
      </c>
      <c r="G817" s="3" t="s">
        <v>35</v>
      </c>
      <c r="H817" s="2" t="s">
        <v>18</v>
      </c>
      <c r="I817" s="3" t="s">
        <v>19</v>
      </c>
      <c r="J817" s="3">
        <v>2210</v>
      </c>
      <c r="K817" s="3">
        <v>202</v>
      </c>
      <c r="L817" s="3">
        <v>2</v>
      </c>
      <c r="M817" s="4">
        <f t="shared" si="103"/>
        <v>9.1402714932126691E-2</v>
      </c>
      <c r="N817" s="4">
        <f t="shared" si="104"/>
        <v>9.9009900990099011E-3</v>
      </c>
      <c r="O817">
        <v>225</v>
      </c>
      <c r="P817" s="5">
        <v>1</v>
      </c>
      <c r="Q817" s="7">
        <v>1</v>
      </c>
      <c r="R817" t="str">
        <f t="shared" si="110"/>
        <v>код для проверки</v>
      </c>
      <c r="S817" t="str">
        <f t="shared" si="105"/>
        <v>Вторая четверть</v>
      </c>
      <c r="T817" t="str">
        <f t="shared" si="106"/>
        <v>Низшая четверть</v>
      </c>
      <c r="U817" t="str">
        <f t="shared" si="107"/>
        <v>код для проверки</v>
      </c>
      <c r="V817" t="str">
        <f t="shared" si="108"/>
        <v>Больше половины</v>
      </c>
      <c r="W817" t="str">
        <f t="shared" si="109"/>
        <v>Низшая четверть</v>
      </c>
      <c r="X817">
        <v>14</v>
      </c>
    </row>
    <row r="818" spans="1:24" x14ac:dyDescent="0.35">
      <c r="A818" s="1" t="s">
        <v>1314</v>
      </c>
      <c r="B818" s="2" t="s">
        <v>1315</v>
      </c>
      <c r="C818" s="3" t="s">
        <v>13</v>
      </c>
      <c r="D818" s="2" t="s">
        <v>121</v>
      </c>
      <c r="E818" s="3" t="s">
        <v>650</v>
      </c>
      <c r="F818" s="2" t="s">
        <v>71</v>
      </c>
      <c r="G818" s="3" t="s">
        <v>35</v>
      </c>
      <c r="H818" s="2" t="s">
        <v>18</v>
      </c>
      <c r="I818" s="3" t="s">
        <v>19</v>
      </c>
      <c r="J818" s="3">
        <v>2198</v>
      </c>
      <c r="K818" s="3">
        <v>493</v>
      </c>
      <c r="L818" s="3">
        <v>2</v>
      </c>
      <c r="M818" s="4">
        <f t="shared" si="103"/>
        <v>0.22429481346678798</v>
      </c>
      <c r="N818" s="4">
        <f t="shared" si="104"/>
        <v>4.0567951318458417E-3</v>
      </c>
      <c r="O818">
        <v>193</v>
      </c>
      <c r="P818" s="5">
        <v>1</v>
      </c>
      <c r="Q818" s="7">
        <v>1</v>
      </c>
      <c r="R818" t="str">
        <f t="shared" si="110"/>
        <v>код для проверки</v>
      </c>
      <c r="S818" t="str">
        <f t="shared" si="105"/>
        <v>Больше половины</v>
      </c>
      <c r="T818" t="str">
        <f t="shared" si="106"/>
        <v>Низшая четверть</v>
      </c>
      <c r="U818" t="str">
        <f t="shared" si="107"/>
        <v>код для проверки</v>
      </c>
      <c r="V818" t="str">
        <f t="shared" si="108"/>
        <v>Больше половины</v>
      </c>
      <c r="W818" t="str">
        <f t="shared" si="109"/>
        <v>Низшая четверть</v>
      </c>
      <c r="X818">
        <v>22</v>
      </c>
    </row>
    <row r="819" spans="1:24" x14ac:dyDescent="0.35">
      <c r="A819" s="1" t="s">
        <v>1860</v>
      </c>
      <c r="B819" s="2" t="s">
        <v>1861</v>
      </c>
      <c r="C819" s="3" t="s">
        <v>55</v>
      </c>
      <c r="D819" s="2" t="s">
        <v>295</v>
      </c>
      <c r="E819" s="3" t="s">
        <v>1373</v>
      </c>
      <c r="F819" s="2" t="s">
        <v>71</v>
      </c>
      <c r="G819" s="3" t="s">
        <v>17</v>
      </c>
      <c r="H819" s="2" t="s">
        <v>97</v>
      </c>
      <c r="I819" s="3" t="s">
        <v>19</v>
      </c>
      <c r="J819" s="3">
        <v>2198</v>
      </c>
      <c r="K819" s="3">
        <v>1220</v>
      </c>
      <c r="L819" s="3">
        <v>8</v>
      </c>
      <c r="M819" s="4">
        <f t="shared" si="103"/>
        <v>0.55505004549590542</v>
      </c>
      <c r="N819" s="4">
        <f t="shared" si="104"/>
        <v>6.5573770491803279E-3</v>
      </c>
      <c r="O819">
        <v>100</v>
      </c>
      <c r="P819" s="5">
        <v>1</v>
      </c>
      <c r="Q819" s="7">
        <v>1</v>
      </c>
      <c r="R819" t="str">
        <f t="shared" si="110"/>
        <v>код для проверки</v>
      </c>
      <c r="S819" t="str">
        <f t="shared" si="105"/>
        <v>Больше половины</v>
      </c>
      <c r="T819" t="str">
        <f t="shared" si="106"/>
        <v>Низшая четверть</v>
      </c>
      <c r="U819" t="str">
        <f t="shared" si="107"/>
        <v>нормальный код</v>
      </c>
      <c r="V819" t="str">
        <f t="shared" si="108"/>
        <v>Больше половины</v>
      </c>
      <c r="W819" t="str">
        <f t="shared" si="109"/>
        <v>Вторая четверть</v>
      </c>
      <c r="X819">
        <v>13</v>
      </c>
    </row>
    <row r="820" spans="1:24" x14ac:dyDescent="0.35">
      <c r="A820" s="1" t="s">
        <v>1553</v>
      </c>
      <c r="B820" s="2" t="s">
        <v>1554</v>
      </c>
      <c r="C820" s="3" t="s">
        <v>13</v>
      </c>
      <c r="D820" s="2" t="s">
        <v>121</v>
      </c>
      <c r="E820" s="3" t="s">
        <v>918</v>
      </c>
      <c r="F820" s="2" t="s">
        <v>123</v>
      </c>
      <c r="G820" s="3" t="s">
        <v>35</v>
      </c>
      <c r="H820" s="2" t="s">
        <v>18</v>
      </c>
      <c r="I820" s="3" t="s">
        <v>19</v>
      </c>
      <c r="J820" s="3">
        <v>2190</v>
      </c>
      <c r="K820" s="3">
        <v>84</v>
      </c>
      <c r="L820" s="3">
        <v>1</v>
      </c>
      <c r="M820" s="4">
        <f t="shared" si="103"/>
        <v>3.8356164383561646E-2</v>
      </c>
      <c r="N820" s="4">
        <f t="shared" si="104"/>
        <v>1.1904761904761904E-2</v>
      </c>
      <c r="O820">
        <v>208</v>
      </c>
      <c r="P820" s="5">
        <v>1</v>
      </c>
      <c r="Q820" s="7">
        <v>1</v>
      </c>
      <c r="R820" t="str">
        <f t="shared" si="110"/>
        <v>код для проверки</v>
      </c>
      <c r="S820" t="str">
        <f t="shared" si="105"/>
        <v>Низшая четверть</v>
      </c>
      <c r="T820" t="str">
        <f t="shared" si="106"/>
        <v>Вторая четверть</v>
      </c>
      <c r="U820" t="str">
        <f t="shared" si="107"/>
        <v>нормальный код</v>
      </c>
      <c r="V820" t="str">
        <f t="shared" si="108"/>
        <v>Вторая четверть</v>
      </c>
      <c r="W820" t="str">
        <f t="shared" si="109"/>
        <v>Больше половины</v>
      </c>
      <c r="X820">
        <v>20</v>
      </c>
    </row>
    <row r="821" spans="1:24" x14ac:dyDescent="0.35">
      <c r="A821" s="1" t="s">
        <v>1507</v>
      </c>
      <c r="B821" s="2" t="s">
        <v>1508</v>
      </c>
      <c r="C821" s="3" t="s">
        <v>13</v>
      </c>
      <c r="D821" s="2" t="s">
        <v>104</v>
      </c>
      <c r="E821" s="3" t="s">
        <v>424</v>
      </c>
      <c r="F821" s="2" t="s">
        <v>34</v>
      </c>
      <c r="G821" s="3" t="s">
        <v>17</v>
      </c>
      <c r="H821" s="2" t="s">
        <v>18</v>
      </c>
      <c r="I821" s="3" t="s">
        <v>19</v>
      </c>
      <c r="J821" s="3">
        <v>2190</v>
      </c>
      <c r="K821" s="3">
        <v>184</v>
      </c>
      <c r="L821" s="3">
        <v>5</v>
      </c>
      <c r="M821" s="4">
        <f t="shared" si="103"/>
        <v>8.4018264840182655E-2</v>
      </c>
      <c r="N821" s="4">
        <f t="shared" si="104"/>
        <v>2.717391304347826E-2</v>
      </c>
      <c r="O821">
        <v>308</v>
      </c>
      <c r="P821" s="5">
        <v>1</v>
      </c>
      <c r="Q821" s="7">
        <v>1</v>
      </c>
      <c r="R821" t="str">
        <f t="shared" si="110"/>
        <v>нормальный код</v>
      </c>
      <c r="S821" t="str">
        <f t="shared" si="105"/>
        <v>Вторая четверть</v>
      </c>
      <c r="T821" t="str">
        <f t="shared" si="106"/>
        <v>Больше половины</v>
      </c>
      <c r="U821" t="str">
        <f t="shared" si="107"/>
        <v>нормальный код</v>
      </c>
      <c r="V821" t="str">
        <f t="shared" si="108"/>
        <v>Больше половины</v>
      </c>
      <c r="W821" t="str">
        <f t="shared" si="109"/>
        <v>Больше половины</v>
      </c>
      <c r="X821">
        <v>18</v>
      </c>
    </row>
    <row r="822" spans="1:24" x14ac:dyDescent="0.35">
      <c r="A822" s="1" t="s">
        <v>2527</v>
      </c>
      <c r="B822" s="2" t="s">
        <v>2528</v>
      </c>
      <c r="C822" s="3" t="s">
        <v>13</v>
      </c>
      <c r="D822" s="2" t="s">
        <v>69</v>
      </c>
      <c r="E822" s="3" t="s">
        <v>371</v>
      </c>
      <c r="F822" s="2" t="s">
        <v>96</v>
      </c>
      <c r="G822" s="3" t="s">
        <v>72</v>
      </c>
      <c r="H822" s="2" t="s">
        <v>18</v>
      </c>
      <c r="I822" s="3" t="s">
        <v>19</v>
      </c>
      <c r="J822" s="3">
        <v>2187</v>
      </c>
      <c r="K822" s="3">
        <v>375</v>
      </c>
      <c r="L822" s="3">
        <v>3</v>
      </c>
      <c r="M822" s="4">
        <f t="shared" si="103"/>
        <v>0.17146776406035666</v>
      </c>
      <c r="N822" s="4">
        <f t="shared" si="104"/>
        <v>8.0000000000000002E-3</v>
      </c>
      <c r="O822">
        <v>649</v>
      </c>
      <c r="P822" s="5">
        <v>1</v>
      </c>
      <c r="Q822" s="7">
        <v>1</v>
      </c>
      <c r="R822" t="str">
        <f t="shared" si="110"/>
        <v>код для проверки</v>
      </c>
      <c r="S822" t="str">
        <f t="shared" si="105"/>
        <v>Больше половины</v>
      </c>
      <c r="T822" t="str">
        <f t="shared" si="106"/>
        <v>Низшая четверть</v>
      </c>
      <c r="U822" t="str">
        <f t="shared" si="107"/>
        <v>нормальный код</v>
      </c>
      <c r="V822" t="str">
        <f t="shared" si="108"/>
        <v>Больше половины</v>
      </c>
      <c r="W822" t="str">
        <f t="shared" si="109"/>
        <v>Вторая четверть</v>
      </c>
      <c r="X822">
        <v>16</v>
      </c>
    </row>
    <row r="823" spans="1:24" x14ac:dyDescent="0.35">
      <c r="A823" s="1" t="s">
        <v>670</v>
      </c>
      <c r="B823" s="2" t="s">
        <v>671</v>
      </c>
      <c r="C823" s="3" t="s">
        <v>13</v>
      </c>
      <c r="D823" s="2" t="s">
        <v>164</v>
      </c>
      <c r="E823" s="3" t="s">
        <v>374</v>
      </c>
      <c r="F823" s="2" t="s">
        <v>71</v>
      </c>
      <c r="G823" s="3" t="s">
        <v>17</v>
      </c>
      <c r="H823" s="2" t="s">
        <v>18</v>
      </c>
      <c r="I823" s="3" t="s">
        <v>19</v>
      </c>
      <c r="J823" s="3">
        <v>2185</v>
      </c>
      <c r="K823" s="3">
        <v>460</v>
      </c>
      <c r="L823" s="3">
        <v>7</v>
      </c>
      <c r="M823" s="4">
        <f t="shared" si="103"/>
        <v>0.21052631578947367</v>
      </c>
      <c r="N823" s="4">
        <f t="shared" si="104"/>
        <v>1.5217391304347827E-2</v>
      </c>
      <c r="O823">
        <v>463</v>
      </c>
      <c r="P823" s="5">
        <v>1</v>
      </c>
      <c r="Q823" s="7">
        <v>1</v>
      </c>
      <c r="R823" t="str">
        <f t="shared" si="110"/>
        <v>нормальный код</v>
      </c>
      <c r="S823" t="str">
        <f t="shared" si="105"/>
        <v>Больше половины</v>
      </c>
      <c r="T823" t="str">
        <f t="shared" si="106"/>
        <v>Вторая четверть</v>
      </c>
      <c r="U823" t="str">
        <f t="shared" si="107"/>
        <v>нормальный код</v>
      </c>
      <c r="V823" t="str">
        <f t="shared" si="108"/>
        <v>Больше половины</v>
      </c>
      <c r="W823" t="str">
        <f t="shared" si="109"/>
        <v>Больше половины</v>
      </c>
      <c r="X823">
        <v>14</v>
      </c>
    </row>
    <row r="824" spans="1:24" x14ac:dyDescent="0.35">
      <c r="A824" s="1" t="s">
        <v>1769</v>
      </c>
      <c r="B824" s="2" t="s">
        <v>1770</v>
      </c>
      <c r="C824" s="3" t="s">
        <v>55</v>
      </c>
      <c r="D824" s="2" t="s">
        <v>56</v>
      </c>
      <c r="E824" s="3" t="s">
        <v>700</v>
      </c>
      <c r="F824" s="2" t="s">
        <v>96</v>
      </c>
      <c r="G824" s="3" t="s">
        <v>17</v>
      </c>
      <c r="H824" s="2" t="s">
        <v>18</v>
      </c>
      <c r="I824" s="3" t="s">
        <v>19</v>
      </c>
      <c r="J824" s="3">
        <v>2170</v>
      </c>
      <c r="K824" s="3">
        <v>450</v>
      </c>
      <c r="L824" s="3">
        <v>7</v>
      </c>
      <c r="M824" s="4">
        <f t="shared" si="103"/>
        <v>0.20737327188940091</v>
      </c>
      <c r="N824" s="4">
        <f t="shared" si="104"/>
        <v>1.5555555555555555E-2</v>
      </c>
      <c r="O824">
        <v>311</v>
      </c>
      <c r="P824" s="5">
        <v>1</v>
      </c>
      <c r="Q824" s="7">
        <v>1</v>
      </c>
      <c r="R824" t="str">
        <f t="shared" si="110"/>
        <v>нормальный код</v>
      </c>
      <c r="S824" t="str">
        <f t="shared" si="105"/>
        <v>Больше половины</v>
      </c>
      <c r="T824" t="str">
        <f t="shared" si="106"/>
        <v>Вторая четверть</v>
      </c>
      <c r="U824" t="str">
        <f t="shared" si="107"/>
        <v>код для проверки</v>
      </c>
      <c r="V824" t="str">
        <f t="shared" si="108"/>
        <v>Больше половины</v>
      </c>
      <c r="W824" t="str">
        <f t="shared" si="109"/>
        <v>Низшая четверть</v>
      </c>
      <c r="X824">
        <v>21</v>
      </c>
    </row>
    <row r="825" spans="1:24" x14ac:dyDescent="0.35">
      <c r="A825" s="1" t="s">
        <v>1555</v>
      </c>
      <c r="B825" s="2" t="s">
        <v>1556</v>
      </c>
      <c r="C825" s="3" t="s">
        <v>13</v>
      </c>
      <c r="D825" s="2" t="s">
        <v>567</v>
      </c>
      <c r="E825" s="3" t="s">
        <v>568</v>
      </c>
      <c r="F825" s="2" t="s">
        <v>34</v>
      </c>
      <c r="G825" s="3" t="s">
        <v>17</v>
      </c>
      <c r="H825" s="2" t="s">
        <v>18</v>
      </c>
      <c r="I825" s="3" t="s">
        <v>19</v>
      </c>
      <c r="J825" s="3">
        <v>2168</v>
      </c>
      <c r="K825" s="3">
        <v>114</v>
      </c>
      <c r="L825" s="3">
        <v>3</v>
      </c>
      <c r="M825" s="4">
        <f t="shared" si="103"/>
        <v>5.2583025830258305E-2</v>
      </c>
      <c r="N825" s="4">
        <f t="shared" si="104"/>
        <v>2.6315789473684209E-2</v>
      </c>
      <c r="O825">
        <v>306</v>
      </c>
      <c r="P825" s="5">
        <v>1</v>
      </c>
      <c r="Q825" s="7">
        <v>1</v>
      </c>
      <c r="R825" t="str">
        <f t="shared" si="110"/>
        <v>нормальный код</v>
      </c>
      <c r="S825" t="str">
        <f t="shared" si="105"/>
        <v>Вторая четверть</v>
      </c>
      <c r="T825" t="str">
        <f t="shared" si="106"/>
        <v>Больше половины</v>
      </c>
      <c r="U825" t="str">
        <f t="shared" si="107"/>
        <v>нормальный код</v>
      </c>
      <c r="V825" t="str">
        <f t="shared" si="108"/>
        <v>Вторая четверть</v>
      </c>
      <c r="W825" t="str">
        <f t="shared" si="109"/>
        <v>Больше половины</v>
      </c>
      <c r="X825">
        <v>12</v>
      </c>
    </row>
    <row r="826" spans="1:24" x14ac:dyDescent="0.35">
      <c r="A826" s="1" t="s">
        <v>2164</v>
      </c>
      <c r="B826" s="2" t="s">
        <v>2165</v>
      </c>
      <c r="C826" s="3" t="s">
        <v>13</v>
      </c>
      <c r="D826" s="2" t="s">
        <v>77</v>
      </c>
      <c r="E826" s="3" t="s">
        <v>89</v>
      </c>
      <c r="F826" s="2" t="s">
        <v>34</v>
      </c>
      <c r="G826" s="3" t="s">
        <v>17</v>
      </c>
      <c r="H826" s="2" t="s">
        <v>18</v>
      </c>
      <c r="I826" s="3" t="s">
        <v>19</v>
      </c>
      <c r="J826" s="3">
        <v>2162</v>
      </c>
      <c r="K826" s="3">
        <v>111</v>
      </c>
      <c r="L826" s="3">
        <v>4</v>
      </c>
      <c r="M826" s="4">
        <f t="shared" si="103"/>
        <v>5.1341350601295098E-2</v>
      </c>
      <c r="N826" s="4">
        <f t="shared" si="104"/>
        <v>3.6036036036036036E-2</v>
      </c>
      <c r="O826">
        <v>1310</v>
      </c>
      <c r="P826" s="5">
        <v>1</v>
      </c>
      <c r="Q826" s="7">
        <v>1</v>
      </c>
      <c r="R826" t="str">
        <f t="shared" si="110"/>
        <v>нормальный код</v>
      </c>
      <c r="S826" t="str">
        <f t="shared" si="105"/>
        <v>Вторая четверть</v>
      </c>
      <c r="T826" t="str">
        <f t="shared" si="106"/>
        <v>Больше половины</v>
      </c>
      <c r="U826" t="str">
        <f t="shared" si="107"/>
        <v>код для проверки</v>
      </c>
      <c r="V826" t="str">
        <f t="shared" si="108"/>
        <v>Низшая четверть</v>
      </c>
      <c r="W826" t="str">
        <f t="shared" si="109"/>
        <v>Больше половины</v>
      </c>
      <c r="X826">
        <v>15</v>
      </c>
    </row>
    <row r="827" spans="1:24" x14ac:dyDescent="0.35">
      <c r="A827" s="1" t="s">
        <v>1160</v>
      </c>
      <c r="B827" s="2" t="s">
        <v>1161</v>
      </c>
      <c r="C827" s="3" t="s">
        <v>13</v>
      </c>
      <c r="D827" s="2" t="s">
        <v>164</v>
      </c>
      <c r="E827" s="3" t="s">
        <v>538</v>
      </c>
      <c r="F827" s="2" t="s">
        <v>71</v>
      </c>
      <c r="G827" s="3" t="s">
        <v>35</v>
      </c>
      <c r="H827" s="2" t="s">
        <v>18</v>
      </c>
      <c r="I827" s="3" t="s">
        <v>19</v>
      </c>
      <c r="J827" s="3">
        <v>2161</v>
      </c>
      <c r="K827" s="3">
        <v>309</v>
      </c>
      <c r="L827" s="3">
        <v>6</v>
      </c>
      <c r="M827" s="4">
        <f t="shared" si="103"/>
        <v>0.14298935677926886</v>
      </c>
      <c r="N827" s="4">
        <f t="shared" si="104"/>
        <v>1.9417475728155338E-2</v>
      </c>
      <c r="O827">
        <v>127</v>
      </c>
      <c r="P827" s="5">
        <v>0.6</v>
      </c>
      <c r="Q827" s="7">
        <v>1</v>
      </c>
      <c r="R827" t="str">
        <f t="shared" si="110"/>
        <v>нормальный код</v>
      </c>
      <c r="S827" t="str">
        <f t="shared" si="105"/>
        <v>Больше половины</v>
      </c>
      <c r="T827" t="str">
        <f t="shared" si="106"/>
        <v>Вторая четверть</v>
      </c>
      <c r="U827" t="str">
        <f t="shared" si="107"/>
        <v>нормальный код</v>
      </c>
      <c r="V827" t="str">
        <f t="shared" si="108"/>
        <v>Больше половины</v>
      </c>
      <c r="W827" t="str">
        <f t="shared" si="109"/>
        <v>Больше половины</v>
      </c>
      <c r="X827">
        <v>23</v>
      </c>
    </row>
    <row r="828" spans="1:24" x14ac:dyDescent="0.35">
      <c r="A828" s="1" t="s">
        <v>1400</v>
      </c>
      <c r="B828" s="2" t="s">
        <v>1401</v>
      </c>
      <c r="C828" s="3" t="s">
        <v>13</v>
      </c>
      <c r="D828" s="2" t="s">
        <v>630</v>
      </c>
      <c r="E828" s="3" t="s">
        <v>685</v>
      </c>
      <c r="F828" s="2" t="s">
        <v>61</v>
      </c>
      <c r="G828" s="3" t="s">
        <v>17</v>
      </c>
      <c r="H828" s="2" t="s">
        <v>97</v>
      </c>
      <c r="I828" s="3" t="s">
        <v>19</v>
      </c>
      <c r="J828" s="3">
        <v>2147</v>
      </c>
      <c r="K828" s="3">
        <v>236</v>
      </c>
      <c r="L828" s="3">
        <v>8</v>
      </c>
      <c r="M828" s="4">
        <f t="shared" si="103"/>
        <v>0.10992081974848626</v>
      </c>
      <c r="N828" s="4">
        <f t="shared" si="104"/>
        <v>3.3898305084745763E-2</v>
      </c>
      <c r="O828">
        <v>0</v>
      </c>
      <c r="P828" s="5">
        <v>0</v>
      </c>
      <c r="Q828" s="7">
        <v>0</v>
      </c>
      <c r="R828" t="s">
        <v>2350</v>
      </c>
      <c r="S828" t="str">
        <f t="shared" si="105"/>
        <v>Больше половины</v>
      </c>
      <c r="T828" t="str">
        <f t="shared" si="106"/>
        <v>Больше половины</v>
      </c>
      <c r="U828" t="str">
        <f t="shared" si="107"/>
        <v>нормальный код</v>
      </c>
      <c r="V828" t="str">
        <f t="shared" si="108"/>
        <v>Больше половины</v>
      </c>
      <c r="W828" t="str">
        <f t="shared" si="109"/>
        <v>Больше половины</v>
      </c>
      <c r="X828">
        <v>7</v>
      </c>
    </row>
    <row r="829" spans="1:24" x14ac:dyDescent="0.35">
      <c r="A829" s="1" t="s">
        <v>1765</v>
      </c>
      <c r="B829" s="2" t="s">
        <v>1766</v>
      </c>
      <c r="C829" s="3" t="s">
        <v>55</v>
      </c>
      <c r="D829" s="2" t="s">
        <v>94</v>
      </c>
      <c r="E829" s="3" t="s">
        <v>812</v>
      </c>
      <c r="F829" s="2" t="s">
        <v>96</v>
      </c>
      <c r="G829" s="3" t="s">
        <v>17</v>
      </c>
      <c r="H829" s="2" t="s">
        <v>18</v>
      </c>
      <c r="I829" s="3" t="s">
        <v>19</v>
      </c>
      <c r="J829" s="3">
        <v>2140</v>
      </c>
      <c r="K829" s="3">
        <v>513</v>
      </c>
      <c r="L829" s="3">
        <v>3</v>
      </c>
      <c r="M829" s="4">
        <f t="shared" si="103"/>
        <v>0.23971962616822429</v>
      </c>
      <c r="N829" s="4">
        <f t="shared" si="104"/>
        <v>5.8479532163742687E-3</v>
      </c>
      <c r="O829">
        <v>853</v>
      </c>
      <c r="P829" s="5">
        <v>0.8</v>
      </c>
      <c r="Q829" s="7">
        <v>1</v>
      </c>
      <c r="R829" t="str">
        <f t="shared" ref="R829:R845" si="111">IF(OR(M829&lt;$S$1*0.5,N829&lt;$T$1*0.5),"код для проверки","нормальный код")</f>
        <v>код для проверки</v>
      </c>
      <c r="S829" t="str">
        <f t="shared" si="105"/>
        <v>Больше половины</v>
      </c>
      <c r="T829" t="str">
        <f t="shared" si="106"/>
        <v>Низшая четверть</v>
      </c>
      <c r="U829" t="str">
        <f t="shared" si="107"/>
        <v>код для проверки</v>
      </c>
      <c r="V829" t="str">
        <f t="shared" si="108"/>
        <v>Больше половины</v>
      </c>
      <c r="W829" t="str">
        <f t="shared" si="109"/>
        <v>Низшая четверть</v>
      </c>
      <c r="X829">
        <v>8</v>
      </c>
    </row>
    <row r="830" spans="1:24" x14ac:dyDescent="0.35">
      <c r="A830" s="1" t="s">
        <v>851</v>
      </c>
      <c r="B830" s="2" t="s">
        <v>852</v>
      </c>
      <c r="C830" s="3" t="s">
        <v>13</v>
      </c>
      <c r="D830" s="2" t="s">
        <v>77</v>
      </c>
      <c r="E830" s="3" t="s">
        <v>193</v>
      </c>
      <c r="F830" s="2" t="s">
        <v>34</v>
      </c>
      <c r="G830" s="3" t="s">
        <v>35</v>
      </c>
      <c r="H830" s="2" t="s">
        <v>18</v>
      </c>
      <c r="I830" s="3" t="s">
        <v>19</v>
      </c>
      <c r="J830" s="3">
        <v>2140</v>
      </c>
      <c r="K830" s="3">
        <v>400</v>
      </c>
      <c r="L830" s="3">
        <v>1</v>
      </c>
      <c r="M830" s="4">
        <f t="shared" si="103"/>
        <v>0.18691588785046728</v>
      </c>
      <c r="N830" s="4">
        <f t="shared" si="104"/>
        <v>2.5000000000000001E-3</v>
      </c>
      <c r="O830">
        <v>330</v>
      </c>
      <c r="P830" s="5">
        <v>1</v>
      </c>
      <c r="Q830" s="7">
        <v>1</v>
      </c>
      <c r="R830" t="str">
        <f t="shared" si="111"/>
        <v>код для проверки</v>
      </c>
      <c r="S830" t="str">
        <f t="shared" si="105"/>
        <v>Больше половины</v>
      </c>
      <c r="T830" t="str">
        <f t="shared" si="106"/>
        <v>Низшая четверть</v>
      </c>
      <c r="U830" t="str">
        <f t="shared" si="107"/>
        <v>код для проверки</v>
      </c>
      <c r="V830" t="str">
        <f t="shared" si="108"/>
        <v>Больше половины</v>
      </c>
      <c r="W830" t="str">
        <f t="shared" si="109"/>
        <v>Низшая четверть</v>
      </c>
      <c r="X830">
        <v>16</v>
      </c>
    </row>
    <row r="831" spans="1:24" x14ac:dyDescent="0.35">
      <c r="A831" s="1" t="s">
        <v>1551</v>
      </c>
      <c r="B831" s="2" t="s">
        <v>1552</v>
      </c>
      <c r="C831" s="3" t="s">
        <v>55</v>
      </c>
      <c r="D831" s="2" t="s">
        <v>94</v>
      </c>
      <c r="E831" s="3" t="s">
        <v>812</v>
      </c>
      <c r="F831" s="2" t="s">
        <v>96</v>
      </c>
      <c r="G831" s="3" t="s">
        <v>17</v>
      </c>
      <c r="H831" s="2" t="s">
        <v>18</v>
      </c>
      <c r="I831" s="3" t="s">
        <v>19</v>
      </c>
      <c r="J831" s="3">
        <v>2139</v>
      </c>
      <c r="K831" s="3">
        <v>258</v>
      </c>
      <c r="L831" s="3">
        <v>0</v>
      </c>
      <c r="M831" s="4">
        <f t="shared" si="103"/>
        <v>0.12061711079943899</v>
      </c>
      <c r="N831" s="4">
        <f t="shared" si="104"/>
        <v>0</v>
      </c>
      <c r="O831">
        <v>1758</v>
      </c>
      <c r="P831" s="5">
        <v>1</v>
      </c>
      <c r="Q831" s="7">
        <v>1</v>
      </c>
      <c r="R831" t="str">
        <f t="shared" si="111"/>
        <v>код для проверки</v>
      </c>
      <c r="S831" t="str">
        <f t="shared" si="105"/>
        <v>Больше половины</v>
      </c>
      <c r="T831" t="str">
        <f t="shared" si="106"/>
        <v>Низшая четверть</v>
      </c>
      <c r="U831" t="str">
        <f t="shared" si="107"/>
        <v>код для проверки</v>
      </c>
      <c r="V831" t="str">
        <f t="shared" si="108"/>
        <v>Вторая четверть</v>
      </c>
      <c r="W831" t="str">
        <f t="shared" si="109"/>
        <v>Низшая четверть</v>
      </c>
      <c r="X831">
        <v>8</v>
      </c>
    </row>
    <row r="832" spans="1:24" x14ac:dyDescent="0.35">
      <c r="A832" s="1" t="s">
        <v>1164</v>
      </c>
      <c r="B832" s="2" t="s">
        <v>1165</v>
      </c>
      <c r="C832" s="3" t="s">
        <v>13</v>
      </c>
      <c r="D832" s="2" t="s">
        <v>77</v>
      </c>
      <c r="E832" s="3" t="s">
        <v>89</v>
      </c>
      <c r="F832" s="2" t="s">
        <v>34</v>
      </c>
      <c r="G832" s="3" t="s">
        <v>35</v>
      </c>
      <c r="H832" s="2" t="s">
        <v>18</v>
      </c>
      <c r="I832" s="3" t="s">
        <v>19</v>
      </c>
      <c r="J832" s="3">
        <v>2128</v>
      </c>
      <c r="K832" s="3">
        <v>561</v>
      </c>
      <c r="L832" s="3">
        <v>2</v>
      </c>
      <c r="M832" s="4">
        <f t="shared" si="103"/>
        <v>0.26362781954887216</v>
      </c>
      <c r="N832" s="4">
        <f t="shared" si="104"/>
        <v>3.5650623885918001E-3</v>
      </c>
      <c r="O832">
        <v>249</v>
      </c>
      <c r="P832" s="5">
        <v>1</v>
      </c>
      <c r="Q832" s="7">
        <v>1</v>
      </c>
      <c r="R832" t="str">
        <f t="shared" si="111"/>
        <v>код для проверки</v>
      </c>
      <c r="S832" t="str">
        <f t="shared" si="105"/>
        <v>Больше половины</v>
      </c>
      <c r="T832" t="str">
        <f t="shared" si="106"/>
        <v>Низшая четверть</v>
      </c>
      <c r="U832" t="str">
        <f t="shared" si="107"/>
        <v>код для проверки</v>
      </c>
      <c r="V832" t="str">
        <f t="shared" si="108"/>
        <v>Больше половины</v>
      </c>
      <c r="W832" t="str">
        <f t="shared" si="109"/>
        <v>Низшая четверть</v>
      </c>
      <c r="X832">
        <v>8</v>
      </c>
    </row>
    <row r="833" spans="1:24" x14ac:dyDescent="0.35">
      <c r="A833" s="1" t="s">
        <v>2309</v>
      </c>
      <c r="B833" s="2" t="s">
        <v>2310</v>
      </c>
      <c r="C833" s="3" t="s">
        <v>55</v>
      </c>
      <c r="D833" s="2" t="s">
        <v>56</v>
      </c>
      <c r="E833" s="3" t="s">
        <v>472</v>
      </c>
      <c r="F833" s="2" t="s">
        <v>34</v>
      </c>
      <c r="G833" s="3" t="s">
        <v>17</v>
      </c>
      <c r="H833" s="2" t="s">
        <v>18</v>
      </c>
      <c r="I833" s="3" t="s">
        <v>19</v>
      </c>
      <c r="J833" s="3">
        <v>2109</v>
      </c>
      <c r="K833" s="3">
        <v>180</v>
      </c>
      <c r="L833" s="3">
        <v>3</v>
      </c>
      <c r="M833" s="4">
        <f t="shared" si="103"/>
        <v>8.5348506401137975E-2</v>
      </c>
      <c r="N833" s="4">
        <f t="shared" si="104"/>
        <v>1.6666666666666666E-2</v>
      </c>
      <c r="O833">
        <v>236</v>
      </c>
      <c r="P833" s="5">
        <v>1</v>
      </c>
      <c r="Q833" s="7">
        <v>1</v>
      </c>
      <c r="R833" t="str">
        <f t="shared" si="111"/>
        <v>нормальный код</v>
      </c>
      <c r="S833" t="str">
        <f t="shared" si="105"/>
        <v>Вторая четверть</v>
      </c>
      <c r="T833" t="str">
        <f t="shared" si="106"/>
        <v>Вторая четверть</v>
      </c>
      <c r="U833" t="str">
        <f t="shared" si="107"/>
        <v>код для проверки</v>
      </c>
      <c r="V833" t="str">
        <f t="shared" si="108"/>
        <v>Больше половины</v>
      </c>
      <c r="W833" t="str">
        <f t="shared" si="109"/>
        <v>Низшая четверть</v>
      </c>
      <c r="X833">
        <v>18</v>
      </c>
    </row>
    <row r="834" spans="1:24" x14ac:dyDescent="0.35">
      <c r="A834" s="1" t="s">
        <v>1996</v>
      </c>
      <c r="B834" s="2" t="s">
        <v>1997</v>
      </c>
      <c r="C834" s="3" t="s">
        <v>55</v>
      </c>
      <c r="D834" s="2" t="s">
        <v>1479</v>
      </c>
      <c r="E834" s="3" t="s">
        <v>1480</v>
      </c>
      <c r="F834" s="2" t="s">
        <v>34</v>
      </c>
      <c r="G834" s="3" t="s">
        <v>17</v>
      </c>
      <c r="H834" s="2" t="s">
        <v>18</v>
      </c>
      <c r="I834" s="3" t="s">
        <v>19</v>
      </c>
      <c r="J834" s="3">
        <v>2108</v>
      </c>
      <c r="K834" s="3">
        <v>253</v>
      </c>
      <c r="L834" s="3">
        <v>9</v>
      </c>
      <c r="M834" s="4">
        <f t="shared" si="103"/>
        <v>0.12001897533206832</v>
      </c>
      <c r="N834" s="4">
        <f t="shared" si="104"/>
        <v>3.5573122529644272E-2</v>
      </c>
      <c r="O834">
        <v>165</v>
      </c>
      <c r="P834" s="5">
        <v>0.8</v>
      </c>
      <c r="Q834" s="7">
        <v>1</v>
      </c>
      <c r="R834" t="str">
        <f t="shared" si="111"/>
        <v>нормальный код</v>
      </c>
      <c r="S834" t="str">
        <f t="shared" si="105"/>
        <v>Больше половины</v>
      </c>
      <c r="T834" t="str">
        <f t="shared" si="106"/>
        <v>Больше половины</v>
      </c>
      <c r="U834" t="str">
        <f t="shared" si="107"/>
        <v>нормальный код</v>
      </c>
      <c r="V834" t="str">
        <f t="shared" si="108"/>
        <v>Больше половины</v>
      </c>
      <c r="W834" t="str">
        <f t="shared" si="109"/>
        <v>Больше половины</v>
      </c>
      <c r="X834">
        <v>6</v>
      </c>
    </row>
    <row r="835" spans="1:24" x14ac:dyDescent="0.35">
      <c r="A835" s="1" t="s">
        <v>2130</v>
      </c>
      <c r="B835" s="2" t="s">
        <v>2131</v>
      </c>
      <c r="C835" s="3" t="s">
        <v>13</v>
      </c>
      <c r="D835" s="2" t="s">
        <v>164</v>
      </c>
      <c r="E835" s="3" t="s">
        <v>485</v>
      </c>
      <c r="F835" s="2" t="s">
        <v>123</v>
      </c>
      <c r="G835" s="3" t="s">
        <v>17</v>
      </c>
      <c r="H835" s="2" t="s">
        <v>18</v>
      </c>
      <c r="I835" s="3" t="s">
        <v>19</v>
      </c>
      <c r="J835" s="3">
        <v>2107</v>
      </c>
      <c r="K835" s="3">
        <v>285</v>
      </c>
      <c r="L835" s="3">
        <v>7</v>
      </c>
      <c r="M835" s="4">
        <f t="shared" si="103"/>
        <v>0.13526340768865686</v>
      </c>
      <c r="N835" s="4">
        <f t="shared" si="104"/>
        <v>2.456140350877193E-2</v>
      </c>
      <c r="O835">
        <v>504</v>
      </c>
      <c r="P835" s="5">
        <v>1</v>
      </c>
      <c r="Q835" s="7">
        <v>1</v>
      </c>
      <c r="R835" t="str">
        <f t="shared" si="111"/>
        <v>нормальный код</v>
      </c>
      <c r="S835" t="str">
        <f t="shared" si="105"/>
        <v>Больше половины</v>
      </c>
      <c r="T835" t="str">
        <f t="shared" si="106"/>
        <v>Больше половины</v>
      </c>
      <c r="U835" t="str">
        <f t="shared" si="107"/>
        <v>нормальный код</v>
      </c>
      <c r="V835" t="str">
        <f t="shared" si="108"/>
        <v>Больше половины</v>
      </c>
      <c r="W835" t="str">
        <f t="shared" si="109"/>
        <v>Больше половины</v>
      </c>
      <c r="X835">
        <v>14</v>
      </c>
    </row>
    <row r="836" spans="1:24" x14ac:dyDescent="0.35">
      <c r="A836" s="1" t="s">
        <v>1061</v>
      </c>
      <c r="B836" s="2" t="s">
        <v>1062</v>
      </c>
      <c r="C836" s="3" t="s">
        <v>13</v>
      </c>
      <c r="D836" s="2" t="s">
        <v>77</v>
      </c>
      <c r="E836" s="3" t="s">
        <v>193</v>
      </c>
      <c r="F836" s="2" t="s">
        <v>34</v>
      </c>
      <c r="G836" s="3" t="s">
        <v>35</v>
      </c>
      <c r="H836" s="2" t="s">
        <v>18</v>
      </c>
      <c r="I836" s="3" t="s">
        <v>19</v>
      </c>
      <c r="J836" s="3">
        <v>2107</v>
      </c>
      <c r="K836" s="3">
        <v>273</v>
      </c>
      <c r="L836" s="3">
        <v>2</v>
      </c>
      <c r="M836" s="4">
        <f t="shared" ref="M836:M899" si="112">IFERROR(K836/J836,0)</f>
        <v>0.12956810631229235</v>
      </c>
      <c r="N836" s="4">
        <f t="shared" ref="N836:N899" si="113">IFERROR(L836/K836,0)</f>
        <v>7.326007326007326E-3</v>
      </c>
      <c r="O836">
        <v>350</v>
      </c>
      <c r="P836" s="5">
        <v>1</v>
      </c>
      <c r="Q836" s="7">
        <v>1</v>
      </c>
      <c r="R836" t="str">
        <f t="shared" si="111"/>
        <v>код для проверки</v>
      </c>
      <c r="S836" t="str">
        <f t="shared" ref="S836:S899" si="114">IF(M836&lt;$S$1*0.5,"Низшая четверть",IF(M836&lt;$S$1,"Вторая четверть","Больше половины"))</f>
        <v>Больше половины</v>
      </c>
      <c r="T836" t="str">
        <f t="shared" ref="T836:T899" si="115">IF(N836&lt;$T$1*0.5,"Низшая четверть",IF(N836&lt;$T$1,"Вторая четверть","Больше половины"))</f>
        <v>Низшая четверть</v>
      </c>
      <c r="U836" t="str">
        <f t="shared" ref="U836:U899" si="116">IF(OR(M836&lt;SUMIFS(K:K,Q:Q,1,E:E,E836)/SUMIFS(J:J,Q:Q,1,E:E,E836)*0.5,N836&lt;SUMIFS(L:L,Q:Q,1,E:E,E836)/SUMIFS(K:K,Q:Q,1,E:E,E836)*0.5),"код для проверки","нормальный код")</f>
        <v>нормальный код</v>
      </c>
      <c r="V836" t="str">
        <f t="shared" ref="V836:V899" si="117">IF(M836&lt;SUMIFS(K:K,Q:Q,1,E:E,E836)/SUMIFS(J:J,Q:Q,1,E:E,E836)*0.5,"Низшая четверть",IF(M836&lt;SUMIFS(K:K,Q:Q,1,E:E,E836)/SUMIFS(J:J,Q:Q,1,E:E,E836),"Вторая четверть","Больше половины"))</f>
        <v>Больше половины</v>
      </c>
      <c r="W836" t="str">
        <f t="shared" ref="W836:W899" si="118">IF(N836&lt;SUMIFS(L:L,Q:Q,1,E:E,E836)/SUMIFS(K:K,Q:Q,1,E:E,E836)*0.5,"Низшая четверть",IF(N836&lt;SUMIFS(L:L,Q:Q,1,E:E,E836)/SUMIFS(K:K,Q:Q,1,E:E,E836),"Вторая четверть","Больше половины"))</f>
        <v>Вторая четверть</v>
      </c>
      <c r="X836">
        <v>15</v>
      </c>
    </row>
    <row r="837" spans="1:24" x14ac:dyDescent="0.35">
      <c r="A837" s="1" t="s">
        <v>1153</v>
      </c>
      <c r="B837" s="2" t="s">
        <v>1154</v>
      </c>
      <c r="C837" s="3" t="s">
        <v>13</v>
      </c>
      <c r="D837" s="2" t="s">
        <v>155</v>
      </c>
      <c r="E837" s="3" t="s">
        <v>244</v>
      </c>
      <c r="F837" s="2" t="s">
        <v>34</v>
      </c>
      <c r="G837" s="3" t="s">
        <v>35</v>
      </c>
      <c r="H837" s="2" t="s">
        <v>18</v>
      </c>
      <c r="I837" s="3" t="s">
        <v>19</v>
      </c>
      <c r="J837" s="3">
        <v>2102</v>
      </c>
      <c r="K837" s="3">
        <v>205</v>
      </c>
      <c r="L837" s="3">
        <v>2</v>
      </c>
      <c r="M837" s="4">
        <f t="shared" si="112"/>
        <v>9.7526165556612754E-2</v>
      </c>
      <c r="N837" s="4">
        <f t="shared" si="113"/>
        <v>9.7560975609756097E-3</v>
      </c>
      <c r="O837">
        <v>235</v>
      </c>
      <c r="P837" s="5">
        <v>1</v>
      </c>
      <c r="Q837" s="7">
        <v>1</v>
      </c>
      <c r="R837" t="str">
        <f t="shared" si="111"/>
        <v>код для проверки</v>
      </c>
      <c r="S837" t="str">
        <f t="shared" si="114"/>
        <v>Больше половины</v>
      </c>
      <c r="T837" t="str">
        <f t="shared" si="115"/>
        <v>Низшая четверть</v>
      </c>
      <c r="U837" t="str">
        <f t="shared" si="116"/>
        <v>нормальный код</v>
      </c>
      <c r="V837" t="str">
        <f t="shared" si="117"/>
        <v>Вторая четверть</v>
      </c>
      <c r="W837" t="str">
        <f t="shared" si="118"/>
        <v>Вторая четверть</v>
      </c>
      <c r="X837">
        <v>16</v>
      </c>
    </row>
    <row r="838" spans="1:24" x14ac:dyDescent="0.35">
      <c r="A838" s="1" t="s">
        <v>477</v>
      </c>
      <c r="B838" s="2" t="s">
        <v>478</v>
      </c>
      <c r="C838" s="3" t="s">
        <v>13</v>
      </c>
      <c r="D838" s="2" t="s">
        <v>77</v>
      </c>
      <c r="E838" s="3" t="s">
        <v>89</v>
      </c>
      <c r="F838" s="2" t="s">
        <v>34</v>
      </c>
      <c r="G838" s="3" t="s">
        <v>35</v>
      </c>
      <c r="H838" s="2" t="s">
        <v>18</v>
      </c>
      <c r="I838" s="3" t="s">
        <v>19</v>
      </c>
      <c r="J838" s="3">
        <v>2101</v>
      </c>
      <c r="K838" s="3">
        <v>326</v>
      </c>
      <c r="L838" s="3">
        <v>2</v>
      </c>
      <c r="M838" s="4">
        <f t="shared" si="112"/>
        <v>0.15516420752022847</v>
      </c>
      <c r="N838" s="4">
        <f t="shared" si="113"/>
        <v>6.1349693251533744E-3</v>
      </c>
      <c r="O838">
        <v>191</v>
      </c>
      <c r="P838" s="5">
        <v>1</v>
      </c>
      <c r="Q838" s="7">
        <v>1</v>
      </c>
      <c r="R838" t="str">
        <f t="shared" si="111"/>
        <v>код для проверки</v>
      </c>
      <c r="S838" t="str">
        <f t="shared" si="114"/>
        <v>Больше половины</v>
      </c>
      <c r="T838" t="str">
        <f t="shared" si="115"/>
        <v>Низшая четверть</v>
      </c>
      <c r="U838" t="str">
        <f t="shared" si="116"/>
        <v>код для проверки</v>
      </c>
      <c r="V838" t="str">
        <f t="shared" si="117"/>
        <v>Больше половины</v>
      </c>
      <c r="W838" t="str">
        <f t="shared" si="118"/>
        <v>Низшая четверть</v>
      </c>
      <c r="X838">
        <v>18</v>
      </c>
    </row>
    <row r="839" spans="1:24" x14ac:dyDescent="0.35">
      <c r="A839" s="1" t="s">
        <v>2529</v>
      </c>
      <c r="B839" s="2" t="s">
        <v>2530</v>
      </c>
      <c r="C839" s="3" t="s">
        <v>13</v>
      </c>
      <c r="D839" s="2" t="s">
        <v>104</v>
      </c>
      <c r="E839" s="3" t="s">
        <v>1649</v>
      </c>
      <c r="F839" s="2" t="s">
        <v>61</v>
      </c>
      <c r="G839" s="3" t="s">
        <v>17</v>
      </c>
      <c r="H839" s="2" t="s">
        <v>18</v>
      </c>
      <c r="I839" s="3" t="s">
        <v>19</v>
      </c>
      <c r="J839" s="3">
        <v>2098</v>
      </c>
      <c r="K839" s="3">
        <v>132</v>
      </c>
      <c r="L839" s="3">
        <v>4</v>
      </c>
      <c r="M839" s="4">
        <f t="shared" si="112"/>
        <v>6.2917063870352716E-2</v>
      </c>
      <c r="N839" s="4">
        <f t="shared" si="113"/>
        <v>3.0303030303030304E-2</v>
      </c>
      <c r="O839">
        <v>275</v>
      </c>
      <c r="P839" s="5">
        <v>1</v>
      </c>
      <c r="Q839" s="7">
        <v>1</v>
      </c>
      <c r="R839" t="str">
        <f t="shared" si="111"/>
        <v>нормальный код</v>
      </c>
      <c r="S839" t="str">
        <f t="shared" si="114"/>
        <v>Вторая четверть</v>
      </c>
      <c r="T839" t="str">
        <f t="shared" si="115"/>
        <v>Больше половины</v>
      </c>
      <c r="U839" t="str">
        <f t="shared" si="116"/>
        <v>нормальный код</v>
      </c>
      <c r="V839" t="str">
        <f t="shared" si="117"/>
        <v>Вторая четверть</v>
      </c>
      <c r="W839" t="str">
        <f t="shared" si="118"/>
        <v>Вторая четверть</v>
      </c>
      <c r="X839">
        <v>19</v>
      </c>
    </row>
    <row r="840" spans="1:24" x14ac:dyDescent="0.35">
      <c r="A840" s="1" t="s">
        <v>942</v>
      </c>
      <c r="B840" s="2" t="s">
        <v>943</v>
      </c>
      <c r="C840" s="3" t="s">
        <v>13</v>
      </c>
      <c r="D840" s="2" t="s">
        <v>164</v>
      </c>
      <c r="E840" s="3" t="s">
        <v>277</v>
      </c>
      <c r="F840" s="2" t="s">
        <v>123</v>
      </c>
      <c r="G840" s="3" t="s">
        <v>35</v>
      </c>
      <c r="H840" s="2" t="s">
        <v>18</v>
      </c>
      <c r="I840" s="3" t="s">
        <v>19</v>
      </c>
      <c r="J840" s="3">
        <v>2091</v>
      </c>
      <c r="K840" s="3">
        <v>310</v>
      </c>
      <c r="L840" s="3">
        <v>1</v>
      </c>
      <c r="M840" s="4">
        <f t="shared" si="112"/>
        <v>0.1482544237207078</v>
      </c>
      <c r="N840" s="4">
        <f t="shared" si="113"/>
        <v>3.2258064516129032E-3</v>
      </c>
      <c r="O840">
        <v>204</v>
      </c>
      <c r="P840" s="5">
        <v>1</v>
      </c>
      <c r="Q840" s="7">
        <v>1</v>
      </c>
      <c r="R840" t="str">
        <f t="shared" si="111"/>
        <v>код для проверки</v>
      </c>
      <c r="S840" t="str">
        <f t="shared" si="114"/>
        <v>Больше половины</v>
      </c>
      <c r="T840" t="str">
        <f t="shared" si="115"/>
        <v>Низшая четверть</v>
      </c>
      <c r="U840" t="str">
        <f t="shared" si="116"/>
        <v>код для проверки</v>
      </c>
      <c r="V840" t="str">
        <f t="shared" si="117"/>
        <v>Больше половины</v>
      </c>
      <c r="W840" t="str">
        <f t="shared" si="118"/>
        <v>Низшая четверть</v>
      </c>
      <c r="X840">
        <v>20</v>
      </c>
    </row>
    <row r="841" spans="1:24" x14ac:dyDescent="0.35">
      <c r="A841" s="1" t="s">
        <v>1467</v>
      </c>
      <c r="B841" s="2" t="s">
        <v>1468</v>
      </c>
      <c r="C841" s="3" t="s">
        <v>55</v>
      </c>
      <c r="D841" s="2" t="s">
        <v>985</v>
      </c>
      <c r="E841" s="3" t="s">
        <v>986</v>
      </c>
      <c r="F841" s="2" t="s">
        <v>34</v>
      </c>
      <c r="G841" s="3" t="s">
        <v>17</v>
      </c>
      <c r="H841" s="2" t="s">
        <v>18</v>
      </c>
      <c r="I841" s="3" t="s">
        <v>19</v>
      </c>
      <c r="J841" s="3">
        <v>2089</v>
      </c>
      <c r="K841" s="3">
        <v>80</v>
      </c>
      <c r="L841" s="3">
        <v>4</v>
      </c>
      <c r="M841" s="4">
        <f t="shared" si="112"/>
        <v>3.829583532790809E-2</v>
      </c>
      <c r="N841" s="4">
        <f t="shared" si="113"/>
        <v>0.05</v>
      </c>
      <c r="O841">
        <v>381</v>
      </c>
      <c r="P841" s="5">
        <v>1</v>
      </c>
      <c r="Q841" s="7">
        <v>1</v>
      </c>
      <c r="R841" t="str">
        <f t="shared" si="111"/>
        <v>код для проверки</v>
      </c>
      <c r="S841" t="str">
        <f t="shared" si="114"/>
        <v>Низшая четверть</v>
      </c>
      <c r="T841" t="str">
        <f t="shared" si="115"/>
        <v>Больше половины</v>
      </c>
      <c r="U841" t="str">
        <f t="shared" si="116"/>
        <v>нормальный код</v>
      </c>
      <c r="V841" t="str">
        <f t="shared" si="117"/>
        <v>Вторая четверть</v>
      </c>
      <c r="W841" t="str">
        <f t="shared" si="118"/>
        <v>Больше половины</v>
      </c>
      <c r="X841">
        <v>8</v>
      </c>
    </row>
    <row r="842" spans="1:24" x14ac:dyDescent="0.35">
      <c r="A842" s="1" t="s">
        <v>1840</v>
      </c>
      <c r="B842" s="2" t="s">
        <v>1841</v>
      </c>
      <c r="C842" s="3" t="s">
        <v>13</v>
      </c>
      <c r="D842" s="2" t="s">
        <v>121</v>
      </c>
      <c r="E842" s="3" t="s">
        <v>122</v>
      </c>
      <c r="F842" s="2" t="s">
        <v>123</v>
      </c>
      <c r="G842" s="3" t="s">
        <v>17</v>
      </c>
      <c r="H842" s="2" t="s">
        <v>18</v>
      </c>
      <c r="I842" s="3" t="s">
        <v>19</v>
      </c>
      <c r="J842" s="3">
        <v>2082</v>
      </c>
      <c r="K842" s="3">
        <v>167</v>
      </c>
      <c r="L842" s="3">
        <v>5</v>
      </c>
      <c r="M842" s="4">
        <f t="shared" si="112"/>
        <v>8.0211335254562921E-2</v>
      </c>
      <c r="N842" s="4">
        <f t="shared" si="113"/>
        <v>2.9940119760479042E-2</v>
      </c>
      <c r="O842">
        <v>641</v>
      </c>
      <c r="P842" s="5">
        <v>1</v>
      </c>
      <c r="Q842" s="7">
        <v>1</v>
      </c>
      <c r="R842" t="str">
        <f t="shared" si="111"/>
        <v>нормальный код</v>
      </c>
      <c r="S842" t="str">
        <f t="shared" si="114"/>
        <v>Вторая четверть</v>
      </c>
      <c r="T842" t="str">
        <f t="shared" si="115"/>
        <v>Больше половины</v>
      </c>
      <c r="U842" t="str">
        <f t="shared" si="116"/>
        <v>нормальный код</v>
      </c>
      <c r="V842" t="str">
        <f t="shared" si="117"/>
        <v>Больше половины</v>
      </c>
      <c r="W842" t="str">
        <f t="shared" si="118"/>
        <v>Больше половины</v>
      </c>
      <c r="X842">
        <v>17</v>
      </c>
    </row>
    <row r="843" spans="1:24" x14ac:dyDescent="0.35">
      <c r="A843" s="1" t="s">
        <v>2465</v>
      </c>
      <c r="B843" s="2" t="s">
        <v>2466</v>
      </c>
      <c r="C843" s="3" t="s">
        <v>13</v>
      </c>
      <c r="D843" s="2" t="s">
        <v>69</v>
      </c>
      <c r="E843" s="3" t="s">
        <v>2448</v>
      </c>
      <c r="F843" s="2" t="s">
        <v>34</v>
      </c>
      <c r="G843" s="3" t="s">
        <v>72</v>
      </c>
      <c r="H843" s="2" t="s">
        <v>18</v>
      </c>
      <c r="I843" s="3" t="s">
        <v>19</v>
      </c>
      <c r="J843" s="3">
        <v>2074</v>
      </c>
      <c r="K843" s="3">
        <v>98</v>
      </c>
      <c r="L843" s="3">
        <v>9</v>
      </c>
      <c r="M843" s="4">
        <f t="shared" si="112"/>
        <v>4.7251687560270011E-2</v>
      </c>
      <c r="N843" s="4">
        <f t="shared" si="113"/>
        <v>9.1836734693877556E-2</v>
      </c>
      <c r="O843">
        <v>448</v>
      </c>
      <c r="P843" s="5">
        <v>1</v>
      </c>
      <c r="Q843" s="7">
        <v>1</v>
      </c>
      <c r="R843" t="str">
        <f t="shared" si="111"/>
        <v>код для проверки</v>
      </c>
      <c r="S843" t="str">
        <f t="shared" si="114"/>
        <v>Низшая четверть</v>
      </c>
      <c r="T843" t="str">
        <f t="shared" si="115"/>
        <v>Больше половины</v>
      </c>
      <c r="U843" t="str">
        <f t="shared" si="116"/>
        <v>нормальный код</v>
      </c>
      <c r="V843" t="str">
        <f t="shared" si="117"/>
        <v>Вторая четверть</v>
      </c>
      <c r="W843" t="str">
        <f t="shared" si="118"/>
        <v>Вторая четверть</v>
      </c>
      <c r="X843">
        <v>13</v>
      </c>
    </row>
    <row r="844" spans="1:24" x14ac:dyDescent="0.35">
      <c r="A844" s="1" t="s">
        <v>1111</v>
      </c>
      <c r="B844" s="2" t="s">
        <v>1112</v>
      </c>
      <c r="C844" s="3" t="s">
        <v>55</v>
      </c>
      <c r="D844" s="2" t="s">
        <v>94</v>
      </c>
      <c r="E844" s="3" t="s">
        <v>95</v>
      </c>
      <c r="F844" s="2" t="s">
        <v>96</v>
      </c>
      <c r="G844" s="3" t="s">
        <v>17</v>
      </c>
      <c r="H844" s="2" t="s">
        <v>97</v>
      </c>
      <c r="I844" s="3" t="s">
        <v>19</v>
      </c>
      <c r="J844" s="3">
        <v>2061</v>
      </c>
      <c r="K844" s="3">
        <v>2402</v>
      </c>
      <c r="L844" s="3">
        <v>5</v>
      </c>
      <c r="M844" s="4">
        <f t="shared" si="112"/>
        <v>1.1654536632702572</v>
      </c>
      <c r="N844" s="4">
        <f t="shared" si="113"/>
        <v>2.0815986677768525E-3</v>
      </c>
      <c r="O844">
        <v>1217</v>
      </c>
      <c r="P844" s="5">
        <v>0.66666666666666663</v>
      </c>
      <c r="Q844" s="7">
        <v>1</v>
      </c>
      <c r="R844" t="str">
        <f t="shared" si="111"/>
        <v>код для проверки</v>
      </c>
      <c r="S844" t="str">
        <f t="shared" si="114"/>
        <v>Больше половины</v>
      </c>
      <c r="T844" t="str">
        <f t="shared" si="115"/>
        <v>Низшая четверть</v>
      </c>
      <c r="U844" t="str">
        <f t="shared" si="116"/>
        <v>код для проверки</v>
      </c>
      <c r="V844" t="str">
        <f t="shared" si="117"/>
        <v>Больше половины</v>
      </c>
      <c r="W844" t="str">
        <f t="shared" si="118"/>
        <v>Низшая четверть</v>
      </c>
      <c r="X844">
        <v>20</v>
      </c>
    </row>
    <row r="845" spans="1:24" x14ac:dyDescent="0.35">
      <c r="A845" s="1" t="s">
        <v>2307</v>
      </c>
      <c r="B845" s="2" t="s">
        <v>2308</v>
      </c>
      <c r="C845" s="3" t="s">
        <v>13</v>
      </c>
      <c r="D845" s="2" t="s">
        <v>155</v>
      </c>
      <c r="E845" s="3" t="s">
        <v>156</v>
      </c>
      <c r="F845" s="2" t="s">
        <v>34</v>
      </c>
      <c r="G845" s="3" t="s">
        <v>35</v>
      </c>
      <c r="H845" s="2" t="s">
        <v>18</v>
      </c>
      <c r="I845" s="3" t="s">
        <v>19</v>
      </c>
      <c r="J845" s="3">
        <v>2042</v>
      </c>
      <c r="K845" s="3">
        <v>1006</v>
      </c>
      <c r="L845" s="3">
        <v>2</v>
      </c>
      <c r="M845" s="4">
        <f t="shared" si="112"/>
        <v>0.49265426052889322</v>
      </c>
      <c r="N845" s="4">
        <f t="shared" si="113"/>
        <v>1.9880715705765406E-3</v>
      </c>
      <c r="O845">
        <v>359</v>
      </c>
      <c r="P845" s="5">
        <v>1</v>
      </c>
      <c r="Q845" s="7">
        <v>1</v>
      </c>
      <c r="R845" t="str">
        <f t="shared" si="111"/>
        <v>код для проверки</v>
      </c>
      <c r="S845" t="str">
        <f t="shared" si="114"/>
        <v>Больше половины</v>
      </c>
      <c r="T845" t="str">
        <f t="shared" si="115"/>
        <v>Низшая четверть</v>
      </c>
      <c r="U845" t="str">
        <f t="shared" si="116"/>
        <v>код для проверки</v>
      </c>
      <c r="V845" t="str">
        <f t="shared" si="117"/>
        <v>Больше половины</v>
      </c>
      <c r="W845" t="str">
        <f t="shared" si="118"/>
        <v>Низшая четверть</v>
      </c>
      <c r="X845">
        <v>16</v>
      </c>
    </row>
    <row r="846" spans="1:24" x14ac:dyDescent="0.35">
      <c r="A846" s="1" t="s">
        <v>834</v>
      </c>
      <c r="B846" s="2" t="s">
        <v>835</v>
      </c>
      <c r="C846" s="3" t="s">
        <v>13</v>
      </c>
      <c r="D846" s="2" t="s">
        <v>77</v>
      </c>
      <c r="E846" s="3" t="s">
        <v>193</v>
      </c>
      <c r="F846" s="2" t="s">
        <v>34</v>
      </c>
      <c r="G846" s="3" t="s">
        <v>35</v>
      </c>
      <c r="H846" s="2" t="s">
        <v>18</v>
      </c>
      <c r="I846" s="3" t="s">
        <v>19</v>
      </c>
      <c r="J846" s="3">
        <v>2026</v>
      </c>
      <c r="K846" s="3">
        <v>455</v>
      </c>
      <c r="L846" s="3">
        <v>5</v>
      </c>
      <c r="M846" s="4">
        <f t="shared" si="112"/>
        <v>0.22458045409674235</v>
      </c>
      <c r="N846" s="4">
        <f t="shared" si="113"/>
        <v>1.098901098901099E-2</v>
      </c>
      <c r="O846">
        <v>1</v>
      </c>
      <c r="P846" s="5">
        <v>0.6</v>
      </c>
      <c r="Q846" s="7">
        <v>0</v>
      </c>
      <c r="R846" t="s">
        <v>2350</v>
      </c>
      <c r="S846" t="str">
        <f t="shared" si="114"/>
        <v>Больше половины</v>
      </c>
      <c r="T846" t="str">
        <f t="shared" si="115"/>
        <v>Вторая четверть</v>
      </c>
      <c r="U846" t="str">
        <f t="shared" si="116"/>
        <v>нормальный код</v>
      </c>
      <c r="V846" t="str">
        <f t="shared" si="117"/>
        <v>Больше половины</v>
      </c>
      <c r="W846" t="str">
        <f t="shared" si="118"/>
        <v>Вторая четверть</v>
      </c>
      <c r="X846">
        <v>10</v>
      </c>
    </row>
    <row r="847" spans="1:24" x14ac:dyDescent="0.35">
      <c r="A847" s="1" t="s">
        <v>718</v>
      </c>
      <c r="B847" s="2" t="s">
        <v>719</v>
      </c>
      <c r="C847" s="3" t="s">
        <v>13</v>
      </c>
      <c r="D847" s="2" t="s">
        <v>77</v>
      </c>
      <c r="E847" s="3" t="s">
        <v>193</v>
      </c>
      <c r="F847" s="2" t="s">
        <v>34</v>
      </c>
      <c r="G847" s="3" t="s">
        <v>17</v>
      </c>
      <c r="H847" s="2" t="s">
        <v>18</v>
      </c>
      <c r="I847" s="3" t="s">
        <v>19</v>
      </c>
      <c r="J847" s="3">
        <v>2018</v>
      </c>
      <c r="K847" s="3">
        <v>144</v>
      </c>
      <c r="L847" s="3">
        <v>4</v>
      </c>
      <c r="M847" s="4">
        <f t="shared" si="112"/>
        <v>7.1357779980178393E-2</v>
      </c>
      <c r="N847" s="4">
        <f t="shared" si="113"/>
        <v>2.7777777777777776E-2</v>
      </c>
      <c r="O847">
        <v>92</v>
      </c>
      <c r="P847" s="5">
        <v>1</v>
      </c>
      <c r="Q847" s="7">
        <v>1</v>
      </c>
      <c r="R847" t="str">
        <f t="shared" ref="R847:R872" si="119">IF(OR(M847&lt;$S$1*0.5,N847&lt;$T$1*0.5),"код для проверки","нормальный код")</f>
        <v>нормальный код</v>
      </c>
      <c r="S847" t="str">
        <f t="shared" si="114"/>
        <v>Вторая четверть</v>
      </c>
      <c r="T847" t="str">
        <f t="shared" si="115"/>
        <v>Больше половины</v>
      </c>
      <c r="U847" t="str">
        <f t="shared" si="116"/>
        <v>нормальный код</v>
      </c>
      <c r="V847" t="str">
        <f t="shared" si="117"/>
        <v>Вторая четверть</v>
      </c>
      <c r="W847" t="str">
        <f t="shared" si="118"/>
        <v>Больше половины</v>
      </c>
      <c r="X847">
        <v>17</v>
      </c>
    </row>
    <row r="848" spans="1:24" x14ac:dyDescent="0.35">
      <c r="A848" s="1" t="s">
        <v>2381</v>
      </c>
      <c r="B848" s="2" t="s">
        <v>2382</v>
      </c>
      <c r="C848" s="3" t="s">
        <v>13</v>
      </c>
      <c r="D848" s="2" t="s">
        <v>32</v>
      </c>
      <c r="E848" s="3" t="s">
        <v>2178</v>
      </c>
      <c r="F848" s="2" t="s">
        <v>61</v>
      </c>
      <c r="G848" s="3" t="s">
        <v>17</v>
      </c>
      <c r="H848" s="2" t="s">
        <v>18</v>
      </c>
      <c r="I848" s="3" t="s">
        <v>19</v>
      </c>
      <c r="J848" s="3">
        <v>2003</v>
      </c>
      <c r="K848" s="3">
        <v>69</v>
      </c>
      <c r="L848" s="3">
        <v>0</v>
      </c>
      <c r="M848" s="4">
        <f t="shared" si="112"/>
        <v>3.4448327508736894E-2</v>
      </c>
      <c r="N848" s="4">
        <f t="shared" si="113"/>
        <v>0</v>
      </c>
      <c r="O848">
        <v>730</v>
      </c>
      <c r="P848" s="5">
        <v>1</v>
      </c>
      <c r="Q848" s="7">
        <v>1</v>
      </c>
      <c r="R848" t="str">
        <f t="shared" si="119"/>
        <v>код для проверки</v>
      </c>
      <c r="S848" t="str">
        <f t="shared" si="114"/>
        <v>Низшая четверть</v>
      </c>
      <c r="T848" t="str">
        <f t="shared" si="115"/>
        <v>Низшая четверть</v>
      </c>
      <c r="U848" t="str">
        <f t="shared" si="116"/>
        <v>код для проверки</v>
      </c>
      <c r="V848" t="str">
        <f t="shared" si="117"/>
        <v>Вторая четверть</v>
      </c>
      <c r="W848" t="str">
        <f t="shared" si="118"/>
        <v>Низшая четверть</v>
      </c>
      <c r="X848">
        <v>16</v>
      </c>
    </row>
    <row r="849" spans="1:24" x14ac:dyDescent="0.35">
      <c r="A849" s="1" t="s">
        <v>1487</v>
      </c>
      <c r="B849" s="2" t="s">
        <v>1488</v>
      </c>
      <c r="C849" s="3" t="s">
        <v>13</v>
      </c>
      <c r="D849" s="2" t="s">
        <v>412</v>
      </c>
      <c r="E849" s="3" t="s">
        <v>413</v>
      </c>
      <c r="F849" s="2" t="s">
        <v>61</v>
      </c>
      <c r="G849" s="3" t="s">
        <v>17</v>
      </c>
      <c r="H849" s="2" t="s">
        <v>97</v>
      </c>
      <c r="I849" s="3" t="s">
        <v>19</v>
      </c>
      <c r="J849" s="3">
        <v>2001</v>
      </c>
      <c r="K849" s="3">
        <v>482</v>
      </c>
      <c r="L849" s="3">
        <v>6</v>
      </c>
      <c r="M849" s="4">
        <f t="shared" si="112"/>
        <v>0.24087956021989004</v>
      </c>
      <c r="N849" s="4">
        <f t="shared" si="113"/>
        <v>1.2448132780082987E-2</v>
      </c>
      <c r="O849">
        <v>434</v>
      </c>
      <c r="P849" s="5">
        <v>1</v>
      </c>
      <c r="Q849" s="7">
        <v>1</v>
      </c>
      <c r="R849" t="str">
        <f t="shared" si="119"/>
        <v>нормальный код</v>
      </c>
      <c r="S849" t="str">
        <f t="shared" si="114"/>
        <v>Больше половины</v>
      </c>
      <c r="T849" t="str">
        <f t="shared" si="115"/>
        <v>Вторая четверть</v>
      </c>
      <c r="U849" t="str">
        <f t="shared" si="116"/>
        <v>нормальный код</v>
      </c>
      <c r="V849" t="str">
        <f t="shared" si="117"/>
        <v>Больше половины</v>
      </c>
      <c r="W849" t="str">
        <f t="shared" si="118"/>
        <v>Вторая четверть</v>
      </c>
      <c r="X849">
        <v>12</v>
      </c>
    </row>
    <row r="850" spans="1:24" x14ac:dyDescent="0.35">
      <c r="A850" s="1" t="s">
        <v>1676</v>
      </c>
      <c r="B850" s="2" t="s">
        <v>1677</v>
      </c>
      <c r="C850" s="3" t="s">
        <v>55</v>
      </c>
      <c r="D850" s="2" t="s">
        <v>985</v>
      </c>
      <c r="E850" s="3" t="s">
        <v>1365</v>
      </c>
      <c r="F850" s="2" t="s">
        <v>34</v>
      </c>
      <c r="G850" s="3" t="s">
        <v>17</v>
      </c>
      <c r="H850" s="2" t="s">
        <v>18</v>
      </c>
      <c r="I850" s="3" t="s">
        <v>19</v>
      </c>
      <c r="J850" s="3">
        <v>1998</v>
      </c>
      <c r="K850" s="3">
        <v>63</v>
      </c>
      <c r="L850" s="3">
        <v>3</v>
      </c>
      <c r="M850" s="4">
        <f t="shared" si="112"/>
        <v>3.1531531531531529E-2</v>
      </c>
      <c r="N850" s="4">
        <f t="shared" si="113"/>
        <v>4.7619047619047616E-2</v>
      </c>
      <c r="O850">
        <v>408</v>
      </c>
      <c r="P850" s="5">
        <v>1</v>
      </c>
      <c r="Q850" s="7">
        <v>1</v>
      </c>
      <c r="R850" t="str">
        <f t="shared" si="119"/>
        <v>код для проверки</v>
      </c>
      <c r="S850" t="str">
        <f t="shared" si="114"/>
        <v>Низшая четверть</v>
      </c>
      <c r="T850" t="str">
        <f t="shared" si="115"/>
        <v>Больше половины</v>
      </c>
      <c r="U850" t="str">
        <f t="shared" si="116"/>
        <v>нормальный код</v>
      </c>
      <c r="V850" t="str">
        <f t="shared" si="117"/>
        <v>Вторая четверть</v>
      </c>
      <c r="W850" t="str">
        <f t="shared" si="118"/>
        <v>Больше половины</v>
      </c>
      <c r="X850">
        <v>4</v>
      </c>
    </row>
    <row r="851" spans="1:24" x14ac:dyDescent="0.35">
      <c r="A851" s="1" t="s">
        <v>1213</v>
      </c>
      <c r="B851" s="2" t="s">
        <v>1214</v>
      </c>
      <c r="C851" s="3" t="s">
        <v>13</v>
      </c>
      <c r="D851" s="2" t="s">
        <v>1215</v>
      </c>
      <c r="E851" s="3" t="s">
        <v>1216</v>
      </c>
      <c r="F851" s="2" t="s">
        <v>34</v>
      </c>
      <c r="G851" s="3" t="s">
        <v>35</v>
      </c>
      <c r="H851" s="2" t="s">
        <v>18</v>
      </c>
      <c r="I851" s="3" t="s">
        <v>19</v>
      </c>
      <c r="J851" s="3">
        <v>1994</v>
      </c>
      <c r="K851" s="3">
        <v>291</v>
      </c>
      <c r="L851" s="3">
        <v>1</v>
      </c>
      <c r="M851" s="4">
        <f t="shared" si="112"/>
        <v>0.14593781344032097</v>
      </c>
      <c r="N851" s="4">
        <f t="shared" si="113"/>
        <v>3.4364261168384879E-3</v>
      </c>
      <c r="O851">
        <v>330</v>
      </c>
      <c r="P851" s="5">
        <v>1</v>
      </c>
      <c r="Q851" s="7">
        <v>1</v>
      </c>
      <c r="R851" t="str">
        <f t="shared" si="119"/>
        <v>код для проверки</v>
      </c>
      <c r="S851" t="str">
        <f t="shared" si="114"/>
        <v>Больше половины</v>
      </c>
      <c r="T851" t="str">
        <f t="shared" si="115"/>
        <v>Низшая четверть</v>
      </c>
      <c r="U851" t="str">
        <f t="shared" si="116"/>
        <v>код для проверки</v>
      </c>
      <c r="V851" t="str">
        <f t="shared" si="117"/>
        <v>Больше половины</v>
      </c>
      <c r="W851" t="str">
        <f t="shared" si="118"/>
        <v>Низшая четверть</v>
      </c>
      <c r="X851">
        <v>26</v>
      </c>
    </row>
    <row r="852" spans="1:24" x14ac:dyDescent="0.35">
      <c r="A852" s="1" t="s">
        <v>2477</v>
      </c>
      <c r="B852" s="2" t="s">
        <v>2478</v>
      </c>
      <c r="C852" s="3" t="s">
        <v>13</v>
      </c>
      <c r="D852" s="2" t="s">
        <v>155</v>
      </c>
      <c r="E852" s="3" t="s">
        <v>156</v>
      </c>
      <c r="F852" s="2" t="s">
        <v>34</v>
      </c>
      <c r="G852" s="3" t="s">
        <v>35</v>
      </c>
      <c r="H852" s="2" t="s">
        <v>18</v>
      </c>
      <c r="I852" s="3" t="s">
        <v>19</v>
      </c>
      <c r="J852" s="3">
        <v>1988</v>
      </c>
      <c r="K852" s="3">
        <v>1345</v>
      </c>
      <c r="L852" s="3">
        <v>1</v>
      </c>
      <c r="M852" s="4">
        <f t="shared" si="112"/>
        <v>0.67655935613682094</v>
      </c>
      <c r="N852" s="4">
        <f t="shared" si="113"/>
        <v>7.4349442379182155E-4</v>
      </c>
      <c r="O852">
        <v>279</v>
      </c>
      <c r="P852" s="5">
        <v>1</v>
      </c>
      <c r="Q852" s="7">
        <v>1</v>
      </c>
      <c r="R852" t="str">
        <f t="shared" si="119"/>
        <v>код для проверки</v>
      </c>
      <c r="S852" t="str">
        <f t="shared" si="114"/>
        <v>Больше половины</v>
      </c>
      <c r="T852" t="str">
        <f t="shared" si="115"/>
        <v>Низшая четверть</v>
      </c>
      <c r="U852" t="str">
        <f t="shared" si="116"/>
        <v>код для проверки</v>
      </c>
      <c r="V852" t="str">
        <f t="shared" si="117"/>
        <v>Больше половины</v>
      </c>
      <c r="W852" t="str">
        <f t="shared" si="118"/>
        <v>Низшая четверть</v>
      </c>
      <c r="X852">
        <v>16</v>
      </c>
    </row>
    <row r="853" spans="1:24" x14ac:dyDescent="0.35">
      <c r="A853" s="1" t="s">
        <v>1434</v>
      </c>
      <c r="B853" s="2" t="s">
        <v>1435</v>
      </c>
      <c r="C853" s="3" t="s">
        <v>55</v>
      </c>
      <c r="D853" s="2" t="s">
        <v>56</v>
      </c>
      <c r="E853" s="3" t="s">
        <v>1370</v>
      </c>
      <c r="F853" s="2" t="s">
        <v>34</v>
      </c>
      <c r="G853" s="3" t="s">
        <v>17</v>
      </c>
      <c r="H853" s="2" t="s">
        <v>18</v>
      </c>
      <c r="I853" s="3" t="s">
        <v>19</v>
      </c>
      <c r="J853" s="3">
        <v>1984</v>
      </c>
      <c r="K853" s="3">
        <v>262</v>
      </c>
      <c r="L853" s="3">
        <v>1</v>
      </c>
      <c r="M853" s="4">
        <f t="shared" si="112"/>
        <v>0.13205645161290322</v>
      </c>
      <c r="N853" s="4">
        <f t="shared" si="113"/>
        <v>3.8167938931297708E-3</v>
      </c>
      <c r="O853">
        <v>208</v>
      </c>
      <c r="P853" s="5">
        <v>1</v>
      </c>
      <c r="Q853" s="7">
        <v>1</v>
      </c>
      <c r="R853" t="str">
        <f t="shared" si="119"/>
        <v>код для проверки</v>
      </c>
      <c r="S853" t="str">
        <f t="shared" si="114"/>
        <v>Больше половины</v>
      </c>
      <c r="T853" t="str">
        <f t="shared" si="115"/>
        <v>Низшая четверть</v>
      </c>
      <c r="U853" t="str">
        <f t="shared" si="116"/>
        <v>код для проверки</v>
      </c>
      <c r="V853" t="str">
        <f t="shared" si="117"/>
        <v>Вторая четверть</v>
      </c>
      <c r="W853" t="str">
        <f t="shared" si="118"/>
        <v>Низшая четверть</v>
      </c>
      <c r="X853">
        <v>15</v>
      </c>
    </row>
    <row r="854" spans="1:24" x14ac:dyDescent="0.35">
      <c r="A854" s="1" t="s">
        <v>1396</v>
      </c>
      <c r="B854" s="2" t="s">
        <v>1397</v>
      </c>
      <c r="C854" s="3" t="s">
        <v>55</v>
      </c>
      <c r="D854" s="2" t="s">
        <v>147</v>
      </c>
      <c r="E854" s="3" t="s">
        <v>207</v>
      </c>
      <c r="F854" s="2" t="s">
        <v>34</v>
      </c>
      <c r="G854" s="3" t="s">
        <v>17</v>
      </c>
      <c r="H854" s="2" t="s">
        <v>18</v>
      </c>
      <c r="I854" s="3" t="s">
        <v>19</v>
      </c>
      <c r="J854" s="3">
        <v>1970</v>
      </c>
      <c r="K854" s="3">
        <v>141</v>
      </c>
      <c r="L854" s="3">
        <v>5</v>
      </c>
      <c r="M854" s="4">
        <f t="shared" si="112"/>
        <v>7.1573604060913704E-2</v>
      </c>
      <c r="N854" s="4">
        <f t="shared" si="113"/>
        <v>3.5460992907801421E-2</v>
      </c>
      <c r="O854">
        <v>314</v>
      </c>
      <c r="P854" s="5">
        <v>0.8</v>
      </c>
      <c r="Q854" s="7">
        <v>1</v>
      </c>
      <c r="R854" t="str">
        <f t="shared" si="119"/>
        <v>нормальный код</v>
      </c>
      <c r="S854" t="str">
        <f t="shared" si="114"/>
        <v>Вторая четверть</v>
      </c>
      <c r="T854" t="str">
        <f t="shared" si="115"/>
        <v>Больше половины</v>
      </c>
      <c r="U854" t="str">
        <f t="shared" si="116"/>
        <v>нормальный код</v>
      </c>
      <c r="V854" t="str">
        <f t="shared" si="117"/>
        <v>Вторая четверть</v>
      </c>
      <c r="W854" t="str">
        <f t="shared" si="118"/>
        <v>Больше половины</v>
      </c>
      <c r="X854">
        <v>6</v>
      </c>
    </row>
    <row r="855" spans="1:24" x14ac:dyDescent="0.35">
      <c r="A855" s="1" t="s">
        <v>2531</v>
      </c>
      <c r="B855" s="2" t="s">
        <v>2532</v>
      </c>
      <c r="C855" s="3" t="s">
        <v>13</v>
      </c>
      <c r="D855" s="2" t="s">
        <v>69</v>
      </c>
      <c r="E855" s="3" t="s">
        <v>2533</v>
      </c>
      <c r="F855" s="2" t="s">
        <v>34</v>
      </c>
      <c r="G855" s="3" t="s">
        <v>72</v>
      </c>
      <c r="H855" s="2" t="s">
        <v>18</v>
      </c>
      <c r="I855" s="3" t="s">
        <v>19</v>
      </c>
      <c r="J855" s="3">
        <v>1968</v>
      </c>
      <c r="K855" s="3">
        <v>93</v>
      </c>
      <c r="L855" s="3">
        <v>4</v>
      </c>
      <c r="M855" s="4">
        <f t="shared" si="112"/>
        <v>4.725609756097561E-2</v>
      </c>
      <c r="N855" s="4">
        <f t="shared" si="113"/>
        <v>4.3010752688172046E-2</v>
      </c>
      <c r="O855">
        <v>375</v>
      </c>
      <c r="P855" s="5">
        <v>1</v>
      </c>
      <c r="Q855" s="7">
        <v>1</v>
      </c>
      <c r="R855" t="str">
        <f t="shared" si="119"/>
        <v>код для проверки</v>
      </c>
      <c r="S855" t="str">
        <f t="shared" si="114"/>
        <v>Низшая четверть</v>
      </c>
      <c r="T855" t="str">
        <f t="shared" si="115"/>
        <v>Больше половины</v>
      </c>
      <c r="U855" t="str">
        <f t="shared" si="116"/>
        <v>нормальный код</v>
      </c>
      <c r="V855" t="str">
        <f t="shared" si="117"/>
        <v>Больше половины</v>
      </c>
      <c r="W855" t="str">
        <f t="shared" si="118"/>
        <v>Больше половины</v>
      </c>
      <c r="X855">
        <v>20</v>
      </c>
    </row>
    <row r="856" spans="1:24" x14ac:dyDescent="0.35">
      <c r="A856" s="1" t="s">
        <v>756</v>
      </c>
      <c r="B856" s="2" t="s">
        <v>757</v>
      </c>
      <c r="C856" s="3" t="s">
        <v>13</v>
      </c>
      <c r="D856" s="2" t="s">
        <v>155</v>
      </c>
      <c r="E856" s="3" t="s">
        <v>244</v>
      </c>
      <c r="F856" s="2" t="s">
        <v>34</v>
      </c>
      <c r="G856" s="3" t="s">
        <v>35</v>
      </c>
      <c r="H856" s="2" t="s">
        <v>18</v>
      </c>
      <c r="I856" s="3" t="s">
        <v>19</v>
      </c>
      <c r="J856" s="3">
        <v>1968</v>
      </c>
      <c r="K856" s="3">
        <v>706</v>
      </c>
      <c r="L856" s="3">
        <v>1</v>
      </c>
      <c r="M856" s="4">
        <f t="shared" si="112"/>
        <v>0.35873983739837401</v>
      </c>
      <c r="N856" s="4">
        <f t="shared" si="113"/>
        <v>1.4164305949008499E-3</v>
      </c>
      <c r="O856">
        <v>367</v>
      </c>
      <c r="P856" s="5">
        <v>1</v>
      </c>
      <c r="Q856" s="7">
        <v>1</v>
      </c>
      <c r="R856" t="str">
        <f t="shared" si="119"/>
        <v>код для проверки</v>
      </c>
      <c r="S856" t="str">
        <f t="shared" si="114"/>
        <v>Больше половины</v>
      </c>
      <c r="T856" t="str">
        <f t="shared" si="115"/>
        <v>Низшая четверть</v>
      </c>
      <c r="U856" t="str">
        <f t="shared" si="116"/>
        <v>код для проверки</v>
      </c>
      <c r="V856" t="str">
        <f t="shared" si="117"/>
        <v>Больше половины</v>
      </c>
      <c r="W856" t="str">
        <f t="shared" si="118"/>
        <v>Низшая четверть</v>
      </c>
      <c r="X856">
        <v>10</v>
      </c>
    </row>
    <row r="857" spans="1:24" x14ac:dyDescent="0.35">
      <c r="A857" s="1" t="s">
        <v>976</v>
      </c>
      <c r="B857" s="2" t="s">
        <v>977</v>
      </c>
      <c r="C857" s="3" t="s">
        <v>13</v>
      </c>
      <c r="D857" s="2" t="s">
        <v>155</v>
      </c>
      <c r="E857" s="3" t="s">
        <v>156</v>
      </c>
      <c r="F857" s="2" t="s">
        <v>34</v>
      </c>
      <c r="G857" s="3" t="s">
        <v>35</v>
      </c>
      <c r="H857" s="2" t="s">
        <v>18</v>
      </c>
      <c r="I857" s="3" t="s">
        <v>19</v>
      </c>
      <c r="J857" s="3">
        <v>1963</v>
      </c>
      <c r="K857" s="3">
        <v>437</v>
      </c>
      <c r="L857" s="3">
        <v>4</v>
      </c>
      <c r="M857" s="4">
        <f t="shared" si="112"/>
        <v>0.22261844116148752</v>
      </c>
      <c r="N857" s="4">
        <f t="shared" si="113"/>
        <v>9.1533180778032037E-3</v>
      </c>
      <c r="O857">
        <v>37</v>
      </c>
      <c r="P857" s="5">
        <v>1</v>
      </c>
      <c r="Q857" s="7">
        <v>1</v>
      </c>
      <c r="R857" t="str">
        <f t="shared" si="119"/>
        <v>код для проверки</v>
      </c>
      <c r="S857" t="str">
        <f t="shared" si="114"/>
        <v>Больше половины</v>
      </c>
      <c r="T857" t="str">
        <f t="shared" si="115"/>
        <v>Низшая четверть</v>
      </c>
      <c r="U857" t="str">
        <f t="shared" si="116"/>
        <v>код для проверки</v>
      </c>
      <c r="V857" t="str">
        <f t="shared" si="117"/>
        <v>Больше половины</v>
      </c>
      <c r="W857" t="str">
        <f t="shared" si="118"/>
        <v>Низшая четверть</v>
      </c>
      <c r="X857">
        <v>18</v>
      </c>
    </row>
    <row r="858" spans="1:24" x14ac:dyDescent="0.35">
      <c r="A858" s="1" t="s">
        <v>1001</v>
      </c>
      <c r="B858" s="2" t="s">
        <v>1002</v>
      </c>
      <c r="C858" s="3" t="s">
        <v>13</v>
      </c>
      <c r="D858" s="2" t="s">
        <v>32</v>
      </c>
      <c r="E858" s="3" t="s">
        <v>33</v>
      </c>
      <c r="F858" s="2" t="s">
        <v>34</v>
      </c>
      <c r="G858" s="3" t="s">
        <v>17</v>
      </c>
      <c r="H858" s="2" t="s">
        <v>18</v>
      </c>
      <c r="I858" s="3" t="s">
        <v>19</v>
      </c>
      <c r="J858" s="3">
        <v>1963</v>
      </c>
      <c r="K858" s="3">
        <v>564</v>
      </c>
      <c r="L858" s="3">
        <v>4</v>
      </c>
      <c r="M858" s="4">
        <f t="shared" si="112"/>
        <v>0.28731533367294959</v>
      </c>
      <c r="N858" s="4">
        <f t="shared" si="113"/>
        <v>7.0921985815602835E-3</v>
      </c>
      <c r="O858">
        <v>160</v>
      </c>
      <c r="P858" s="5">
        <v>1</v>
      </c>
      <c r="Q858" s="7">
        <v>1</v>
      </c>
      <c r="R858" t="str">
        <f t="shared" si="119"/>
        <v>код для проверки</v>
      </c>
      <c r="S858" t="str">
        <f t="shared" si="114"/>
        <v>Больше половины</v>
      </c>
      <c r="T858" t="str">
        <f t="shared" si="115"/>
        <v>Низшая четверть</v>
      </c>
      <c r="U858" t="str">
        <f t="shared" si="116"/>
        <v>код для проверки</v>
      </c>
      <c r="V858" t="str">
        <f t="shared" si="117"/>
        <v>Больше половины</v>
      </c>
      <c r="W858" t="str">
        <f t="shared" si="118"/>
        <v>Низшая четверть</v>
      </c>
      <c r="X858">
        <v>10</v>
      </c>
    </row>
    <row r="859" spans="1:24" x14ac:dyDescent="0.35">
      <c r="A859" s="1" t="s">
        <v>1728</v>
      </c>
      <c r="B859" s="2" t="s">
        <v>1729</v>
      </c>
      <c r="C859" s="3" t="s">
        <v>55</v>
      </c>
      <c r="D859" s="2" t="s">
        <v>1221</v>
      </c>
      <c r="E859" s="3" t="s">
        <v>1222</v>
      </c>
      <c r="F859" s="2" t="s">
        <v>96</v>
      </c>
      <c r="G859" s="3" t="s">
        <v>17</v>
      </c>
      <c r="H859" s="2" t="s">
        <v>1223</v>
      </c>
      <c r="I859" s="3" t="s">
        <v>19</v>
      </c>
      <c r="J859" s="3">
        <v>1962</v>
      </c>
      <c r="K859" s="3">
        <v>220</v>
      </c>
      <c r="L859" s="3">
        <v>1</v>
      </c>
      <c r="M859" s="4">
        <f t="shared" si="112"/>
        <v>0.11213047910295616</v>
      </c>
      <c r="N859" s="4">
        <f t="shared" si="113"/>
        <v>4.5454545454545452E-3</v>
      </c>
      <c r="O859">
        <v>239</v>
      </c>
      <c r="P859" s="5">
        <v>1</v>
      </c>
      <c r="Q859" s="7">
        <v>1</v>
      </c>
      <c r="R859" t="str">
        <f t="shared" si="119"/>
        <v>код для проверки</v>
      </c>
      <c r="S859" t="str">
        <f t="shared" si="114"/>
        <v>Больше половины</v>
      </c>
      <c r="T859" t="str">
        <f t="shared" si="115"/>
        <v>Низшая четверть</v>
      </c>
      <c r="U859" t="str">
        <f t="shared" si="116"/>
        <v>код для проверки</v>
      </c>
      <c r="V859" t="str">
        <f t="shared" si="117"/>
        <v>Больше половины</v>
      </c>
      <c r="W859" t="str">
        <f t="shared" si="118"/>
        <v>Низшая четверть</v>
      </c>
      <c r="X859">
        <v>24</v>
      </c>
    </row>
    <row r="860" spans="1:24" x14ac:dyDescent="0.35">
      <c r="A860" s="1" t="s">
        <v>1327</v>
      </c>
      <c r="B860" s="2" t="s">
        <v>1328</v>
      </c>
      <c r="C860" s="3" t="s">
        <v>13</v>
      </c>
      <c r="D860" s="2" t="s">
        <v>77</v>
      </c>
      <c r="E860" s="3" t="s">
        <v>427</v>
      </c>
      <c r="F860" s="2" t="s">
        <v>71</v>
      </c>
      <c r="G860" s="3" t="s">
        <v>35</v>
      </c>
      <c r="H860" s="2" t="s">
        <v>18</v>
      </c>
      <c r="I860" s="3" t="s">
        <v>19</v>
      </c>
      <c r="J860" s="3">
        <v>1962</v>
      </c>
      <c r="K860" s="3">
        <v>243</v>
      </c>
      <c r="L860" s="3">
        <v>1</v>
      </c>
      <c r="M860" s="4">
        <f t="shared" si="112"/>
        <v>0.12385321100917432</v>
      </c>
      <c r="N860" s="4">
        <f t="shared" si="113"/>
        <v>4.11522633744856E-3</v>
      </c>
      <c r="O860">
        <v>356</v>
      </c>
      <c r="P860" s="5">
        <v>1</v>
      </c>
      <c r="Q860" s="7">
        <v>1</v>
      </c>
      <c r="R860" t="str">
        <f t="shared" si="119"/>
        <v>код для проверки</v>
      </c>
      <c r="S860" t="str">
        <f t="shared" si="114"/>
        <v>Больше половины</v>
      </c>
      <c r="T860" t="str">
        <f t="shared" si="115"/>
        <v>Низшая четверть</v>
      </c>
      <c r="U860" t="str">
        <f t="shared" si="116"/>
        <v>код для проверки</v>
      </c>
      <c r="V860" t="str">
        <f t="shared" si="117"/>
        <v>Больше половины</v>
      </c>
      <c r="W860" t="str">
        <f t="shared" si="118"/>
        <v>Низшая четверть</v>
      </c>
      <c r="X860">
        <v>11</v>
      </c>
    </row>
    <row r="861" spans="1:24" x14ac:dyDescent="0.35">
      <c r="A861" s="1" t="s">
        <v>2534</v>
      </c>
      <c r="B861" s="2" t="s">
        <v>2535</v>
      </c>
      <c r="C861" s="3" t="s">
        <v>13</v>
      </c>
      <c r="D861" s="2" t="s">
        <v>77</v>
      </c>
      <c r="E861" s="3" t="s">
        <v>444</v>
      </c>
      <c r="F861" s="2" t="s">
        <v>96</v>
      </c>
      <c r="G861" s="3" t="s">
        <v>17</v>
      </c>
      <c r="H861" s="2" t="s">
        <v>18</v>
      </c>
      <c r="I861" s="3" t="s">
        <v>19</v>
      </c>
      <c r="J861" s="3">
        <v>1960</v>
      </c>
      <c r="K861" s="3">
        <v>62</v>
      </c>
      <c r="L861" s="3">
        <v>3</v>
      </c>
      <c r="M861" s="4">
        <f t="shared" si="112"/>
        <v>3.1632653061224487E-2</v>
      </c>
      <c r="N861" s="4">
        <f t="shared" si="113"/>
        <v>4.8387096774193547E-2</v>
      </c>
      <c r="O861">
        <v>628</v>
      </c>
      <c r="P861" s="5">
        <v>1</v>
      </c>
      <c r="Q861" s="7">
        <v>1</v>
      </c>
      <c r="R861" t="str">
        <f t="shared" si="119"/>
        <v>код для проверки</v>
      </c>
      <c r="S861" t="str">
        <f t="shared" si="114"/>
        <v>Низшая четверть</v>
      </c>
      <c r="T861" t="str">
        <f t="shared" si="115"/>
        <v>Больше половины</v>
      </c>
      <c r="U861" t="str">
        <f t="shared" si="116"/>
        <v>код для проверки</v>
      </c>
      <c r="V861" t="str">
        <f t="shared" si="117"/>
        <v>Низшая четверть</v>
      </c>
      <c r="W861" t="str">
        <f t="shared" si="118"/>
        <v>Больше половины</v>
      </c>
      <c r="X861">
        <v>8</v>
      </c>
    </row>
    <row r="862" spans="1:24" x14ac:dyDescent="0.35">
      <c r="A862" s="1" t="s">
        <v>1625</v>
      </c>
      <c r="B862" s="2" t="s">
        <v>1626</v>
      </c>
      <c r="C862" s="3" t="s">
        <v>13</v>
      </c>
      <c r="D862" s="2" t="s">
        <v>77</v>
      </c>
      <c r="E862" s="3" t="s">
        <v>89</v>
      </c>
      <c r="F862" s="2" t="s">
        <v>34</v>
      </c>
      <c r="G862" s="3" t="s">
        <v>17</v>
      </c>
      <c r="H862" s="2" t="s">
        <v>18</v>
      </c>
      <c r="I862" s="3" t="s">
        <v>19</v>
      </c>
      <c r="J862" s="3">
        <v>1957</v>
      </c>
      <c r="K862" s="3">
        <v>78</v>
      </c>
      <c r="L862" s="3">
        <v>2</v>
      </c>
      <c r="M862" s="4">
        <f t="shared" si="112"/>
        <v>3.9856923863055699E-2</v>
      </c>
      <c r="N862" s="4">
        <f t="shared" si="113"/>
        <v>2.564102564102564E-2</v>
      </c>
      <c r="O862">
        <v>982</v>
      </c>
      <c r="P862" s="5">
        <v>0.55555555555555558</v>
      </c>
      <c r="Q862" s="7">
        <v>1</v>
      </c>
      <c r="R862" t="str">
        <f t="shared" si="119"/>
        <v>код для проверки</v>
      </c>
      <c r="S862" t="str">
        <f t="shared" si="114"/>
        <v>Низшая четверть</v>
      </c>
      <c r="T862" t="str">
        <f t="shared" si="115"/>
        <v>Больше половины</v>
      </c>
      <c r="U862" t="str">
        <f t="shared" si="116"/>
        <v>код для проверки</v>
      </c>
      <c r="V862" t="str">
        <f t="shared" si="117"/>
        <v>Низшая четверть</v>
      </c>
      <c r="W862" t="str">
        <f t="shared" si="118"/>
        <v>Больше половины</v>
      </c>
      <c r="X862">
        <v>14</v>
      </c>
    </row>
    <row r="863" spans="1:24" x14ac:dyDescent="0.35">
      <c r="A863" s="1" t="s">
        <v>240</v>
      </c>
      <c r="B863" s="2" t="s">
        <v>241</v>
      </c>
      <c r="C863" s="3" t="s">
        <v>55</v>
      </c>
      <c r="D863" s="2" t="s">
        <v>56</v>
      </c>
      <c r="E863" s="3" t="s">
        <v>60</v>
      </c>
      <c r="F863" s="2" t="s">
        <v>61</v>
      </c>
      <c r="G863" s="3" t="s">
        <v>17</v>
      </c>
      <c r="H863" s="2" t="s">
        <v>18</v>
      </c>
      <c r="I863" s="3" t="s">
        <v>19</v>
      </c>
      <c r="J863" s="3">
        <v>1952</v>
      </c>
      <c r="K863" s="3">
        <v>457</v>
      </c>
      <c r="L863" s="3">
        <v>2</v>
      </c>
      <c r="M863" s="4">
        <f t="shared" si="112"/>
        <v>0.2341188524590164</v>
      </c>
      <c r="N863" s="4">
        <f t="shared" si="113"/>
        <v>4.3763676148796497E-3</v>
      </c>
      <c r="O863">
        <v>311</v>
      </c>
      <c r="P863" s="5">
        <v>1</v>
      </c>
      <c r="Q863" s="7">
        <v>1</v>
      </c>
      <c r="R863" t="str">
        <f t="shared" si="119"/>
        <v>код для проверки</v>
      </c>
      <c r="S863" t="str">
        <f t="shared" si="114"/>
        <v>Больше половины</v>
      </c>
      <c r="T863" t="str">
        <f t="shared" si="115"/>
        <v>Низшая четверть</v>
      </c>
      <c r="U863" t="str">
        <f t="shared" si="116"/>
        <v>код для проверки</v>
      </c>
      <c r="V863" t="str">
        <f t="shared" si="117"/>
        <v>Больше половины</v>
      </c>
      <c r="W863" t="str">
        <f t="shared" si="118"/>
        <v>Низшая четверть</v>
      </c>
      <c r="X863">
        <v>27</v>
      </c>
    </row>
    <row r="864" spans="1:24" x14ac:dyDescent="0.35">
      <c r="A864" s="1" t="s">
        <v>1430</v>
      </c>
      <c r="B864" s="2" t="s">
        <v>1431</v>
      </c>
      <c r="C864" s="3" t="s">
        <v>13</v>
      </c>
      <c r="D864" s="2" t="s">
        <v>164</v>
      </c>
      <c r="E864" s="3" t="s">
        <v>1210</v>
      </c>
      <c r="F864" s="2" t="s">
        <v>123</v>
      </c>
      <c r="G864" s="3" t="s">
        <v>35</v>
      </c>
      <c r="H864" s="2" t="s">
        <v>18</v>
      </c>
      <c r="I864" s="3" t="s">
        <v>19</v>
      </c>
      <c r="J864" s="3">
        <v>1950</v>
      </c>
      <c r="K864" s="3">
        <v>37</v>
      </c>
      <c r="L864" s="3">
        <v>0</v>
      </c>
      <c r="M864" s="4">
        <f t="shared" si="112"/>
        <v>1.8974358974358976E-2</v>
      </c>
      <c r="N864" s="4">
        <f t="shared" si="113"/>
        <v>0</v>
      </c>
      <c r="O864">
        <v>180</v>
      </c>
      <c r="P864" s="5">
        <v>0.8</v>
      </c>
      <c r="Q864" s="7">
        <v>1</v>
      </c>
      <c r="R864" t="str">
        <f t="shared" si="119"/>
        <v>код для проверки</v>
      </c>
      <c r="S864" t="str">
        <f t="shared" si="114"/>
        <v>Низшая четверть</v>
      </c>
      <c r="T864" t="str">
        <f t="shared" si="115"/>
        <v>Низшая четверть</v>
      </c>
      <c r="U864" t="str">
        <f t="shared" si="116"/>
        <v>код для проверки</v>
      </c>
      <c r="V864" t="str">
        <f t="shared" si="117"/>
        <v>Низшая четверть</v>
      </c>
      <c r="W864" t="str">
        <f t="shared" si="118"/>
        <v>Низшая четверть</v>
      </c>
      <c r="X864">
        <v>21</v>
      </c>
    </row>
    <row r="865" spans="1:24" x14ac:dyDescent="0.35">
      <c r="A865" s="1" t="s">
        <v>910</v>
      </c>
      <c r="B865" s="2" t="s">
        <v>911</v>
      </c>
      <c r="C865" s="3" t="s">
        <v>13</v>
      </c>
      <c r="D865" s="2" t="s">
        <v>567</v>
      </c>
      <c r="E865" s="3" t="s">
        <v>568</v>
      </c>
      <c r="F865" s="2" t="s">
        <v>34</v>
      </c>
      <c r="G865" s="3" t="s">
        <v>35</v>
      </c>
      <c r="H865" s="2" t="s">
        <v>18</v>
      </c>
      <c r="I865" s="3" t="s">
        <v>19</v>
      </c>
      <c r="J865" s="3">
        <v>1950</v>
      </c>
      <c r="K865" s="3">
        <v>229</v>
      </c>
      <c r="L865" s="3">
        <v>6</v>
      </c>
      <c r="M865" s="4">
        <f t="shared" si="112"/>
        <v>0.11743589743589744</v>
      </c>
      <c r="N865" s="4">
        <f t="shared" si="113"/>
        <v>2.6200873362445413E-2</v>
      </c>
      <c r="O865">
        <v>218</v>
      </c>
      <c r="P865" s="5">
        <v>1</v>
      </c>
      <c r="Q865" s="7">
        <v>1</v>
      </c>
      <c r="R865" t="str">
        <f t="shared" si="119"/>
        <v>нормальный код</v>
      </c>
      <c r="S865" t="str">
        <f t="shared" si="114"/>
        <v>Больше половины</v>
      </c>
      <c r="T865" t="str">
        <f t="shared" si="115"/>
        <v>Больше половины</v>
      </c>
      <c r="U865" t="str">
        <f t="shared" si="116"/>
        <v>нормальный код</v>
      </c>
      <c r="V865" t="str">
        <f t="shared" si="117"/>
        <v>Больше половины</v>
      </c>
      <c r="W865" t="str">
        <f t="shared" si="118"/>
        <v>Больше половины</v>
      </c>
      <c r="X865">
        <v>24</v>
      </c>
    </row>
    <row r="866" spans="1:24" x14ac:dyDescent="0.35">
      <c r="A866" s="1" t="s">
        <v>661</v>
      </c>
      <c r="B866" s="2" t="s">
        <v>662</v>
      </c>
      <c r="C866" s="3" t="s">
        <v>13</v>
      </c>
      <c r="D866" s="2" t="s">
        <v>77</v>
      </c>
      <c r="E866" s="3" t="s">
        <v>89</v>
      </c>
      <c r="F866" s="2" t="s">
        <v>34</v>
      </c>
      <c r="G866" s="3" t="s">
        <v>17</v>
      </c>
      <c r="H866" s="2" t="s">
        <v>18</v>
      </c>
      <c r="I866" s="3" t="s">
        <v>19</v>
      </c>
      <c r="J866" s="3">
        <v>1932</v>
      </c>
      <c r="K866" s="3">
        <v>841</v>
      </c>
      <c r="L866" s="3">
        <v>2</v>
      </c>
      <c r="M866" s="4">
        <f t="shared" si="112"/>
        <v>0.43530020703933747</v>
      </c>
      <c r="N866" s="4">
        <f t="shared" si="113"/>
        <v>2.3781212841854932E-3</v>
      </c>
      <c r="O866">
        <v>211</v>
      </c>
      <c r="P866" s="5">
        <v>1</v>
      </c>
      <c r="Q866" s="7">
        <v>1</v>
      </c>
      <c r="R866" t="str">
        <f t="shared" si="119"/>
        <v>код для проверки</v>
      </c>
      <c r="S866" t="str">
        <f t="shared" si="114"/>
        <v>Больше половины</v>
      </c>
      <c r="T866" t="str">
        <f t="shared" si="115"/>
        <v>Низшая четверть</v>
      </c>
      <c r="U866" t="str">
        <f t="shared" si="116"/>
        <v>код для проверки</v>
      </c>
      <c r="V866" t="str">
        <f t="shared" si="117"/>
        <v>Больше половины</v>
      </c>
      <c r="W866" t="str">
        <f t="shared" si="118"/>
        <v>Низшая четверть</v>
      </c>
      <c r="X866">
        <v>14</v>
      </c>
    </row>
    <row r="867" spans="1:24" x14ac:dyDescent="0.35">
      <c r="A867" s="1" t="s">
        <v>2536</v>
      </c>
      <c r="B867" s="2" t="s">
        <v>2537</v>
      </c>
      <c r="C867" s="3" t="s">
        <v>13</v>
      </c>
      <c r="D867" s="2" t="s">
        <v>155</v>
      </c>
      <c r="E867" s="3" t="s">
        <v>156</v>
      </c>
      <c r="F867" s="2" t="s">
        <v>34</v>
      </c>
      <c r="G867" s="3" t="s">
        <v>17</v>
      </c>
      <c r="H867" s="2" t="s">
        <v>18</v>
      </c>
      <c r="I867" s="3" t="s">
        <v>19</v>
      </c>
      <c r="J867" s="3">
        <v>1932</v>
      </c>
      <c r="K867" s="3">
        <v>35</v>
      </c>
      <c r="L867" s="3">
        <v>4</v>
      </c>
      <c r="M867" s="4">
        <f t="shared" si="112"/>
        <v>1.8115942028985508E-2</v>
      </c>
      <c r="N867" s="4">
        <f t="shared" si="113"/>
        <v>0.11428571428571428</v>
      </c>
      <c r="O867">
        <v>671</v>
      </c>
      <c r="P867" s="5">
        <v>1</v>
      </c>
      <c r="Q867" s="7">
        <v>1</v>
      </c>
      <c r="R867" t="str">
        <f t="shared" si="119"/>
        <v>код для проверки</v>
      </c>
      <c r="S867" t="str">
        <f t="shared" si="114"/>
        <v>Низшая четверть</v>
      </c>
      <c r="T867" t="str">
        <f t="shared" si="115"/>
        <v>Больше половины</v>
      </c>
      <c r="U867" t="str">
        <f t="shared" si="116"/>
        <v>код для проверки</v>
      </c>
      <c r="V867" t="str">
        <f t="shared" si="117"/>
        <v>Низшая четверть</v>
      </c>
      <c r="W867" t="str">
        <f t="shared" si="118"/>
        <v>Больше половины</v>
      </c>
      <c r="X867">
        <v>15</v>
      </c>
    </row>
    <row r="868" spans="1:24" x14ac:dyDescent="0.35">
      <c r="A868" s="1" t="s">
        <v>1529</v>
      </c>
      <c r="B868" s="2" t="s">
        <v>1530</v>
      </c>
      <c r="C868" s="3" t="s">
        <v>13</v>
      </c>
      <c r="D868" s="2" t="s">
        <v>69</v>
      </c>
      <c r="E868" s="3" t="s">
        <v>1092</v>
      </c>
      <c r="F868" s="2" t="s">
        <v>34</v>
      </c>
      <c r="G868" s="3" t="s">
        <v>72</v>
      </c>
      <c r="H868" s="2" t="s">
        <v>18</v>
      </c>
      <c r="I868" s="3" t="s">
        <v>19</v>
      </c>
      <c r="J868" s="3">
        <v>1931</v>
      </c>
      <c r="K868" s="3">
        <v>181</v>
      </c>
      <c r="L868" s="3">
        <v>1</v>
      </c>
      <c r="M868" s="4">
        <f t="shared" si="112"/>
        <v>9.3733816675297774E-2</v>
      </c>
      <c r="N868" s="4">
        <f t="shared" si="113"/>
        <v>5.5248618784530384E-3</v>
      </c>
      <c r="O868">
        <v>261</v>
      </c>
      <c r="P868" s="5">
        <v>1</v>
      </c>
      <c r="Q868" s="7">
        <v>1</v>
      </c>
      <c r="R868" t="str">
        <f t="shared" si="119"/>
        <v>код для проверки</v>
      </c>
      <c r="S868" t="str">
        <f t="shared" si="114"/>
        <v>Вторая четверть</v>
      </c>
      <c r="T868" t="str">
        <f t="shared" si="115"/>
        <v>Низшая четверть</v>
      </c>
      <c r="U868" t="str">
        <f t="shared" si="116"/>
        <v>код для проверки</v>
      </c>
      <c r="V868" t="str">
        <f t="shared" si="117"/>
        <v>Больше половины</v>
      </c>
      <c r="W868" t="str">
        <f t="shared" si="118"/>
        <v>Низшая четверть</v>
      </c>
      <c r="X868">
        <v>16</v>
      </c>
    </row>
    <row r="869" spans="1:24" x14ac:dyDescent="0.35">
      <c r="A869" s="1" t="s">
        <v>1475</v>
      </c>
      <c r="B869" s="2" t="s">
        <v>1476</v>
      </c>
      <c r="C869" s="3" t="s">
        <v>13</v>
      </c>
      <c r="D869" s="2" t="s">
        <v>77</v>
      </c>
      <c r="E869" s="3" t="s">
        <v>89</v>
      </c>
      <c r="F869" s="2" t="s">
        <v>34</v>
      </c>
      <c r="G869" s="3" t="s">
        <v>17</v>
      </c>
      <c r="H869" s="2" t="s">
        <v>18</v>
      </c>
      <c r="I869" s="3" t="s">
        <v>19</v>
      </c>
      <c r="J869" s="3">
        <v>1923</v>
      </c>
      <c r="K869" s="3">
        <v>457</v>
      </c>
      <c r="L869" s="3">
        <v>1</v>
      </c>
      <c r="M869" s="4">
        <f t="shared" si="112"/>
        <v>0.23764950598023921</v>
      </c>
      <c r="N869" s="4">
        <f t="shared" si="113"/>
        <v>2.1881838074398249E-3</v>
      </c>
      <c r="O869">
        <v>457</v>
      </c>
      <c r="P869" s="5">
        <v>1</v>
      </c>
      <c r="Q869" s="7">
        <v>1</v>
      </c>
      <c r="R869" t="str">
        <f t="shared" si="119"/>
        <v>код для проверки</v>
      </c>
      <c r="S869" t="str">
        <f t="shared" si="114"/>
        <v>Больше половины</v>
      </c>
      <c r="T869" t="str">
        <f t="shared" si="115"/>
        <v>Низшая четверть</v>
      </c>
      <c r="U869" t="str">
        <f t="shared" si="116"/>
        <v>код для проверки</v>
      </c>
      <c r="V869" t="str">
        <f t="shared" si="117"/>
        <v>Больше половины</v>
      </c>
      <c r="W869" t="str">
        <f t="shared" si="118"/>
        <v>Низшая четверть</v>
      </c>
      <c r="X869">
        <v>9</v>
      </c>
    </row>
    <row r="870" spans="1:24" x14ac:dyDescent="0.35">
      <c r="A870" s="1" t="s">
        <v>2538</v>
      </c>
      <c r="B870" s="2" t="s">
        <v>2539</v>
      </c>
      <c r="C870" s="3" t="s">
        <v>55</v>
      </c>
      <c r="D870" s="2" t="s">
        <v>972</v>
      </c>
      <c r="E870" s="3" t="s">
        <v>973</v>
      </c>
      <c r="F870" s="2" t="s">
        <v>34</v>
      </c>
      <c r="G870" s="3" t="s">
        <v>17</v>
      </c>
      <c r="H870" s="2" t="s">
        <v>18</v>
      </c>
      <c r="I870" s="3" t="s">
        <v>19</v>
      </c>
      <c r="J870" s="3">
        <v>1921</v>
      </c>
      <c r="K870" s="3">
        <v>57</v>
      </c>
      <c r="L870" s="3">
        <v>4</v>
      </c>
      <c r="M870" s="4">
        <f t="shared" si="112"/>
        <v>2.9672045809474232E-2</v>
      </c>
      <c r="N870" s="4">
        <f t="shared" si="113"/>
        <v>7.0175438596491224E-2</v>
      </c>
      <c r="O870">
        <v>116</v>
      </c>
      <c r="P870" s="5">
        <v>0.2857142857142857</v>
      </c>
      <c r="Q870" s="7">
        <v>1</v>
      </c>
      <c r="R870" t="str">
        <f t="shared" si="119"/>
        <v>код для проверки</v>
      </c>
      <c r="S870" t="str">
        <f t="shared" si="114"/>
        <v>Низшая четверть</v>
      </c>
      <c r="T870" t="str">
        <f t="shared" si="115"/>
        <v>Больше половины</v>
      </c>
      <c r="U870" t="str">
        <f t="shared" si="116"/>
        <v>код для проверки</v>
      </c>
      <c r="V870" t="str">
        <f t="shared" si="117"/>
        <v>Низшая четверть</v>
      </c>
      <c r="W870" t="str">
        <f t="shared" si="118"/>
        <v>Больше половины</v>
      </c>
      <c r="X870">
        <v>12</v>
      </c>
    </row>
    <row r="871" spans="1:24" x14ac:dyDescent="0.35">
      <c r="A871" s="1" t="s">
        <v>2473</v>
      </c>
      <c r="B871" s="2" t="s">
        <v>2474</v>
      </c>
      <c r="C871" s="3" t="s">
        <v>13</v>
      </c>
      <c r="D871" s="2" t="s">
        <v>155</v>
      </c>
      <c r="E871" s="3" t="s">
        <v>156</v>
      </c>
      <c r="F871" s="2" t="s">
        <v>34</v>
      </c>
      <c r="G871" s="3" t="s">
        <v>35</v>
      </c>
      <c r="H871" s="2" t="s">
        <v>18</v>
      </c>
      <c r="I871" s="3" t="s">
        <v>19</v>
      </c>
      <c r="J871" s="3">
        <v>1920</v>
      </c>
      <c r="K871" s="3">
        <v>867</v>
      </c>
      <c r="L871" s="3">
        <v>0</v>
      </c>
      <c r="M871" s="4">
        <f t="shared" si="112"/>
        <v>0.45156249999999998</v>
      </c>
      <c r="N871" s="4">
        <f t="shared" si="113"/>
        <v>0</v>
      </c>
      <c r="O871">
        <v>620</v>
      </c>
      <c r="P871" s="5">
        <v>1</v>
      </c>
      <c r="Q871" s="7">
        <v>1</v>
      </c>
      <c r="R871" t="str">
        <f t="shared" si="119"/>
        <v>код для проверки</v>
      </c>
      <c r="S871" t="str">
        <f t="shared" si="114"/>
        <v>Больше половины</v>
      </c>
      <c r="T871" t="str">
        <f t="shared" si="115"/>
        <v>Низшая четверть</v>
      </c>
      <c r="U871" t="str">
        <f t="shared" si="116"/>
        <v>код для проверки</v>
      </c>
      <c r="V871" t="str">
        <f t="shared" si="117"/>
        <v>Больше половины</v>
      </c>
      <c r="W871" t="str">
        <f t="shared" si="118"/>
        <v>Низшая четверть</v>
      </c>
      <c r="X871">
        <v>15</v>
      </c>
    </row>
    <row r="872" spans="1:24" x14ac:dyDescent="0.35">
      <c r="A872" s="1" t="s">
        <v>843</v>
      </c>
      <c r="B872" s="2" t="s">
        <v>844</v>
      </c>
      <c r="C872" s="3" t="s">
        <v>13</v>
      </c>
      <c r="D872" s="2" t="s">
        <v>77</v>
      </c>
      <c r="E872" s="3" t="s">
        <v>89</v>
      </c>
      <c r="F872" s="2" t="s">
        <v>34</v>
      </c>
      <c r="G872" s="3" t="s">
        <v>17</v>
      </c>
      <c r="H872" s="2" t="s">
        <v>18</v>
      </c>
      <c r="I872" s="3" t="s">
        <v>19</v>
      </c>
      <c r="J872" s="3">
        <v>1919</v>
      </c>
      <c r="K872" s="3">
        <v>646</v>
      </c>
      <c r="L872" s="3">
        <v>0</v>
      </c>
      <c r="M872" s="4">
        <f t="shared" si="112"/>
        <v>0.33663366336633666</v>
      </c>
      <c r="N872" s="4">
        <f t="shared" si="113"/>
        <v>0</v>
      </c>
      <c r="O872">
        <v>178</v>
      </c>
      <c r="P872" s="5">
        <v>1</v>
      </c>
      <c r="Q872" s="7">
        <v>1</v>
      </c>
      <c r="R872" t="str">
        <f t="shared" si="119"/>
        <v>код для проверки</v>
      </c>
      <c r="S872" t="str">
        <f t="shared" si="114"/>
        <v>Больше половины</v>
      </c>
      <c r="T872" t="str">
        <f t="shared" si="115"/>
        <v>Низшая четверть</v>
      </c>
      <c r="U872" t="str">
        <f t="shared" si="116"/>
        <v>код для проверки</v>
      </c>
      <c r="V872" t="str">
        <f t="shared" si="117"/>
        <v>Больше половины</v>
      </c>
      <c r="W872" t="str">
        <f t="shared" si="118"/>
        <v>Низшая четверть</v>
      </c>
      <c r="X872">
        <v>6</v>
      </c>
    </row>
    <row r="873" spans="1:24" x14ac:dyDescent="0.35">
      <c r="A873" s="1" t="s">
        <v>1065</v>
      </c>
      <c r="B873" s="2" t="s">
        <v>1066</v>
      </c>
      <c r="C873" s="3" t="s">
        <v>13</v>
      </c>
      <c r="D873" s="2" t="s">
        <v>630</v>
      </c>
      <c r="E873" s="3" t="s">
        <v>631</v>
      </c>
      <c r="F873" s="2" t="s">
        <v>61</v>
      </c>
      <c r="G873" s="3" t="s">
        <v>17</v>
      </c>
      <c r="H873" s="2" t="s">
        <v>97</v>
      </c>
      <c r="I873" s="3" t="s">
        <v>19</v>
      </c>
      <c r="J873" s="3">
        <v>1907</v>
      </c>
      <c r="K873" s="3">
        <v>276</v>
      </c>
      <c r="L873" s="3">
        <v>10</v>
      </c>
      <c r="M873" s="4">
        <f t="shared" si="112"/>
        <v>0.14472994231777661</v>
      </c>
      <c r="N873" s="4">
        <f t="shared" si="113"/>
        <v>3.6231884057971016E-2</v>
      </c>
      <c r="O873">
        <v>0</v>
      </c>
      <c r="P873" s="5">
        <v>0</v>
      </c>
      <c r="Q873" s="7">
        <v>0</v>
      </c>
      <c r="R873" t="s">
        <v>2350</v>
      </c>
      <c r="S873" t="str">
        <f t="shared" si="114"/>
        <v>Больше половины</v>
      </c>
      <c r="T873" t="str">
        <f t="shared" si="115"/>
        <v>Больше половины</v>
      </c>
      <c r="U873" t="str">
        <f t="shared" si="116"/>
        <v>нормальный код</v>
      </c>
      <c r="V873" t="str">
        <f t="shared" si="117"/>
        <v>Больше половины</v>
      </c>
      <c r="W873" t="str">
        <f t="shared" si="118"/>
        <v>Больше половины</v>
      </c>
      <c r="X873">
        <v>7</v>
      </c>
    </row>
    <row r="874" spans="1:24" x14ac:dyDescent="0.35">
      <c r="A874" s="1" t="s">
        <v>1011</v>
      </c>
      <c r="B874" s="2" t="s">
        <v>1012</v>
      </c>
      <c r="C874" s="3" t="s">
        <v>13</v>
      </c>
      <c r="D874" s="2" t="s">
        <v>69</v>
      </c>
      <c r="E874" s="3" t="s">
        <v>371</v>
      </c>
      <c r="F874" s="2" t="s">
        <v>96</v>
      </c>
      <c r="G874" s="3" t="s">
        <v>72</v>
      </c>
      <c r="H874" s="2" t="s">
        <v>18</v>
      </c>
      <c r="I874" s="3" t="s">
        <v>19</v>
      </c>
      <c r="J874" s="3">
        <v>1905</v>
      </c>
      <c r="K874" s="3">
        <v>451</v>
      </c>
      <c r="L874" s="3">
        <v>3</v>
      </c>
      <c r="M874" s="4">
        <f t="shared" si="112"/>
        <v>0.23674540682414699</v>
      </c>
      <c r="N874" s="4">
        <f t="shared" si="113"/>
        <v>6.6518847006651885E-3</v>
      </c>
      <c r="O874">
        <v>892</v>
      </c>
      <c r="P874" s="5">
        <v>1</v>
      </c>
      <c r="Q874" s="7">
        <v>1</v>
      </c>
      <c r="R874" t="str">
        <f t="shared" ref="R874:R885" si="120">IF(OR(M874&lt;$S$1*0.5,N874&lt;$T$1*0.5),"код для проверки","нормальный код")</f>
        <v>код для проверки</v>
      </c>
      <c r="S874" t="str">
        <f t="shared" si="114"/>
        <v>Больше половины</v>
      </c>
      <c r="T874" t="str">
        <f t="shared" si="115"/>
        <v>Низшая четверть</v>
      </c>
      <c r="U874" t="str">
        <f t="shared" si="116"/>
        <v>код для проверки</v>
      </c>
      <c r="V874" t="str">
        <f t="shared" si="117"/>
        <v>Больше половины</v>
      </c>
      <c r="W874" t="str">
        <f t="shared" si="118"/>
        <v>Низшая четверть</v>
      </c>
      <c r="X874">
        <v>13</v>
      </c>
    </row>
    <row r="875" spans="1:24" x14ac:dyDescent="0.35">
      <c r="A875" s="1" t="s">
        <v>1067</v>
      </c>
      <c r="B875" s="2" t="s">
        <v>1068</v>
      </c>
      <c r="C875" s="3" t="s">
        <v>13</v>
      </c>
      <c r="D875" s="2" t="s">
        <v>77</v>
      </c>
      <c r="E875" s="3" t="s">
        <v>193</v>
      </c>
      <c r="F875" s="2" t="s">
        <v>34</v>
      </c>
      <c r="G875" s="3" t="s">
        <v>35</v>
      </c>
      <c r="H875" s="2" t="s">
        <v>18</v>
      </c>
      <c r="I875" s="3" t="s">
        <v>19</v>
      </c>
      <c r="J875" s="3">
        <v>1902</v>
      </c>
      <c r="K875" s="3">
        <v>259</v>
      </c>
      <c r="L875" s="3">
        <v>5</v>
      </c>
      <c r="M875" s="4">
        <f t="shared" si="112"/>
        <v>0.13617245005257625</v>
      </c>
      <c r="N875" s="4">
        <f t="shared" si="113"/>
        <v>1.9305019305019305E-2</v>
      </c>
      <c r="O875">
        <v>46</v>
      </c>
      <c r="P875" s="5">
        <v>1</v>
      </c>
      <c r="Q875" s="7">
        <v>1</v>
      </c>
      <c r="R875" t="str">
        <f t="shared" si="120"/>
        <v>нормальный код</v>
      </c>
      <c r="S875" t="str">
        <f t="shared" si="114"/>
        <v>Больше половины</v>
      </c>
      <c r="T875" t="str">
        <f t="shared" si="115"/>
        <v>Вторая четверть</v>
      </c>
      <c r="U875" t="str">
        <f t="shared" si="116"/>
        <v>нормальный код</v>
      </c>
      <c r="V875" t="str">
        <f t="shared" si="117"/>
        <v>Больше половины</v>
      </c>
      <c r="W875" t="str">
        <f t="shared" si="118"/>
        <v>Больше половины</v>
      </c>
      <c r="X875">
        <v>20</v>
      </c>
    </row>
    <row r="876" spans="1:24" x14ac:dyDescent="0.35">
      <c r="A876" s="1" t="s">
        <v>2283</v>
      </c>
      <c r="B876" s="2" t="s">
        <v>2284</v>
      </c>
      <c r="C876" s="3" t="s">
        <v>55</v>
      </c>
      <c r="D876" s="2" t="s">
        <v>1121</v>
      </c>
      <c r="E876" s="3" t="s">
        <v>1122</v>
      </c>
      <c r="F876" s="2" t="s">
        <v>34</v>
      </c>
      <c r="G876" s="3" t="s">
        <v>17</v>
      </c>
      <c r="H876" s="2" t="s">
        <v>18</v>
      </c>
      <c r="I876" s="3" t="s">
        <v>19</v>
      </c>
      <c r="J876" s="3">
        <v>1902</v>
      </c>
      <c r="K876" s="3">
        <v>106</v>
      </c>
      <c r="L876" s="3">
        <v>1</v>
      </c>
      <c r="M876" s="4">
        <f t="shared" si="112"/>
        <v>5.573080967402734E-2</v>
      </c>
      <c r="N876" s="4">
        <f t="shared" si="113"/>
        <v>9.433962264150943E-3</v>
      </c>
      <c r="O876">
        <v>414</v>
      </c>
      <c r="P876" s="5">
        <v>1</v>
      </c>
      <c r="Q876" s="7">
        <v>1</v>
      </c>
      <c r="R876" t="str">
        <f t="shared" si="120"/>
        <v>код для проверки</v>
      </c>
      <c r="S876" t="str">
        <f t="shared" si="114"/>
        <v>Вторая четверть</v>
      </c>
      <c r="T876" t="str">
        <f t="shared" si="115"/>
        <v>Низшая четверть</v>
      </c>
      <c r="U876" t="str">
        <f t="shared" si="116"/>
        <v>нормальный код</v>
      </c>
      <c r="V876" t="str">
        <f t="shared" si="117"/>
        <v>Вторая четверть</v>
      </c>
      <c r="W876" t="str">
        <f t="shared" si="118"/>
        <v>Вторая четверть</v>
      </c>
      <c r="X876">
        <v>22</v>
      </c>
    </row>
    <row r="877" spans="1:24" x14ac:dyDescent="0.35">
      <c r="A877" s="1" t="s">
        <v>2540</v>
      </c>
      <c r="B877" s="2" t="s">
        <v>2541</v>
      </c>
      <c r="C877" s="3" t="s">
        <v>13</v>
      </c>
      <c r="D877" s="2" t="s">
        <v>155</v>
      </c>
      <c r="E877" s="3" t="s">
        <v>156</v>
      </c>
      <c r="F877" s="2" t="s">
        <v>34</v>
      </c>
      <c r="G877" s="3" t="s">
        <v>17</v>
      </c>
      <c r="H877" s="2" t="s">
        <v>18</v>
      </c>
      <c r="I877" s="3" t="s">
        <v>19</v>
      </c>
      <c r="J877" s="3">
        <v>1889</v>
      </c>
      <c r="K877" s="3">
        <v>59</v>
      </c>
      <c r="L877" s="3">
        <v>4</v>
      </c>
      <c r="M877" s="4">
        <f t="shared" si="112"/>
        <v>3.123345685547909E-2</v>
      </c>
      <c r="N877" s="4">
        <f t="shared" si="113"/>
        <v>6.7796610169491525E-2</v>
      </c>
      <c r="O877">
        <v>723</v>
      </c>
      <c r="P877" s="5">
        <v>1</v>
      </c>
      <c r="Q877" s="7">
        <v>1</v>
      </c>
      <c r="R877" t="str">
        <f t="shared" si="120"/>
        <v>код для проверки</v>
      </c>
      <c r="S877" t="str">
        <f t="shared" si="114"/>
        <v>Низшая четверть</v>
      </c>
      <c r="T877" t="str">
        <f t="shared" si="115"/>
        <v>Больше половины</v>
      </c>
      <c r="U877" t="str">
        <f t="shared" si="116"/>
        <v>код для проверки</v>
      </c>
      <c r="V877" t="str">
        <f t="shared" si="117"/>
        <v>Низшая четверть</v>
      </c>
      <c r="W877" t="str">
        <f t="shared" si="118"/>
        <v>Больше половины</v>
      </c>
      <c r="X877">
        <v>17</v>
      </c>
    </row>
    <row r="878" spans="1:24" x14ac:dyDescent="0.35">
      <c r="A878" s="1" t="s">
        <v>764</v>
      </c>
      <c r="B878" s="2" t="s">
        <v>765</v>
      </c>
      <c r="C878" s="3" t="s">
        <v>13</v>
      </c>
      <c r="D878" s="2" t="s">
        <v>77</v>
      </c>
      <c r="E878" s="3" t="s">
        <v>193</v>
      </c>
      <c r="F878" s="2" t="s">
        <v>34</v>
      </c>
      <c r="G878" s="3" t="s">
        <v>35</v>
      </c>
      <c r="H878" s="2" t="s">
        <v>18</v>
      </c>
      <c r="I878" s="3" t="s">
        <v>19</v>
      </c>
      <c r="J878" s="3">
        <v>1886</v>
      </c>
      <c r="K878" s="3">
        <v>399</v>
      </c>
      <c r="L878" s="3">
        <v>1</v>
      </c>
      <c r="M878" s="4">
        <f t="shared" si="112"/>
        <v>0.21155885471898198</v>
      </c>
      <c r="N878" s="4">
        <f t="shared" si="113"/>
        <v>2.5062656641604009E-3</v>
      </c>
      <c r="O878">
        <v>212</v>
      </c>
      <c r="P878" s="5">
        <v>1</v>
      </c>
      <c r="Q878" s="7">
        <v>1</v>
      </c>
      <c r="R878" t="str">
        <f t="shared" si="120"/>
        <v>код для проверки</v>
      </c>
      <c r="S878" t="str">
        <f t="shared" si="114"/>
        <v>Больше половины</v>
      </c>
      <c r="T878" t="str">
        <f t="shared" si="115"/>
        <v>Низшая четверть</v>
      </c>
      <c r="U878" t="str">
        <f t="shared" si="116"/>
        <v>код для проверки</v>
      </c>
      <c r="V878" t="str">
        <f t="shared" si="117"/>
        <v>Больше половины</v>
      </c>
      <c r="W878" t="str">
        <f t="shared" si="118"/>
        <v>Низшая четверть</v>
      </c>
      <c r="X878">
        <v>15</v>
      </c>
    </row>
    <row r="879" spans="1:24" x14ac:dyDescent="0.35">
      <c r="A879" s="1" t="s">
        <v>2271</v>
      </c>
      <c r="B879" s="2" t="s">
        <v>2272</v>
      </c>
      <c r="C879" s="3" t="s">
        <v>13</v>
      </c>
      <c r="D879" s="2" t="s">
        <v>69</v>
      </c>
      <c r="E879" s="3" t="s">
        <v>1511</v>
      </c>
      <c r="F879" s="2" t="s">
        <v>34</v>
      </c>
      <c r="G879" s="3" t="s">
        <v>72</v>
      </c>
      <c r="H879" s="2" t="s">
        <v>18</v>
      </c>
      <c r="I879" s="3" t="s">
        <v>19</v>
      </c>
      <c r="J879" s="3">
        <v>1869</v>
      </c>
      <c r="K879" s="3">
        <v>1382</v>
      </c>
      <c r="L879" s="3">
        <v>89</v>
      </c>
      <c r="M879" s="4">
        <f t="shared" si="112"/>
        <v>0.73943285179240237</v>
      </c>
      <c r="N879" s="4">
        <f t="shared" si="113"/>
        <v>6.4399421128798845E-2</v>
      </c>
      <c r="O879">
        <v>104</v>
      </c>
      <c r="P879" s="5">
        <v>1</v>
      </c>
      <c r="Q879" s="7">
        <v>1</v>
      </c>
      <c r="R879" t="str">
        <f t="shared" si="120"/>
        <v>нормальный код</v>
      </c>
      <c r="S879" t="str">
        <f t="shared" si="114"/>
        <v>Больше половины</v>
      </c>
      <c r="T879" t="str">
        <f t="shared" si="115"/>
        <v>Больше половины</v>
      </c>
      <c r="U879" t="str">
        <f t="shared" si="116"/>
        <v>нормальный код</v>
      </c>
      <c r="V879" t="str">
        <f t="shared" si="117"/>
        <v>Больше половины</v>
      </c>
      <c r="W879" t="str">
        <f t="shared" si="118"/>
        <v>Больше половины</v>
      </c>
      <c r="X879">
        <v>14</v>
      </c>
    </row>
    <row r="880" spans="1:24" x14ac:dyDescent="0.35">
      <c r="A880" s="1" t="s">
        <v>1678</v>
      </c>
      <c r="B880" s="2" t="s">
        <v>1679</v>
      </c>
      <c r="C880" s="3" t="s">
        <v>55</v>
      </c>
      <c r="D880" s="2" t="s">
        <v>56</v>
      </c>
      <c r="E880" s="3" t="s">
        <v>253</v>
      </c>
      <c r="F880" s="2" t="s">
        <v>34</v>
      </c>
      <c r="G880" s="3" t="s">
        <v>17</v>
      </c>
      <c r="H880" s="2" t="s">
        <v>18</v>
      </c>
      <c r="I880" s="3" t="s">
        <v>19</v>
      </c>
      <c r="J880" s="3">
        <v>1868</v>
      </c>
      <c r="K880" s="3">
        <v>304</v>
      </c>
      <c r="L880" s="3">
        <v>8</v>
      </c>
      <c r="M880" s="4">
        <f t="shared" si="112"/>
        <v>0.16274089935760172</v>
      </c>
      <c r="N880" s="4">
        <f t="shared" si="113"/>
        <v>2.6315789473684209E-2</v>
      </c>
      <c r="O880">
        <v>892</v>
      </c>
      <c r="P880" s="5">
        <v>1</v>
      </c>
      <c r="Q880" s="7">
        <v>1</v>
      </c>
      <c r="R880" t="str">
        <f t="shared" si="120"/>
        <v>нормальный код</v>
      </c>
      <c r="S880" t="str">
        <f t="shared" si="114"/>
        <v>Больше половины</v>
      </c>
      <c r="T880" t="str">
        <f t="shared" si="115"/>
        <v>Больше половины</v>
      </c>
      <c r="U880" t="str">
        <f t="shared" si="116"/>
        <v>нормальный код</v>
      </c>
      <c r="V880" t="str">
        <f t="shared" si="117"/>
        <v>Больше половины</v>
      </c>
      <c r="W880" t="str">
        <f t="shared" si="118"/>
        <v>Вторая четверть</v>
      </c>
      <c r="X880">
        <v>20</v>
      </c>
    </row>
    <row r="881" spans="1:24" x14ac:dyDescent="0.35">
      <c r="A881" s="1" t="s">
        <v>1256</v>
      </c>
      <c r="B881" s="2" t="s">
        <v>1257</v>
      </c>
      <c r="C881" s="3" t="s">
        <v>13</v>
      </c>
      <c r="D881" s="2" t="s">
        <v>630</v>
      </c>
      <c r="E881" s="3" t="s">
        <v>685</v>
      </c>
      <c r="F881" s="2" t="s">
        <v>61</v>
      </c>
      <c r="G881" s="3" t="s">
        <v>17</v>
      </c>
      <c r="H881" s="2" t="s">
        <v>97</v>
      </c>
      <c r="I881" s="3" t="s">
        <v>19</v>
      </c>
      <c r="J881" s="3">
        <v>1867</v>
      </c>
      <c r="K881" s="3">
        <v>353</v>
      </c>
      <c r="L881" s="3">
        <v>4</v>
      </c>
      <c r="M881" s="4">
        <f t="shared" si="112"/>
        <v>0.18907337975361543</v>
      </c>
      <c r="N881" s="4">
        <f t="shared" si="113"/>
        <v>1.1331444759206799E-2</v>
      </c>
      <c r="O881">
        <v>594</v>
      </c>
      <c r="P881" s="5">
        <v>1</v>
      </c>
      <c r="Q881" s="7">
        <v>1</v>
      </c>
      <c r="R881" t="str">
        <f t="shared" si="120"/>
        <v>нормальный код</v>
      </c>
      <c r="S881" t="str">
        <f t="shared" si="114"/>
        <v>Больше половины</v>
      </c>
      <c r="T881" t="str">
        <f t="shared" si="115"/>
        <v>Вторая четверть</v>
      </c>
      <c r="U881" t="str">
        <f t="shared" si="116"/>
        <v>нормальный код</v>
      </c>
      <c r="V881" t="str">
        <f t="shared" si="117"/>
        <v>Больше половины</v>
      </c>
      <c r="W881" t="str">
        <f t="shared" si="118"/>
        <v>Вторая четверть</v>
      </c>
      <c r="X881">
        <v>9</v>
      </c>
    </row>
    <row r="882" spans="1:24" x14ac:dyDescent="0.35">
      <c r="A882" s="1" t="s">
        <v>1543</v>
      </c>
      <c r="B882" s="2" t="s">
        <v>1544</v>
      </c>
      <c r="C882" s="3" t="s">
        <v>13</v>
      </c>
      <c r="D882" s="2" t="s">
        <v>104</v>
      </c>
      <c r="E882" s="3" t="s">
        <v>711</v>
      </c>
      <c r="F882" s="2" t="s">
        <v>96</v>
      </c>
      <c r="G882" s="3" t="s">
        <v>17</v>
      </c>
      <c r="H882" s="2" t="s">
        <v>18</v>
      </c>
      <c r="I882" s="3" t="s">
        <v>19</v>
      </c>
      <c r="J882" s="3">
        <v>1864</v>
      </c>
      <c r="K882" s="3">
        <v>149</v>
      </c>
      <c r="L882" s="3">
        <v>7</v>
      </c>
      <c r="M882" s="4">
        <f t="shared" si="112"/>
        <v>7.9935622317596572E-2</v>
      </c>
      <c r="N882" s="4">
        <f t="shared" si="113"/>
        <v>4.6979865771812082E-2</v>
      </c>
      <c r="O882">
        <v>296</v>
      </c>
      <c r="P882" s="5">
        <v>1</v>
      </c>
      <c r="Q882" s="7">
        <v>1</v>
      </c>
      <c r="R882" t="str">
        <f t="shared" si="120"/>
        <v>нормальный код</v>
      </c>
      <c r="S882" t="str">
        <f t="shared" si="114"/>
        <v>Вторая четверть</v>
      </c>
      <c r="T882" t="str">
        <f t="shared" si="115"/>
        <v>Больше половины</v>
      </c>
      <c r="U882" t="str">
        <f t="shared" si="116"/>
        <v>нормальный код</v>
      </c>
      <c r="V882" t="str">
        <f t="shared" si="117"/>
        <v>Больше половины</v>
      </c>
      <c r="W882" t="str">
        <f t="shared" si="118"/>
        <v>Больше половины</v>
      </c>
      <c r="X882">
        <v>26</v>
      </c>
    </row>
    <row r="883" spans="1:24" x14ac:dyDescent="0.35">
      <c r="A883" s="1" t="s">
        <v>1069</v>
      </c>
      <c r="B883" s="2" t="s">
        <v>1070</v>
      </c>
      <c r="C883" s="3" t="s">
        <v>13</v>
      </c>
      <c r="D883" s="2" t="s">
        <v>143</v>
      </c>
      <c r="E883" s="3" t="s">
        <v>1071</v>
      </c>
      <c r="F883" s="2" t="s">
        <v>34</v>
      </c>
      <c r="G883" s="3" t="s">
        <v>35</v>
      </c>
      <c r="H883" s="2" t="s">
        <v>18</v>
      </c>
      <c r="I883" s="3" t="s">
        <v>19</v>
      </c>
      <c r="J883" s="3">
        <v>1856</v>
      </c>
      <c r="K883" s="3">
        <v>52</v>
      </c>
      <c r="L883" s="3">
        <v>0</v>
      </c>
      <c r="M883" s="4">
        <f t="shared" si="112"/>
        <v>2.8017241379310345E-2</v>
      </c>
      <c r="N883" s="4">
        <f t="shared" si="113"/>
        <v>0</v>
      </c>
      <c r="O883">
        <v>217</v>
      </c>
      <c r="P883" s="5">
        <v>1</v>
      </c>
      <c r="Q883" s="7">
        <v>1</v>
      </c>
      <c r="R883" t="str">
        <f t="shared" si="120"/>
        <v>код для проверки</v>
      </c>
      <c r="S883" t="str">
        <f t="shared" si="114"/>
        <v>Низшая четверть</v>
      </c>
      <c r="T883" t="str">
        <f t="shared" si="115"/>
        <v>Низшая четверть</v>
      </c>
      <c r="U883" t="str">
        <f t="shared" si="116"/>
        <v>нормальный код</v>
      </c>
      <c r="V883" t="str">
        <f t="shared" si="117"/>
        <v>Больше половины</v>
      </c>
      <c r="W883" t="str">
        <f t="shared" si="118"/>
        <v>Больше половины</v>
      </c>
      <c r="X883">
        <v>8</v>
      </c>
    </row>
    <row r="884" spans="1:24" x14ac:dyDescent="0.35">
      <c r="A884" s="1" t="s">
        <v>1906</v>
      </c>
      <c r="B884" s="2" t="s">
        <v>1907</v>
      </c>
      <c r="C884" s="3" t="s">
        <v>55</v>
      </c>
      <c r="D884" s="2" t="s">
        <v>340</v>
      </c>
      <c r="E884" s="3" t="s">
        <v>341</v>
      </c>
      <c r="F884" s="2" t="s">
        <v>96</v>
      </c>
      <c r="G884" s="3" t="s">
        <v>17</v>
      </c>
      <c r="H884" s="2" t="s">
        <v>97</v>
      </c>
      <c r="I884" s="3" t="s">
        <v>19</v>
      </c>
      <c r="J884" s="3">
        <v>1854</v>
      </c>
      <c r="K884" s="3">
        <v>657</v>
      </c>
      <c r="L884" s="3">
        <v>2</v>
      </c>
      <c r="M884" s="4">
        <f t="shared" si="112"/>
        <v>0.35436893203883496</v>
      </c>
      <c r="N884" s="4">
        <f t="shared" si="113"/>
        <v>3.0441400304414001E-3</v>
      </c>
      <c r="O884">
        <v>409</v>
      </c>
      <c r="P884" s="5">
        <v>1</v>
      </c>
      <c r="Q884" s="7">
        <v>1</v>
      </c>
      <c r="R884" t="str">
        <f t="shared" si="120"/>
        <v>код для проверки</v>
      </c>
      <c r="S884" t="str">
        <f t="shared" si="114"/>
        <v>Больше половины</v>
      </c>
      <c r="T884" t="str">
        <f t="shared" si="115"/>
        <v>Низшая четверть</v>
      </c>
      <c r="U884" t="str">
        <f t="shared" si="116"/>
        <v>код для проверки</v>
      </c>
      <c r="V884" t="str">
        <f t="shared" si="117"/>
        <v>Больше половины</v>
      </c>
      <c r="W884" t="str">
        <f t="shared" si="118"/>
        <v>Низшая четверть</v>
      </c>
      <c r="X884">
        <v>16</v>
      </c>
    </row>
    <row r="885" spans="1:24" x14ac:dyDescent="0.35">
      <c r="A885" s="1" t="s">
        <v>1759</v>
      </c>
      <c r="B885" s="2" t="s">
        <v>1760</v>
      </c>
      <c r="C885" s="3" t="s">
        <v>55</v>
      </c>
      <c r="D885" s="2" t="s">
        <v>94</v>
      </c>
      <c r="E885" s="3" t="s">
        <v>95</v>
      </c>
      <c r="F885" s="2" t="s">
        <v>96</v>
      </c>
      <c r="G885" s="3" t="s">
        <v>17</v>
      </c>
      <c r="H885" s="2" t="s">
        <v>97</v>
      </c>
      <c r="I885" s="3" t="s">
        <v>19</v>
      </c>
      <c r="J885" s="3">
        <v>1806</v>
      </c>
      <c r="K885" s="3">
        <v>8753</v>
      </c>
      <c r="L885" s="3">
        <v>8</v>
      </c>
      <c r="M885" s="4">
        <f t="shared" si="112"/>
        <v>4.8466223698781841</v>
      </c>
      <c r="N885" s="4">
        <f t="shared" si="113"/>
        <v>9.1397235233634183E-4</v>
      </c>
      <c r="O885">
        <v>1713</v>
      </c>
      <c r="P885" s="5">
        <v>0.77777777777777779</v>
      </c>
      <c r="Q885" s="7">
        <v>1</v>
      </c>
      <c r="R885" t="str">
        <f t="shared" si="120"/>
        <v>код для проверки</v>
      </c>
      <c r="S885" t="str">
        <f t="shared" si="114"/>
        <v>Больше половины</v>
      </c>
      <c r="T885" t="str">
        <f t="shared" si="115"/>
        <v>Низшая четверть</v>
      </c>
      <c r="U885" t="str">
        <f t="shared" si="116"/>
        <v>код для проверки</v>
      </c>
      <c r="V885" t="str">
        <f t="shared" si="117"/>
        <v>Больше половины</v>
      </c>
      <c r="W885" t="str">
        <f t="shared" si="118"/>
        <v>Низшая четверть</v>
      </c>
      <c r="X885">
        <v>16</v>
      </c>
    </row>
    <row r="886" spans="1:24" x14ac:dyDescent="0.35">
      <c r="A886" s="1" t="s">
        <v>730</v>
      </c>
      <c r="B886" s="2" t="s">
        <v>731</v>
      </c>
      <c r="C886" s="3" t="s">
        <v>13</v>
      </c>
      <c r="D886" s="2" t="s">
        <v>630</v>
      </c>
      <c r="E886" s="3" t="s">
        <v>685</v>
      </c>
      <c r="F886" s="2" t="s">
        <v>61</v>
      </c>
      <c r="G886" s="3" t="s">
        <v>17</v>
      </c>
      <c r="H886" s="2" t="s">
        <v>97</v>
      </c>
      <c r="I886" s="3" t="s">
        <v>19</v>
      </c>
      <c r="J886" s="3">
        <v>1789</v>
      </c>
      <c r="K886" s="3">
        <v>175</v>
      </c>
      <c r="L886" s="3">
        <v>3</v>
      </c>
      <c r="M886" s="4">
        <f t="shared" si="112"/>
        <v>9.7820011179429844E-2</v>
      </c>
      <c r="N886" s="4">
        <f t="shared" si="113"/>
        <v>1.7142857142857144E-2</v>
      </c>
      <c r="O886">
        <v>0</v>
      </c>
      <c r="P886" s="5">
        <v>0</v>
      </c>
      <c r="Q886" s="7">
        <v>0</v>
      </c>
      <c r="R886" t="s">
        <v>2350</v>
      </c>
      <c r="S886" t="str">
        <f t="shared" si="114"/>
        <v>Больше половины</v>
      </c>
      <c r="T886" t="str">
        <f t="shared" si="115"/>
        <v>Вторая четверть</v>
      </c>
      <c r="U886" t="str">
        <f t="shared" si="116"/>
        <v>нормальный код</v>
      </c>
      <c r="V886" t="str">
        <f t="shared" si="117"/>
        <v>Вторая четверть</v>
      </c>
      <c r="W886" t="str">
        <f t="shared" si="118"/>
        <v>Вторая четверть</v>
      </c>
      <c r="X886">
        <v>8</v>
      </c>
    </row>
    <row r="887" spans="1:24" x14ac:dyDescent="0.35">
      <c r="A887" s="1" t="s">
        <v>1366</v>
      </c>
      <c r="B887" s="2" t="s">
        <v>1367</v>
      </c>
      <c r="C887" s="3" t="s">
        <v>13</v>
      </c>
      <c r="D887" s="2" t="s">
        <v>630</v>
      </c>
      <c r="E887" s="3" t="s">
        <v>631</v>
      </c>
      <c r="F887" s="2" t="s">
        <v>61</v>
      </c>
      <c r="G887" s="3" t="s">
        <v>17</v>
      </c>
      <c r="H887" s="2" t="s">
        <v>97</v>
      </c>
      <c r="I887" s="3" t="s">
        <v>19</v>
      </c>
      <c r="J887" s="3">
        <v>1782</v>
      </c>
      <c r="K887" s="3">
        <v>178</v>
      </c>
      <c r="L887" s="3">
        <v>1</v>
      </c>
      <c r="M887" s="4">
        <f t="shared" si="112"/>
        <v>9.9887766554433224E-2</v>
      </c>
      <c r="N887" s="4">
        <f t="shared" si="113"/>
        <v>5.6179775280898875E-3</v>
      </c>
      <c r="O887">
        <v>546</v>
      </c>
      <c r="P887" s="5">
        <v>1</v>
      </c>
      <c r="Q887" s="7">
        <v>1</v>
      </c>
      <c r="R887" t="str">
        <f t="shared" ref="R887:R889" si="121">IF(OR(M887&lt;$S$1*0.5,N887&lt;$T$1*0.5),"код для проверки","нормальный код")</f>
        <v>код для проверки</v>
      </c>
      <c r="S887" t="str">
        <f t="shared" si="114"/>
        <v>Больше половины</v>
      </c>
      <c r="T887" t="str">
        <f t="shared" si="115"/>
        <v>Низшая четверть</v>
      </c>
      <c r="U887" t="str">
        <f t="shared" si="116"/>
        <v>нормальный код</v>
      </c>
      <c r="V887" t="str">
        <f t="shared" si="117"/>
        <v>Больше половины</v>
      </c>
      <c r="W887" t="str">
        <f t="shared" si="118"/>
        <v>Вторая четверть</v>
      </c>
      <c r="X887">
        <v>7</v>
      </c>
    </row>
    <row r="888" spans="1:24" x14ac:dyDescent="0.35">
      <c r="A888" s="1" t="s">
        <v>1629</v>
      </c>
      <c r="B888" s="2" t="s">
        <v>1630</v>
      </c>
      <c r="C888" s="3" t="s">
        <v>13</v>
      </c>
      <c r="D888" s="2" t="s">
        <v>164</v>
      </c>
      <c r="E888" s="3" t="s">
        <v>1210</v>
      </c>
      <c r="F888" s="2" t="s">
        <v>123</v>
      </c>
      <c r="G888" s="3" t="s">
        <v>17</v>
      </c>
      <c r="H888" s="2" t="s">
        <v>18</v>
      </c>
      <c r="I888" s="3" t="s">
        <v>19</v>
      </c>
      <c r="J888" s="3">
        <v>1769</v>
      </c>
      <c r="K888" s="3">
        <v>57</v>
      </c>
      <c r="L888" s="3">
        <v>4</v>
      </c>
      <c r="M888" s="4">
        <f t="shared" si="112"/>
        <v>3.2221594120972301E-2</v>
      </c>
      <c r="N888" s="4">
        <f t="shared" si="113"/>
        <v>7.0175438596491224E-2</v>
      </c>
      <c r="O888">
        <v>216</v>
      </c>
      <c r="P888" s="5">
        <v>1</v>
      </c>
      <c r="Q888" s="7">
        <v>1</v>
      </c>
      <c r="R888" t="str">
        <f t="shared" si="121"/>
        <v>код для проверки</v>
      </c>
      <c r="S888" t="str">
        <f t="shared" si="114"/>
        <v>Низшая четверть</v>
      </c>
      <c r="T888" t="str">
        <f t="shared" si="115"/>
        <v>Больше половины</v>
      </c>
      <c r="U888" t="str">
        <f t="shared" si="116"/>
        <v>нормальный код</v>
      </c>
      <c r="V888" t="str">
        <f t="shared" si="117"/>
        <v>Вторая четверть</v>
      </c>
      <c r="W888" t="str">
        <f t="shared" si="118"/>
        <v>Больше половины</v>
      </c>
      <c r="X888">
        <v>9</v>
      </c>
    </row>
    <row r="889" spans="1:24" x14ac:dyDescent="0.35">
      <c r="A889" s="1" t="s">
        <v>2542</v>
      </c>
      <c r="B889" s="2" t="s">
        <v>2543</v>
      </c>
      <c r="C889" s="3" t="s">
        <v>13</v>
      </c>
      <c r="D889" s="2" t="s">
        <v>567</v>
      </c>
      <c r="E889" s="3" t="s">
        <v>842</v>
      </c>
      <c r="F889" s="2" t="s">
        <v>61</v>
      </c>
      <c r="G889" s="3" t="s">
        <v>35</v>
      </c>
      <c r="H889" s="2" t="s">
        <v>18</v>
      </c>
      <c r="I889" s="3" t="s">
        <v>19</v>
      </c>
      <c r="J889" s="3">
        <v>1756</v>
      </c>
      <c r="K889" s="3">
        <v>115</v>
      </c>
      <c r="L889" s="3">
        <v>2</v>
      </c>
      <c r="M889" s="4">
        <f t="shared" si="112"/>
        <v>6.5489749430523922E-2</v>
      </c>
      <c r="N889" s="4">
        <f t="shared" si="113"/>
        <v>1.7391304347826087E-2</v>
      </c>
      <c r="O889">
        <v>512</v>
      </c>
      <c r="P889" s="5">
        <v>1</v>
      </c>
      <c r="Q889" s="7">
        <v>1</v>
      </c>
      <c r="R889" t="str">
        <f t="shared" si="121"/>
        <v>нормальный код</v>
      </c>
      <c r="S889" t="str">
        <f t="shared" si="114"/>
        <v>Вторая четверть</v>
      </c>
      <c r="T889" t="str">
        <f t="shared" si="115"/>
        <v>Вторая четверть</v>
      </c>
      <c r="U889" t="str">
        <f t="shared" si="116"/>
        <v>нормальный код</v>
      </c>
      <c r="V889" t="str">
        <f t="shared" si="117"/>
        <v>Вторая четверть</v>
      </c>
      <c r="W889" t="str">
        <f t="shared" si="118"/>
        <v>Вторая четверть</v>
      </c>
      <c r="X889">
        <v>19</v>
      </c>
    </row>
    <row r="890" spans="1:24" x14ac:dyDescent="0.35">
      <c r="A890" s="1" t="s">
        <v>1754</v>
      </c>
      <c r="B890" s="2" t="s">
        <v>1755</v>
      </c>
      <c r="C890" s="3" t="s">
        <v>55</v>
      </c>
      <c r="D890" s="2" t="s">
        <v>1264</v>
      </c>
      <c r="E890" s="3" t="s">
        <v>1756</v>
      </c>
      <c r="F890" s="2" t="s">
        <v>34</v>
      </c>
      <c r="G890" s="3" t="s">
        <v>17</v>
      </c>
      <c r="H890" s="2" t="s">
        <v>18</v>
      </c>
      <c r="I890" s="3" t="s">
        <v>19</v>
      </c>
      <c r="J890" s="3">
        <v>1754</v>
      </c>
      <c r="K890" s="3">
        <v>139</v>
      </c>
      <c r="L890" s="3">
        <v>7</v>
      </c>
      <c r="M890" s="4">
        <f t="shared" si="112"/>
        <v>7.9247434435575831E-2</v>
      </c>
      <c r="N890" s="4">
        <f t="shared" si="113"/>
        <v>5.0359712230215826E-2</v>
      </c>
      <c r="O890">
        <v>0</v>
      </c>
      <c r="P890" s="5">
        <v>1</v>
      </c>
      <c r="Q890" s="7">
        <v>0</v>
      </c>
      <c r="R890" t="s">
        <v>2350</v>
      </c>
      <c r="S890" t="str">
        <f t="shared" si="114"/>
        <v>Вторая четверть</v>
      </c>
      <c r="T890" t="str">
        <f t="shared" si="115"/>
        <v>Больше половины</v>
      </c>
      <c r="U890" t="e">
        <f t="shared" si="116"/>
        <v>#DIV/0!</v>
      </c>
      <c r="V890" t="e">
        <f t="shared" si="117"/>
        <v>#DIV/0!</v>
      </c>
      <c r="W890" t="e">
        <f t="shared" si="118"/>
        <v>#DIV/0!</v>
      </c>
      <c r="X890">
        <v>8</v>
      </c>
    </row>
    <row r="891" spans="1:24" x14ac:dyDescent="0.35">
      <c r="A891" s="1" t="s">
        <v>1824</v>
      </c>
      <c r="B891" s="2" t="s">
        <v>1825</v>
      </c>
      <c r="C891" s="3" t="s">
        <v>13</v>
      </c>
      <c r="D891" s="2" t="s">
        <v>630</v>
      </c>
      <c r="E891" s="3" t="s">
        <v>685</v>
      </c>
      <c r="F891" s="2" t="s">
        <v>61</v>
      </c>
      <c r="G891" s="3" t="s">
        <v>17</v>
      </c>
      <c r="H891" s="2" t="s">
        <v>97</v>
      </c>
      <c r="I891" s="3" t="s">
        <v>19</v>
      </c>
      <c r="J891" s="3">
        <v>1751</v>
      </c>
      <c r="K891" s="3">
        <v>424</v>
      </c>
      <c r="L891" s="3">
        <v>5</v>
      </c>
      <c r="M891" s="4">
        <f t="shared" si="112"/>
        <v>0.24214734437464305</v>
      </c>
      <c r="N891" s="4">
        <f t="shared" si="113"/>
        <v>1.179245283018868E-2</v>
      </c>
      <c r="O891">
        <v>541</v>
      </c>
      <c r="P891" s="5">
        <v>1</v>
      </c>
      <c r="Q891" s="7">
        <v>1</v>
      </c>
      <c r="R891" t="str">
        <f>IF(OR(M891&lt;$S$1*0.5,N891&lt;$T$1*0.5),"код для проверки","нормальный код")</f>
        <v>нормальный код</v>
      </c>
      <c r="S891" t="str">
        <f t="shared" si="114"/>
        <v>Больше половины</v>
      </c>
      <c r="T891" t="str">
        <f t="shared" si="115"/>
        <v>Вторая четверть</v>
      </c>
      <c r="U891" t="str">
        <f t="shared" si="116"/>
        <v>нормальный код</v>
      </c>
      <c r="V891" t="str">
        <f t="shared" si="117"/>
        <v>Больше половины</v>
      </c>
      <c r="W891" t="str">
        <f t="shared" si="118"/>
        <v>Вторая четверть</v>
      </c>
      <c r="X891">
        <v>8</v>
      </c>
    </row>
    <row r="892" spans="1:24" x14ac:dyDescent="0.35">
      <c r="A892" s="1" t="s">
        <v>1844</v>
      </c>
      <c r="B892" s="2" t="s">
        <v>1845</v>
      </c>
      <c r="C892" s="3" t="s">
        <v>13</v>
      </c>
      <c r="D892" s="2" t="s">
        <v>155</v>
      </c>
      <c r="E892" s="3" t="s">
        <v>244</v>
      </c>
      <c r="F892" s="2" t="s">
        <v>34</v>
      </c>
      <c r="G892" s="3" t="s">
        <v>35</v>
      </c>
      <c r="H892" s="2" t="s">
        <v>18</v>
      </c>
      <c r="I892" s="3" t="s">
        <v>19</v>
      </c>
      <c r="J892" s="3">
        <v>1747</v>
      </c>
      <c r="K892" s="3">
        <v>1370</v>
      </c>
      <c r="L892" s="3">
        <v>3</v>
      </c>
      <c r="M892" s="4">
        <f t="shared" si="112"/>
        <v>0.78420148826559821</v>
      </c>
      <c r="N892" s="4">
        <f t="shared" si="113"/>
        <v>2.1897810218978104E-3</v>
      </c>
      <c r="O892">
        <v>4</v>
      </c>
      <c r="P892" s="5">
        <v>0.6</v>
      </c>
      <c r="Q892" s="7">
        <v>0</v>
      </c>
      <c r="R892" t="s">
        <v>2350</v>
      </c>
      <c r="S892" t="str">
        <f t="shared" si="114"/>
        <v>Больше половины</v>
      </c>
      <c r="T892" t="str">
        <f t="shared" si="115"/>
        <v>Низшая четверть</v>
      </c>
      <c r="U892" t="str">
        <f t="shared" si="116"/>
        <v>код для проверки</v>
      </c>
      <c r="V892" t="str">
        <f t="shared" si="117"/>
        <v>Больше половины</v>
      </c>
      <c r="W892" t="str">
        <f t="shared" si="118"/>
        <v>Низшая четверть</v>
      </c>
      <c r="X892">
        <v>17</v>
      </c>
    </row>
    <row r="893" spans="1:24" x14ac:dyDescent="0.35">
      <c r="A893" s="1" t="s">
        <v>2544</v>
      </c>
      <c r="B893" s="2" t="s">
        <v>2545</v>
      </c>
      <c r="C893" s="3" t="s">
        <v>13</v>
      </c>
      <c r="D893" s="2" t="s">
        <v>77</v>
      </c>
      <c r="E893" s="3" t="s">
        <v>1592</v>
      </c>
      <c r="F893" s="2" t="s">
        <v>96</v>
      </c>
      <c r="G893" s="3" t="s">
        <v>35</v>
      </c>
      <c r="H893" s="2" t="s">
        <v>18</v>
      </c>
      <c r="I893" s="3" t="s">
        <v>19</v>
      </c>
      <c r="J893" s="3">
        <v>1741</v>
      </c>
      <c r="K893" s="3">
        <v>84</v>
      </c>
      <c r="L893" s="3">
        <v>1</v>
      </c>
      <c r="M893" s="4">
        <f t="shared" si="112"/>
        <v>4.8248133256748996E-2</v>
      </c>
      <c r="N893" s="4">
        <f t="shared" si="113"/>
        <v>1.1904761904761904E-2</v>
      </c>
      <c r="O893">
        <v>478</v>
      </c>
      <c r="P893" s="5">
        <v>1</v>
      </c>
      <c r="Q893" s="7">
        <v>1</v>
      </c>
      <c r="R893" t="str">
        <f t="shared" ref="R893:R910" si="122">IF(OR(M893&lt;$S$1*0.5,N893&lt;$T$1*0.5),"код для проверки","нормальный код")</f>
        <v>нормальный код</v>
      </c>
      <c r="S893" t="str">
        <f t="shared" si="114"/>
        <v>Вторая четверть</v>
      </c>
      <c r="T893" t="str">
        <f t="shared" si="115"/>
        <v>Вторая четверть</v>
      </c>
      <c r="U893" t="str">
        <f t="shared" si="116"/>
        <v>код для проверки</v>
      </c>
      <c r="V893" t="str">
        <f t="shared" si="117"/>
        <v>Вторая четверть</v>
      </c>
      <c r="W893" t="str">
        <f t="shared" si="118"/>
        <v>Низшая четверть</v>
      </c>
      <c r="X893">
        <v>14</v>
      </c>
    </row>
    <row r="894" spans="1:24" x14ac:dyDescent="0.35">
      <c r="A894" s="1" t="s">
        <v>1444</v>
      </c>
      <c r="B894" s="2" t="s">
        <v>1445</v>
      </c>
      <c r="C894" s="3" t="s">
        <v>55</v>
      </c>
      <c r="D894" s="2" t="s">
        <v>56</v>
      </c>
      <c r="E894" s="3" t="s">
        <v>700</v>
      </c>
      <c r="F894" s="2" t="s">
        <v>96</v>
      </c>
      <c r="G894" s="3" t="s">
        <v>17</v>
      </c>
      <c r="H894" s="2" t="s">
        <v>18</v>
      </c>
      <c r="I894" s="3" t="s">
        <v>19</v>
      </c>
      <c r="J894" s="3">
        <v>1727</v>
      </c>
      <c r="K894" s="3">
        <v>68</v>
      </c>
      <c r="L894" s="3">
        <v>0</v>
      </c>
      <c r="M894" s="4">
        <f t="shared" si="112"/>
        <v>3.937463810075275E-2</v>
      </c>
      <c r="N894" s="4">
        <f t="shared" si="113"/>
        <v>0</v>
      </c>
      <c r="O894">
        <v>435</v>
      </c>
      <c r="P894" s="5">
        <v>1</v>
      </c>
      <c r="Q894" s="7">
        <v>1</v>
      </c>
      <c r="R894" t="str">
        <f t="shared" si="122"/>
        <v>код для проверки</v>
      </c>
      <c r="S894" t="str">
        <f t="shared" si="114"/>
        <v>Низшая четверть</v>
      </c>
      <c r="T894" t="str">
        <f t="shared" si="115"/>
        <v>Низшая четверть</v>
      </c>
      <c r="U894" t="str">
        <f t="shared" si="116"/>
        <v>код для проверки</v>
      </c>
      <c r="V894" t="str">
        <f t="shared" si="117"/>
        <v>Вторая четверть</v>
      </c>
      <c r="W894" t="str">
        <f t="shared" si="118"/>
        <v>Низшая четверть</v>
      </c>
      <c r="X894">
        <v>28</v>
      </c>
    </row>
    <row r="895" spans="1:24" x14ac:dyDescent="0.35">
      <c r="A895" s="1" t="s">
        <v>1308</v>
      </c>
      <c r="B895" s="2" t="s">
        <v>1309</v>
      </c>
      <c r="C895" s="3" t="s">
        <v>13</v>
      </c>
      <c r="D895" s="2" t="s">
        <v>412</v>
      </c>
      <c r="E895" s="3" t="s">
        <v>413</v>
      </c>
      <c r="F895" s="2" t="s">
        <v>61</v>
      </c>
      <c r="G895" s="3" t="s">
        <v>17</v>
      </c>
      <c r="H895" s="2" t="s">
        <v>97</v>
      </c>
      <c r="I895" s="3" t="s">
        <v>19</v>
      </c>
      <c r="J895" s="3">
        <v>1726</v>
      </c>
      <c r="K895" s="3">
        <v>461</v>
      </c>
      <c r="L895" s="3">
        <v>2</v>
      </c>
      <c r="M895" s="4">
        <f t="shared" si="112"/>
        <v>0.2670915411355736</v>
      </c>
      <c r="N895" s="4">
        <f t="shared" si="113"/>
        <v>4.3383947939262474E-3</v>
      </c>
      <c r="O895">
        <v>437</v>
      </c>
      <c r="P895" s="5">
        <v>1</v>
      </c>
      <c r="Q895" s="7">
        <v>1</v>
      </c>
      <c r="R895" t="str">
        <f t="shared" si="122"/>
        <v>код для проверки</v>
      </c>
      <c r="S895" t="str">
        <f t="shared" si="114"/>
        <v>Больше половины</v>
      </c>
      <c r="T895" t="str">
        <f t="shared" si="115"/>
        <v>Низшая четверть</v>
      </c>
      <c r="U895" t="str">
        <f t="shared" si="116"/>
        <v>код для проверки</v>
      </c>
      <c r="V895" t="str">
        <f t="shared" si="117"/>
        <v>Больше половины</v>
      </c>
      <c r="W895" t="str">
        <f t="shared" si="118"/>
        <v>Низшая четверть</v>
      </c>
      <c r="X895">
        <v>11</v>
      </c>
    </row>
    <row r="896" spans="1:24" x14ac:dyDescent="0.35">
      <c r="A896" s="1" t="s">
        <v>1219</v>
      </c>
      <c r="B896" s="2" t="s">
        <v>1220</v>
      </c>
      <c r="C896" s="3" t="s">
        <v>55</v>
      </c>
      <c r="D896" s="2" t="s">
        <v>1221</v>
      </c>
      <c r="E896" s="3" t="s">
        <v>1222</v>
      </c>
      <c r="F896" s="2" t="s">
        <v>96</v>
      </c>
      <c r="G896" s="3" t="s">
        <v>17</v>
      </c>
      <c r="H896" s="2" t="s">
        <v>1223</v>
      </c>
      <c r="I896" s="3" t="s">
        <v>19</v>
      </c>
      <c r="J896" s="3">
        <v>1709</v>
      </c>
      <c r="K896" s="3">
        <v>183</v>
      </c>
      <c r="L896" s="3">
        <v>1</v>
      </c>
      <c r="M896" s="4">
        <f t="shared" si="112"/>
        <v>0.10708016383850205</v>
      </c>
      <c r="N896" s="4">
        <f t="shared" si="113"/>
        <v>5.4644808743169399E-3</v>
      </c>
      <c r="O896">
        <v>317</v>
      </c>
      <c r="P896" s="5">
        <v>1</v>
      </c>
      <c r="Q896" s="7">
        <v>1</v>
      </c>
      <c r="R896" t="str">
        <f t="shared" si="122"/>
        <v>код для проверки</v>
      </c>
      <c r="S896" t="str">
        <f t="shared" si="114"/>
        <v>Больше половины</v>
      </c>
      <c r="T896" t="str">
        <f t="shared" si="115"/>
        <v>Низшая четверть</v>
      </c>
      <c r="U896" t="str">
        <f t="shared" si="116"/>
        <v>код для проверки</v>
      </c>
      <c r="V896" t="str">
        <f t="shared" si="117"/>
        <v>Больше половины</v>
      </c>
      <c r="W896" t="str">
        <f t="shared" si="118"/>
        <v>Низшая четверть</v>
      </c>
      <c r="X896">
        <v>23</v>
      </c>
    </row>
    <row r="897" spans="1:24" x14ac:dyDescent="0.35">
      <c r="A897" s="1" t="s">
        <v>999</v>
      </c>
      <c r="B897" s="2" t="s">
        <v>1000</v>
      </c>
      <c r="C897" s="3" t="s">
        <v>13</v>
      </c>
      <c r="D897" s="2" t="s">
        <v>77</v>
      </c>
      <c r="E897" s="3" t="s">
        <v>427</v>
      </c>
      <c r="F897" s="2" t="s">
        <v>71</v>
      </c>
      <c r="G897" s="3" t="s">
        <v>35</v>
      </c>
      <c r="H897" s="2" t="s">
        <v>18</v>
      </c>
      <c r="I897" s="3" t="s">
        <v>19</v>
      </c>
      <c r="J897" s="3">
        <v>1708</v>
      </c>
      <c r="K897" s="3">
        <v>300</v>
      </c>
      <c r="L897" s="3">
        <v>2</v>
      </c>
      <c r="M897" s="4">
        <f t="shared" si="112"/>
        <v>0.1756440281030445</v>
      </c>
      <c r="N897" s="4">
        <f t="shared" si="113"/>
        <v>6.6666666666666671E-3</v>
      </c>
      <c r="O897">
        <v>152</v>
      </c>
      <c r="P897" s="5">
        <v>1</v>
      </c>
      <c r="Q897" s="7">
        <v>1</v>
      </c>
      <c r="R897" t="str">
        <f t="shared" si="122"/>
        <v>код для проверки</v>
      </c>
      <c r="S897" t="str">
        <f t="shared" si="114"/>
        <v>Больше половины</v>
      </c>
      <c r="T897" t="str">
        <f t="shared" si="115"/>
        <v>Низшая четверть</v>
      </c>
      <c r="U897" t="str">
        <f t="shared" si="116"/>
        <v>нормальный код</v>
      </c>
      <c r="V897" t="str">
        <f t="shared" si="117"/>
        <v>Больше половины</v>
      </c>
      <c r="W897" t="str">
        <f t="shared" si="118"/>
        <v>Вторая четверть</v>
      </c>
      <c r="X897">
        <v>22</v>
      </c>
    </row>
    <row r="898" spans="1:24" x14ac:dyDescent="0.35">
      <c r="A898" s="1" t="s">
        <v>1023</v>
      </c>
      <c r="B898" s="2" t="s">
        <v>1024</v>
      </c>
      <c r="C898" s="3" t="s">
        <v>13</v>
      </c>
      <c r="D898" s="2" t="s">
        <v>155</v>
      </c>
      <c r="E898" s="3" t="s">
        <v>156</v>
      </c>
      <c r="F898" s="2" t="s">
        <v>34</v>
      </c>
      <c r="G898" s="3" t="s">
        <v>35</v>
      </c>
      <c r="H898" s="2" t="s">
        <v>18</v>
      </c>
      <c r="I898" s="3" t="s">
        <v>19</v>
      </c>
      <c r="J898" s="3">
        <v>1700</v>
      </c>
      <c r="K898" s="3">
        <v>397</v>
      </c>
      <c r="L898" s="3">
        <v>0</v>
      </c>
      <c r="M898" s="4">
        <f t="shared" si="112"/>
        <v>0.23352941176470587</v>
      </c>
      <c r="N898" s="4">
        <f t="shared" si="113"/>
        <v>0</v>
      </c>
      <c r="O898">
        <v>481</v>
      </c>
      <c r="P898" s="5">
        <v>1</v>
      </c>
      <c r="Q898" s="7">
        <v>1</v>
      </c>
      <c r="R898" t="str">
        <f t="shared" si="122"/>
        <v>код для проверки</v>
      </c>
      <c r="S898" t="str">
        <f t="shared" si="114"/>
        <v>Больше половины</v>
      </c>
      <c r="T898" t="str">
        <f t="shared" si="115"/>
        <v>Низшая четверть</v>
      </c>
      <c r="U898" t="str">
        <f t="shared" si="116"/>
        <v>код для проверки</v>
      </c>
      <c r="V898" t="str">
        <f t="shared" si="117"/>
        <v>Больше половины</v>
      </c>
      <c r="W898" t="str">
        <f t="shared" si="118"/>
        <v>Низшая четверть</v>
      </c>
      <c r="X898">
        <v>17</v>
      </c>
    </row>
    <row r="899" spans="1:24" x14ac:dyDescent="0.35">
      <c r="A899" s="1" t="s">
        <v>1880</v>
      </c>
      <c r="B899" s="2" t="s">
        <v>1881</v>
      </c>
      <c r="C899" s="3" t="s">
        <v>13</v>
      </c>
      <c r="D899" s="2" t="s">
        <v>412</v>
      </c>
      <c r="E899" s="3" t="s">
        <v>413</v>
      </c>
      <c r="F899" s="2" t="s">
        <v>61</v>
      </c>
      <c r="G899" s="3" t="s">
        <v>17</v>
      </c>
      <c r="H899" s="2" t="s">
        <v>97</v>
      </c>
      <c r="I899" s="3" t="s">
        <v>19</v>
      </c>
      <c r="J899" s="3">
        <v>1686</v>
      </c>
      <c r="K899" s="3">
        <v>455</v>
      </c>
      <c r="L899" s="3">
        <v>4</v>
      </c>
      <c r="M899" s="4">
        <f t="shared" si="112"/>
        <v>0.26986951364175565</v>
      </c>
      <c r="N899" s="4">
        <f t="shared" si="113"/>
        <v>8.7912087912087912E-3</v>
      </c>
      <c r="O899">
        <v>544</v>
      </c>
      <c r="P899" s="5">
        <v>1</v>
      </c>
      <c r="Q899" s="7">
        <v>1</v>
      </c>
      <c r="R899" t="str">
        <f t="shared" si="122"/>
        <v>код для проверки</v>
      </c>
      <c r="S899" t="str">
        <f t="shared" si="114"/>
        <v>Больше половины</v>
      </c>
      <c r="T899" t="str">
        <f t="shared" si="115"/>
        <v>Низшая четверть</v>
      </c>
      <c r="U899" t="str">
        <f t="shared" si="116"/>
        <v>код для проверки</v>
      </c>
      <c r="V899" t="str">
        <f t="shared" si="117"/>
        <v>Больше половины</v>
      </c>
      <c r="W899" t="str">
        <f t="shared" si="118"/>
        <v>Низшая четверть</v>
      </c>
      <c r="X899">
        <v>9</v>
      </c>
    </row>
    <row r="900" spans="1:24" x14ac:dyDescent="0.35">
      <c r="A900" s="1" t="s">
        <v>1541</v>
      </c>
      <c r="B900" s="2" t="s">
        <v>1542</v>
      </c>
      <c r="C900" s="3" t="s">
        <v>13</v>
      </c>
      <c r="D900" s="2" t="s">
        <v>630</v>
      </c>
      <c r="E900" s="3" t="s">
        <v>685</v>
      </c>
      <c r="F900" s="2" t="s">
        <v>61</v>
      </c>
      <c r="G900" s="3" t="s">
        <v>17</v>
      </c>
      <c r="H900" s="2" t="s">
        <v>97</v>
      </c>
      <c r="I900" s="3" t="s">
        <v>19</v>
      </c>
      <c r="J900" s="3">
        <v>1682</v>
      </c>
      <c r="K900" s="3">
        <v>309</v>
      </c>
      <c r="L900" s="3">
        <v>5</v>
      </c>
      <c r="M900" s="4">
        <f t="shared" ref="M900:M963" si="123">IFERROR(K900/J900,0)</f>
        <v>0.18370986920332938</v>
      </c>
      <c r="N900" s="4">
        <f t="shared" ref="N900:N963" si="124">IFERROR(L900/K900,0)</f>
        <v>1.6181229773462782E-2</v>
      </c>
      <c r="O900">
        <v>640</v>
      </c>
      <c r="P900" s="5">
        <v>1</v>
      </c>
      <c r="Q900" s="7">
        <v>1</v>
      </c>
      <c r="R900" t="str">
        <f t="shared" si="122"/>
        <v>нормальный код</v>
      </c>
      <c r="S900" t="str">
        <f t="shared" ref="S900:S963" si="125">IF(M900&lt;$S$1*0.5,"Низшая четверть",IF(M900&lt;$S$1,"Вторая четверть","Больше половины"))</f>
        <v>Больше половины</v>
      </c>
      <c r="T900" t="str">
        <f t="shared" ref="T900:T963" si="126">IF(N900&lt;$T$1*0.5,"Низшая четверть",IF(N900&lt;$T$1,"Вторая четверть","Больше половины"))</f>
        <v>Вторая четверть</v>
      </c>
      <c r="U900" t="str">
        <f t="shared" ref="U900:U963" si="127">IF(OR(M900&lt;SUMIFS(K:K,Q:Q,1,E:E,E900)/SUMIFS(J:J,Q:Q,1,E:E,E900)*0.5,N900&lt;SUMIFS(L:L,Q:Q,1,E:E,E900)/SUMIFS(K:K,Q:Q,1,E:E,E900)*0.5),"код для проверки","нормальный код")</f>
        <v>нормальный код</v>
      </c>
      <c r="V900" t="str">
        <f t="shared" ref="V900:V963" si="128">IF(M900&lt;SUMIFS(K:K,Q:Q,1,E:E,E900)/SUMIFS(J:J,Q:Q,1,E:E,E900)*0.5,"Низшая четверть",IF(M900&lt;SUMIFS(K:K,Q:Q,1,E:E,E900)/SUMIFS(J:J,Q:Q,1,E:E,E900),"Вторая четверть","Больше половины"))</f>
        <v>Больше половины</v>
      </c>
      <c r="W900" t="str">
        <f t="shared" ref="W900:W963" si="129">IF(N900&lt;SUMIFS(L:L,Q:Q,1,E:E,E900)/SUMIFS(K:K,Q:Q,1,E:E,E900)*0.5,"Низшая четверть",IF(N900&lt;SUMIFS(L:L,Q:Q,1,E:E,E900)/SUMIFS(K:K,Q:Q,1,E:E,E900),"Вторая четверть","Больше половины"))</f>
        <v>Вторая четверть</v>
      </c>
      <c r="X900">
        <v>10</v>
      </c>
    </row>
    <row r="901" spans="1:24" x14ac:dyDescent="0.35">
      <c r="A901" s="1" t="s">
        <v>2467</v>
      </c>
      <c r="B901" s="2" t="s">
        <v>2468</v>
      </c>
      <c r="C901" s="3" t="s">
        <v>13</v>
      </c>
      <c r="D901" s="2" t="s">
        <v>155</v>
      </c>
      <c r="E901" s="3" t="s">
        <v>156</v>
      </c>
      <c r="F901" s="2" t="s">
        <v>34</v>
      </c>
      <c r="G901" s="3" t="s">
        <v>35</v>
      </c>
      <c r="H901" s="2" t="s">
        <v>18</v>
      </c>
      <c r="I901" s="3" t="s">
        <v>19</v>
      </c>
      <c r="J901" s="3">
        <v>1672</v>
      </c>
      <c r="K901" s="3">
        <v>1126</v>
      </c>
      <c r="L901" s="3">
        <v>2</v>
      </c>
      <c r="M901" s="4">
        <f t="shared" si="123"/>
        <v>0.67344497607655507</v>
      </c>
      <c r="N901" s="4">
        <f t="shared" si="124"/>
        <v>1.7761989342806395E-3</v>
      </c>
      <c r="O901">
        <v>835</v>
      </c>
      <c r="P901" s="5">
        <v>1</v>
      </c>
      <c r="Q901" s="7">
        <v>1</v>
      </c>
      <c r="R901" t="str">
        <f t="shared" si="122"/>
        <v>код для проверки</v>
      </c>
      <c r="S901" t="str">
        <f t="shared" si="125"/>
        <v>Больше половины</v>
      </c>
      <c r="T901" t="str">
        <f t="shared" si="126"/>
        <v>Низшая четверть</v>
      </c>
      <c r="U901" t="str">
        <f t="shared" si="127"/>
        <v>код для проверки</v>
      </c>
      <c r="V901" t="str">
        <f t="shared" si="128"/>
        <v>Больше половины</v>
      </c>
      <c r="W901" t="str">
        <f t="shared" si="129"/>
        <v>Низшая четверть</v>
      </c>
      <c r="X901">
        <v>10</v>
      </c>
    </row>
    <row r="902" spans="1:24" x14ac:dyDescent="0.35">
      <c r="A902" s="1" t="s">
        <v>1672</v>
      </c>
      <c r="B902" s="2" t="s">
        <v>1673</v>
      </c>
      <c r="C902" s="3" t="s">
        <v>13</v>
      </c>
      <c r="D902" s="2" t="s">
        <v>155</v>
      </c>
      <c r="E902" s="3" t="s">
        <v>156</v>
      </c>
      <c r="F902" s="2" t="s">
        <v>34</v>
      </c>
      <c r="G902" s="3" t="s">
        <v>17</v>
      </c>
      <c r="H902" s="2" t="s">
        <v>18</v>
      </c>
      <c r="I902" s="3" t="s">
        <v>19</v>
      </c>
      <c r="J902" s="3">
        <v>1648</v>
      </c>
      <c r="K902" s="3">
        <v>20</v>
      </c>
      <c r="L902" s="3">
        <v>4</v>
      </c>
      <c r="M902" s="4">
        <f t="shared" si="123"/>
        <v>1.2135922330097087E-2</v>
      </c>
      <c r="N902" s="4">
        <f t="shared" si="124"/>
        <v>0.2</v>
      </c>
      <c r="O902">
        <v>447</v>
      </c>
      <c r="P902" s="5">
        <v>0.55555555555555558</v>
      </c>
      <c r="Q902" s="7">
        <v>1</v>
      </c>
      <c r="R902" t="str">
        <f t="shared" si="122"/>
        <v>код для проверки</v>
      </c>
      <c r="S902" t="str">
        <f t="shared" si="125"/>
        <v>Низшая четверть</v>
      </c>
      <c r="T902" t="str">
        <f t="shared" si="126"/>
        <v>Больше половины</v>
      </c>
      <c r="U902" t="str">
        <f t="shared" si="127"/>
        <v>код для проверки</v>
      </c>
      <c r="V902" t="str">
        <f t="shared" si="128"/>
        <v>Низшая четверть</v>
      </c>
      <c r="W902" t="str">
        <f t="shared" si="129"/>
        <v>Больше половины</v>
      </c>
      <c r="X902">
        <v>6</v>
      </c>
    </row>
    <row r="903" spans="1:24" x14ac:dyDescent="0.35">
      <c r="A903" s="1" t="s">
        <v>2443</v>
      </c>
      <c r="B903" s="2" t="s">
        <v>2444</v>
      </c>
      <c r="C903" s="3" t="s">
        <v>13</v>
      </c>
      <c r="D903" s="2" t="s">
        <v>104</v>
      </c>
      <c r="E903" s="3" t="s">
        <v>424</v>
      </c>
      <c r="F903" s="2" t="s">
        <v>34</v>
      </c>
      <c r="G903" s="3" t="s">
        <v>17</v>
      </c>
      <c r="H903" s="2" t="s">
        <v>18</v>
      </c>
      <c r="I903" s="3" t="s">
        <v>19</v>
      </c>
      <c r="J903" s="3">
        <v>1647</v>
      </c>
      <c r="K903" s="3">
        <v>228</v>
      </c>
      <c r="L903" s="3">
        <v>5</v>
      </c>
      <c r="M903" s="4">
        <f t="shared" si="123"/>
        <v>0.13843351548269581</v>
      </c>
      <c r="N903" s="4">
        <f t="shared" si="124"/>
        <v>2.1929824561403508E-2</v>
      </c>
      <c r="O903">
        <v>772</v>
      </c>
      <c r="P903" s="5">
        <v>1</v>
      </c>
      <c r="Q903" s="7">
        <v>1</v>
      </c>
      <c r="R903" t="str">
        <f t="shared" si="122"/>
        <v>нормальный код</v>
      </c>
      <c r="S903" t="str">
        <f t="shared" si="125"/>
        <v>Больше половины</v>
      </c>
      <c r="T903" t="str">
        <f t="shared" si="126"/>
        <v>Больше половины</v>
      </c>
      <c r="U903" t="str">
        <f t="shared" si="127"/>
        <v>нормальный код</v>
      </c>
      <c r="V903" t="str">
        <f t="shared" si="128"/>
        <v>Больше половины</v>
      </c>
      <c r="W903" t="str">
        <f t="shared" si="129"/>
        <v>Вторая четверть</v>
      </c>
      <c r="X903">
        <v>17</v>
      </c>
    </row>
    <row r="904" spans="1:24" x14ac:dyDescent="0.35">
      <c r="A904" s="1" t="s">
        <v>1816</v>
      </c>
      <c r="B904" s="2" t="s">
        <v>1817</v>
      </c>
      <c r="C904" s="3" t="s">
        <v>55</v>
      </c>
      <c r="D904" s="2" t="s">
        <v>295</v>
      </c>
      <c r="E904" s="3" t="s">
        <v>1373</v>
      </c>
      <c r="F904" s="2" t="s">
        <v>71</v>
      </c>
      <c r="G904" s="3" t="s">
        <v>17</v>
      </c>
      <c r="H904" s="2" t="s">
        <v>97</v>
      </c>
      <c r="I904" s="3" t="s">
        <v>19</v>
      </c>
      <c r="J904" s="3">
        <v>1644</v>
      </c>
      <c r="K904" s="3">
        <v>1124</v>
      </c>
      <c r="L904" s="3">
        <v>6</v>
      </c>
      <c r="M904" s="4">
        <f t="shared" si="123"/>
        <v>0.68369829683698302</v>
      </c>
      <c r="N904" s="4">
        <f t="shared" si="124"/>
        <v>5.3380782918149468E-3</v>
      </c>
      <c r="O904">
        <v>211</v>
      </c>
      <c r="P904" s="5">
        <v>1</v>
      </c>
      <c r="Q904" s="7">
        <v>1</v>
      </c>
      <c r="R904" t="str">
        <f t="shared" si="122"/>
        <v>код для проверки</v>
      </c>
      <c r="S904" t="str">
        <f t="shared" si="125"/>
        <v>Больше половины</v>
      </c>
      <c r="T904" t="str">
        <f t="shared" si="126"/>
        <v>Низшая четверть</v>
      </c>
      <c r="U904" t="str">
        <f t="shared" si="127"/>
        <v>нормальный код</v>
      </c>
      <c r="V904" t="str">
        <f t="shared" si="128"/>
        <v>Больше половины</v>
      </c>
      <c r="W904" t="str">
        <f t="shared" si="129"/>
        <v>Вторая четверть</v>
      </c>
      <c r="X904">
        <v>15</v>
      </c>
    </row>
    <row r="905" spans="1:24" x14ac:dyDescent="0.35">
      <c r="A905" s="1" t="s">
        <v>1571</v>
      </c>
      <c r="B905" s="2" t="s">
        <v>1572</v>
      </c>
      <c r="C905" s="3" t="s">
        <v>13</v>
      </c>
      <c r="D905" s="2" t="s">
        <v>155</v>
      </c>
      <c r="E905" s="3" t="s">
        <v>156</v>
      </c>
      <c r="F905" s="2" t="s">
        <v>34</v>
      </c>
      <c r="G905" s="3" t="s">
        <v>17</v>
      </c>
      <c r="H905" s="2" t="s">
        <v>18</v>
      </c>
      <c r="I905" s="3" t="s">
        <v>19</v>
      </c>
      <c r="J905" s="3">
        <v>1636</v>
      </c>
      <c r="K905" s="3">
        <v>36</v>
      </c>
      <c r="L905" s="3">
        <v>0</v>
      </c>
      <c r="M905" s="4">
        <f t="shared" si="123"/>
        <v>2.2004889975550123E-2</v>
      </c>
      <c r="N905" s="4">
        <f t="shared" si="124"/>
        <v>0</v>
      </c>
      <c r="O905">
        <v>451</v>
      </c>
      <c r="P905" s="5">
        <v>1</v>
      </c>
      <c r="Q905" s="7">
        <v>1</v>
      </c>
      <c r="R905" t="str">
        <f t="shared" si="122"/>
        <v>код для проверки</v>
      </c>
      <c r="S905" t="str">
        <f t="shared" si="125"/>
        <v>Низшая четверть</v>
      </c>
      <c r="T905" t="str">
        <f t="shared" si="126"/>
        <v>Низшая четверть</v>
      </c>
      <c r="U905" t="str">
        <f t="shared" si="127"/>
        <v>код для проверки</v>
      </c>
      <c r="V905" t="str">
        <f t="shared" si="128"/>
        <v>Низшая четверть</v>
      </c>
      <c r="W905" t="str">
        <f t="shared" si="129"/>
        <v>Низшая четверть</v>
      </c>
      <c r="X905">
        <v>9</v>
      </c>
    </row>
    <row r="906" spans="1:24" x14ac:dyDescent="0.35">
      <c r="A906" s="1" t="s">
        <v>1852</v>
      </c>
      <c r="B906" s="2" t="s">
        <v>1853</v>
      </c>
      <c r="C906" s="3" t="s">
        <v>55</v>
      </c>
      <c r="D906" s="2" t="s">
        <v>1049</v>
      </c>
      <c r="E906" s="3" t="s">
        <v>1050</v>
      </c>
      <c r="F906" s="2" t="s">
        <v>34</v>
      </c>
      <c r="G906" s="3" t="s">
        <v>17</v>
      </c>
      <c r="H906" s="2" t="s">
        <v>18</v>
      </c>
      <c r="I906" s="3" t="s">
        <v>19</v>
      </c>
      <c r="J906" s="3">
        <v>1634</v>
      </c>
      <c r="K906" s="3">
        <v>68</v>
      </c>
      <c r="L906" s="3">
        <v>0</v>
      </c>
      <c r="M906" s="4">
        <f t="shared" si="123"/>
        <v>4.1615667074663402E-2</v>
      </c>
      <c r="N906" s="4">
        <f t="shared" si="124"/>
        <v>0</v>
      </c>
      <c r="O906">
        <v>330</v>
      </c>
      <c r="P906" s="5">
        <v>1</v>
      </c>
      <c r="Q906" s="7">
        <v>1</v>
      </c>
      <c r="R906" t="str">
        <f t="shared" si="122"/>
        <v>код для проверки</v>
      </c>
      <c r="S906" t="str">
        <f t="shared" si="125"/>
        <v>Низшая четверть</v>
      </c>
      <c r="T906" t="str">
        <f t="shared" si="126"/>
        <v>Низшая четверть</v>
      </c>
      <c r="U906" t="str">
        <f t="shared" si="127"/>
        <v>код для проверки</v>
      </c>
      <c r="V906" t="str">
        <f t="shared" si="128"/>
        <v>Низшая четверть</v>
      </c>
      <c r="W906" t="str">
        <f t="shared" si="129"/>
        <v>Низшая четверть</v>
      </c>
      <c r="X906">
        <v>21</v>
      </c>
    </row>
    <row r="907" spans="1:24" x14ac:dyDescent="0.35">
      <c r="A907" s="1" t="s">
        <v>2455</v>
      </c>
      <c r="B907" s="2" t="s">
        <v>2456</v>
      </c>
      <c r="C907" s="3" t="s">
        <v>13</v>
      </c>
      <c r="D907" s="2" t="s">
        <v>69</v>
      </c>
      <c r="E907" s="3" t="s">
        <v>2445</v>
      </c>
      <c r="F907" s="2" t="s">
        <v>96</v>
      </c>
      <c r="G907" s="3" t="s">
        <v>72</v>
      </c>
      <c r="H907" s="2" t="s">
        <v>18</v>
      </c>
      <c r="I907" s="3" t="s">
        <v>19</v>
      </c>
      <c r="J907" s="3">
        <v>1630</v>
      </c>
      <c r="K907" s="3">
        <v>33</v>
      </c>
      <c r="L907" s="3">
        <v>0</v>
      </c>
      <c r="M907" s="4">
        <f t="shared" si="123"/>
        <v>2.0245398773006136E-2</v>
      </c>
      <c r="N907" s="4">
        <f t="shared" si="124"/>
        <v>0</v>
      </c>
      <c r="O907">
        <v>587</v>
      </c>
      <c r="P907" s="5">
        <v>1</v>
      </c>
      <c r="Q907" s="7">
        <v>1</v>
      </c>
      <c r="R907" t="str">
        <f t="shared" si="122"/>
        <v>код для проверки</v>
      </c>
      <c r="S907" t="str">
        <f t="shared" si="125"/>
        <v>Низшая четверть</v>
      </c>
      <c r="T907" t="str">
        <f t="shared" si="126"/>
        <v>Низшая четверть</v>
      </c>
      <c r="U907" t="str">
        <f t="shared" si="127"/>
        <v>нормальный код</v>
      </c>
      <c r="V907" t="str">
        <f t="shared" si="128"/>
        <v>Больше половины</v>
      </c>
      <c r="W907" t="str">
        <f t="shared" si="129"/>
        <v>Больше половины</v>
      </c>
      <c r="X907">
        <v>10</v>
      </c>
    </row>
    <row r="908" spans="1:24" x14ac:dyDescent="0.35">
      <c r="A908" s="1" t="s">
        <v>2174</v>
      </c>
      <c r="B908" s="2" t="s">
        <v>2175</v>
      </c>
      <c r="C908" s="3" t="s">
        <v>55</v>
      </c>
      <c r="D908" s="2" t="s">
        <v>1049</v>
      </c>
      <c r="E908" s="3" t="s">
        <v>1050</v>
      </c>
      <c r="F908" s="2" t="s">
        <v>34</v>
      </c>
      <c r="G908" s="3" t="s">
        <v>17</v>
      </c>
      <c r="H908" s="2" t="s">
        <v>18</v>
      </c>
      <c r="I908" s="3" t="s">
        <v>19</v>
      </c>
      <c r="J908" s="3">
        <v>1628</v>
      </c>
      <c r="K908" s="3">
        <v>906</v>
      </c>
      <c r="L908" s="3">
        <v>10</v>
      </c>
      <c r="M908" s="4">
        <f t="shared" si="123"/>
        <v>0.55651105651105648</v>
      </c>
      <c r="N908" s="4">
        <f t="shared" si="124"/>
        <v>1.1037527593818985E-2</v>
      </c>
      <c r="O908">
        <v>278</v>
      </c>
      <c r="P908" s="5">
        <v>1</v>
      </c>
      <c r="Q908" s="7">
        <v>1</v>
      </c>
      <c r="R908" t="str">
        <f t="shared" si="122"/>
        <v>нормальный код</v>
      </c>
      <c r="S908" t="str">
        <f t="shared" si="125"/>
        <v>Больше половины</v>
      </c>
      <c r="T908" t="str">
        <f t="shared" si="126"/>
        <v>Вторая четверть</v>
      </c>
      <c r="U908" t="str">
        <f t="shared" si="127"/>
        <v>код для проверки</v>
      </c>
      <c r="V908" t="str">
        <f t="shared" si="128"/>
        <v>Больше половины</v>
      </c>
      <c r="W908" t="str">
        <f t="shared" si="129"/>
        <v>Низшая четверть</v>
      </c>
      <c r="X908">
        <v>23</v>
      </c>
    </row>
    <row r="909" spans="1:24" x14ac:dyDescent="0.35">
      <c r="A909" s="1" t="s">
        <v>2399</v>
      </c>
      <c r="B909" s="2" t="s">
        <v>2400</v>
      </c>
      <c r="C909" s="3" t="s">
        <v>13</v>
      </c>
      <c r="D909" s="2" t="s">
        <v>77</v>
      </c>
      <c r="E909" s="3" t="s">
        <v>89</v>
      </c>
      <c r="F909" s="2" t="s">
        <v>34</v>
      </c>
      <c r="G909" s="3" t="s">
        <v>17</v>
      </c>
      <c r="H909" s="2" t="s">
        <v>18</v>
      </c>
      <c r="I909" s="3" t="s">
        <v>19</v>
      </c>
      <c r="J909" s="3">
        <v>1626</v>
      </c>
      <c r="K909" s="3">
        <v>50</v>
      </c>
      <c r="L909" s="3">
        <v>3</v>
      </c>
      <c r="M909" s="4">
        <f t="shared" si="123"/>
        <v>3.0750307503075031E-2</v>
      </c>
      <c r="N909" s="4">
        <f t="shared" si="124"/>
        <v>0.06</v>
      </c>
      <c r="O909">
        <v>847</v>
      </c>
      <c r="P909" s="5">
        <v>1</v>
      </c>
      <c r="Q909" s="7">
        <v>1</v>
      </c>
      <c r="R909" t="str">
        <f t="shared" si="122"/>
        <v>код для проверки</v>
      </c>
      <c r="S909" t="str">
        <f t="shared" si="125"/>
        <v>Низшая четверть</v>
      </c>
      <c r="T909" t="str">
        <f t="shared" si="126"/>
        <v>Больше половины</v>
      </c>
      <c r="U909" t="str">
        <f t="shared" si="127"/>
        <v>код для проверки</v>
      </c>
      <c r="V909" t="str">
        <f t="shared" si="128"/>
        <v>Низшая четверть</v>
      </c>
      <c r="W909" t="str">
        <f t="shared" si="129"/>
        <v>Больше половины</v>
      </c>
      <c r="X909">
        <v>9</v>
      </c>
    </row>
    <row r="910" spans="1:24" x14ac:dyDescent="0.35">
      <c r="A910" s="1" t="s">
        <v>1884</v>
      </c>
      <c r="B910" s="2" t="s">
        <v>1885</v>
      </c>
      <c r="C910" s="3" t="s">
        <v>55</v>
      </c>
      <c r="D910" s="2" t="s">
        <v>295</v>
      </c>
      <c r="E910" s="3" t="s">
        <v>1373</v>
      </c>
      <c r="F910" s="2" t="s">
        <v>71</v>
      </c>
      <c r="G910" s="3" t="s">
        <v>17</v>
      </c>
      <c r="H910" s="2" t="s">
        <v>97</v>
      </c>
      <c r="I910" s="3" t="s">
        <v>19</v>
      </c>
      <c r="J910" s="3">
        <v>1622</v>
      </c>
      <c r="K910" s="3">
        <v>1173</v>
      </c>
      <c r="L910" s="3">
        <v>3</v>
      </c>
      <c r="M910" s="4">
        <f t="shared" si="123"/>
        <v>0.72318125770653519</v>
      </c>
      <c r="N910" s="4">
        <f t="shared" si="124"/>
        <v>2.5575447570332483E-3</v>
      </c>
      <c r="O910">
        <v>31</v>
      </c>
      <c r="P910" s="5">
        <v>1</v>
      </c>
      <c r="Q910" s="7">
        <v>1</v>
      </c>
      <c r="R910" t="str">
        <f t="shared" si="122"/>
        <v>код для проверки</v>
      </c>
      <c r="S910" t="str">
        <f t="shared" si="125"/>
        <v>Больше половины</v>
      </c>
      <c r="T910" t="str">
        <f t="shared" si="126"/>
        <v>Низшая четверть</v>
      </c>
      <c r="U910" t="str">
        <f t="shared" si="127"/>
        <v>код для проверки</v>
      </c>
      <c r="V910" t="str">
        <f t="shared" si="128"/>
        <v>Больше половины</v>
      </c>
      <c r="W910" t="str">
        <f t="shared" si="129"/>
        <v>Низшая четверть</v>
      </c>
      <c r="X910">
        <v>9</v>
      </c>
    </row>
    <row r="911" spans="1:24" x14ac:dyDescent="0.35">
      <c r="A911" s="1" t="s">
        <v>1384</v>
      </c>
      <c r="B911" s="2" t="s">
        <v>1385</v>
      </c>
      <c r="C911" s="3" t="s">
        <v>13</v>
      </c>
      <c r="D911" s="2" t="s">
        <v>412</v>
      </c>
      <c r="E911" s="3" t="s">
        <v>413</v>
      </c>
      <c r="F911" s="2" t="s">
        <v>61</v>
      </c>
      <c r="G911" s="3" t="s">
        <v>17</v>
      </c>
      <c r="H911" s="2" t="s">
        <v>97</v>
      </c>
      <c r="I911" s="3" t="s">
        <v>19</v>
      </c>
      <c r="J911" s="3">
        <v>1610</v>
      </c>
      <c r="K911" s="3">
        <v>192</v>
      </c>
      <c r="L911" s="3">
        <v>8</v>
      </c>
      <c r="M911" s="4">
        <f t="shared" si="123"/>
        <v>0.11925465838509317</v>
      </c>
      <c r="N911" s="4">
        <f t="shared" si="124"/>
        <v>4.1666666666666664E-2</v>
      </c>
      <c r="O911">
        <v>0</v>
      </c>
      <c r="P911" s="5">
        <v>0</v>
      </c>
      <c r="Q911" s="7">
        <v>0</v>
      </c>
      <c r="R911" t="s">
        <v>2350</v>
      </c>
      <c r="S911" t="str">
        <f t="shared" si="125"/>
        <v>Больше половины</v>
      </c>
      <c r="T911" t="str">
        <f t="shared" si="126"/>
        <v>Больше половины</v>
      </c>
      <c r="U911" t="str">
        <f t="shared" si="127"/>
        <v>нормальный код</v>
      </c>
      <c r="V911" t="str">
        <f t="shared" si="128"/>
        <v>Больше половины</v>
      </c>
      <c r="W911" t="str">
        <f t="shared" si="129"/>
        <v>Больше половины</v>
      </c>
      <c r="X911">
        <v>8</v>
      </c>
    </row>
    <row r="912" spans="1:24" x14ac:dyDescent="0.35">
      <c r="A912" s="1" t="s">
        <v>1788</v>
      </c>
      <c r="B912" s="2" t="s">
        <v>1789</v>
      </c>
      <c r="C912" s="3" t="s">
        <v>55</v>
      </c>
      <c r="D912" s="2" t="s">
        <v>1221</v>
      </c>
      <c r="E912" s="3" t="s">
        <v>1450</v>
      </c>
      <c r="F912" s="2" t="s">
        <v>61</v>
      </c>
      <c r="G912" s="3" t="s">
        <v>17</v>
      </c>
      <c r="H912" s="2" t="s">
        <v>18</v>
      </c>
      <c r="I912" s="3" t="s">
        <v>19</v>
      </c>
      <c r="J912" s="3">
        <v>1607</v>
      </c>
      <c r="K912" s="3">
        <v>76</v>
      </c>
      <c r="L912" s="3">
        <v>2</v>
      </c>
      <c r="M912" s="4">
        <f t="shared" si="123"/>
        <v>4.7293092719352829E-2</v>
      </c>
      <c r="N912" s="4">
        <f t="shared" si="124"/>
        <v>2.6315789473684209E-2</v>
      </c>
      <c r="O912">
        <v>597</v>
      </c>
      <c r="P912" s="5">
        <v>1</v>
      </c>
      <c r="Q912" s="7">
        <v>1</v>
      </c>
      <c r="R912" t="str">
        <f t="shared" ref="R912:R931" si="130">IF(OR(M912&lt;$S$1*0.5,N912&lt;$T$1*0.5),"код для проверки","нормальный код")</f>
        <v>код для проверки</v>
      </c>
      <c r="S912" t="str">
        <f t="shared" si="125"/>
        <v>Низшая четверть</v>
      </c>
      <c r="T912" t="str">
        <f t="shared" si="126"/>
        <v>Больше половины</v>
      </c>
      <c r="U912" t="str">
        <f t="shared" si="127"/>
        <v>нормальный код</v>
      </c>
      <c r="V912" t="str">
        <f t="shared" si="128"/>
        <v>Больше половины</v>
      </c>
      <c r="W912" t="str">
        <f t="shared" si="129"/>
        <v>Вторая четверть</v>
      </c>
      <c r="X912">
        <v>28</v>
      </c>
    </row>
    <row r="913" spans="1:24" x14ac:dyDescent="0.35">
      <c r="A913" s="1" t="s">
        <v>1836</v>
      </c>
      <c r="B913" s="2" t="s">
        <v>1837</v>
      </c>
      <c r="C913" s="3" t="s">
        <v>55</v>
      </c>
      <c r="D913" s="2" t="s">
        <v>1049</v>
      </c>
      <c r="E913" s="3" t="s">
        <v>1050</v>
      </c>
      <c r="F913" s="2" t="s">
        <v>34</v>
      </c>
      <c r="G913" s="3" t="s">
        <v>17</v>
      </c>
      <c r="H913" s="2" t="s">
        <v>18</v>
      </c>
      <c r="I913" s="3" t="s">
        <v>19</v>
      </c>
      <c r="J913" s="3">
        <v>1606</v>
      </c>
      <c r="K913" s="3">
        <v>69</v>
      </c>
      <c r="L913" s="3">
        <v>0</v>
      </c>
      <c r="M913" s="4">
        <f t="shared" si="123"/>
        <v>4.2963885429638853E-2</v>
      </c>
      <c r="N913" s="4">
        <f t="shared" si="124"/>
        <v>0</v>
      </c>
      <c r="O913">
        <v>449</v>
      </c>
      <c r="P913" s="5">
        <v>1</v>
      </c>
      <c r="Q913" s="7">
        <v>1</v>
      </c>
      <c r="R913" t="str">
        <f t="shared" si="130"/>
        <v>код для проверки</v>
      </c>
      <c r="S913" t="str">
        <f t="shared" si="125"/>
        <v>Низшая четверть</v>
      </c>
      <c r="T913" t="str">
        <f t="shared" si="126"/>
        <v>Низшая четверть</v>
      </c>
      <c r="U913" t="str">
        <f t="shared" si="127"/>
        <v>код для проверки</v>
      </c>
      <c r="V913" t="str">
        <f t="shared" si="128"/>
        <v>Низшая четверть</v>
      </c>
      <c r="W913" t="str">
        <f t="shared" si="129"/>
        <v>Низшая четверть</v>
      </c>
      <c r="X913">
        <v>12</v>
      </c>
    </row>
    <row r="914" spans="1:24" x14ac:dyDescent="0.35">
      <c r="A914" s="1" t="s">
        <v>1688</v>
      </c>
      <c r="B914" s="2" t="s">
        <v>1689</v>
      </c>
      <c r="C914" s="3" t="s">
        <v>55</v>
      </c>
      <c r="D914" s="2" t="s">
        <v>1221</v>
      </c>
      <c r="E914" s="3" t="s">
        <v>1222</v>
      </c>
      <c r="F914" s="2" t="s">
        <v>96</v>
      </c>
      <c r="G914" s="3" t="s">
        <v>17</v>
      </c>
      <c r="H914" s="2" t="s">
        <v>1223</v>
      </c>
      <c r="I914" s="3" t="s">
        <v>19</v>
      </c>
      <c r="J914" s="3">
        <v>1598</v>
      </c>
      <c r="K914" s="3">
        <v>186</v>
      </c>
      <c r="L914" s="3">
        <v>0</v>
      </c>
      <c r="M914" s="4">
        <f t="shared" si="123"/>
        <v>0.11639549436795996</v>
      </c>
      <c r="N914" s="4">
        <f t="shared" si="124"/>
        <v>0</v>
      </c>
      <c r="O914">
        <v>299</v>
      </c>
      <c r="P914" s="5">
        <v>1</v>
      </c>
      <c r="Q914" s="7">
        <v>1</v>
      </c>
      <c r="R914" t="str">
        <f t="shared" si="130"/>
        <v>код для проверки</v>
      </c>
      <c r="S914" t="str">
        <f t="shared" si="125"/>
        <v>Больше половины</v>
      </c>
      <c r="T914" t="str">
        <f t="shared" si="126"/>
        <v>Низшая четверть</v>
      </c>
      <c r="U914" t="str">
        <f t="shared" si="127"/>
        <v>код для проверки</v>
      </c>
      <c r="V914" t="str">
        <f t="shared" si="128"/>
        <v>Больше половины</v>
      </c>
      <c r="W914" t="str">
        <f t="shared" si="129"/>
        <v>Низшая четверть</v>
      </c>
      <c r="X914">
        <v>24</v>
      </c>
    </row>
    <row r="915" spans="1:24" x14ac:dyDescent="0.35">
      <c r="A915" s="1" t="s">
        <v>1302</v>
      </c>
      <c r="B915" s="2" t="s">
        <v>1303</v>
      </c>
      <c r="C915" s="3" t="s">
        <v>13</v>
      </c>
      <c r="D915" s="2" t="s">
        <v>1215</v>
      </c>
      <c r="E915" s="3" t="s">
        <v>1216</v>
      </c>
      <c r="F915" s="2" t="s">
        <v>34</v>
      </c>
      <c r="G915" s="3" t="s">
        <v>35</v>
      </c>
      <c r="H915" s="2" t="s">
        <v>18</v>
      </c>
      <c r="I915" s="3" t="s">
        <v>19</v>
      </c>
      <c r="J915" s="3">
        <v>1584</v>
      </c>
      <c r="K915" s="3">
        <v>254</v>
      </c>
      <c r="L915" s="3">
        <v>1</v>
      </c>
      <c r="M915" s="4">
        <f t="shared" si="123"/>
        <v>0.16035353535353536</v>
      </c>
      <c r="N915" s="4">
        <f t="shared" si="124"/>
        <v>3.937007874015748E-3</v>
      </c>
      <c r="O915">
        <v>455</v>
      </c>
      <c r="P915" s="5">
        <v>1</v>
      </c>
      <c r="Q915" s="7">
        <v>1</v>
      </c>
      <c r="R915" t="str">
        <f t="shared" si="130"/>
        <v>код для проверки</v>
      </c>
      <c r="S915" t="str">
        <f t="shared" si="125"/>
        <v>Больше половины</v>
      </c>
      <c r="T915" t="str">
        <f t="shared" si="126"/>
        <v>Низшая четверть</v>
      </c>
      <c r="U915" t="str">
        <f t="shared" si="127"/>
        <v>код для проверки</v>
      </c>
      <c r="V915" t="str">
        <f t="shared" si="128"/>
        <v>Больше половины</v>
      </c>
      <c r="W915" t="str">
        <f t="shared" si="129"/>
        <v>Низшая четверть</v>
      </c>
      <c r="X915">
        <v>28</v>
      </c>
    </row>
    <row r="916" spans="1:24" x14ac:dyDescent="0.35">
      <c r="A916" s="1" t="s">
        <v>1337</v>
      </c>
      <c r="B916" s="2" t="s">
        <v>1338</v>
      </c>
      <c r="C916" s="3" t="s">
        <v>55</v>
      </c>
      <c r="D916" s="2" t="s">
        <v>56</v>
      </c>
      <c r="E916" s="3" t="s">
        <v>700</v>
      </c>
      <c r="F916" s="2" t="s">
        <v>96</v>
      </c>
      <c r="G916" s="3" t="s">
        <v>17</v>
      </c>
      <c r="H916" s="2" t="s">
        <v>18</v>
      </c>
      <c r="I916" s="3" t="s">
        <v>19</v>
      </c>
      <c r="J916" s="3">
        <v>1583</v>
      </c>
      <c r="K916" s="3">
        <v>70</v>
      </c>
      <c r="L916" s="3">
        <v>0</v>
      </c>
      <c r="M916" s="4">
        <f t="shared" si="123"/>
        <v>4.421983575489577E-2</v>
      </c>
      <c r="N916" s="4">
        <f t="shared" si="124"/>
        <v>0</v>
      </c>
      <c r="O916">
        <v>234</v>
      </c>
      <c r="P916" s="5">
        <v>0.75</v>
      </c>
      <c r="Q916" s="7">
        <v>1</v>
      </c>
      <c r="R916" t="str">
        <f t="shared" si="130"/>
        <v>код для проверки</v>
      </c>
      <c r="S916" t="str">
        <f t="shared" si="125"/>
        <v>Низшая четверть</v>
      </c>
      <c r="T916" t="str">
        <f t="shared" si="126"/>
        <v>Низшая четверть</v>
      </c>
      <c r="U916" t="str">
        <f t="shared" si="127"/>
        <v>код для проверки</v>
      </c>
      <c r="V916" t="str">
        <f t="shared" si="128"/>
        <v>Вторая четверть</v>
      </c>
      <c r="W916" t="str">
        <f t="shared" si="129"/>
        <v>Низшая четверть</v>
      </c>
      <c r="X916">
        <v>26</v>
      </c>
    </row>
    <row r="917" spans="1:24" x14ac:dyDescent="0.35">
      <c r="A917" s="1" t="s">
        <v>1406</v>
      </c>
      <c r="B917" s="2" t="s">
        <v>1407</v>
      </c>
      <c r="C917" s="3" t="s">
        <v>55</v>
      </c>
      <c r="D917" s="2" t="s">
        <v>1221</v>
      </c>
      <c r="E917" s="3" t="s">
        <v>1222</v>
      </c>
      <c r="F917" s="2" t="s">
        <v>96</v>
      </c>
      <c r="G917" s="3" t="s">
        <v>17</v>
      </c>
      <c r="H917" s="2" t="s">
        <v>1223</v>
      </c>
      <c r="I917" s="3" t="s">
        <v>19</v>
      </c>
      <c r="J917" s="3">
        <v>1574</v>
      </c>
      <c r="K917" s="3">
        <v>193</v>
      </c>
      <c r="L917" s="3">
        <v>1</v>
      </c>
      <c r="M917" s="4">
        <f t="shared" si="123"/>
        <v>0.12261753494282084</v>
      </c>
      <c r="N917" s="4">
        <f t="shared" si="124"/>
        <v>5.1813471502590676E-3</v>
      </c>
      <c r="O917">
        <v>377</v>
      </c>
      <c r="P917" s="5">
        <v>1</v>
      </c>
      <c r="Q917" s="7">
        <v>1</v>
      </c>
      <c r="R917" t="str">
        <f t="shared" si="130"/>
        <v>код для проверки</v>
      </c>
      <c r="S917" t="str">
        <f t="shared" si="125"/>
        <v>Больше половины</v>
      </c>
      <c r="T917" t="str">
        <f t="shared" si="126"/>
        <v>Низшая четверть</v>
      </c>
      <c r="U917" t="str">
        <f t="shared" si="127"/>
        <v>код для проверки</v>
      </c>
      <c r="V917" t="str">
        <f t="shared" si="128"/>
        <v>Больше половины</v>
      </c>
      <c r="W917" t="str">
        <f t="shared" si="129"/>
        <v>Низшая четверть</v>
      </c>
      <c r="X917">
        <v>25</v>
      </c>
    </row>
    <row r="918" spans="1:24" x14ac:dyDescent="0.35">
      <c r="A918" s="1" t="s">
        <v>2546</v>
      </c>
      <c r="B918" s="2" t="s">
        <v>2547</v>
      </c>
      <c r="C918" s="3" t="s">
        <v>55</v>
      </c>
      <c r="D918" s="2" t="s">
        <v>972</v>
      </c>
      <c r="E918" s="3" t="s">
        <v>973</v>
      </c>
      <c r="F918" s="2" t="s">
        <v>34</v>
      </c>
      <c r="G918" s="3" t="s">
        <v>17</v>
      </c>
      <c r="H918" s="2" t="s">
        <v>18</v>
      </c>
      <c r="I918" s="3" t="s">
        <v>19</v>
      </c>
      <c r="J918" s="3">
        <v>1564</v>
      </c>
      <c r="K918" s="3">
        <v>55</v>
      </c>
      <c r="L918" s="3">
        <v>1</v>
      </c>
      <c r="M918" s="4">
        <f t="shared" si="123"/>
        <v>3.5166240409207163E-2</v>
      </c>
      <c r="N918" s="4">
        <f t="shared" si="124"/>
        <v>1.8181818181818181E-2</v>
      </c>
      <c r="O918">
        <v>459</v>
      </c>
      <c r="P918" s="5">
        <v>1</v>
      </c>
      <c r="Q918" s="7">
        <v>1</v>
      </c>
      <c r="R918" t="str">
        <f t="shared" si="130"/>
        <v>код для проверки</v>
      </c>
      <c r="S918" t="str">
        <f t="shared" si="125"/>
        <v>Низшая четверть</v>
      </c>
      <c r="T918" t="str">
        <f t="shared" si="126"/>
        <v>Вторая четверть</v>
      </c>
      <c r="U918" t="str">
        <f t="shared" si="127"/>
        <v>код для проверки</v>
      </c>
      <c r="V918" t="str">
        <f t="shared" si="128"/>
        <v>Низшая четверть</v>
      </c>
      <c r="W918" t="str">
        <f t="shared" si="129"/>
        <v>Вторая четверть</v>
      </c>
      <c r="X918">
        <v>23</v>
      </c>
    </row>
    <row r="919" spans="1:24" x14ac:dyDescent="0.35">
      <c r="A919" s="1" t="s">
        <v>2548</v>
      </c>
      <c r="B919" s="2" t="s">
        <v>2549</v>
      </c>
      <c r="C919" s="3" t="s">
        <v>13</v>
      </c>
      <c r="D919" s="2" t="s">
        <v>69</v>
      </c>
      <c r="E919" s="3" t="s">
        <v>1780</v>
      </c>
      <c r="F919" s="2" t="s">
        <v>61</v>
      </c>
      <c r="G919" s="3" t="s">
        <v>72</v>
      </c>
      <c r="H919" s="2" t="s">
        <v>18</v>
      </c>
      <c r="I919" s="3" t="s">
        <v>19</v>
      </c>
      <c r="J919" s="3">
        <v>1563</v>
      </c>
      <c r="K919" s="3">
        <v>31</v>
      </c>
      <c r="L919" s="3">
        <v>1</v>
      </c>
      <c r="M919" s="4">
        <f t="shared" si="123"/>
        <v>1.983365323096609E-2</v>
      </c>
      <c r="N919" s="4">
        <f t="shared" si="124"/>
        <v>3.2258064516129031E-2</v>
      </c>
      <c r="O919">
        <v>557</v>
      </c>
      <c r="P919" s="5">
        <v>1</v>
      </c>
      <c r="Q919" s="7">
        <v>1</v>
      </c>
      <c r="R919" t="str">
        <f t="shared" si="130"/>
        <v>код для проверки</v>
      </c>
      <c r="S919" t="str">
        <f t="shared" si="125"/>
        <v>Низшая четверть</v>
      </c>
      <c r="T919" t="str">
        <f t="shared" si="126"/>
        <v>Больше половины</v>
      </c>
      <c r="U919" t="str">
        <f t="shared" si="127"/>
        <v>нормальный код</v>
      </c>
      <c r="V919" t="str">
        <f t="shared" si="128"/>
        <v>Вторая четверть</v>
      </c>
      <c r="W919" t="str">
        <f t="shared" si="129"/>
        <v>Вторая четверть</v>
      </c>
      <c r="X919">
        <v>16</v>
      </c>
    </row>
    <row r="920" spans="1:24" x14ac:dyDescent="0.35">
      <c r="A920" s="1" t="s">
        <v>2550</v>
      </c>
      <c r="B920" s="2" t="s">
        <v>2551</v>
      </c>
      <c r="C920" s="3" t="s">
        <v>13</v>
      </c>
      <c r="D920" s="2" t="s">
        <v>69</v>
      </c>
      <c r="E920" s="3" t="s">
        <v>371</v>
      </c>
      <c r="F920" s="2" t="s">
        <v>96</v>
      </c>
      <c r="G920" s="3" t="s">
        <v>72</v>
      </c>
      <c r="H920" s="2" t="s">
        <v>18</v>
      </c>
      <c r="I920" s="3" t="s">
        <v>19</v>
      </c>
      <c r="J920" s="3">
        <v>1561</v>
      </c>
      <c r="K920" s="3">
        <v>383</v>
      </c>
      <c r="L920" s="3">
        <v>3</v>
      </c>
      <c r="M920" s="4">
        <f t="shared" si="123"/>
        <v>0.24535554131966689</v>
      </c>
      <c r="N920" s="4">
        <f t="shared" si="124"/>
        <v>7.832898172323759E-3</v>
      </c>
      <c r="O920">
        <v>448</v>
      </c>
      <c r="P920" s="5">
        <v>1</v>
      </c>
      <c r="Q920" s="7">
        <v>1</v>
      </c>
      <c r="R920" t="str">
        <f t="shared" si="130"/>
        <v>код для проверки</v>
      </c>
      <c r="S920" t="str">
        <f t="shared" si="125"/>
        <v>Больше половины</v>
      </c>
      <c r="T920" t="str">
        <f t="shared" si="126"/>
        <v>Низшая четверть</v>
      </c>
      <c r="U920" t="str">
        <f t="shared" si="127"/>
        <v>нормальный код</v>
      </c>
      <c r="V920" t="str">
        <f t="shared" si="128"/>
        <v>Больше половины</v>
      </c>
      <c r="W920" t="str">
        <f t="shared" si="129"/>
        <v>Вторая четверть</v>
      </c>
      <c r="X920">
        <v>15</v>
      </c>
    </row>
    <row r="921" spans="1:24" x14ac:dyDescent="0.35">
      <c r="A921" s="1" t="s">
        <v>1757</v>
      </c>
      <c r="B921" s="2" t="s">
        <v>1758</v>
      </c>
      <c r="C921" s="3" t="s">
        <v>13</v>
      </c>
      <c r="D921" s="2" t="s">
        <v>164</v>
      </c>
      <c r="E921" s="3" t="s">
        <v>1210</v>
      </c>
      <c r="F921" s="2" t="s">
        <v>123</v>
      </c>
      <c r="G921" s="3" t="s">
        <v>17</v>
      </c>
      <c r="H921" s="2" t="s">
        <v>18</v>
      </c>
      <c r="I921" s="3" t="s">
        <v>19</v>
      </c>
      <c r="J921" s="3">
        <v>1558</v>
      </c>
      <c r="K921" s="3">
        <v>38</v>
      </c>
      <c r="L921" s="3">
        <v>3</v>
      </c>
      <c r="M921" s="4">
        <f t="shared" si="123"/>
        <v>2.4390243902439025E-2</v>
      </c>
      <c r="N921" s="4">
        <f t="shared" si="124"/>
        <v>7.8947368421052627E-2</v>
      </c>
      <c r="O921">
        <v>213</v>
      </c>
      <c r="P921" s="5">
        <v>0.8</v>
      </c>
      <c r="Q921" s="7">
        <v>1</v>
      </c>
      <c r="R921" t="str">
        <f t="shared" si="130"/>
        <v>код для проверки</v>
      </c>
      <c r="S921" t="str">
        <f t="shared" si="125"/>
        <v>Низшая четверть</v>
      </c>
      <c r="T921" t="str">
        <f t="shared" si="126"/>
        <v>Больше половины</v>
      </c>
      <c r="U921" t="str">
        <f t="shared" si="127"/>
        <v>код для проверки</v>
      </c>
      <c r="V921" t="str">
        <f t="shared" si="128"/>
        <v>Низшая четверть</v>
      </c>
      <c r="W921" t="str">
        <f t="shared" si="129"/>
        <v>Больше половины</v>
      </c>
      <c r="X921">
        <v>12</v>
      </c>
    </row>
    <row r="922" spans="1:24" x14ac:dyDescent="0.35">
      <c r="A922" s="1" t="s">
        <v>2552</v>
      </c>
      <c r="B922" s="2" t="s">
        <v>2553</v>
      </c>
      <c r="C922" s="3" t="s">
        <v>13</v>
      </c>
      <c r="D922" s="2" t="s">
        <v>69</v>
      </c>
      <c r="E922" s="3" t="s">
        <v>958</v>
      </c>
      <c r="F922" s="2" t="s">
        <v>96</v>
      </c>
      <c r="G922" s="3" t="s">
        <v>72</v>
      </c>
      <c r="H922" s="2" t="s">
        <v>18</v>
      </c>
      <c r="I922" s="3" t="s">
        <v>19</v>
      </c>
      <c r="J922" s="3">
        <v>1556</v>
      </c>
      <c r="K922" s="3">
        <v>264</v>
      </c>
      <c r="L922" s="3">
        <v>1</v>
      </c>
      <c r="M922" s="4">
        <f t="shared" si="123"/>
        <v>0.16966580976863754</v>
      </c>
      <c r="N922" s="4">
        <f t="shared" si="124"/>
        <v>3.787878787878788E-3</v>
      </c>
      <c r="O922">
        <v>890</v>
      </c>
      <c r="P922" s="5">
        <v>1</v>
      </c>
      <c r="Q922" s="7">
        <v>1</v>
      </c>
      <c r="R922" t="str">
        <f t="shared" si="130"/>
        <v>код для проверки</v>
      </c>
      <c r="S922" t="str">
        <f t="shared" si="125"/>
        <v>Больше половины</v>
      </c>
      <c r="T922" t="str">
        <f t="shared" si="126"/>
        <v>Низшая четверть</v>
      </c>
      <c r="U922" t="str">
        <f t="shared" si="127"/>
        <v>нормальный код</v>
      </c>
      <c r="V922" t="str">
        <f t="shared" si="128"/>
        <v>Вторая четверть</v>
      </c>
      <c r="W922" t="str">
        <f t="shared" si="129"/>
        <v>Вторая четверть</v>
      </c>
      <c r="X922">
        <v>15</v>
      </c>
    </row>
    <row r="923" spans="1:24" x14ac:dyDescent="0.35">
      <c r="A923" s="1" t="s">
        <v>1716</v>
      </c>
      <c r="B923" s="2" t="s">
        <v>1717</v>
      </c>
      <c r="C923" s="3" t="s">
        <v>13</v>
      </c>
      <c r="D923" s="2" t="s">
        <v>155</v>
      </c>
      <c r="E923" s="3" t="s">
        <v>156</v>
      </c>
      <c r="F923" s="2" t="s">
        <v>34</v>
      </c>
      <c r="G923" s="3" t="s">
        <v>17</v>
      </c>
      <c r="H923" s="2" t="s">
        <v>18</v>
      </c>
      <c r="I923" s="3" t="s">
        <v>19</v>
      </c>
      <c r="J923" s="3">
        <v>1553</v>
      </c>
      <c r="K923" s="3">
        <v>66</v>
      </c>
      <c r="L923" s="3">
        <v>5</v>
      </c>
      <c r="M923" s="4">
        <f t="shared" si="123"/>
        <v>4.2498390212491952E-2</v>
      </c>
      <c r="N923" s="4">
        <f t="shared" si="124"/>
        <v>7.575757575757576E-2</v>
      </c>
      <c r="O923">
        <v>293</v>
      </c>
      <c r="P923" s="5">
        <v>0.55555555555555558</v>
      </c>
      <c r="Q923" s="7">
        <v>1</v>
      </c>
      <c r="R923" t="str">
        <f t="shared" si="130"/>
        <v>код для проверки</v>
      </c>
      <c r="S923" t="str">
        <f t="shared" si="125"/>
        <v>Низшая четверть</v>
      </c>
      <c r="T923" t="str">
        <f t="shared" si="126"/>
        <v>Больше половины</v>
      </c>
      <c r="U923" t="str">
        <f t="shared" si="127"/>
        <v>код для проверки</v>
      </c>
      <c r="V923" t="str">
        <f t="shared" si="128"/>
        <v>Низшая четверть</v>
      </c>
      <c r="W923" t="str">
        <f t="shared" si="129"/>
        <v>Больше половины</v>
      </c>
      <c r="X923">
        <v>13</v>
      </c>
    </row>
    <row r="924" spans="1:24" x14ac:dyDescent="0.35">
      <c r="A924" s="1" t="s">
        <v>1732</v>
      </c>
      <c r="B924" s="2" t="s">
        <v>1733</v>
      </c>
      <c r="C924" s="3" t="s">
        <v>13</v>
      </c>
      <c r="D924" s="2" t="s">
        <v>77</v>
      </c>
      <c r="E924" s="3" t="s">
        <v>89</v>
      </c>
      <c r="F924" s="2" t="s">
        <v>34</v>
      </c>
      <c r="G924" s="3" t="s">
        <v>35</v>
      </c>
      <c r="H924" s="2" t="s">
        <v>18</v>
      </c>
      <c r="I924" s="3" t="s">
        <v>19</v>
      </c>
      <c r="J924" s="3">
        <v>1543</v>
      </c>
      <c r="K924" s="3">
        <v>33</v>
      </c>
      <c r="L924" s="3">
        <v>0</v>
      </c>
      <c r="M924" s="4">
        <f t="shared" si="123"/>
        <v>2.1386908619572261E-2</v>
      </c>
      <c r="N924" s="4">
        <f t="shared" si="124"/>
        <v>0</v>
      </c>
      <c r="O924">
        <v>690</v>
      </c>
      <c r="P924" s="5">
        <v>1</v>
      </c>
      <c r="Q924" s="7">
        <v>1</v>
      </c>
      <c r="R924" t="str">
        <f t="shared" si="130"/>
        <v>код для проверки</v>
      </c>
      <c r="S924" t="str">
        <f t="shared" si="125"/>
        <v>Низшая четверть</v>
      </c>
      <c r="T924" t="str">
        <f t="shared" si="126"/>
        <v>Низшая четверть</v>
      </c>
      <c r="U924" t="str">
        <f t="shared" si="127"/>
        <v>код для проверки</v>
      </c>
      <c r="V924" t="str">
        <f t="shared" si="128"/>
        <v>Низшая четверть</v>
      </c>
      <c r="W924" t="str">
        <f t="shared" si="129"/>
        <v>Низшая четверть</v>
      </c>
      <c r="X924">
        <v>11</v>
      </c>
    </row>
    <row r="925" spans="1:24" x14ac:dyDescent="0.35">
      <c r="A925" s="1" t="s">
        <v>2295</v>
      </c>
      <c r="B925" s="2" t="s">
        <v>2296</v>
      </c>
      <c r="C925" s="3" t="s">
        <v>13</v>
      </c>
      <c r="D925" s="2" t="s">
        <v>85</v>
      </c>
      <c r="E925" s="3" t="s">
        <v>1937</v>
      </c>
      <c r="F925" s="2" t="s">
        <v>96</v>
      </c>
      <c r="G925" s="3" t="s">
        <v>35</v>
      </c>
      <c r="H925" s="2" t="s">
        <v>18</v>
      </c>
      <c r="I925" s="3" t="s">
        <v>19</v>
      </c>
      <c r="J925" s="3">
        <v>1536</v>
      </c>
      <c r="K925" s="3">
        <v>382</v>
      </c>
      <c r="L925" s="3">
        <v>9</v>
      </c>
      <c r="M925" s="4">
        <f t="shared" si="123"/>
        <v>0.24869791666666666</v>
      </c>
      <c r="N925" s="4">
        <f t="shared" si="124"/>
        <v>2.356020942408377E-2</v>
      </c>
      <c r="O925">
        <v>31</v>
      </c>
      <c r="P925" s="5">
        <v>0.4</v>
      </c>
      <c r="Q925" s="7">
        <v>1</v>
      </c>
      <c r="R925" t="str">
        <f t="shared" si="130"/>
        <v>нормальный код</v>
      </c>
      <c r="S925" t="str">
        <f t="shared" si="125"/>
        <v>Больше половины</v>
      </c>
      <c r="T925" t="str">
        <f t="shared" si="126"/>
        <v>Больше половины</v>
      </c>
      <c r="U925" t="str">
        <f t="shared" si="127"/>
        <v>нормальный код</v>
      </c>
      <c r="V925" t="str">
        <f t="shared" si="128"/>
        <v>Больше половины</v>
      </c>
      <c r="W925" t="str">
        <f t="shared" si="129"/>
        <v>Вторая четверть</v>
      </c>
      <c r="X925">
        <v>16</v>
      </c>
    </row>
    <row r="926" spans="1:24" x14ac:dyDescent="0.35">
      <c r="A926" s="1" t="s">
        <v>944</v>
      </c>
      <c r="B926" s="2" t="s">
        <v>945</v>
      </c>
      <c r="C926" s="3" t="s">
        <v>13</v>
      </c>
      <c r="D926" s="2" t="s">
        <v>104</v>
      </c>
      <c r="E926" s="3" t="s">
        <v>875</v>
      </c>
      <c r="F926" s="2" t="s">
        <v>71</v>
      </c>
      <c r="G926" s="3" t="s">
        <v>17</v>
      </c>
      <c r="H926" s="2" t="s">
        <v>18</v>
      </c>
      <c r="I926" s="3" t="s">
        <v>19</v>
      </c>
      <c r="J926" s="3">
        <v>1535</v>
      </c>
      <c r="K926" s="3">
        <v>67</v>
      </c>
      <c r="L926" s="3">
        <v>1</v>
      </c>
      <c r="M926" s="4">
        <f t="shared" si="123"/>
        <v>4.3648208469055372E-2</v>
      </c>
      <c r="N926" s="4">
        <f t="shared" si="124"/>
        <v>1.4925373134328358E-2</v>
      </c>
      <c r="O926">
        <v>194</v>
      </c>
      <c r="P926" s="5">
        <v>0.8</v>
      </c>
      <c r="Q926" s="7">
        <v>1</v>
      </c>
      <c r="R926" t="str">
        <f t="shared" si="130"/>
        <v>код для проверки</v>
      </c>
      <c r="S926" t="str">
        <f t="shared" si="125"/>
        <v>Низшая четверть</v>
      </c>
      <c r="T926" t="str">
        <f t="shared" si="126"/>
        <v>Вторая четверть</v>
      </c>
      <c r="U926" t="str">
        <f t="shared" si="127"/>
        <v>код для проверки</v>
      </c>
      <c r="V926" t="str">
        <f t="shared" si="128"/>
        <v>Низшая четверть</v>
      </c>
      <c r="W926" t="str">
        <f t="shared" si="129"/>
        <v>Вторая четверть</v>
      </c>
      <c r="X926">
        <v>15</v>
      </c>
    </row>
    <row r="927" spans="1:24" x14ac:dyDescent="0.35">
      <c r="A927" s="1" t="s">
        <v>1623</v>
      </c>
      <c r="B927" s="2" t="s">
        <v>1624</v>
      </c>
      <c r="C927" s="3" t="s">
        <v>13</v>
      </c>
      <c r="D927" s="2" t="s">
        <v>49</v>
      </c>
      <c r="E927" s="3" t="s">
        <v>50</v>
      </c>
      <c r="F927" s="2" t="s">
        <v>34</v>
      </c>
      <c r="G927" s="3" t="s">
        <v>35</v>
      </c>
      <c r="H927" s="2" t="s">
        <v>18</v>
      </c>
      <c r="I927" s="3" t="s">
        <v>19</v>
      </c>
      <c r="J927" s="3">
        <v>1531</v>
      </c>
      <c r="K927" s="3">
        <v>774</v>
      </c>
      <c r="L927" s="3">
        <v>2</v>
      </c>
      <c r="M927" s="4">
        <f t="shared" si="123"/>
        <v>0.50555192684519923</v>
      </c>
      <c r="N927" s="4">
        <f t="shared" si="124"/>
        <v>2.5839793281653748E-3</v>
      </c>
      <c r="O927">
        <v>269</v>
      </c>
      <c r="P927" s="5">
        <v>0.8</v>
      </c>
      <c r="Q927" s="7">
        <v>1</v>
      </c>
      <c r="R927" t="str">
        <f t="shared" si="130"/>
        <v>код для проверки</v>
      </c>
      <c r="S927" t="str">
        <f t="shared" si="125"/>
        <v>Больше половины</v>
      </c>
      <c r="T927" t="str">
        <f t="shared" si="126"/>
        <v>Низшая четверть</v>
      </c>
      <c r="U927" t="str">
        <f t="shared" si="127"/>
        <v>код для проверки</v>
      </c>
      <c r="V927" t="str">
        <f t="shared" si="128"/>
        <v>Больше половины</v>
      </c>
      <c r="W927" t="str">
        <f t="shared" si="129"/>
        <v>Низшая четверть</v>
      </c>
      <c r="X927">
        <v>10</v>
      </c>
    </row>
    <row r="928" spans="1:24" x14ac:dyDescent="0.35">
      <c r="A928" s="1" t="s">
        <v>1363</v>
      </c>
      <c r="B928" s="2" t="s">
        <v>1364</v>
      </c>
      <c r="C928" s="3" t="s">
        <v>55</v>
      </c>
      <c r="D928" s="2" t="s">
        <v>985</v>
      </c>
      <c r="E928" s="3" t="s">
        <v>1365</v>
      </c>
      <c r="F928" s="2" t="s">
        <v>34</v>
      </c>
      <c r="G928" s="3" t="s">
        <v>17</v>
      </c>
      <c r="H928" s="2" t="s">
        <v>18</v>
      </c>
      <c r="I928" s="3" t="s">
        <v>19</v>
      </c>
      <c r="J928" s="3">
        <v>1515</v>
      </c>
      <c r="K928" s="3">
        <v>79</v>
      </c>
      <c r="L928" s="3">
        <v>0</v>
      </c>
      <c r="M928" s="4">
        <f t="shared" si="123"/>
        <v>5.2145214521452148E-2</v>
      </c>
      <c r="N928" s="4">
        <f t="shared" si="124"/>
        <v>0</v>
      </c>
      <c r="O928">
        <v>573</v>
      </c>
      <c r="P928" s="5">
        <v>1</v>
      </c>
      <c r="Q928" s="7">
        <v>1</v>
      </c>
      <c r="R928" t="str">
        <f t="shared" si="130"/>
        <v>код для проверки</v>
      </c>
      <c r="S928" t="str">
        <f t="shared" si="125"/>
        <v>Вторая четверть</v>
      </c>
      <c r="T928" t="str">
        <f t="shared" si="126"/>
        <v>Низшая четверть</v>
      </c>
      <c r="U928" t="str">
        <f t="shared" si="127"/>
        <v>код для проверки</v>
      </c>
      <c r="V928" t="str">
        <f t="shared" si="128"/>
        <v>Больше половины</v>
      </c>
      <c r="W928" t="str">
        <f t="shared" si="129"/>
        <v>Низшая четверть</v>
      </c>
      <c r="X928">
        <v>4</v>
      </c>
    </row>
    <row r="929" spans="1:24" x14ac:dyDescent="0.35">
      <c r="A929" s="1" t="s">
        <v>1806</v>
      </c>
      <c r="B929" s="2" t="s">
        <v>1807</v>
      </c>
      <c r="C929" s="3" t="s">
        <v>55</v>
      </c>
      <c r="D929" s="2" t="s">
        <v>94</v>
      </c>
      <c r="E929" s="3" t="s">
        <v>812</v>
      </c>
      <c r="F929" s="2" t="s">
        <v>96</v>
      </c>
      <c r="G929" s="3" t="s">
        <v>17</v>
      </c>
      <c r="H929" s="2" t="s">
        <v>18</v>
      </c>
      <c r="I929" s="3" t="s">
        <v>19</v>
      </c>
      <c r="J929" s="3">
        <v>1511</v>
      </c>
      <c r="K929" s="3">
        <v>513</v>
      </c>
      <c r="L929" s="3">
        <v>0</v>
      </c>
      <c r="M929" s="4">
        <f t="shared" si="123"/>
        <v>0.33951025810721375</v>
      </c>
      <c r="N929" s="4">
        <f t="shared" si="124"/>
        <v>0</v>
      </c>
      <c r="O929">
        <v>838</v>
      </c>
      <c r="P929" s="5">
        <v>0.8</v>
      </c>
      <c r="Q929" s="7">
        <v>1</v>
      </c>
      <c r="R929" t="str">
        <f t="shared" si="130"/>
        <v>код для проверки</v>
      </c>
      <c r="S929" t="str">
        <f t="shared" si="125"/>
        <v>Больше половины</v>
      </c>
      <c r="T929" t="str">
        <f t="shared" si="126"/>
        <v>Низшая четверть</v>
      </c>
      <c r="U929" t="str">
        <f t="shared" si="127"/>
        <v>код для проверки</v>
      </c>
      <c r="V929" t="str">
        <f t="shared" si="128"/>
        <v>Больше половины</v>
      </c>
      <c r="W929" t="str">
        <f t="shared" si="129"/>
        <v>Низшая четверть</v>
      </c>
      <c r="X929">
        <v>6</v>
      </c>
    </row>
    <row r="930" spans="1:24" x14ac:dyDescent="0.35">
      <c r="A930" s="1" t="s">
        <v>2554</v>
      </c>
      <c r="B930" s="2" t="s">
        <v>2555</v>
      </c>
      <c r="C930" s="3" t="s">
        <v>13</v>
      </c>
      <c r="D930" s="2" t="s">
        <v>155</v>
      </c>
      <c r="E930" s="3" t="s">
        <v>156</v>
      </c>
      <c r="F930" s="2" t="s">
        <v>34</v>
      </c>
      <c r="G930" s="3" t="s">
        <v>17</v>
      </c>
      <c r="H930" s="2" t="s">
        <v>18</v>
      </c>
      <c r="I930" s="3" t="s">
        <v>19</v>
      </c>
      <c r="J930" s="3">
        <v>1510</v>
      </c>
      <c r="K930" s="3">
        <v>52</v>
      </c>
      <c r="L930" s="3">
        <v>2</v>
      </c>
      <c r="M930" s="4">
        <f t="shared" si="123"/>
        <v>3.443708609271523E-2</v>
      </c>
      <c r="N930" s="4">
        <f t="shared" si="124"/>
        <v>3.8461538461538464E-2</v>
      </c>
      <c r="O930">
        <v>924</v>
      </c>
      <c r="P930" s="5">
        <v>1</v>
      </c>
      <c r="Q930" s="7">
        <v>1</v>
      </c>
      <c r="R930" t="str">
        <f t="shared" si="130"/>
        <v>код для проверки</v>
      </c>
      <c r="S930" t="str">
        <f t="shared" si="125"/>
        <v>Низшая четверть</v>
      </c>
      <c r="T930" t="str">
        <f t="shared" si="126"/>
        <v>Больше половины</v>
      </c>
      <c r="U930" t="str">
        <f t="shared" si="127"/>
        <v>код для проверки</v>
      </c>
      <c r="V930" t="str">
        <f t="shared" si="128"/>
        <v>Низшая четверть</v>
      </c>
      <c r="W930" t="str">
        <f t="shared" si="129"/>
        <v>Больше половины</v>
      </c>
      <c r="X930">
        <v>10</v>
      </c>
    </row>
    <row r="931" spans="1:24" x14ac:dyDescent="0.35">
      <c r="A931" s="1" t="s">
        <v>1252</v>
      </c>
      <c r="B931" s="2" t="s">
        <v>1253</v>
      </c>
      <c r="C931" s="3" t="s">
        <v>13</v>
      </c>
      <c r="D931" s="2" t="s">
        <v>164</v>
      </c>
      <c r="E931" s="3" t="s">
        <v>374</v>
      </c>
      <c r="F931" s="2" t="s">
        <v>71</v>
      </c>
      <c r="G931" s="3" t="s">
        <v>35</v>
      </c>
      <c r="H931" s="2" t="s">
        <v>18</v>
      </c>
      <c r="I931" s="3" t="s">
        <v>19</v>
      </c>
      <c r="J931" s="3">
        <v>1496</v>
      </c>
      <c r="K931" s="3">
        <v>54</v>
      </c>
      <c r="L931" s="3">
        <v>0</v>
      </c>
      <c r="M931" s="4">
        <f t="shared" si="123"/>
        <v>3.6096256684491977E-2</v>
      </c>
      <c r="N931" s="4">
        <f t="shared" si="124"/>
        <v>0</v>
      </c>
      <c r="O931">
        <v>435</v>
      </c>
      <c r="P931" s="5">
        <v>1</v>
      </c>
      <c r="Q931" s="7">
        <v>1</v>
      </c>
      <c r="R931" t="str">
        <f t="shared" si="130"/>
        <v>код для проверки</v>
      </c>
      <c r="S931" t="str">
        <f t="shared" si="125"/>
        <v>Низшая четверть</v>
      </c>
      <c r="T931" t="str">
        <f t="shared" si="126"/>
        <v>Низшая четверть</v>
      </c>
      <c r="U931" t="str">
        <f t="shared" si="127"/>
        <v>код для проверки</v>
      </c>
      <c r="V931" t="str">
        <f t="shared" si="128"/>
        <v>Вторая четверть</v>
      </c>
      <c r="W931" t="str">
        <f t="shared" si="129"/>
        <v>Низшая четверть</v>
      </c>
      <c r="X931">
        <v>17</v>
      </c>
    </row>
    <row r="932" spans="1:24" x14ac:dyDescent="0.35">
      <c r="A932" s="1" t="s">
        <v>1557</v>
      </c>
      <c r="B932" s="2" t="s">
        <v>1558</v>
      </c>
      <c r="C932" s="3" t="s">
        <v>13</v>
      </c>
      <c r="D932" s="2" t="s">
        <v>630</v>
      </c>
      <c r="E932" s="3" t="s">
        <v>685</v>
      </c>
      <c r="F932" s="2" t="s">
        <v>61</v>
      </c>
      <c r="G932" s="3" t="s">
        <v>17</v>
      </c>
      <c r="H932" s="2" t="s">
        <v>97</v>
      </c>
      <c r="I932" s="3" t="s">
        <v>19</v>
      </c>
      <c r="J932" s="3">
        <v>1491</v>
      </c>
      <c r="K932" s="3">
        <v>177</v>
      </c>
      <c r="L932" s="3">
        <v>5</v>
      </c>
      <c r="M932" s="4">
        <f t="shared" si="123"/>
        <v>0.11871227364185111</v>
      </c>
      <c r="N932" s="4">
        <f t="shared" si="124"/>
        <v>2.8248587570621469E-2</v>
      </c>
      <c r="O932">
        <v>0</v>
      </c>
      <c r="P932" s="5">
        <v>0</v>
      </c>
      <c r="Q932" s="7">
        <v>0</v>
      </c>
      <c r="R932" t="s">
        <v>2350</v>
      </c>
      <c r="S932" t="str">
        <f t="shared" si="125"/>
        <v>Больше половины</v>
      </c>
      <c r="T932" t="str">
        <f t="shared" si="126"/>
        <v>Больше половины</v>
      </c>
      <c r="U932" t="str">
        <f t="shared" si="127"/>
        <v>нормальный код</v>
      </c>
      <c r="V932" t="str">
        <f t="shared" si="128"/>
        <v>Больше половины</v>
      </c>
      <c r="W932" t="str">
        <f t="shared" si="129"/>
        <v>Больше половины</v>
      </c>
      <c r="X932">
        <v>8</v>
      </c>
    </row>
    <row r="933" spans="1:24" x14ac:dyDescent="0.35">
      <c r="A933" s="1" t="s">
        <v>1258</v>
      </c>
      <c r="B933" s="2" t="s">
        <v>1259</v>
      </c>
      <c r="C933" s="3" t="s">
        <v>13</v>
      </c>
      <c r="D933" s="2" t="s">
        <v>164</v>
      </c>
      <c r="E933" s="3" t="s">
        <v>538</v>
      </c>
      <c r="F933" s="2" t="s">
        <v>71</v>
      </c>
      <c r="G933" s="3" t="s">
        <v>35</v>
      </c>
      <c r="H933" s="2" t="s">
        <v>18</v>
      </c>
      <c r="I933" s="3" t="s">
        <v>19</v>
      </c>
      <c r="J933" s="3">
        <v>1470</v>
      </c>
      <c r="K933" s="3">
        <v>230</v>
      </c>
      <c r="L933" s="3">
        <v>0</v>
      </c>
      <c r="M933" s="4">
        <f t="shared" si="123"/>
        <v>0.15646258503401361</v>
      </c>
      <c r="N933" s="4">
        <f t="shared" si="124"/>
        <v>0</v>
      </c>
      <c r="O933">
        <v>344</v>
      </c>
      <c r="P933" s="5">
        <v>1</v>
      </c>
      <c r="Q933" s="7">
        <v>1</v>
      </c>
      <c r="R933" t="str">
        <f t="shared" ref="R933:R950" si="131">IF(OR(M933&lt;$S$1*0.5,N933&lt;$T$1*0.5),"код для проверки","нормальный код")</f>
        <v>код для проверки</v>
      </c>
      <c r="S933" t="str">
        <f t="shared" si="125"/>
        <v>Больше половины</v>
      </c>
      <c r="T933" t="str">
        <f t="shared" si="126"/>
        <v>Низшая четверть</v>
      </c>
      <c r="U933" t="str">
        <f t="shared" si="127"/>
        <v>код для проверки</v>
      </c>
      <c r="V933" t="str">
        <f t="shared" si="128"/>
        <v>Больше половины</v>
      </c>
      <c r="W933" t="str">
        <f t="shared" si="129"/>
        <v>Низшая четверть</v>
      </c>
      <c r="X933">
        <v>25</v>
      </c>
    </row>
    <row r="934" spans="1:24" x14ac:dyDescent="0.35">
      <c r="A934" s="1" t="s">
        <v>2299</v>
      </c>
      <c r="B934" s="2" t="s">
        <v>2300</v>
      </c>
      <c r="C934" s="3" t="s">
        <v>13</v>
      </c>
      <c r="D934" s="2" t="s">
        <v>155</v>
      </c>
      <c r="E934" s="3" t="s">
        <v>156</v>
      </c>
      <c r="F934" s="2" t="s">
        <v>34</v>
      </c>
      <c r="G934" s="3" t="s">
        <v>35</v>
      </c>
      <c r="H934" s="2" t="s">
        <v>18</v>
      </c>
      <c r="I934" s="3" t="s">
        <v>19</v>
      </c>
      <c r="J934" s="3">
        <v>1468</v>
      </c>
      <c r="K934" s="3">
        <v>1286</v>
      </c>
      <c r="L934" s="3">
        <v>2</v>
      </c>
      <c r="M934" s="4">
        <f t="shared" si="123"/>
        <v>0.87602179836512262</v>
      </c>
      <c r="N934" s="4">
        <f t="shared" si="124"/>
        <v>1.5552099533437014E-3</v>
      </c>
      <c r="O934">
        <v>456</v>
      </c>
      <c r="P934" s="5">
        <v>1</v>
      </c>
      <c r="Q934" s="7">
        <v>1</v>
      </c>
      <c r="R934" t="str">
        <f t="shared" si="131"/>
        <v>код для проверки</v>
      </c>
      <c r="S934" t="str">
        <f t="shared" si="125"/>
        <v>Больше половины</v>
      </c>
      <c r="T934" t="str">
        <f t="shared" si="126"/>
        <v>Низшая четверть</v>
      </c>
      <c r="U934" t="str">
        <f t="shared" si="127"/>
        <v>код для проверки</v>
      </c>
      <c r="V934" t="str">
        <f t="shared" si="128"/>
        <v>Больше половины</v>
      </c>
      <c r="W934" t="str">
        <f t="shared" si="129"/>
        <v>Низшая четверть</v>
      </c>
      <c r="X934">
        <v>19</v>
      </c>
    </row>
    <row r="935" spans="1:24" x14ac:dyDescent="0.35">
      <c r="A935" s="1" t="s">
        <v>2556</v>
      </c>
      <c r="B935" s="2" t="s">
        <v>2557</v>
      </c>
      <c r="C935" s="3" t="s">
        <v>13</v>
      </c>
      <c r="D935" s="2" t="s">
        <v>77</v>
      </c>
      <c r="E935" s="3" t="s">
        <v>89</v>
      </c>
      <c r="F935" s="2" t="s">
        <v>34</v>
      </c>
      <c r="G935" s="3" t="s">
        <v>35</v>
      </c>
      <c r="H935" s="2" t="s">
        <v>18</v>
      </c>
      <c r="I935" s="3" t="s">
        <v>19</v>
      </c>
      <c r="J935" s="3">
        <v>1466</v>
      </c>
      <c r="K935" s="3">
        <v>47</v>
      </c>
      <c r="L935" s="3">
        <v>1</v>
      </c>
      <c r="M935" s="4">
        <f t="shared" si="123"/>
        <v>3.2060027285129605E-2</v>
      </c>
      <c r="N935" s="4">
        <f t="shared" si="124"/>
        <v>2.1276595744680851E-2</v>
      </c>
      <c r="O935">
        <v>1697</v>
      </c>
      <c r="P935" s="5">
        <v>1</v>
      </c>
      <c r="Q935" s="7">
        <v>1</v>
      </c>
      <c r="R935" t="str">
        <f t="shared" si="131"/>
        <v>код для проверки</v>
      </c>
      <c r="S935" t="str">
        <f t="shared" si="125"/>
        <v>Низшая четверть</v>
      </c>
      <c r="T935" t="str">
        <f t="shared" si="126"/>
        <v>Больше половины</v>
      </c>
      <c r="U935" t="str">
        <f t="shared" si="127"/>
        <v>код для проверки</v>
      </c>
      <c r="V935" t="str">
        <f t="shared" si="128"/>
        <v>Низшая четверть</v>
      </c>
      <c r="W935" t="str">
        <f t="shared" si="129"/>
        <v>Вторая четверть</v>
      </c>
      <c r="X935">
        <v>8</v>
      </c>
    </row>
    <row r="936" spans="1:24" x14ac:dyDescent="0.35">
      <c r="A936" s="1" t="s">
        <v>2558</v>
      </c>
      <c r="B936" s="2" t="s">
        <v>2559</v>
      </c>
      <c r="C936" s="3" t="s">
        <v>55</v>
      </c>
      <c r="D936" s="2" t="s">
        <v>94</v>
      </c>
      <c r="E936" s="3" t="s">
        <v>812</v>
      </c>
      <c r="F936" s="2" t="s">
        <v>96</v>
      </c>
      <c r="G936" s="3" t="s">
        <v>17</v>
      </c>
      <c r="H936" s="2" t="s">
        <v>18</v>
      </c>
      <c r="I936" s="3" t="s">
        <v>19</v>
      </c>
      <c r="J936" s="3">
        <v>1466</v>
      </c>
      <c r="K936" s="3">
        <v>38</v>
      </c>
      <c r="L936" s="3">
        <v>1</v>
      </c>
      <c r="M936" s="4">
        <f t="shared" si="123"/>
        <v>2.5920873124147339E-2</v>
      </c>
      <c r="N936" s="4">
        <f t="shared" si="124"/>
        <v>2.6315789473684209E-2</v>
      </c>
      <c r="O936">
        <v>1837</v>
      </c>
      <c r="P936" s="5">
        <v>1</v>
      </c>
      <c r="Q936" s="7">
        <v>1</v>
      </c>
      <c r="R936" t="str">
        <f t="shared" si="131"/>
        <v>код для проверки</v>
      </c>
      <c r="S936" t="str">
        <f t="shared" si="125"/>
        <v>Низшая четверть</v>
      </c>
      <c r="T936" t="str">
        <f t="shared" si="126"/>
        <v>Больше половины</v>
      </c>
      <c r="U936" t="str">
        <f t="shared" si="127"/>
        <v>код для проверки</v>
      </c>
      <c r="V936" t="str">
        <f t="shared" si="128"/>
        <v>Низшая четверть</v>
      </c>
      <c r="W936" t="str">
        <f t="shared" si="129"/>
        <v>Больше половины</v>
      </c>
      <c r="X936">
        <v>15</v>
      </c>
    </row>
    <row r="937" spans="1:24" x14ac:dyDescent="0.35">
      <c r="A937" s="1" t="s">
        <v>2104</v>
      </c>
      <c r="B937" s="2" t="s">
        <v>2105</v>
      </c>
      <c r="C937" s="3" t="s">
        <v>13</v>
      </c>
      <c r="D937" s="2" t="s">
        <v>104</v>
      </c>
      <c r="E937" s="3" t="s">
        <v>711</v>
      </c>
      <c r="F937" s="2" t="s">
        <v>96</v>
      </c>
      <c r="G937" s="3" t="s">
        <v>17</v>
      </c>
      <c r="H937" s="2" t="s">
        <v>18</v>
      </c>
      <c r="I937" s="3" t="s">
        <v>19</v>
      </c>
      <c r="J937" s="3">
        <v>1463</v>
      </c>
      <c r="K937" s="3">
        <v>62</v>
      </c>
      <c r="L937" s="3">
        <v>6</v>
      </c>
      <c r="M937" s="4">
        <f t="shared" si="123"/>
        <v>4.2378673957621328E-2</v>
      </c>
      <c r="N937" s="4">
        <f t="shared" si="124"/>
        <v>9.6774193548387094E-2</v>
      </c>
      <c r="O937">
        <v>1410</v>
      </c>
      <c r="P937" s="5">
        <v>1</v>
      </c>
      <c r="Q937" s="7">
        <v>1</v>
      </c>
      <c r="R937" t="str">
        <f t="shared" si="131"/>
        <v>код для проверки</v>
      </c>
      <c r="S937" t="str">
        <f t="shared" si="125"/>
        <v>Низшая четверть</v>
      </c>
      <c r="T937" t="str">
        <f t="shared" si="126"/>
        <v>Больше половины</v>
      </c>
      <c r="U937" t="str">
        <f t="shared" si="127"/>
        <v>нормальный код</v>
      </c>
      <c r="V937" t="str">
        <f t="shared" si="128"/>
        <v>Вторая четверть</v>
      </c>
      <c r="W937" t="str">
        <f t="shared" si="129"/>
        <v>Больше половины</v>
      </c>
      <c r="X937">
        <v>12</v>
      </c>
    </row>
    <row r="938" spans="1:24" x14ac:dyDescent="0.35">
      <c r="A938" s="1" t="s">
        <v>2560</v>
      </c>
      <c r="B938" s="2" t="s">
        <v>2561</v>
      </c>
      <c r="C938" s="3" t="s">
        <v>13</v>
      </c>
      <c r="D938" s="2" t="s">
        <v>121</v>
      </c>
      <c r="E938" s="3" t="s">
        <v>122</v>
      </c>
      <c r="F938" s="2" t="s">
        <v>123</v>
      </c>
      <c r="G938" s="3" t="s">
        <v>17</v>
      </c>
      <c r="H938" s="2" t="s">
        <v>18</v>
      </c>
      <c r="I938" s="3" t="s">
        <v>19</v>
      </c>
      <c r="J938" s="3">
        <v>1458</v>
      </c>
      <c r="K938" s="3">
        <v>98</v>
      </c>
      <c r="L938" s="3">
        <v>2</v>
      </c>
      <c r="M938" s="4">
        <f t="shared" si="123"/>
        <v>6.7215363511659812E-2</v>
      </c>
      <c r="N938" s="4">
        <f t="shared" si="124"/>
        <v>2.0408163265306121E-2</v>
      </c>
      <c r="O938">
        <v>688</v>
      </c>
      <c r="P938" s="5">
        <v>1</v>
      </c>
      <c r="Q938" s="7">
        <v>1</v>
      </c>
      <c r="R938" t="str">
        <f t="shared" si="131"/>
        <v>нормальный код</v>
      </c>
      <c r="S938" t="str">
        <f t="shared" si="125"/>
        <v>Вторая четверть</v>
      </c>
      <c r="T938" t="str">
        <f t="shared" si="126"/>
        <v>Больше половины</v>
      </c>
      <c r="U938" t="str">
        <f t="shared" si="127"/>
        <v>нормальный код</v>
      </c>
      <c r="V938" t="str">
        <f t="shared" si="128"/>
        <v>Вторая четверть</v>
      </c>
      <c r="W938" t="str">
        <f t="shared" si="129"/>
        <v>Больше половины</v>
      </c>
      <c r="X938">
        <v>17</v>
      </c>
    </row>
    <row r="939" spans="1:24" x14ac:dyDescent="0.35">
      <c r="A939" s="1" t="s">
        <v>1404</v>
      </c>
      <c r="B939" s="2" t="s">
        <v>1405</v>
      </c>
      <c r="C939" s="3" t="s">
        <v>13</v>
      </c>
      <c r="D939" s="2" t="s">
        <v>121</v>
      </c>
      <c r="E939" s="3" t="s">
        <v>650</v>
      </c>
      <c r="F939" s="2" t="s">
        <v>71</v>
      </c>
      <c r="G939" s="3" t="s">
        <v>35</v>
      </c>
      <c r="H939" s="2" t="s">
        <v>18</v>
      </c>
      <c r="I939" s="3" t="s">
        <v>19</v>
      </c>
      <c r="J939" s="3">
        <v>1451</v>
      </c>
      <c r="K939" s="3">
        <v>52</v>
      </c>
      <c r="L939" s="3">
        <v>2</v>
      </c>
      <c r="M939" s="4">
        <f t="shared" si="123"/>
        <v>3.5837353549276363E-2</v>
      </c>
      <c r="N939" s="4">
        <f t="shared" si="124"/>
        <v>3.8461538461538464E-2</v>
      </c>
      <c r="O939">
        <v>305</v>
      </c>
      <c r="P939" s="5">
        <v>1</v>
      </c>
      <c r="Q939" s="7">
        <v>1</v>
      </c>
      <c r="R939" t="str">
        <f t="shared" si="131"/>
        <v>код для проверки</v>
      </c>
      <c r="S939" t="str">
        <f t="shared" si="125"/>
        <v>Низшая четверть</v>
      </c>
      <c r="T939" t="str">
        <f t="shared" si="126"/>
        <v>Больше половины</v>
      </c>
      <c r="U939" t="str">
        <f t="shared" si="127"/>
        <v>код для проверки</v>
      </c>
      <c r="V939" t="str">
        <f t="shared" si="128"/>
        <v>Низшая четверть</v>
      </c>
      <c r="W939" t="str">
        <f t="shared" si="129"/>
        <v>Больше половины</v>
      </c>
      <c r="X939">
        <v>12</v>
      </c>
    </row>
    <row r="940" spans="1:24" x14ac:dyDescent="0.35">
      <c r="A940" s="1" t="s">
        <v>1773</v>
      </c>
      <c r="B940" s="2" t="s">
        <v>1774</v>
      </c>
      <c r="C940" s="3" t="s">
        <v>13</v>
      </c>
      <c r="D940" s="2" t="s">
        <v>104</v>
      </c>
      <c r="E940" s="3" t="s">
        <v>1775</v>
      </c>
      <c r="F940" s="2" t="s">
        <v>96</v>
      </c>
      <c r="G940" s="3" t="s">
        <v>35</v>
      </c>
      <c r="H940" s="2" t="s">
        <v>18</v>
      </c>
      <c r="I940" s="3" t="s">
        <v>19</v>
      </c>
      <c r="J940" s="3">
        <v>1451</v>
      </c>
      <c r="K940" s="3">
        <v>35</v>
      </c>
      <c r="L940" s="3">
        <v>0</v>
      </c>
      <c r="M940" s="4">
        <f t="shared" si="123"/>
        <v>2.4121295658166782E-2</v>
      </c>
      <c r="N940" s="4">
        <f t="shared" si="124"/>
        <v>0</v>
      </c>
      <c r="O940">
        <v>439</v>
      </c>
      <c r="P940" s="5">
        <v>1</v>
      </c>
      <c r="Q940" s="7">
        <v>1</v>
      </c>
      <c r="R940" t="str">
        <f t="shared" si="131"/>
        <v>код для проверки</v>
      </c>
      <c r="S940" t="str">
        <f t="shared" si="125"/>
        <v>Низшая четверть</v>
      </c>
      <c r="T940" t="str">
        <f t="shared" si="126"/>
        <v>Низшая четверть</v>
      </c>
      <c r="U940" t="str">
        <f t="shared" si="127"/>
        <v>нормальный код</v>
      </c>
      <c r="V940" t="str">
        <f t="shared" si="128"/>
        <v>Больше половины</v>
      </c>
      <c r="W940" t="str">
        <f t="shared" si="129"/>
        <v>Больше половины</v>
      </c>
      <c r="X940">
        <v>7</v>
      </c>
    </row>
    <row r="941" spans="1:24" x14ac:dyDescent="0.35">
      <c r="A941" s="1" t="s">
        <v>2311</v>
      </c>
      <c r="B941" s="2" t="s">
        <v>2312</v>
      </c>
      <c r="C941" s="3" t="s">
        <v>13</v>
      </c>
      <c r="D941" s="2" t="s">
        <v>1215</v>
      </c>
      <c r="E941" s="3" t="s">
        <v>1216</v>
      </c>
      <c r="F941" s="2" t="s">
        <v>34</v>
      </c>
      <c r="G941" s="3" t="s">
        <v>35</v>
      </c>
      <c r="H941" s="2" t="s">
        <v>18</v>
      </c>
      <c r="I941" s="3" t="s">
        <v>19</v>
      </c>
      <c r="J941" s="3">
        <v>1446</v>
      </c>
      <c r="K941" s="3">
        <v>70</v>
      </c>
      <c r="L941" s="3">
        <v>1</v>
      </c>
      <c r="M941" s="4">
        <f t="shared" si="123"/>
        <v>4.8409405255878286E-2</v>
      </c>
      <c r="N941" s="4">
        <f t="shared" si="124"/>
        <v>1.4285714285714285E-2</v>
      </c>
      <c r="O941">
        <v>601</v>
      </c>
      <c r="P941" s="5">
        <v>1</v>
      </c>
      <c r="Q941" s="7">
        <v>1</v>
      </c>
      <c r="R941" t="str">
        <f t="shared" si="131"/>
        <v>нормальный код</v>
      </c>
      <c r="S941" t="str">
        <f t="shared" si="125"/>
        <v>Вторая четверть</v>
      </c>
      <c r="T941" t="str">
        <f t="shared" si="126"/>
        <v>Вторая четверть</v>
      </c>
      <c r="U941" t="str">
        <f t="shared" si="127"/>
        <v>код для проверки</v>
      </c>
      <c r="V941" t="str">
        <f t="shared" si="128"/>
        <v>Низшая четверть</v>
      </c>
      <c r="W941" t="str">
        <f t="shared" si="129"/>
        <v>Больше половины</v>
      </c>
      <c r="X941">
        <v>9</v>
      </c>
    </row>
    <row r="942" spans="1:24" x14ac:dyDescent="0.35">
      <c r="A942" s="1" t="s">
        <v>1119</v>
      </c>
      <c r="B942" s="2" t="s">
        <v>1120</v>
      </c>
      <c r="C942" s="3" t="s">
        <v>55</v>
      </c>
      <c r="D942" s="2" t="s">
        <v>1121</v>
      </c>
      <c r="E942" s="3" t="s">
        <v>1122</v>
      </c>
      <c r="F942" s="2" t="s">
        <v>34</v>
      </c>
      <c r="G942" s="3" t="s">
        <v>17</v>
      </c>
      <c r="H942" s="2" t="s">
        <v>18</v>
      </c>
      <c r="I942" s="3" t="s">
        <v>19</v>
      </c>
      <c r="J942" s="3">
        <v>1446</v>
      </c>
      <c r="K942" s="3">
        <v>123</v>
      </c>
      <c r="L942" s="3">
        <v>2</v>
      </c>
      <c r="M942" s="4">
        <f t="shared" si="123"/>
        <v>8.5062240663900418E-2</v>
      </c>
      <c r="N942" s="4">
        <f t="shared" si="124"/>
        <v>1.6260162601626018E-2</v>
      </c>
      <c r="O942">
        <v>117</v>
      </c>
      <c r="P942" s="5">
        <v>1</v>
      </c>
      <c r="Q942" s="7">
        <v>1</v>
      </c>
      <c r="R942" t="str">
        <f t="shared" si="131"/>
        <v>нормальный код</v>
      </c>
      <c r="S942" t="str">
        <f t="shared" si="125"/>
        <v>Вторая четверть</v>
      </c>
      <c r="T942" t="str">
        <f t="shared" si="126"/>
        <v>Вторая четверть</v>
      </c>
      <c r="U942" t="str">
        <f t="shared" si="127"/>
        <v>нормальный код</v>
      </c>
      <c r="V942" t="str">
        <f t="shared" si="128"/>
        <v>Больше половины</v>
      </c>
      <c r="W942" t="str">
        <f t="shared" si="129"/>
        <v>Больше половины</v>
      </c>
      <c r="X942">
        <v>23</v>
      </c>
    </row>
    <row r="943" spans="1:24" x14ac:dyDescent="0.35">
      <c r="A943" s="1" t="s">
        <v>1654</v>
      </c>
      <c r="B943" s="2" t="s">
        <v>1655</v>
      </c>
      <c r="C943" s="3" t="s">
        <v>55</v>
      </c>
      <c r="D943" s="2" t="s">
        <v>147</v>
      </c>
      <c r="E943" s="3" t="s">
        <v>207</v>
      </c>
      <c r="F943" s="2" t="s">
        <v>34</v>
      </c>
      <c r="G943" s="3" t="s">
        <v>17</v>
      </c>
      <c r="H943" s="2" t="s">
        <v>18</v>
      </c>
      <c r="I943" s="3" t="s">
        <v>19</v>
      </c>
      <c r="J943" s="3">
        <v>1441</v>
      </c>
      <c r="K943" s="3">
        <v>73</v>
      </c>
      <c r="L943" s="3">
        <v>1</v>
      </c>
      <c r="M943" s="4">
        <f t="shared" si="123"/>
        <v>5.0659264399722417E-2</v>
      </c>
      <c r="N943" s="4">
        <f t="shared" si="124"/>
        <v>1.3698630136986301E-2</v>
      </c>
      <c r="O943">
        <v>58</v>
      </c>
      <c r="P943" s="5">
        <v>0.4</v>
      </c>
      <c r="Q943" s="7">
        <v>1</v>
      </c>
      <c r="R943" t="str">
        <f t="shared" si="131"/>
        <v>нормальный код</v>
      </c>
      <c r="S943" t="str">
        <f t="shared" si="125"/>
        <v>Вторая четверть</v>
      </c>
      <c r="T943" t="str">
        <f t="shared" si="126"/>
        <v>Вторая четверть</v>
      </c>
      <c r="U943" t="str">
        <f t="shared" si="127"/>
        <v>код для проверки</v>
      </c>
      <c r="V943" t="str">
        <f t="shared" si="128"/>
        <v>Низшая четверть</v>
      </c>
      <c r="W943" t="str">
        <f t="shared" si="129"/>
        <v>Вторая четверть</v>
      </c>
      <c r="X943">
        <v>8</v>
      </c>
    </row>
    <row r="944" spans="1:24" x14ac:dyDescent="0.35">
      <c r="A944" s="1" t="s">
        <v>2562</v>
      </c>
      <c r="B944" s="2" t="s">
        <v>2563</v>
      </c>
      <c r="C944" s="3" t="s">
        <v>13</v>
      </c>
      <c r="D944" s="2" t="s">
        <v>85</v>
      </c>
      <c r="E944" s="3" t="s">
        <v>1937</v>
      </c>
      <c r="F944" s="2" t="s">
        <v>96</v>
      </c>
      <c r="G944" s="3" t="s">
        <v>17</v>
      </c>
      <c r="H944" s="2" t="s">
        <v>18</v>
      </c>
      <c r="I944" s="3" t="s">
        <v>19</v>
      </c>
      <c r="J944" s="3">
        <v>1441</v>
      </c>
      <c r="K944" s="3">
        <v>100</v>
      </c>
      <c r="L944" s="3">
        <v>8</v>
      </c>
      <c r="M944" s="4">
        <f t="shared" si="123"/>
        <v>6.9396252602359473E-2</v>
      </c>
      <c r="N944" s="4">
        <f t="shared" si="124"/>
        <v>0.08</v>
      </c>
      <c r="O944">
        <v>912</v>
      </c>
      <c r="P944" s="5">
        <v>1</v>
      </c>
      <c r="Q944" s="7">
        <v>1</v>
      </c>
      <c r="R944" t="str">
        <f t="shared" si="131"/>
        <v>нормальный код</v>
      </c>
      <c r="S944" t="str">
        <f t="shared" si="125"/>
        <v>Вторая четверть</v>
      </c>
      <c r="T944" t="str">
        <f t="shared" si="126"/>
        <v>Больше половины</v>
      </c>
      <c r="U944" t="str">
        <f t="shared" si="127"/>
        <v>нормальный код</v>
      </c>
      <c r="V944" t="str">
        <f t="shared" si="128"/>
        <v>Вторая четверть</v>
      </c>
      <c r="W944" t="str">
        <f t="shared" si="129"/>
        <v>Больше половины</v>
      </c>
      <c r="X944">
        <v>17</v>
      </c>
    </row>
    <row r="945" spans="1:24" x14ac:dyDescent="0.35">
      <c r="A945" s="1" t="s">
        <v>806</v>
      </c>
      <c r="B945" s="2" t="s">
        <v>807</v>
      </c>
      <c r="C945" s="3" t="s">
        <v>13</v>
      </c>
      <c r="D945" s="2" t="s">
        <v>164</v>
      </c>
      <c r="E945" s="3" t="s">
        <v>377</v>
      </c>
      <c r="F945" s="2" t="s">
        <v>71</v>
      </c>
      <c r="G945" s="3" t="s">
        <v>35</v>
      </c>
      <c r="H945" s="2" t="s">
        <v>18</v>
      </c>
      <c r="I945" s="3" t="s">
        <v>19</v>
      </c>
      <c r="J945" s="3">
        <v>1440</v>
      </c>
      <c r="K945" s="3">
        <v>714</v>
      </c>
      <c r="L945" s="3">
        <v>0</v>
      </c>
      <c r="M945" s="4">
        <f t="shared" si="123"/>
        <v>0.49583333333333335</v>
      </c>
      <c r="N945" s="4">
        <f t="shared" si="124"/>
        <v>0</v>
      </c>
      <c r="O945">
        <v>166</v>
      </c>
      <c r="P945" s="5">
        <v>0.6</v>
      </c>
      <c r="Q945" s="7">
        <v>1</v>
      </c>
      <c r="R945" t="str">
        <f t="shared" si="131"/>
        <v>код для проверки</v>
      </c>
      <c r="S945" t="str">
        <f t="shared" si="125"/>
        <v>Больше половины</v>
      </c>
      <c r="T945" t="str">
        <f t="shared" si="126"/>
        <v>Низшая четверть</v>
      </c>
      <c r="U945" t="str">
        <f t="shared" si="127"/>
        <v>код для проверки</v>
      </c>
      <c r="V945" t="str">
        <f t="shared" si="128"/>
        <v>Больше половины</v>
      </c>
      <c r="W945" t="str">
        <f t="shared" si="129"/>
        <v>Низшая четверть</v>
      </c>
      <c r="X945">
        <v>14</v>
      </c>
    </row>
    <row r="946" spans="1:24" x14ac:dyDescent="0.35">
      <c r="A946" s="1" t="s">
        <v>2453</v>
      </c>
      <c r="B946" s="2" t="s">
        <v>2454</v>
      </c>
      <c r="C946" s="3" t="s">
        <v>13</v>
      </c>
      <c r="D946" s="2" t="s">
        <v>85</v>
      </c>
      <c r="E946" s="3" t="s">
        <v>831</v>
      </c>
      <c r="F946" s="2" t="s">
        <v>34</v>
      </c>
      <c r="G946" s="3" t="s">
        <v>17</v>
      </c>
      <c r="H946" s="2" t="s">
        <v>18</v>
      </c>
      <c r="I946" s="3" t="s">
        <v>19</v>
      </c>
      <c r="J946" s="3">
        <v>1435</v>
      </c>
      <c r="K946" s="3">
        <v>39</v>
      </c>
      <c r="L946" s="3">
        <v>2</v>
      </c>
      <c r="M946" s="4">
        <f t="shared" si="123"/>
        <v>2.7177700348432057E-2</v>
      </c>
      <c r="N946" s="4">
        <f t="shared" si="124"/>
        <v>5.128205128205128E-2</v>
      </c>
      <c r="O946">
        <v>513</v>
      </c>
      <c r="P946" s="5">
        <v>1</v>
      </c>
      <c r="Q946" s="7">
        <v>1</v>
      </c>
      <c r="R946" t="str">
        <f t="shared" si="131"/>
        <v>код для проверки</v>
      </c>
      <c r="S946" t="str">
        <f t="shared" si="125"/>
        <v>Низшая четверть</v>
      </c>
      <c r="T946" t="str">
        <f t="shared" si="126"/>
        <v>Больше половины</v>
      </c>
      <c r="U946" t="str">
        <f t="shared" si="127"/>
        <v>код для проверки</v>
      </c>
      <c r="V946" t="str">
        <f t="shared" si="128"/>
        <v>Низшая четверть</v>
      </c>
      <c r="W946" t="str">
        <f t="shared" si="129"/>
        <v>Больше половины</v>
      </c>
      <c r="X946">
        <v>10</v>
      </c>
    </row>
    <row r="947" spans="1:24" x14ac:dyDescent="0.35">
      <c r="A947" s="1" t="s">
        <v>2564</v>
      </c>
      <c r="B947" s="2" t="s">
        <v>2565</v>
      </c>
      <c r="C947" s="3" t="s">
        <v>55</v>
      </c>
      <c r="D947" s="2" t="s">
        <v>56</v>
      </c>
      <c r="E947" s="3" t="s">
        <v>253</v>
      </c>
      <c r="F947" s="2" t="s">
        <v>34</v>
      </c>
      <c r="G947" s="3" t="s">
        <v>17</v>
      </c>
      <c r="H947" s="2" t="s">
        <v>18</v>
      </c>
      <c r="I947" s="3" t="s">
        <v>19</v>
      </c>
      <c r="J947" s="3">
        <v>1428</v>
      </c>
      <c r="K947" s="3">
        <v>110</v>
      </c>
      <c r="L947" s="3">
        <v>9</v>
      </c>
      <c r="M947" s="4">
        <f t="shared" si="123"/>
        <v>7.7030812324929976E-2</v>
      </c>
      <c r="N947" s="4">
        <f t="shared" si="124"/>
        <v>8.1818181818181818E-2</v>
      </c>
      <c r="O947">
        <v>200</v>
      </c>
      <c r="P947" s="5">
        <v>1</v>
      </c>
      <c r="Q947" s="7">
        <v>1</v>
      </c>
      <c r="R947" t="str">
        <f t="shared" si="131"/>
        <v>нормальный код</v>
      </c>
      <c r="S947" t="str">
        <f t="shared" si="125"/>
        <v>Вторая четверть</v>
      </c>
      <c r="T947" t="str">
        <f t="shared" si="126"/>
        <v>Больше половины</v>
      </c>
      <c r="U947" t="str">
        <f t="shared" si="127"/>
        <v>нормальный код</v>
      </c>
      <c r="V947" t="str">
        <f t="shared" si="128"/>
        <v>Больше половины</v>
      </c>
      <c r="W947" t="str">
        <f t="shared" si="129"/>
        <v>Больше половины</v>
      </c>
      <c r="X947">
        <v>18</v>
      </c>
    </row>
    <row r="948" spans="1:24" x14ac:dyDescent="0.35">
      <c r="A948" s="1" t="s">
        <v>2566</v>
      </c>
      <c r="B948" s="2" t="s">
        <v>2567</v>
      </c>
      <c r="C948" s="3" t="s">
        <v>13</v>
      </c>
      <c r="D948" s="2" t="s">
        <v>69</v>
      </c>
      <c r="E948" s="3" t="s">
        <v>958</v>
      </c>
      <c r="F948" s="2" t="s">
        <v>96</v>
      </c>
      <c r="G948" s="3" t="s">
        <v>72</v>
      </c>
      <c r="H948" s="2" t="s">
        <v>18</v>
      </c>
      <c r="I948" s="3" t="s">
        <v>19</v>
      </c>
      <c r="J948" s="3">
        <v>1425</v>
      </c>
      <c r="K948" s="3">
        <v>302</v>
      </c>
      <c r="L948" s="3">
        <v>0</v>
      </c>
      <c r="M948" s="4">
        <f t="shared" si="123"/>
        <v>0.2119298245614035</v>
      </c>
      <c r="N948" s="4">
        <f t="shared" si="124"/>
        <v>0</v>
      </c>
      <c r="O948">
        <v>389</v>
      </c>
      <c r="P948" s="5">
        <v>1</v>
      </c>
      <c r="Q948" s="7">
        <v>1</v>
      </c>
      <c r="R948" t="str">
        <f t="shared" si="131"/>
        <v>код для проверки</v>
      </c>
      <c r="S948" t="str">
        <f t="shared" si="125"/>
        <v>Больше половины</v>
      </c>
      <c r="T948" t="str">
        <f t="shared" si="126"/>
        <v>Низшая четверть</v>
      </c>
      <c r="U948" t="str">
        <f t="shared" si="127"/>
        <v>код для проверки</v>
      </c>
      <c r="V948" t="str">
        <f t="shared" si="128"/>
        <v>Больше половины</v>
      </c>
      <c r="W948" t="str">
        <f t="shared" si="129"/>
        <v>Низшая четверть</v>
      </c>
      <c r="X948">
        <v>16</v>
      </c>
    </row>
    <row r="949" spans="1:24" x14ac:dyDescent="0.35">
      <c r="A949" s="1" t="s">
        <v>1856</v>
      </c>
      <c r="B949" s="2" t="s">
        <v>1857</v>
      </c>
      <c r="C949" s="3" t="s">
        <v>55</v>
      </c>
      <c r="D949" s="2" t="s">
        <v>1221</v>
      </c>
      <c r="E949" s="3" t="s">
        <v>1450</v>
      </c>
      <c r="F949" s="2" t="s">
        <v>61</v>
      </c>
      <c r="G949" s="3" t="s">
        <v>17</v>
      </c>
      <c r="H949" s="2" t="s">
        <v>18</v>
      </c>
      <c r="I949" s="3" t="s">
        <v>19</v>
      </c>
      <c r="J949" s="3">
        <v>1423</v>
      </c>
      <c r="K949" s="3">
        <v>90</v>
      </c>
      <c r="L949" s="3">
        <v>2</v>
      </c>
      <c r="M949" s="4">
        <f t="shared" si="123"/>
        <v>6.3246661981728736E-2</v>
      </c>
      <c r="N949" s="4">
        <f t="shared" si="124"/>
        <v>2.2222222222222223E-2</v>
      </c>
      <c r="O949">
        <v>676</v>
      </c>
      <c r="P949" s="5">
        <v>1</v>
      </c>
      <c r="Q949" s="7">
        <v>1</v>
      </c>
      <c r="R949" t="str">
        <f t="shared" si="131"/>
        <v>нормальный код</v>
      </c>
      <c r="S949" t="str">
        <f t="shared" si="125"/>
        <v>Вторая четверть</v>
      </c>
      <c r="T949" t="str">
        <f t="shared" si="126"/>
        <v>Больше половины</v>
      </c>
      <c r="U949" t="str">
        <f t="shared" si="127"/>
        <v>нормальный код</v>
      </c>
      <c r="V949" t="str">
        <f t="shared" si="128"/>
        <v>Больше половины</v>
      </c>
      <c r="W949" t="str">
        <f t="shared" si="129"/>
        <v>Вторая четверть</v>
      </c>
      <c r="X949">
        <v>21</v>
      </c>
    </row>
    <row r="950" spans="1:24" x14ac:dyDescent="0.35">
      <c r="A950" s="1" t="s">
        <v>1230</v>
      </c>
      <c r="B950" s="2" t="s">
        <v>1231</v>
      </c>
      <c r="C950" s="3" t="s">
        <v>13</v>
      </c>
      <c r="D950" s="2" t="s">
        <v>630</v>
      </c>
      <c r="E950" s="3" t="s">
        <v>685</v>
      </c>
      <c r="F950" s="2" t="s">
        <v>61</v>
      </c>
      <c r="G950" s="3" t="s">
        <v>17</v>
      </c>
      <c r="H950" s="2" t="s">
        <v>97</v>
      </c>
      <c r="I950" s="3" t="s">
        <v>19</v>
      </c>
      <c r="J950" s="3">
        <v>1414</v>
      </c>
      <c r="K950" s="3">
        <v>270</v>
      </c>
      <c r="L950" s="3">
        <v>3</v>
      </c>
      <c r="M950" s="4">
        <f t="shared" si="123"/>
        <v>0.19094766619519093</v>
      </c>
      <c r="N950" s="4">
        <f t="shared" si="124"/>
        <v>1.1111111111111112E-2</v>
      </c>
      <c r="O950">
        <v>494</v>
      </c>
      <c r="P950" s="5">
        <v>1</v>
      </c>
      <c r="Q950" s="7">
        <v>1</v>
      </c>
      <c r="R950" t="str">
        <f t="shared" si="131"/>
        <v>нормальный код</v>
      </c>
      <c r="S950" t="str">
        <f t="shared" si="125"/>
        <v>Больше половины</v>
      </c>
      <c r="T950" t="str">
        <f t="shared" si="126"/>
        <v>Вторая четверть</v>
      </c>
      <c r="U950" t="str">
        <f t="shared" si="127"/>
        <v>нормальный код</v>
      </c>
      <c r="V950" t="str">
        <f t="shared" si="128"/>
        <v>Больше половины</v>
      </c>
      <c r="W950" t="str">
        <f t="shared" si="129"/>
        <v>Вторая четверть</v>
      </c>
      <c r="X950">
        <v>9</v>
      </c>
    </row>
    <row r="951" spans="1:24" x14ac:dyDescent="0.35">
      <c r="A951" s="1" t="s">
        <v>1402</v>
      </c>
      <c r="B951" s="2" t="s">
        <v>1403</v>
      </c>
      <c r="C951" s="3" t="s">
        <v>13</v>
      </c>
      <c r="D951" s="2" t="s">
        <v>412</v>
      </c>
      <c r="E951" s="3" t="s">
        <v>413</v>
      </c>
      <c r="F951" s="2" t="s">
        <v>61</v>
      </c>
      <c r="G951" s="3" t="s">
        <v>17</v>
      </c>
      <c r="H951" s="2" t="s">
        <v>97</v>
      </c>
      <c r="I951" s="3" t="s">
        <v>19</v>
      </c>
      <c r="J951" s="3">
        <v>1414</v>
      </c>
      <c r="K951" s="3">
        <v>265</v>
      </c>
      <c r="L951" s="3">
        <v>14</v>
      </c>
      <c r="M951" s="4">
        <f t="shared" si="123"/>
        <v>0.18741159830268742</v>
      </c>
      <c r="N951" s="4">
        <f t="shared" si="124"/>
        <v>5.2830188679245285E-2</v>
      </c>
      <c r="O951">
        <v>0</v>
      </c>
      <c r="P951" s="5">
        <v>0</v>
      </c>
      <c r="Q951" s="7">
        <v>0</v>
      </c>
      <c r="R951" t="s">
        <v>2350</v>
      </c>
      <c r="S951" t="str">
        <f t="shared" si="125"/>
        <v>Больше половины</v>
      </c>
      <c r="T951" t="str">
        <f t="shared" si="126"/>
        <v>Больше половины</v>
      </c>
      <c r="U951" t="str">
        <f t="shared" si="127"/>
        <v>нормальный код</v>
      </c>
      <c r="V951" t="str">
        <f t="shared" si="128"/>
        <v>Больше половины</v>
      </c>
      <c r="W951" t="str">
        <f t="shared" si="129"/>
        <v>Больше половины</v>
      </c>
      <c r="X951">
        <v>8</v>
      </c>
    </row>
    <row r="952" spans="1:24" x14ac:dyDescent="0.35">
      <c r="A952" s="1" t="s">
        <v>1376</v>
      </c>
      <c r="B952" s="2" t="s">
        <v>1377</v>
      </c>
      <c r="C952" s="3" t="s">
        <v>13</v>
      </c>
      <c r="D952" s="2" t="s">
        <v>630</v>
      </c>
      <c r="E952" s="3" t="s">
        <v>685</v>
      </c>
      <c r="F952" s="2" t="s">
        <v>61</v>
      </c>
      <c r="G952" s="3" t="s">
        <v>17</v>
      </c>
      <c r="H952" s="2" t="s">
        <v>97</v>
      </c>
      <c r="I952" s="3" t="s">
        <v>19</v>
      </c>
      <c r="J952" s="3">
        <v>1403</v>
      </c>
      <c r="K952" s="3">
        <v>320</v>
      </c>
      <c r="L952" s="3">
        <v>2</v>
      </c>
      <c r="M952" s="4">
        <f t="shared" si="123"/>
        <v>0.22808267997148968</v>
      </c>
      <c r="N952" s="4">
        <f t="shared" si="124"/>
        <v>6.2500000000000003E-3</v>
      </c>
      <c r="O952">
        <v>496</v>
      </c>
      <c r="P952" s="5">
        <v>1</v>
      </c>
      <c r="Q952" s="7">
        <v>1</v>
      </c>
      <c r="R952" t="str">
        <f t="shared" ref="R952:R967" si="132">IF(OR(M952&lt;$S$1*0.5,N952&lt;$T$1*0.5),"код для проверки","нормальный код")</f>
        <v>код для проверки</v>
      </c>
      <c r="S952" t="str">
        <f t="shared" si="125"/>
        <v>Больше половины</v>
      </c>
      <c r="T952" t="str">
        <f t="shared" si="126"/>
        <v>Низшая четверть</v>
      </c>
      <c r="U952" t="str">
        <f t="shared" si="127"/>
        <v>код для проверки</v>
      </c>
      <c r="V952" t="str">
        <f t="shared" si="128"/>
        <v>Больше половины</v>
      </c>
      <c r="W952" t="str">
        <f t="shared" si="129"/>
        <v>Низшая четверть</v>
      </c>
      <c r="X952">
        <v>10</v>
      </c>
    </row>
    <row r="953" spans="1:24" x14ac:dyDescent="0.35">
      <c r="A953" s="1" t="s">
        <v>1378</v>
      </c>
      <c r="B953" s="2" t="s">
        <v>1379</v>
      </c>
      <c r="C953" s="3" t="s">
        <v>13</v>
      </c>
      <c r="D953" s="2" t="s">
        <v>77</v>
      </c>
      <c r="E953" s="3" t="s">
        <v>89</v>
      </c>
      <c r="F953" s="2" t="s">
        <v>34</v>
      </c>
      <c r="G953" s="3" t="s">
        <v>17</v>
      </c>
      <c r="H953" s="2" t="s">
        <v>18</v>
      </c>
      <c r="I953" s="3" t="s">
        <v>19</v>
      </c>
      <c r="J953" s="3">
        <v>1397</v>
      </c>
      <c r="K953" s="3">
        <v>82</v>
      </c>
      <c r="L953" s="3">
        <v>1</v>
      </c>
      <c r="M953" s="4">
        <f t="shared" si="123"/>
        <v>5.8697208303507518E-2</v>
      </c>
      <c r="N953" s="4">
        <f t="shared" si="124"/>
        <v>1.2195121951219513E-2</v>
      </c>
      <c r="O953">
        <v>515</v>
      </c>
      <c r="P953" s="5">
        <v>1</v>
      </c>
      <c r="Q953" s="7">
        <v>1</v>
      </c>
      <c r="R953" t="str">
        <f t="shared" si="132"/>
        <v>нормальный код</v>
      </c>
      <c r="S953" t="str">
        <f t="shared" si="125"/>
        <v>Вторая четверть</v>
      </c>
      <c r="T953" t="str">
        <f t="shared" si="126"/>
        <v>Вторая четверть</v>
      </c>
      <c r="U953" t="str">
        <f t="shared" si="127"/>
        <v>нормальный код</v>
      </c>
      <c r="V953" t="str">
        <f t="shared" si="128"/>
        <v>Вторая четверть</v>
      </c>
      <c r="W953" t="str">
        <f t="shared" si="129"/>
        <v>Вторая четверть</v>
      </c>
      <c r="X953">
        <v>16</v>
      </c>
    </row>
    <row r="954" spans="1:24" x14ac:dyDescent="0.35">
      <c r="A954" s="1" t="s">
        <v>2568</v>
      </c>
      <c r="B954" s="2" t="s">
        <v>2569</v>
      </c>
      <c r="C954" s="3" t="s">
        <v>13</v>
      </c>
      <c r="D954" s="2" t="s">
        <v>77</v>
      </c>
      <c r="E954" s="3" t="s">
        <v>1592</v>
      </c>
      <c r="F954" s="2" t="s">
        <v>96</v>
      </c>
      <c r="G954" s="3" t="s">
        <v>35</v>
      </c>
      <c r="H954" s="2" t="s">
        <v>18</v>
      </c>
      <c r="I954" s="3" t="s">
        <v>19</v>
      </c>
      <c r="J954" s="3">
        <v>1387</v>
      </c>
      <c r="K954" s="3">
        <v>35</v>
      </c>
      <c r="L954" s="3">
        <v>0</v>
      </c>
      <c r="M954" s="4">
        <f t="shared" si="123"/>
        <v>2.5234318673395817E-2</v>
      </c>
      <c r="N954" s="4">
        <f t="shared" si="124"/>
        <v>0</v>
      </c>
      <c r="O954">
        <v>477</v>
      </c>
      <c r="P954" s="5">
        <v>1</v>
      </c>
      <c r="Q954" s="7">
        <v>1</v>
      </c>
      <c r="R954" t="str">
        <f t="shared" si="132"/>
        <v>код для проверки</v>
      </c>
      <c r="S954" t="str">
        <f t="shared" si="125"/>
        <v>Низшая четверть</v>
      </c>
      <c r="T954" t="str">
        <f t="shared" si="126"/>
        <v>Низшая четверть</v>
      </c>
      <c r="U954" t="str">
        <f t="shared" si="127"/>
        <v>код для проверки</v>
      </c>
      <c r="V954" t="str">
        <f t="shared" si="128"/>
        <v>Низшая четверть</v>
      </c>
      <c r="W954" t="str">
        <f t="shared" si="129"/>
        <v>Низшая четверть</v>
      </c>
      <c r="X954">
        <v>14</v>
      </c>
    </row>
    <row r="955" spans="1:24" x14ac:dyDescent="0.35">
      <c r="A955" s="1" t="s">
        <v>2570</v>
      </c>
      <c r="B955" s="2" t="s">
        <v>2571</v>
      </c>
      <c r="C955" s="3" t="s">
        <v>13</v>
      </c>
      <c r="D955" s="2" t="s">
        <v>77</v>
      </c>
      <c r="E955" s="3" t="s">
        <v>1592</v>
      </c>
      <c r="F955" s="2" t="s">
        <v>96</v>
      </c>
      <c r="G955" s="3" t="s">
        <v>35</v>
      </c>
      <c r="H955" s="2" t="s">
        <v>18</v>
      </c>
      <c r="I955" s="3" t="s">
        <v>19</v>
      </c>
      <c r="J955" s="3">
        <v>1386</v>
      </c>
      <c r="K955" s="3">
        <v>71</v>
      </c>
      <c r="L955" s="3">
        <v>3</v>
      </c>
      <c r="M955" s="4">
        <f t="shared" si="123"/>
        <v>5.1226551226551224E-2</v>
      </c>
      <c r="N955" s="4">
        <f t="shared" si="124"/>
        <v>4.2253521126760563E-2</v>
      </c>
      <c r="O955">
        <v>477</v>
      </c>
      <c r="P955" s="5">
        <v>1</v>
      </c>
      <c r="Q955" s="7">
        <v>1</v>
      </c>
      <c r="R955" t="str">
        <f t="shared" si="132"/>
        <v>нормальный код</v>
      </c>
      <c r="S955" t="str">
        <f t="shared" si="125"/>
        <v>Вторая четверть</v>
      </c>
      <c r="T955" t="str">
        <f t="shared" si="126"/>
        <v>Больше половины</v>
      </c>
      <c r="U955" t="str">
        <f t="shared" si="127"/>
        <v>нормальный код</v>
      </c>
      <c r="V955" t="str">
        <f t="shared" si="128"/>
        <v>Вторая четверть</v>
      </c>
      <c r="W955" t="str">
        <f t="shared" si="129"/>
        <v>Больше половины</v>
      </c>
      <c r="X955">
        <v>15</v>
      </c>
    </row>
    <row r="956" spans="1:24" x14ac:dyDescent="0.35">
      <c r="A956" s="1" t="s">
        <v>2383</v>
      </c>
      <c r="B956" s="2" t="s">
        <v>2384</v>
      </c>
      <c r="C956" s="3" t="s">
        <v>13</v>
      </c>
      <c r="D956" s="2" t="s">
        <v>85</v>
      </c>
      <c r="E956" s="3" t="s">
        <v>831</v>
      </c>
      <c r="F956" s="2" t="s">
        <v>34</v>
      </c>
      <c r="G956" s="3" t="s">
        <v>17</v>
      </c>
      <c r="H956" s="2" t="s">
        <v>18</v>
      </c>
      <c r="I956" s="3" t="s">
        <v>19</v>
      </c>
      <c r="J956" s="3">
        <v>1380</v>
      </c>
      <c r="K956" s="3">
        <v>64</v>
      </c>
      <c r="L956" s="3">
        <v>1</v>
      </c>
      <c r="M956" s="4">
        <f t="shared" si="123"/>
        <v>4.6376811594202899E-2</v>
      </c>
      <c r="N956" s="4">
        <f t="shared" si="124"/>
        <v>1.5625E-2</v>
      </c>
      <c r="O956">
        <v>417</v>
      </c>
      <c r="P956" s="5">
        <v>1</v>
      </c>
      <c r="Q956" s="7">
        <v>1</v>
      </c>
      <c r="R956" t="str">
        <f t="shared" si="132"/>
        <v>код для проверки</v>
      </c>
      <c r="S956" t="str">
        <f t="shared" si="125"/>
        <v>Низшая четверть</v>
      </c>
      <c r="T956" t="str">
        <f t="shared" si="126"/>
        <v>Вторая четверть</v>
      </c>
      <c r="U956" t="str">
        <f t="shared" si="127"/>
        <v>нормальный код</v>
      </c>
      <c r="V956" t="str">
        <f t="shared" si="128"/>
        <v>Вторая четверть</v>
      </c>
      <c r="W956" t="str">
        <f t="shared" si="129"/>
        <v>Вторая четверть</v>
      </c>
      <c r="X956">
        <v>25</v>
      </c>
    </row>
    <row r="957" spans="1:24" x14ac:dyDescent="0.35">
      <c r="A957" s="1" t="s">
        <v>1917</v>
      </c>
      <c r="B957" s="2" t="s">
        <v>1918</v>
      </c>
      <c r="C957" s="3" t="s">
        <v>55</v>
      </c>
      <c r="D957" s="2" t="s">
        <v>1221</v>
      </c>
      <c r="E957" s="3" t="s">
        <v>1450</v>
      </c>
      <c r="F957" s="2" t="s">
        <v>61</v>
      </c>
      <c r="G957" s="3" t="s">
        <v>17</v>
      </c>
      <c r="H957" s="2" t="s">
        <v>18</v>
      </c>
      <c r="I957" s="3" t="s">
        <v>19</v>
      </c>
      <c r="J957" s="3">
        <v>1376</v>
      </c>
      <c r="K957" s="3">
        <v>95</v>
      </c>
      <c r="L957" s="3">
        <v>3</v>
      </c>
      <c r="M957" s="4">
        <f t="shared" si="123"/>
        <v>6.9040697674418602E-2</v>
      </c>
      <c r="N957" s="4">
        <f t="shared" si="124"/>
        <v>3.1578947368421054E-2</v>
      </c>
      <c r="O957">
        <v>357</v>
      </c>
      <c r="P957" s="5">
        <v>1</v>
      </c>
      <c r="Q957" s="7">
        <v>1</v>
      </c>
      <c r="R957" t="str">
        <f t="shared" si="132"/>
        <v>нормальный код</v>
      </c>
      <c r="S957" t="str">
        <f t="shared" si="125"/>
        <v>Вторая четверть</v>
      </c>
      <c r="T957" t="str">
        <f t="shared" si="126"/>
        <v>Больше половины</v>
      </c>
      <c r="U957" t="str">
        <f t="shared" si="127"/>
        <v>нормальный код</v>
      </c>
      <c r="V957" t="str">
        <f t="shared" si="128"/>
        <v>Больше половины</v>
      </c>
      <c r="W957" t="str">
        <f t="shared" si="129"/>
        <v>Больше половины</v>
      </c>
      <c r="X957">
        <v>19</v>
      </c>
    </row>
    <row r="958" spans="1:24" x14ac:dyDescent="0.35">
      <c r="A958" s="1" t="s">
        <v>1438</v>
      </c>
      <c r="B958" s="2" t="s">
        <v>1439</v>
      </c>
      <c r="C958" s="3" t="s">
        <v>13</v>
      </c>
      <c r="D958" s="2" t="s">
        <v>77</v>
      </c>
      <c r="E958" s="3" t="s">
        <v>427</v>
      </c>
      <c r="F958" s="2" t="s">
        <v>71</v>
      </c>
      <c r="G958" s="3" t="s">
        <v>17</v>
      </c>
      <c r="H958" s="2" t="s">
        <v>18</v>
      </c>
      <c r="I958" s="3" t="s">
        <v>19</v>
      </c>
      <c r="J958" s="3">
        <v>1367</v>
      </c>
      <c r="K958" s="3">
        <v>38</v>
      </c>
      <c r="L958" s="3">
        <v>0</v>
      </c>
      <c r="M958" s="4">
        <f t="shared" si="123"/>
        <v>2.7798098024871983E-2</v>
      </c>
      <c r="N958" s="4">
        <f t="shared" si="124"/>
        <v>0</v>
      </c>
      <c r="O958">
        <v>254</v>
      </c>
      <c r="P958" s="5">
        <v>0.6</v>
      </c>
      <c r="Q958" s="7">
        <v>1</v>
      </c>
      <c r="R958" t="str">
        <f t="shared" si="132"/>
        <v>код для проверки</v>
      </c>
      <c r="S958" t="str">
        <f t="shared" si="125"/>
        <v>Низшая четверть</v>
      </c>
      <c r="T958" t="str">
        <f t="shared" si="126"/>
        <v>Низшая четверть</v>
      </c>
      <c r="U958" t="str">
        <f t="shared" si="127"/>
        <v>код для проверки</v>
      </c>
      <c r="V958" t="str">
        <f t="shared" si="128"/>
        <v>Низшая четверть</v>
      </c>
      <c r="W958" t="str">
        <f t="shared" si="129"/>
        <v>Низшая четверть</v>
      </c>
      <c r="X958">
        <v>8</v>
      </c>
    </row>
    <row r="959" spans="1:24" x14ac:dyDescent="0.35">
      <c r="A959" s="1" t="s">
        <v>1724</v>
      </c>
      <c r="B959" s="2" t="s">
        <v>1725</v>
      </c>
      <c r="C959" s="3" t="s">
        <v>55</v>
      </c>
      <c r="D959" s="2" t="s">
        <v>94</v>
      </c>
      <c r="E959" s="3" t="s">
        <v>812</v>
      </c>
      <c r="F959" s="2" t="s">
        <v>96</v>
      </c>
      <c r="G959" s="3" t="s">
        <v>17</v>
      </c>
      <c r="H959" s="2" t="s">
        <v>18</v>
      </c>
      <c r="I959" s="3" t="s">
        <v>19</v>
      </c>
      <c r="J959" s="3">
        <v>1363</v>
      </c>
      <c r="K959" s="3">
        <v>145</v>
      </c>
      <c r="L959" s="3">
        <v>0</v>
      </c>
      <c r="M959" s="4">
        <f t="shared" si="123"/>
        <v>0.10638297872340426</v>
      </c>
      <c r="N959" s="4">
        <f t="shared" si="124"/>
        <v>0</v>
      </c>
      <c r="O959">
        <v>2177</v>
      </c>
      <c r="P959" s="5">
        <v>1</v>
      </c>
      <c r="Q959" s="7">
        <v>1</v>
      </c>
      <c r="R959" t="str">
        <f t="shared" si="132"/>
        <v>код для проверки</v>
      </c>
      <c r="S959" t="str">
        <f t="shared" si="125"/>
        <v>Больше половины</v>
      </c>
      <c r="T959" t="str">
        <f t="shared" si="126"/>
        <v>Низшая четверть</v>
      </c>
      <c r="U959" t="str">
        <f t="shared" si="127"/>
        <v>код для проверки</v>
      </c>
      <c r="V959" t="str">
        <f t="shared" si="128"/>
        <v>Вторая четверть</v>
      </c>
      <c r="W959" t="str">
        <f t="shared" si="129"/>
        <v>Низшая четверть</v>
      </c>
      <c r="X959">
        <v>8</v>
      </c>
    </row>
    <row r="960" spans="1:24" x14ac:dyDescent="0.35">
      <c r="A960" s="1" t="s">
        <v>2106</v>
      </c>
      <c r="B960" s="2" t="s">
        <v>2107</v>
      </c>
      <c r="C960" s="3" t="s">
        <v>13</v>
      </c>
      <c r="D960" s="2" t="s">
        <v>85</v>
      </c>
      <c r="E960" s="3" t="s">
        <v>1937</v>
      </c>
      <c r="F960" s="2" t="s">
        <v>96</v>
      </c>
      <c r="G960" s="3" t="s">
        <v>35</v>
      </c>
      <c r="H960" s="2" t="s">
        <v>18</v>
      </c>
      <c r="I960" s="3" t="s">
        <v>19</v>
      </c>
      <c r="J960" s="3">
        <v>1357</v>
      </c>
      <c r="K960" s="3">
        <v>270</v>
      </c>
      <c r="L960" s="3">
        <v>3</v>
      </c>
      <c r="M960" s="4">
        <f t="shared" si="123"/>
        <v>0.19896831245394253</v>
      </c>
      <c r="N960" s="4">
        <f t="shared" si="124"/>
        <v>1.1111111111111112E-2</v>
      </c>
      <c r="O960">
        <v>417</v>
      </c>
      <c r="P960" s="5">
        <v>1</v>
      </c>
      <c r="Q960" s="7">
        <v>1</v>
      </c>
      <c r="R960" t="str">
        <f t="shared" si="132"/>
        <v>нормальный код</v>
      </c>
      <c r="S960" t="str">
        <f t="shared" si="125"/>
        <v>Больше половины</v>
      </c>
      <c r="T960" t="str">
        <f t="shared" si="126"/>
        <v>Вторая четверть</v>
      </c>
      <c r="U960" t="str">
        <f t="shared" si="127"/>
        <v>код для проверки</v>
      </c>
      <c r="V960" t="str">
        <f t="shared" si="128"/>
        <v>Больше половины</v>
      </c>
      <c r="W960" t="str">
        <f t="shared" si="129"/>
        <v>Низшая четверть</v>
      </c>
      <c r="X960">
        <v>11</v>
      </c>
    </row>
    <row r="961" spans="1:24" x14ac:dyDescent="0.35">
      <c r="A961" s="1" t="s">
        <v>1312</v>
      </c>
      <c r="B961" s="2" t="s">
        <v>1313</v>
      </c>
      <c r="C961" s="3" t="s">
        <v>55</v>
      </c>
      <c r="D961" s="2" t="s">
        <v>56</v>
      </c>
      <c r="E961" s="3" t="s">
        <v>700</v>
      </c>
      <c r="F961" s="2" t="s">
        <v>96</v>
      </c>
      <c r="G961" s="3" t="s">
        <v>17</v>
      </c>
      <c r="H961" s="2" t="s">
        <v>18</v>
      </c>
      <c r="I961" s="3" t="s">
        <v>19</v>
      </c>
      <c r="J961" s="3">
        <v>1356</v>
      </c>
      <c r="K961" s="3">
        <v>54</v>
      </c>
      <c r="L961" s="3">
        <v>2</v>
      </c>
      <c r="M961" s="4">
        <f t="shared" si="123"/>
        <v>3.9823008849557522E-2</v>
      </c>
      <c r="N961" s="4">
        <f t="shared" si="124"/>
        <v>3.7037037037037035E-2</v>
      </c>
      <c r="O961">
        <v>748</v>
      </c>
      <c r="P961" s="5">
        <v>1</v>
      </c>
      <c r="Q961" s="7">
        <v>1</v>
      </c>
      <c r="R961" t="str">
        <f t="shared" si="132"/>
        <v>код для проверки</v>
      </c>
      <c r="S961" t="str">
        <f t="shared" si="125"/>
        <v>Низшая четверть</v>
      </c>
      <c r="T961" t="str">
        <f t="shared" si="126"/>
        <v>Больше половины</v>
      </c>
      <c r="U961" t="str">
        <f t="shared" si="127"/>
        <v>нормальный код</v>
      </c>
      <c r="V961" t="str">
        <f t="shared" si="128"/>
        <v>Вторая четверть</v>
      </c>
      <c r="W961" t="str">
        <f t="shared" si="129"/>
        <v>Вторая четверть</v>
      </c>
      <c r="X961">
        <v>22</v>
      </c>
    </row>
    <row r="962" spans="1:24" x14ac:dyDescent="0.35">
      <c r="A962" s="1" t="s">
        <v>2572</v>
      </c>
      <c r="B962" s="2" t="s">
        <v>2573</v>
      </c>
      <c r="C962" s="3" t="s">
        <v>13</v>
      </c>
      <c r="D962" s="2" t="s">
        <v>104</v>
      </c>
      <c r="E962" s="3" t="s">
        <v>711</v>
      </c>
      <c r="F962" s="2" t="s">
        <v>96</v>
      </c>
      <c r="G962" s="3" t="s">
        <v>17</v>
      </c>
      <c r="H962" s="2" t="s">
        <v>18</v>
      </c>
      <c r="I962" s="3" t="s">
        <v>19</v>
      </c>
      <c r="J962" s="3">
        <v>1351</v>
      </c>
      <c r="K962" s="3">
        <v>87</v>
      </c>
      <c r="L962" s="3">
        <v>2</v>
      </c>
      <c r="M962" s="4">
        <f t="shared" si="123"/>
        <v>6.4396743153219832E-2</v>
      </c>
      <c r="N962" s="4">
        <f t="shared" si="124"/>
        <v>2.2988505747126436E-2</v>
      </c>
      <c r="O962">
        <v>338</v>
      </c>
      <c r="P962" s="5">
        <v>0.875</v>
      </c>
      <c r="Q962" s="7">
        <v>1</v>
      </c>
      <c r="R962" t="str">
        <f t="shared" si="132"/>
        <v>нормальный код</v>
      </c>
      <c r="S962" t="str">
        <f t="shared" si="125"/>
        <v>Вторая четверть</v>
      </c>
      <c r="T962" t="str">
        <f t="shared" si="126"/>
        <v>Больше половины</v>
      </c>
      <c r="U962" t="str">
        <f t="shared" si="127"/>
        <v>нормальный код</v>
      </c>
      <c r="V962" t="str">
        <f t="shared" si="128"/>
        <v>Вторая четверть</v>
      </c>
      <c r="W962" t="str">
        <f t="shared" si="129"/>
        <v>Вторая четверть</v>
      </c>
      <c r="X962">
        <v>22</v>
      </c>
    </row>
    <row r="963" spans="1:24" x14ac:dyDescent="0.35">
      <c r="A963" s="1" t="s">
        <v>1465</v>
      </c>
      <c r="B963" s="2" t="s">
        <v>1466</v>
      </c>
      <c r="C963" s="3" t="s">
        <v>13</v>
      </c>
      <c r="D963" s="2" t="s">
        <v>164</v>
      </c>
      <c r="E963" s="3" t="s">
        <v>1210</v>
      </c>
      <c r="F963" s="2" t="s">
        <v>123</v>
      </c>
      <c r="G963" s="3" t="s">
        <v>17</v>
      </c>
      <c r="H963" s="2" t="s">
        <v>18</v>
      </c>
      <c r="I963" s="3" t="s">
        <v>19</v>
      </c>
      <c r="J963" s="3">
        <v>1336</v>
      </c>
      <c r="K963" s="3">
        <v>65</v>
      </c>
      <c r="L963" s="3">
        <v>4</v>
      </c>
      <c r="M963" s="4">
        <f t="shared" si="123"/>
        <v>4.8652694610778445E-2</v>
      </c>
      <c r="N963" s="4">
        <f t="shared" si="124"/>
        <v>6.1538461538461542E-2</v>
      </c>
      <c r="O963">
        <v>255</v>
      </c>
      <c r="P963" s="5">
        <v>1</v>
      </c>
      <c r="Q963" s="7">
        <v>1</v>
      </c>
      <c r="R963" t="str">
        <f t="shared" si="132"/>
        <v>нормальный код</v>
      </c>
      <c r="S963" t="str">
        <f t="shared" si="125"/>
        <v>Вторая четверть</v>
      </c>
      <c r="T963" t="str">
        <f t="shared" si="126"/>
        <v>Больше половины</v>
      </c>
      <c r="U963" t="str">
        <f t="shared" si="127"/>
        <v>нормальный код</v>
      </c>
      <c r="V963" t="str">
        <f t="shared" si="128"/>
        <v>Вторая четверть</v>
      </c>
      <c r="W963" t="str">
        <f t="shared" si="129"/>
        <v>Больше половины</v>
      </c>
      <c r="X963">
        <v>22</v>
      </c>
    </row>
    <row r="964" spans="1:24" x14ac:dyDescent="0.35">
      <c r="A964" s="1" t="s">
        <v>2574</v>
      </c>
      <c r="B964" s="2" t="s">
        <v>2575</v>
      </c>
      <c r="C964" s="3" t="s">
        <v>55</v>
      </c>
      <c r="D964" s="2" t="s">
        <v>94</v>
      </c>
      <c r="E964" s="3" t="s">
        <v>812</v>
      </c>
      <c r="F964" s="2" t="s">
        <v>96</v>
      </c>
      <c r="G964" s="3" t="s">
        <v>17</v>
      </c>
      <c r="H964" s="2" t="s">
        <v>18</v>
      </c>
      <c r="I964" s="3" t="s">
        <v>19</v>
      </c>
      <c r="J964" s="3">
        <v>1330</v>
      </c>
      <c r="K964" s="3">
        <v>233</v>
      </c>
      <c r="L964" s="3">
        <v>1</v>
      </c>
      <c r="M964" s="4">
        <f t="shared" ref="M964:M1027" si="133">IFERROR(K964/J964,0)</f>
        <v>0.17518796992481203</v>
      </c>
      <c r="N964" s="4">
        <f t="shared" ref="N964:N1027" si="134">IFERROR(L964/K964,0)</f>
        <v>4.2918454935622317E-3</v>
      </c>
      <c r="O964">
        <v>1258</v>
      </c>
      <c r="P964" s="5">
        <v>1</v>
      </c>
      <c r="Q964" s="7">
        <v>1</v>
      </c>
      <c r="R964" t="str">
        <f t="shared" si="132"/>
        <v>код для проверки</v>
      </c>
      <c r="S964" t="str">
        <f t="shared" ref="S964:S1027" si="135">IF(M964&lt;$S$1*0.5,"Низшая четверть",IF(M964&lt;$S$1,"Вторая четверть","Больше половины"))</f>
        <v>Больше половины</v>
      </c>
      <c r="T964" t="str">
        <f t="shared" ref="T964:T1027" si="136">IF(N964&lt;$T$1*0.5,"Низшая четверть",IF(N964&lt;$T$1,"Вторая четверть","Больше половины"))</f>
        <v>Низшая четверть</v>
      </c>
      <c r="U964" t="str">
        <f t="shared" ref="U964:U1027" si="137">IF(OR(M964&lt;SUMIFS(K:K,Q:Q,1,E:E,E964)/SUMIFS(J:J,Q:Q,1,E:E,E964)*0.5,N964&lt;SUMIFS(L:L,Q:Q,1,E:E,E964)/SUMIFS(K:K,Q:Q,1,E:E,E964)*0.5),"код для проверки","нормальный код")</f>
        <v>код для проверки</v>
      </c>
      <c r="V964" t="str">
        <f t="shared" ref="V964:V1027" si="138">IF(M964&lt;SUMIFS(K:K,Q:Q,1,E:E,E964)/SUMIFS(J:J,Q:Q,1,E:E,E964)*0.5,"Низшая четверть",IF(M964&lt;SUMIFS(K:K,Q:Q,1,E:E,E964)/SUMIFS(J:J,Q:Q,1,E:E,E964),"Вторая четверть","Больше половины"))</f>
        <v>Больше половины</v>
      </c>
      <c r="W964" t="str">
        <f t="shared" ref="W964:W1027" si="139">IF(N964&lt;SUMIFS(L:L,Q:Q,1,E:E,E964)/SUMIFS(K:K,Q:Q,1,E:E,E964)*0.5,"Низшая четверть",IF(N964&lt;SUMIFS(L:L,Q:Q,1,E:E,E964)/SUMIFS(K:K,Q:Q,1,E:E,E964),"Вторая четверть","Больше половины"))</f>
        <v>Низшая четверть</v>
      </c>
      <c r="X964">
        <v>6</v>
      </c>
    </row>
    <row r="965" spans="1:24" x14ac:dyDescent="0.35">
      <c r="A965" s="1" t="s">
        <v>1878</v>
      </c>
      <c r="B965" s="2" t="s">
        <v>1879</v>
      </c>
      <c r="C965" s="3" t="s">
        <v>55</v>
      </c>
      <c r="D965" s="2" t="s">
        <v>1049</v>
      </c>
      <c r="E965" s="3" t="s">
        <v>1050</v>
      </c>
      <c r="F965" s="2" t="s">
        <v>34</v>
      </c>
      <c r="G965" s="3" t="s">
        <v>17</v>
      </c>
      <c r="H965" s="2" t="s">
        <v>18</v>
      </c>
      <c r="I965" s="3" t="s">
        <v>19</v>
      </c>
      <c r="J965" s="3">
        <v>1320</v>
      </c>
      <c r="K965" s="3">
        <v>32</v>
      </c>
      <c r="L965" s="3">
        <v>0</v>
      </c>
      <c r="M965" s="4">
        <f t="shared" si="133"/>
        <v>2.4242424242424242E-2</v>
      </c>
      <c r="N965" s="4">
        <f t="shared" si="134"/>
        <v>0</v>
      </c>
      <c r="O965">
        <v>690</v>
      </c>
      <c r="P965" s="5">
        <v>1</v>
      </c>
      <c r="Q965" s="7">
        <v>1</v>
      </c>
      <c r="R965" t="str">
        <f t="shared" si="132"/>
        <v>код для проверки</v>
      </c>
      <c r="S965" t="str">
        <f t="shared" si="135"/>
        <v>Низшая четверть</v>
      </c>
      <c r="T965" t="str">
        <f t="shared" si="136"/>
        <v>Низшая четверть</v>
      </c>
      <c r="U965" t="str">
        <f t="shared" si="137"/>
        <v>код для проверки</v>
      </c>
      <c r="V965" t="str">
        <f t="shared" si="138"/>
        <v>Низшая четверть</v>
      </c>
      <c r="W965" t="str">
        <f t="shared" si="139"/>
        <v>Низшая четверть</v>
      </c>
      <c r="X965">
        <v>13</v>
      </c>
    </row>
    <row r="966" spans="1:24" x14ac:dyDescent="0.35">
      <c r="A966" s="1" t="s">
        <v>1818</v>
      </c>
      <c r="B966" s="2" t="s">
        <v>1819</v>
      </c>
      <c r="C966" s="3" t="s">
        <v>55</v>
      </c>
      <c r="D966" s="2" t="s">
        <v>1221</v>
      </c>
      <c r="E966" s="3" t="s">
        <v>1450</v>
      </c>
      <c r="F966" s="2" t="s">
        <v>61</v>
      </c>
      <c r="G966" s="3" t="s">
        <v>17</v>
      </c>
      <c r="H966" s="2" t="s">
        <v>18</v>
      </c>
      <c r="I966" s="3" t="s">
        <v>19</v>
      </c>
      <c r="J966" s="3">
        <v>1310</v>
      </c>
      <c r="K966" s="3">
        <v>77</v>
      </c>
      <c r="L966" s="3">
        <v>2</v>
      </c>
      <c r="M966" s="4">
        <f t="shared" si="133"/>
        <v>5.8778625954198471E-2</v>
      </c>
      <c r="N966" s="4">
        <f t="shared" si="134"/>
        <v>2.5974025974025976E-2</v>
      </c>
      <c r="O966">
        <v>937</v>
      </c>
      <c r="P966" s="5">
        <v>1</v>
      </c>
      <c r="Q966" s="7">
        <v>1</v>
      </c>
      <c r="R966" t="str">
        <f t="shared" si="132"/>
        <v>нормальный код</v>
      </c>
      <c r="S966" t="str">
        <f t="shared" si="135"/>
        <v>Вторая четверть</v>
      </c>
      <c r="T966" t="str">
        <f t="shared" si="136"/>
        <v>Больше половины</v>
      </c>
      <c r="U966" t="str">
        <f t="shared" si="137"/>
        <v>нормальный код</v>
      </c>
      <c r="V966" t="str">
        <f t="shared" si="138"/>
        <v>Больше половины</v>
      </c>
      <c r="W966" t="str">
        <f t="shared" si="139"/>
        <v>Вторая четверть</v>
      </c>
      <c r="X966">
        <v>19</v>
      </c>
    </row>
    <row r="967" spans="1:24" x14ac:dyDescent="0.35">
      <c r="A967" s="1" t="s">
        <v>1202</v>
      </c>
      <c r="B967" s="2" t="s">
        <v>1203</v>
      </c>
      <c r="C967" s="3" t="s">
        <v>55</v>
      </c>
      <c r="D967" s="2" t="s">
        <v>94</v>
      </c>
      <c r="E967" s="3" t="s">
        <v>812</v>
      </c>
      <c r="F967" s="2" t="s">
        <v>96</v>
      </c>
      <c r="G967" s="3" t="s">
        <v>17</v>
      </c>
      <c r="H967" s="2" t="s">
        <v>18</v>
      </c>
      <c r="I967" s="3" t="s">
        <v>19</v>
      </c>
      <c r="J967" s="3">
        <v>1306</v>
      </c>
      <c r="K967" s="3">
        <v>198</v>
      </c>
      <c r="L967" s="3">
        <v>0</v>
      </c>
      <c r="M967" s="4">
        <f t="shared" si="133"/>
        <v>0.15160796324655437</v>
      </c>
      <c r="N967" s="4">
        <f t="shared" si="134"/>
        <v>0</v>
      </c>
      <c r="O967">
        <v>1555</v>
      </c>
      <c r="P967" s="5">
        <v>1</v>
      </c>
      <c r="Q967" s="7">
        <v>1</v>
      </c>
      <c r="R967" t="str">
        <f t="shared" si="132"/>
        <v>код для проверки</v>
      </c>
      <c r="S967" t="str">
        <f t="shared" si="135"/>
        <v>Больше половины</v>
      </c>
      <c r="T967" t="str">
        <f t="shared" si="136"/>
        <v>Низшая четверть</v>
      </c>
      <c r="U967" t="str">
        <f t="shared" si="137"/>
        <v>код для проверки</v>
      </c>
      <c r="V967" t="str">
        <f t="shared" si="138"/>
        <v>Больше половины</v>
      </c>
      <c r="W967" t="str">
        <f t="shared" si="139"/>
        <v>Низшая четверть</v>
      </c>
      <c r="X967">
        <v>8</v>
      </c>
    </row>
    <row r="968" spans="1:24" x14ac:dyDescent="0.35">
      <c r="A968" s="1" t="s">
        <v>1192</v>
      </c>
      <c r="B968" s="2" t="s">
        <v>1193</v>
      </c>
      <c r="C968" s="3" t="s">
        <v>13</v>
      </c>
      <c r="D968" s="2" t="s">
        <v>77</v>
      </c>
      <c r="E968" s="3" t="s">
        <v>89</v>
      </c>
      <c r="F968" s="2" t="s">
        <v>34</v>
      </c>
      <c r="G968" s="3" t="s">
        <v>17</v>
      </c>
      <c r="H968" s="2" t="s">
        <v>18</v>
      </c>
      <c r="I968" s="3" t="s">
        <v>19</v>
      </c>
      <c r="J968" s="3">
        <v>1305</v>
      </c>
      <c r="K968" s="3">
        <v>447</v>
      </c>
      <c r="L968" s="3">
        <v>0</v>
      </c>
      <c r="M968" s="4">
        <f t="shared" si="133"/>
        <v>0.34252873563218389</v>
      </c>
      <c r="N968" s="4">
        <f t="shared" si="134"/>
        <v>0</v>
      </c>
      <c r="O968">
        <v>4</v>
      </c>
      <c r="P968" s="5">
        <v>0.6</v>
      </c>
      <c r="Q968" s="7">
        <v>0</v>
      </c>
      <c r="R968" t="s">
        <v>2350</v>
      </c>
      <c r="S968" t="str">
        <f t="shared" si="135"/>
        <v>Больше половины</v>
      </c>
      <c r="T968" t="str">
        <f t="shared" si="136"/>
        <v>Низшая четверть</v>
      </c>
      <c r="U968" t="str">
        <f t="shared" si="137"/>
        <v>код для проверки</v>
      </c>
      <c r="V968" t="str">
        <f t="shared" si="138"/>
        <v>Больше половины</v>
      </c>
      <c r="W968" t="str">
        <f t="shared" si="139"/>
        <v>Низшая четверть</v>
      </c>
      <c r="X968">
        <v>13</v>
      </c>
    </row>
    <row r="969" spans="1:24" x14ac:dyDescent="0.35">
      <c r="A969" s="1" t="s">
        <v>2425</v>
      </c>
      <c r="B969" s="2" t="s">
        <v>2426</v>
      </c>
      <c r="C969" s="3" t="s">
        <v>13</v>
      </c>
      <c r="D969" s="2" t="s">
        <v>85</v>
      </c>
      <c r="E969" s="3" t="s">
        <v>831</v>
      </c>
      <c r="F969" s="2" t="s">
        <v>34</v>
      </c>
      <c r="G969" s="3" t="s">
        <v>17</v>
      </c>
      <c r="H969" s="2" t="s">
        <v>18</v>
      </c>
      <c r="I969" s="3" t="s">
        <v>19</v>
      </c>
      <c r="J969" s="3">
        <v>1305</v>
      </c>
      <c r="K969" s="3">
        <v>37</v>
      </c>
      <c r="L969" s="3">
        <v>1</v>
      </c>
      <c r="M969" s="4">
        <f t="shared" si="133"/>
        <v>2.8352490421455937E-2</v>
      </c>
      <c r="N969" s="4">
        <f t="shared" si="134"/>
        <v>2.7027027027027029E-2</v>
      </c>
      <c r="O969">
        <v>802</v>
      </c>
      <c r="P969" s="5">
        <v>1</v>
      </c>
      <c r="Q969" s="7">
        <v>1</v>
      </c>
      <c r="R969" t="str">
        <f t="shared" ref="R969:R995" si="140">IF(OR(M969&lt;$S$1*0.5,N969&lt;$T$1*0.5),"код для проверки","нормальный код")</f>
        <v>код для проверки</v>
      </c>
      <c r="S969" t="str">
        <f t="shared" si="135"/>
        <v>Низшая четверть</v>
      </c>
      <c r="T969" t="str">
        <f t="shared" si="136"/>
        <v>Больше половины</v>
      </c>
      <c r="U969" t="str">
        <f t="shared" si="137"/>
        <v>код для проверки</v>
      </c>
      <c r="V969" t="str">
        <f t="shared" si="138"/>
        <v>Низшая четверть</v>
      </c>
      <c r="W969" t="str">
        <f t="shared" si="139"/>
        <v>Больше половины</v>
      </c>
      <c r="X969">
        <v>11</v>
      </c>
    </row>
    <row r="970" spans="1:24" x14ac:dyDescent="0.35">
      <c r="A970" s="1" t="s">
        <v>1339</v>
      </c>
      <c r="B970" s="2" t="s">
        <v>1340</v>
      </c>
      <c r="C970" s="3" t="s">
        <v>55</v>
      </c>
      <c r="D970" s="2" t="s">
        <v>1121</v>
      </c>
      <c r="E970" s="3" t="s">
        <v>1122</v>
      </c>
      <c r="F970" s="2" t="s">
        <v>34</v>
      </c>
      <c r="G970" s="3" t="s">
        <v>17</v>
      </c>
      <c r="H970" s="2" t="s">
        <v>18</v>
      </c>
      <c r="I970" s="3" t="s">
        <v>19</v>
      </c>
      <c r="J970" s="3">
        <v>1303</v>
      </c>
      <c r="K970" s="3">
        <v>71</v>
      </c>
      <c r="L970" s="3">
        <v>1</v>
      </c>
      <c r="M970" s="4">
        <f t="shared" si="133"/>
        <v>5.4489639293937069E-2</v>
      </c>
      <c r="N970" s="4">
        <f t="shared" si="134"/>
        <v>1.4084507042253521E-2</v>
      </c>
      <c r="O970">
        <v>479</v>
      </c>
      <c r="P970" s="5">
        <v>1</v>
      </c>
      <c r="Q970" s="7">
        <v>1</v>
      </c>
      <c r="R970" t="str">
        <f t="shared" si="140"/>
        <v>нормальный код</v>
      </c>
      <c r="S970" t="str">
        <f t="shared" si="135"/>
        <v>Вторая четверть</v>
      </c>
      <c r="T970" t="str">
        <f t="shared" si="136"/>
        <v>Вторая четверть</v>
      </c>
      <c r="U970" t="str">
        <f t="shared" si="137"/>
        <v>нормальный код</v>
      </c>
      <c r="V970" t="str">
        <f t="shared" si="138"/>
        <v>Вторая четверть</v>
      </c>
      <c r="W970" t="str">
        <f t="shared" si="139"/>
        <v>Больше половины</v>
      </c>
      <c r="X970">
        <v>20</v>
      </c>
    </row>
    <row r="971" spans="1:24" x14ac:dyDescent="0.35">
      <c r="A971" s="1" t="s">
        <v>1692</v>
      </c>
      <c r="B971" s="2" t="s">
        <v>1693</v>
      </c>
      <c r="C971" s="3" t="s">
        <v>55</v>
      </c>
      <c r="D971" s="2" t="s">
        <v>56</v>
      </c>
      <c r="E971" s="3" t="s">
        <v>253</v>
      </c>
      <c r="F971" s="2" t="s">
        <v>34</v>
      </c>
      <c r="G971" s="3" t="s">
        <v>17</v>
      </c>
      <c r="H971" s="2" t="s">
        <v>18</v>
      </c>
      <c r="I971" s="3" t="s">
        <v>19</v>
      </c>
      <c r="J971" s="3">
        <v>1302</v>
      </c>
      <c r="K971" s="3">
        <v>229</v>
      </c>
      <c r="L971" s="3">
        <v>5</v>
      </c>
      <c r="M971" s="4">
        <f t="shared" si="133"/>
        <v>0.17588325652841783</v>
      </c>
      <c r="N971" s="4">
        <f t="shared" si="134"/>
        <v>2.1834061135371178E-2</v>
      </c>
      <c r="O971">
        <v>205</v>
      </c>
      <c r="P971" s="5">
        <v>0.6</v>
      </c>
      <c r="Q971" s="7">
        <v>1</v>
      </c>
      <c r="R971" t="str">
        <f t="shared" si="140"/>
        <v>нормальный код</v>
      </c>
      <c r="S971" t="str">
        <f t="shared" si="135"/>
        <v>Больше половины</v>
      </c>
      <c r="T971" t="str">
        <f t="shared" si="136"/>
        <v>Больше половины</v>
      </c>
      <c r="U971" t="str">
        <f t="shared" si="137"/>
        <v>нормальный код</v>
      </c>
      <c r="V971" t="str">
        <f t="shared" si="138"/>
        <v>Больше половины</v>
      </c>
      <c r="W971" t="str">
        <f t="shared" si="139"/>
        <v>Вторая четверть</v>
      </c>
      <c r="X971">
        <v>22</v>
      </c>
    </row>
    <row r="972" spans="1:24" x14ac:dyDescent="0.35">
      <c r="A972" s="1" t="s">
        <v>2238</v>
      </c>
      <c r="B972" s="2" t="s">
        <v>2239</v>
      </c>
      <c r="C972" s="3" t="s">
        <v>13</v>
      </c>
      <c r="D972" s="2" t="s">
        <v>69</v>
      </c>
      <c r="E972" s="3" t="s">
        <v>1511</v>
      </c>
      <c r="F972" s="2" t="s">
        <v>34</v>
      </c>
      <c r="G972" s="3" t="s">
        <v>72</v>
      </c>
      <c r="H972" s="2" t="s">
        <v>18</v>
      </c>
      <c r="I972" s="3" t="s">
        <v>19</v>
      </c>
      <c r="J972" s="3">
        <v>1300</v>
      </c>
      <c r="K972" s="3">
        <v>1182</v>
      </c>
      <c r="L972" s="3">
        <v>98</v>
      </c>
      <c r="M972" s="4">
        <f t="shared" si="133"/>
        <v>0.90923076923076918</v>
      </c>
      <c r="N972" s="4">
        <f t="shared" si="134"/>
        <v>8.2910321489001695E-2</v>
      </c>
      <c r="O972">
        <v>535</v>
      </c>
      <c r="P972" s="5">
        <v>1</v>
      </c>
      <c r="Q972" s="7">
        <v>1</v>
      </c>
      <c r="R972" t="str">
        <f t="shared" si="140"/>
        <v>нормальный код</v>
      </c>
      <c r="S972" t="str">
        <f t="shared" si="135"/>
        <v>Больше половины</v>
      </c>
      <c r="T972" t="str">
        <f t="shared" si="136"/>
        <v>Больше половины</v>
      </c>
      <c r="U972" t="str">
        <f t="shared" si="137"/>
        <v>нормальный код</v>
      </c>
      <c r="V972" t="str">
        <f t="shared" si="138"/>
        <v>Больше половины</v>
      </c>
      <c r="W972" t="str">
        <f t="shared" si="139"/>
        <v>Больше половины</v>
      </c>
      <c r="X972">
        <v>14</v>
      </c>
    </row>
    <row r="973" spans="1:24" x14ac:dyDescent="0.35">
      <c r="A973" s="1" t="s">
        <v>2576</v>
      </c>
      <c r="B973" s="2" t="s">
        <v>2577</v>
      </c>
      <c r="C973" s="3" t="s">
        <v>13</v>
      </c>
      <c r="D973" s="2" t="s">
        <v>155</v>
      </c>
      <c r="E973" s="3" t="s">
        <v>156</v>
      </c>
      <c r="F973" s="2" t="s">
        <v>34</v>
      </c>
      <c r="G973" s="3" t="s">
        <v>35</v>
      </c>
      <c r="H973" s="2" t="s">
        <v>18</v>
      </c>
      <c r="I973" s="3" t="s">
        <v>19</v>
      </c>
      <c r="J973" s="3">
        <v>1294</v>
      </c>
      <c r="K973" s="3">
        <v>20</v>
      </c>
      <c r="L973" s="3">
        <v>0</v>
      </c>
      <c r="M973" s="4">
        <f t="shared" si="133"/>
        <v>1.5455950540958269E-2</v>
      </c>
      <c r="N973" s="4">
        <f t="shared" si="134"/>
        <v>0</v>
      </c>
      <c r="O973">
        <v>1997</v>
      </c>
      <c r="P973" s="5">
        <v>1</v>
      </c>
      <c r="Q973" s="7">
        <v>1</v>
      </c>
      <c r="R973" t="str">
        <f t="shared" si="140"/>
        <v>код для проверки</v>
      </c>
      <c r="S973" t="str">
        <f t="shared" si="135"/>
        <v>Низшая четверть</v>
      </c>
      <c r="T973" t="str">
        <f t="shared" si="136"/>
        <v>Низшая четверть</v>
      </c>
      <c r="U973" t="str">
        <f t="shared" si="137"/>
        <v>код для проверки</v>
      </c>
      <c r="V973" t="str">
        <f t="shared" si="138"/>
        <v>Низшая четверть</v>
      </c>
      <c r="W973" t="str">
        <f t="shared" si="139"/>
        <v>Низшая четверть</v>
      </c>
      <c r="X973">
        <v>7</v>
      </c>
    </row>
    <row r="974" spans="1:24" x14ac:dyDescent="0.35">
      <c r="A974" s="1" t="s">
        <v>2578</v>
      </c>
      <c r="B974" s="2" t="s">
        <v>2579</v>
      </c>
      <c r="C974" s="3" t="s">
        <v>55</v>
      </c>
      <c r="D974" s="2" t="s">
        <v>56</v>
      </c>
      <c r="E974" s="3" t="s">
        <v>253</v>
      </c>
      <c r="F974" s="2" t="s">
        <v>34</v>
      </c>
      <c r="G974" s="3" t="s">
        <v>17</v>
      </c>
      <c r="H974" s="2" t="s">
        <v>18</v>
      </c>
      <c r="I974" s="3" t="s">
        <v>19</v>
      </c>
      <c r="J974" s="3">
        <v>1290</v>
      </c>
      <c r="K974" s="3">
        <v>75</v>
      </c>
      <c r="L974" s="3">
        <v>5</v>
      </c>
      <c r="M974" s="4">
        <f t="shared" si="133"/>
        <v>5.8139534883720929E-2</v>
      </c>
      <c r="N974" s="4">
        <f t="shared" si="134"/>
        <v>6.6666666666666666E-2</v>
      </c>
      <c r="O974">
        <v>195</v>
      </c>
      <c r="P974" s="5">
        <v>1</v>
      </c>
      <c r="Q974" s="7">
        <v>1</v>
      </c>
      <c r="R974" t="str">
        <f t="shared" si="140"/>
        <v>нормальный код</v>
      </c>
      <c r="S974" t="str">
        <f t="shared" si="135"/>
        <v>Вторая четверть</v>
      </c>
      <c r="T974" t="str">
        <f t="shared" si="136"/>
        <v>Больше половины</v>
      </c>
      <c r="U974" t="str">
        <f t="shared" si="137"/>
        <v>нормальный код</v>
      </c>
      <c r="V974" t="str">
        <f t="shared" si="138"/>
        <v>Вторая четверть</v>
      </c>
      <c r="W974" t="str">
        <f t="shared" si="139"/>
        <v>Больше половины</v>
      </c>
      <c r="X974">
        <v>15</v>
      </c>
    </row>
    <row r="975" spans="1:24" x14ac:dyDescent="0.35">
      <c r="A975" s="1" t="s">
        <v>2150</v>
      </c>
      <c r="B975" s="2" t="s">
        <v>2151</v>
      </c>
      <c r="C975" s="3" t="s">
        <v>55</v>
      </c>
      <c r="D975" s="2" t="s">
        <v>1121</v>
      </c>
      <c r="E975" s="3" t="s">
        <v>1122</v>
      </c>
      <c r="F975" s="2" t="s">
        <v>34</v>
      </c>
      <c r="G975" s="3" t="s">
        <v>17</v>
      </c>
      <c r="H975" s="2" t="s">
        <v>18</v>
      </c>
      <c r="I975" s="3" t="s">
        <v>19</v>
      </c>
      <c r="J975" s="3">
        <v>1284</v>
      </c>
      <c r="K975" s="3">
        <v>42</v>
      </c>
      <c r="L975" s="3">
        <v>0</v>
      </c>
      <c r="M975" s="4">
        <f t="shared" si="133"/>
        <v>3.2710280373831772E-2</v>
      </c>
      <c r="N975" s="4">
        <f t="shared" si="134"/>
        <v>0</v>
      </c>
      <c r="O975">
        <v>237</v>
      </c>
      <c r="P975" s="5">
        <v>1</v>
      </c>
      <c r="Q975" s="7">
        <v>1</v>
      </c>
      <c r="R975" t="str">
        <f t="shared" si="140"/>
        <v>код для проверки</v>
      </c>
      <c r="S975" t="str">
        <f t="shared" si="135"/>
        <v>Низшая четверть</v>
      </c>
      <c r="T975" t="str">
        <f t="shared" si="136"/>
        <v>Низшая четверть</v>
      </c>
      <c r="U975" t="str">
        <f t="shared" si="137"/>
        <v>код для проверки</v>
      </c>
      <c r="V975" t="str">
        <f t="shared" si="138"/>
        <v>Вторая четверть</v>
      </c>
      <c r="W975" t="str">
        <f t="shared" si="139"/>
        <v>Низшая четверть</v>
      </c>
      <c r="X975">
        <v>23</v>
      </c>
    </row>
    <row r="976" spans="1:24" x14ac:dyDescent="0.35">
      <c r="A976" s="1" t="s">
        <v>2580</v>
      </c>
      <c r="B976" s="2" t="s">
        <v>2581</v>
      </c>
      <c r="C976" s="3" t="s">
        <v>13</v>
      </c>
      <c r="D976" s="2" t="s">
        <v>69</v>
      </c>
      <c r="E976" s="3" t="s">
        <v>204</v>
      </c>
      <c r="F976" s="2" t="s">
        <v>34</v>
      </c>
      <c r="G976" s="3" t="s">
        <v>72</v>
      </c>
      <c r="H976" s="2" t="s">
        <v>18</v>
      </c>
      <c r="I976" s="3" t="s">
        <v>19</v>
      </c>
      <c r="J976" s="3">
        <v>1281</v>
      </c>
      <c r="K976" s="3">
        <v>49</v>
      </c>
      <c r="L976" s="3">
        <v>2</v>
      </c>
      <c r="M976" s="4">
        <f t="shared" si="133"/>
        <v>3.825136612021858E-2</v>
      </c>
      <c r="N976" s="4">
        <f t="shared" si="134"/>
        <v>4.0816326530612242E-2</v>
      </c>
      <c r="O976">
        <v>338</v>
      </c>
      <c r="P976" s="5">
        <v>0.75</v>
      </c>
      <c r="Q976" s="7">
        <v>1</v>
      </c>
      <c r="R976" t="str">
        <f t="shared" si="140"/>
        <v>код для проверки</v>
      </c>
      <c r="S976" t="str">
        <f t="shared" si="135"/>
        <v>Низшая четверть</v>
      </c>
      <c r="T976" t="str">
        <f t="shared" si="136"/>
        <v>Больше половины</v>
      </c>
      <c r="U976" t="str">
        <f t="shared" si="137"/>
        <v>код для проверки</v>
      </c>
      <c r="V976" t="str">
        <f t="shared" si="138"/>
        <v>Низшая четверть</v>
      </c>
      <c r="W976" t="str">
        <f t="shared" si="139"/>
        <v>Больше половины</v>
      </c>
      <c r="X976">
        <v>19</v>
      </c>
    </row>
    <row r="977" spans="1:24" x14ac:dyDescent="0.35">
      <c r="A977" s="1" t="s">
        <v>2582</v>
      </c>
      <c r="B977" s="2" t="s">
        <v>2583</v>
      </c>
      <c r="C977" s="3" t="s">
        <v>13</v>
      </c>
      <c r="D977" s="2" t="s">
        <v>69</v>
      </c>
      <c r="E977" s="3" t="s">
        <v>1954</v>
      </c>
      <c r="F977" s="2" t="s">
        <v>61</v>
      </c>
      <c r="G977" s="3" t="s">
        <v>72</v>
      </c>
      <c r="H977" s="2" t="s">
        <v>18</v>
      </c>
      <c r="I977" s="3" t="s">
        <v>19</v>
      </c>
      <c r="J977" s="3">
        <v>1280</v>
      </c>
      <c r="K977" s="3">
        <v>52</v>
      </c>
      <c r="L977" s="3">
        <v>0</v>
      </c>
      <c r="M977" s="4">
        <f t="shared" si="133"/>
        <v>4.0625000000000001E-2</v>
      </c>
      <c r="N977" s="4">
        <f t="shared" si="134"/>
        <v>0</v>
      </c>
      <c r="O977">
        <v>465</v>
      </c>
      <c r="P977" s="5">
        <v>1</v>
      </c>
      <c r="Q977" s="7">
        <v>1</v>
      </c>
      <c r="R977" t="str">
        <f t="shared" si="140"/>
        <v>код для проверки</v>
      </c>
      <c r="S977" t="str">
        <f t="shared" si="135"/>
        <v>Низшая четверть</v>
      </c>
      <c r="T977" t="str">
        <f t="shared" si="136"/>
        <v>Низшая четверть</v>
      </c>
      <c r="U977" t="str">
        <f t="shared" si="137"/>
        <v>код для проверки</v>
      </c>
      <c r="V977" t="str">
        <f t="shared" si="138"/>
        <v>Низшая четверть</v>
      </c>
      <c r="W977" t="str">
        <f t="shared" si="139"/>
        <v>Низшая четверть</v>
      </c>
      <c r="X977">
        <v>7</v>
      </c>
    </row>
    <row r="978" spans="1:24" x14ac:dyDescent="0.35">
      <c r="A978" s="1" t="s">
        <v>2584</v>
      </c>
      <c r="B978" s="2" t="s">
        <v>2585</v>
      </c>
      <c r="C978" s="3" t="s">
        <v>13</v>
      </c>
      <c r="D978" s="2" t="s">
        <v>69</v>
      </c>
      <c r="E978" s="3" t="s">
        <v>958</v>
      </c>
      <c r="F978" s="2" t="s">
        <v>96</v>
      </c>
      <c r="G978" s="3" t="s">
        <v>72</v>
      </c>
      <c r="H978" s="2" t="s">
        <v>18</v>
      </c>
      <c r="I978" s="3" t="s">
        <v>19</v>
      </c>
      <c r="J978" s="3">
        <v>1265</v>
      </c>
      <c r="K978" s="3">
        <v>320</v>
      </c>
      <c r="L978" s="3">
        <v>4</v>
      </c>
      <c r="M978" s="4">
        <f t="shared" si="133"/>
        <v>0.25296442687747034</v>
      </c>
      <c r="N978" s="4">
        <f t="shared" si="134"/>
        <v>1.2500000000000001E-2</v>
      </c>
      <c r="O978">
        <v>386</v>
      </c>
      <c r="P978" s="5">
        <v>1</v>
      </c>
      <c r="Q978" s="7">
        <v>1</v>
      </c>
      <c r="R978" t="str">
        <f t="shared" si="140"/>
        <v>нормальный код</v>
      </c>
      <c r="S978" t="str">
        <f t="shared" si="135"/>
        <v>Больше половины</v>
      </c>
      <c r="T978" t="str">
        <f t="shared" si="136"/>
        <v>Вторая четверть</v>
      </c>
      <c r="U978" t="str">
        <f t="shared" si="137"/>
        <v>нормальный код</v>
      </c>
      <c r="V978" t="str">
        <f t="shared" si="138"/>
        <v>Больше половины</v>
      </c>
      <c r="W978" t="str">
        <f t="shared" si="139"/>
        <v>Больше половины</v>
      </c>
      <c r="X978">
        <v>15</v>
      </c>
    </row>
    <row r="979" spans="1:24" x14ac:dyDescent="0.35">
      <c r="A979" s="1" t="s">
        <v>1380</v>
      </c>
      <c r="B979" s="2" t="s">
        <v>1381</v>
      </c>
      <c r="C979" s="3" t="s">
        <v>13</v>
      </c>
      <c r="D979" s="2" t="s">
        <v>630</v>
      </c>
      <c r="E979" s="3" t="s">
        <v>631</v>
      </c>
      <c r="F979" s="2" t="s">
        <v>61</v>
      </c>
      <c r="G979" s="3" t="s">
        <v>17</v>
      </c>
      <c r="H979" s="2" t="s">
        <v>97</v>
      </c>
      <c r="I979" s="3" t="s">
        <v>19</v>
      </c>
      <c r="J979" s="3">
        <v>1260</v>
      </c>
      <c r="K979" s="3">
        <v>136</v>
      </c>
      <c r="L979" s="3">
        <v>1</v>
      </c>
      <c r="M979" s="4">
        <f t="shared" si="133"/>
        <v>0.10793650793650794</v>
      </c>
      <c r="N979" s="4">
        <f t="shared" si="134"/>
        <v>7.3529411764705881E-3</v>
      </c>
      <c r="O979">
        <v>848</v>
      </c>
      <c r="P979" s="5">
        <v>0.75</v>
      </c>
      <c r="Q979" s="7">
        <v>1</v>
      </c>
      <c r="R979" t="str">
        <f t="shared" si="140"/>
        <v>код для проверки</v>
      </c>
      <c r="S979" t="str">
        <f t="shared" si="135"/>
        <v>Больше половины</v>
      </c>
      <c r="T979" t="str">
        <f t="shared" si="136"/>
        <v>Низшая четверть</v>
      </c>
      <c r="U979" t="str">
        <f t="shared" si="137"/>
        <v>нормальный код</v>
      </c>
      <c r="V979" t="str">
        <f t="shared" si="138"/>
        <v>Больше половины</v>
      </c>
      <c r="W979" t="str">
        <f t="shared" si="139"/>
        <v>Вторая четверть</v>
      </c>
      <c r="X979">
        <v>7</v>
      </c>
    </row>
    <row r="980" spans="1:24" x14ac:dyDescent="0.35">
      <c r="A980" s="1" t="s">
        <v>2586</v>
      </c>
      <c r="B980" s="2" t="s">
        <v>2587</v>
      </c>
      <c r="C980" s="3" t="s">
        <v>13</v>
      </c>
      <c r="D980" s="2" t="s">
        <v>155</v>
      </c>
      <c r="E980" s="3" t="s">
        <v>156</v>
      </c>
      <c r="F980" s="2" t="s">
        <v>34</v>
      </c>
      <c r="G980" s="3" t="s">
        <v>35</v>
      </c>
      <c r="H980" s="2" t="s">
        <v>18</v>
      </c>
      <c r="I980" s="3" t="s">
        <v>19</v>
      </c>
      <c r="J980" s="3">
        <v>1256</v>
      </c>
      <c r="K980" s="3">
        <v>29</v>
      </c>
      <c r="L980" s="3">
        <v>2</v>
      </c>
      <c r="M980" s="4">
        <f t="shared" si="133"/>
        <v>2.3089171974522291E-2</v>
      </c>
      <c r="N980" s="4">
        <f t="shared" si="134"/>
        <v>6.8965517241379309E-2</v>
      </c>
      <c r="O980">
        <v>2000</v>
      </c>
      <c r="P980" s="5">
        <v>1</v>
      </c>
      <c r="Q980" s="7">
        <v>1</v>
      </c>
      <c r="R980" t="str">
        <f t="shared" si="140"/>
        <v>код для проверки</v>
      </c>
      <c r="S980" t="str">
        <f t="shared" si="135"/>
        <v>Низшая четверть</v>
      </c>
      <c r="T980" t="str">
        <f t="shared" si="136"/>
        <v>Больше половины</v>
      </c>
      <c r="U980" t="str">
        <f t="shared" si="137"/>
        <v>код для проверки</v>
      </c>
      <c r="V980" t="str">
        <f t="shared" si="138"/>
        <v>Низшая четверть</v>
      </c>
      <c r="W980" t="str">
        <f t="shared" si="139"/>
        <v>Больше половины</v>
      </c>
      <c r="X980">
        <v>6</v>
      </c>
    </row>
    <row r="981" spans="1:24" x14ac:dyDescent="0.35">
      <c r="A981" s="1" t="s">
        <v>1701</v>
      </c>
      <c r="B981" s="2" t="s">
        <v>1702</v>
      </c>
      <c r="C981" s="3" t="s">
        <v>13</v>
      </c>
      <c r="D981" s="2" t="s">
        <v>69</v>
      </c>
      <c r="E981" s="3" t="s">
        <v>1703</v>
      </c>
      <c r="F981" s="2" t="s">
        <v>71</v>
      </c>
      <c r="G981" s="3" t="s">
        <v>72</v>
      </c>
      <c r="H981" s="2" t="s">
        <v>18</v>
      </c>
      <c r="I981" s="3" t="s">
        <v>19</v>
      </c>
      <c r="J981" s="3">
        <v>1254</v>
      </c>
      <c r="K981" s="3">
        <v>71</v>
      </c>
      <c r="L981" s="3">
        <v>3</v>
      </c>
      <c r="M981" s="4">
        <f t="shared" si="133"/>
        <v>5.6618819776714513E-2</v>
      </c>
      <c r="N981" s="4">
        <f t="shared" si="134"/>
        <v>4.2253521126760563E-2</v>
      </c>
      <c r="O981">
        <v>138</v>
      </c>
      <c r="P981" s="5">
        <v>0.5</v>
      </c>
      <c r="Q981" s="7">
        <v>1</v>
      </c>
      <c r="R981" t="str">
        <f t="shared" si="140"/>
        <v>нормальный код</v>
      </c>
      <c r="S981" t="str">
        <f t="shared" si="135"/>
        <v>Вторая четверть</v>
      </c>
      <c r="T981" t="str">
        <f t="shared" si="136"/>
        <v>Больше половины</v>
      </c>
      <c r="U981" t="str">
        <f t="shared" si="137"/>
        <v>нормальный код</v>
      </c>
      <c r="V981" t="str">
        <f t="shared" si="138"/>
        <v>Больше половины</v>
      </c>
      <c r="W981" t="str">
        <f t="shared" si="139"/>
        <v>Больше половины</v>
      </c>
      <c r="X981">
        <v>13</v>
      </c>
    </row>
    <row r="982" spans="1:24" x14ac:dyDescent="0.35">
      <c r="A982" s="1" t="s">
        <v>2588</v>
      </c>
      <c r="B982" s="2" t="s">
        <v>2589</v>
      </c>
      <c r="C982" s="3" t="s">
        <v>13</v>
      </c>
      <c r="D982" s="2" t="s">
        <v>155</v>
      </c>
      <c r="E982" s="3" t="s">
        <v>156</v>
      </c>
      <c r="F982" s="2" t="s">
        <v>34</v>
      </c>
      <c r="G982" s="3" t="s">
        <v>35</v>
      </c>
      <c r="H982" s="2" t="s">
        <v>18</v>
      </c>
      <c r="I982" s="3" t="s">
        <v>19</v>
      </c>
      <c r="J982" s="3">
        <v>1251</v>
      </c>
      <c r="K982" s="3">
        <v>11</v>
      </c>
      <c r="L982" s="3">
        <v>0</v>
      </c>
      <c r="M982" s="4">
        <f t="shared" si="133"/>
        <v>8.7929656274980013E-3</v>
      </c>
      <c r="N982" s="4">
        <f t="shared" si="134"/>
        <v>0</v>
      </c>
      <c r="O982">
        <v>2397</v>
      </c>
      <c r="P982" s="5">
        <v>1</v>
      </c>
      <c r="Q982" s="7">
        <v>1</v>
      </c>
      <c r="R982" t="str">
        <f t="shared" si="140"/>
        <v>код для проверки</v>
      </c>
      <c r="S982" t="str">
        <f t="shared" si="135"/>
        <v>Низшая четверть</v>
      </c>
      <c r="T982" t="str">
        <f t="shared" si="136"/>
        <v>Низшая четверть</v>
      </c>
      <c r="U982" t="str">
        <f t="shared" si="137"/>
        <v>код для проверки</v>
      </c>
      <c r="V982" t="str">
        <f t="shared" si="138"/>
        <v>Низшая четверть</v>
      </c>
      <c r="W982" t="str">
        <f t="shared" si="139"/>
        <v>Низшая четверть</v>
      </c>
      <c r="X982">
        <v>8</v>
      </c>
    </row>
    <row r="983" spans="1:24" x14ac:dyDescent="0.35">
      <c r="A983" s="1" t="s">
        <v>2590</v>
      </c>
      <c r="B983" s="2" t="s">
        <v>2591</v>
      </c>
      <c r="C983" s="3" t="s">
        <v>13</v>
      </c>
      <c r="D983" s="2" t="s">
        <v>69</v>
      </c>
      <c r="E983" s="3" t="s">
        <v>2592</v>
      </c>
      <c r="F983" s="2" t="s">
        <v>34</v>
      </c>
      <c r="G983" s="3" t="s">
        <v>72</v>
      </c>
      <c r="H983" s="2" t="s">
        <v>18</v>
      </c>
      <c r="I983" s="3" t="s">
        <v>19</v>
      </c>
      <c r="J983" s="3">
        <v>1245</v>
      </c>
      <c r="K983" s="3">
        <v>33</v>
      </c>
      <c r="L983" s="3">
        <v>0</v>
      </c>
      <c r="M983" s="4">
        <f t="shared" si="133"/>
        <v>2.6506024096385541E-2</v>
      </c>
      <c r="N983" s="4">
        <f t="shared" si="134"/>
        <v>0</v>
      </c>
      <c r="O983">
        <v>339</v>
      </c>
      <c r="P983" s="5">
        <v>1</v>
      </c>
      <c r="Q983" s="7">
        <v>1</v>
      </c>
      <c r="R983" t="str">
        <f t="shared" si="140"/>
        <v>код для проверки</v>
      </c>
      <c r="S983" t="str">
        <f t="shared" si="135"/>
        <v>Низшая четверть</v>
      </c>
      <c r="T983" t="str">
        <f t="shared" si="136"/>
        <v>Низшая четверть</v>
      </c>
      <c r="U983" t="str">
        <f t="shared" si="137"/>
        <v>нормальный код</v>
      </c>
      <c r="V983" t="str">
        <f t="shared" si="138"/>
        <v>Больше половины</v>
      </c>
      <c r="W983" t="str">
        <f t="shared" si="139"/>
        <v>Больше половины</v>
      </c>
      <c r="X983">
        <v>15</v>
      </c>
    </row>
    <row r="984" spans="1:24" x14ac:dyDescent="0.35">
      <c r="A984" s="1" t="s">
        <v>2593</v>
      </c>
      <c r="B984" s="2" t="s">
        <v>2594</v>
      </c>
      <c r="C984" s="3" t="s">
        <v>13</v>
      </c>
      <c r="D984" s="2" t="s">
        <v>77</v>
      </c>
      <c r="E984" s="3" t="s">
        <v>89</v>
      </c>
      <c r="F984" s="2" t="s">
        <v>34</v>
      </c>
      <c r="G984" s="3" t="s">
        <v>17</v>
      </c>
      <c r="H984" s="2" t="s">
        <v>18</v>
      </c>
      <c r="I984" s="3" t="s">
        <v>19</v>
      </c>
      <c r="J984" s="3">
        <v>1243</v>
      </c>
      <c r="K984" s="3">
        <v>16</v>
      </c>
      <c r="L984" s="3">
        <v>0</v>
      </c>
      <c r="M984" s="4">
        <f t="shared" si="133"/>
        <v>1.2872083668543845E-2</v>
      </c>
      <c r="N984" s="4">
        <f t="shared" si="134"/>
        <v>0</v>
      </c>
      <c r="O984">
        <v>239</v>
      </c>
      <c r="P984" s="5">
        <v>1</v>
      </c>
      <c r="Q984" s="7">
        <v>1</v>
      </c>
      <c r="R984" t="str">
        <f t="shared" si="140"/>
        <v>код для проверки</v>
      </c>
      <c r="S984" t="str">
        <f t="shared" si="135"/>
        <v>Низшая четверть</v>
      </c>
      <c r="T984" t="str">
        <f t="shared" si="136"/>
        <v>Низшая четверть</v>
      </c>
      <c r="U984" t="str">
        <f t="shared" si="137"/>
        <v>код для проверки</v>
      </c>
      <c r="V984" t="str">
        <f t="shared" si="138"/>
        <v>Низшая четверть</v>
      </c>
      <c r="W984" t="str">
        <f t="shared" si="139"/>
        <v>Низшая четверть</v>
      </c>
      <c r="X984">
        <v>12</v>
      </c>
    </row>
    <row r="985" spans="1:24" x14ac:dyDescent="0.35">
      <c r="A985" s="1" t="s">
        <v>2595</v>
      </c>
      <c r="B985" s="2" t="s">
        <v>2596</v>
      </c>
      <c r="C985" s="3" t="s">
        <v>55</v>
      </c>
      <c r="D985" s="2" t="s">
        <v>56</v>
      </c>
      <c r="E985" s="3" t="s">
        <v>755</v>
      </c>
      <c r="F985" s="2" t="s">
        <v>34</v>
      </c>
      <c r="G985" s="3" t="s">
        <v>17</v>
      </c>
      <c r="H985" s="2" t="s">
        <v>18</v>
      </c>
      <c r="I985" s="3" t="s">
        <v>19</v>
      </c>
      <c r="J985" s="3">
        <v>1237</v>
      </c>
      <c r="K985" s="3">
        <v>15</v>
      </c>
      <c r="L985" s="3">
        <v>0</v>
      </c>
      <c r="M985" s="4">
        <f t="shared" si="133"/>
        <v>1.2126111560226353E-2</v>
      </c>
      <c r="N985" s="4">
        <f t="shared" si="134"/>
        <v>0</v>
      </c>
      <c r="O985">
        <v>30</v>
      </c>
      <c r="P985" s="5">
        <v>0.25</v>
      </c>
      <c r="Q985" s="7">
        <v>1</v>
      </c>
      <c r="R985" t="str">
        <f t="shared" si="140"/>
        <v>код для проверки</v>
      </c>
      <c r="S985" t="str">
        <f t="shared" si="135"/>
        <v>Низшая четверть</v>
      </c>
      <c r="T985" t="str">
        <f t="shared" si="136"/>
        <v>Низшая четверть</v>
      </c>
      <c r="U985" t="str">
        <f t="shared" si="137"/>
        <v>код для проверки</v>
      </c>
      <c r="V985" t="str">
        <f t="shared" si="138"/>
        <v>Низшая четверть</v>
      </c>
      <c r="W985" t="str">
        <f t="shared" si="139"/>
        <v>Низшая четверть</v>
      </c>
      <c r="X985">
        <v>16</v>
      </c>
    </row>
    <row r="986" spans="1:24" x14ac:dyDescent="0.35">
      <c r="A986" s="1" t="s">
        <v>1686</v>
      </c>
      <c r="B986" s="2" t="s">
        <v>1687</v>
      </c>
      <c r="C986" s="3" t="s">
        <v>55</v>
      </c>
      <c r="D986" s="2" t="s">
        <v>56</v>
      </c>
      <c r="E986" s="3" t="s">
        <v>700</v>
      </c>
      <c r="F986" s="2" t="s">
        <v>96</v>
      </c>
      <c r="G986" s="3" t="s">
        <v>17</v>
      </c>
      <c r="H986" s="2" t="s">
        <v>18</v>
      </c>
      <c r="I986" s="3" t="s">
        <v>19</v>
      </c>
      <c r="J986" s="3">
        <v>1234</v>
      </c>
      <c r="K986" s="3">
        <v>70</v>
      </c>
      <c r="L986" s="3">
        <v>0</v>
      </c>
      <c r="M986" s="4">
        <f t="shared" si="133"/>
        <v>5.6726094003241488E-2</v>
      </c>
      <c r="N986" s="4">
        <f t="shared" si="134"/>
        <v>0</v>
      </c>
      <c r="O986">
        <v>394</v>
      </c>
      <c r="P986" s="5">
        <v>1</v>
      </c>
      <c r="Q986" s="7">
        <v>1</v>
      </c>
      <c r="R986" t="str">
        <f t="shared" si="140"/>
        <v>код для проверки</v>
      </c>
      <c r="S986" t="str">
        <f t="shared" si="135"/>
        <v>Вторая четверть</v>
      </c>
      <c r="T986" t="str">
        <f t="shared" si="136"/>
        <v>Низшая четверть</v>
      </c>
      <c r="U986" t="str">
        <f t="shared" si="137"/>
        <v>код для проверки</v>
      </c>
      <c r="V986" t="str">
        <f t="shared" si="138"/>
        <v>Вторая четверть</v>
      </c>
      <c r="W986" t="str">
        <f t="shared" si="139"/>
        <v>Низшая четверть</v>
      </c>
      <c r="X986">
        <v>16</v>
      </c>
    </row>
    <row r="987" spans="1:24" x14ac:dyDescent="0.35">
      <c r="A987" s="1" t="s">
        <v>1497</v>
      </c>
      <c r="B987" s="2" t="s">
        <v>1498</v>
      </c>
      <c r="C987" s="3" t="s">
        <v>13</v>
      </c>
      <c r="D987" s="2" t="s">
        <v>630</v>
      </c>
      <c r="E987" s="3" t="s">
        <v>685</v>
      </c>
      <c r="F987" s="2" t="s">
        <v>61</v>
      </c>
      <c r="G987" s="3" t="s">
        <v>17</v>
      </c>
      <c r="H987" s="2" t="s">
        <v>97</v>
      </c>
      <c r="I987" s="3" t="s">
        <v>19</v>
      </c>
      <c r="J987" s="3">
        <v>1224</v>
      </c>
      <c r="K987" s="3">
        <v>219</v>
      </c>
      <c r="L987" s="3">
        <v>2</v>
      </c>
      <c r="M987" s="4">
        <f t="shared" si="133"/>
        <v>0.17892156862745098</v>
      </c>
      <c r="N987" s="4">
        <f t="shared" si="134"/>
        <v>9.1324200913242004E-3</v>
      </c>
      <c r="O987">
        <v>396</v>
      </c>
      <c r="P987" s="5">
        <v>1</v>
      </c>
      <c r="Q987" s="7">
        <v>1</v>
      </c>
      <c r="R987" t="str">
        <f t="shared" si="140"/>
        <v>код для проверки</v>
      </c>
      <c r="S987" t="str">
        <f t="shared" si="135"/>
        <v>Больше половины</v>
      </c>
      <c r="T987" t="str">
        <f t="shared" si="136"/>
        <v>Низшая четверть</v>
      </c>
      <c r="U987" t="str">
        <f t="shared" si="137"/>
        <v>код для проверки</v>
      </c>
      <c r="V987" t="str">
        <f t="shared" si="138"/>
        <v>Больше половины</v>
      </c>
      <c r="W987" t="str">
        <f t="shared" si="139"/>
        <v>Низшая четверть</v>
      </c>
      <c r="X987">
        <v>9</v>
      </c>
    </row>
    <row r="988" spans="1:24" x14ac:dyDescent="0.35">
      <c r="A988" s="1" t="s">
        <v>1796</v>
      </c>
      <c r="B988" s="2" t="s">
        <v>1797</v>
      </c>
      <c r="C988" s="3" t="s">
        <v>13</v>
      </c>
      <c r="D988" s="2" t="s">
        <v>77</v>
      </c>
      <c r="E988" s="3" t="s">
        <v>1592</v>
      </c>
      <c r="F988" s="2" t="s">
        <v>96</v>
      </c>
      <c r="G988" s="3" t="s">
        <v>17</v>
      </c>
      <c r="H988" s="2" t="s">
        <v>18</v>
      </c>
      <c r="I988" s="3" t="s">
        <v>19</v>
      </c>
      <c r="J988" s="3">
        <v>1223</v>
      </c>
      <c r="K988" s="3">
        <v>117</v>
      </c>
      <c r="L988" s="3">
        <v>2</v>
      </c>
      <c r="M988" s="4">
        <f t="shared" si="133"/>
        <v>9.5666394112837283E-2</v>
      </c>
      <c r="N988" s="4">
        <f t="shared" si="134"/>
        <v>1.7094017094017096E-2</v>
      </c>
      <c r="O988">
        <v>870</v>
      </c>
      <c r="P988" s="5">
        <v>1</v>
      </c>
      <c r="Q988" s="7">
        <v>1</v>
      </c>
      <c r="R988" t="str">
        <f t="shared" si="140"/>
        <v>нормальный код</v>
      </c>
      <c r="S988" t="str">
        <f t="shared" si="135"/>
        <v>Больше половины</v>
      </c>
      <c r="T988" t="str">
        <f t="shared" si="136"/>
        <v>Вторая четверть</v>
      </c>
      <c r="U988" t="str">
        <f t="shared" si="137"/>
        <v>нормальный код</v>
      </c>
      <c r="V988" t="str">
        <f t="shared" si="138"/>
        <v>Больше половины</v>
      </c>
      <c r="W988" t="str">
        <f t="shared" si="139"/>
        <v>Вторая четверть</v>
      </c>
      <c r="X988">
        <v>8</v>
      </c>
    </row>
    <row r="989" spans="1:24" x14ac:dyDescent="0.35">
      <c r="A989" s="1" t="s">
        <v>2301</v>
      </c>
      <c r="B989" s="2" t="s">
        <v>2302</v>
      </c>
      <c r="C989" s="3" t="s">
        <v>13</v>
      </c>
      <c r="D989" s="2" t="s">
        <v>155</v>
      </c>
      <c r="E989" s="3" t="s">
        <v>156</v>
      </c>
      <c r="F989" s="2" t="s">
        <v>34</v>
      </c>
      <c r="G989" s="3" t="s">
        <v>17</v>
      </c>
      <c r="H989" s="2" t="s">
        <v>18</v>
      </c>
      <c r="I989" s="3" t="s">
        <v>19</v>
      </c>
      <c r="J989" s="3">
        <v>1221</v>
      </c>
      <c r="K989" s="3">
        <v>216</v>
      </c>
      <c r="L989" s="3">
        <v>6</v>
      </c>
      <c r="M989" s="4">
        <f t="shared" si="133"/>
        <v>0.1769041769041769</v>
      </c>
      <c r="N989" s="4">
        <f t="shared" si="134"/>
        <v>2.7777777777777776E-2</v>
      </c>
      <c r="O989">
        <v>135</v>
      </c>
      <c r="P989" s="5">
        <v>1</v>
      </c>
      <c r="Q989" s="7">
        <v>1</v>
      </c>
      <c r="R989" t="str">
        <f t="shared" si="140"/>
        <v>нормальный код</v>
      </c>
      <c r="S989" t="str">
        <f t="shared" si="135"/>
        <v>Больше половины</v>
      </c>
      <c r="T989" t="str">
        <f t="shared" si="136"/>
        <v>Больше половины</v>
      </c>
      <c r="U989" t="str">
        <f t="shared" si="137"/>
        <v>нормальный код</v>
      </c>
      <c r="V989" t="str">
        <f t="shared" si="138"/>
        <v>Больше половины</v>
      </c>
      <c r="W989" t="str">
        <f t="shared" si="139"/>
        <v>Больше половины</v>
      </c>
      <c r="X989">
        <v>18</v>
      </c>
    </row>
    <row r="990" spans="1:24" x14ac:dyDescent="0.35">
      <c r="A990" s="1" t="s">
        <v>2597</v>
      </c>
      <c r="B990" s="2" t="s">
        <v>2598</v>
      </c>
      <c r="C990" s="3" t="s">
        <v>13</v>
      </c>
      <c r="D990" s="2" t="s">
        <v>77</v>
      </c>
      <c r="E990" s="3" t="s">
        <v>444</v>
      </c>
      <c r="F990" s="2" t="s">
        <v>96</v>
      </c>
      <c r="G990" s="3" t="s">
        <v>35</v>
      </c>
      <c r="H990" s="2" t="s">
        <v>18</v>
      </c>
      <c r="I990" s="3" t="s">
        <v>19</v>
      </c>
      <c r="J990" s="3">
        <v>1217</v>
      </c>
      <c r="K990" s="3">
        <v>38</v>
      </c>
      <c r="L990" s="3">
        <v>1</v>
      </c>
      <c r="M990" s="4">
        <f t="shared" si="133"/>
        <v>3.1224322103533278E-2</v>
      </c>
      <c r="N990" s="4">
        <f t="shared" si="134"/>
        <v>2.6315789473684209E-2</v>
      </c>
      <c r="O990">
        <v>289</v>
      </c>
      <c r="P990" s="5">
        <v>1</v>
      </c>
      <c r="Q990" s="7">
        <v>1</v>
      </c>
      <c r="R990" t="str">
        <f t="shared" si="140"/>
        <v>код для проверки</v>
      </c>
      <c r="S990" t="str">
        <f t="shared" si="135"/>
        <v>Низшая четверть</v>
      </c>
      <c r="T990" t="str">
        <f t="shared" si="136"/>
        <v>Больше половины</v>
      </c>
      <c r="U990" t="str">
        <f t="shared" si="137"/>
        <v>код для проверки</v>
      </c>
      <c r="V990" t="str">
        <f t="shared" si="138"/>
        <v>Низшая четверть</v>
      </c>
      <c r="W990" t="str">
        <f t="shared" si="139"/>
        <v>Больше половины</v>
      </c>
      <c r="X990">
        <v>9</v>
      </c>
    </row>
    <row r="991" spans="1:24" x14ac:dyDescent="0.35">
      <c r="A991" s="1" t="s">
        <v>2418</v>
      </c>
      <c r="B991" s="2" t="s">
        <v>2419</v>
      </c>
      <c r="C991" s="3" t="s">
        <v>13</v>
      </c>
      <c r="D991" s="2" t="s">
        <v>85</v>
      </c>
      <c r="E991" s="3" t="s">
        <v>1937</v>
      </c>
      <c r="F991" s="2" t="s">
        <v>96</v>
      </c>
      <c r="G991" s="3" t="s">
        <v>17</v>
      </c>
      <c r="H991" s="2" t="s">
        <v>18</v>
      </c>
      <c r="I991" s="3" t="s">
        <v>19</v>
      </c>
      <c r="J991" s="3">
        <v>1212</v>
      </c>
      <c r="K991" s="3">
        <v>39</v>
      </c>
      <c r="L991" s="3">
        <v>1</v>
      </c>
      <c r="M991" s="4">
        <f t="shared" si="133"/>
        <v>3.2178217821782179E-2</v>
      </c>
      <c r="N991" s="4">
        <f t="shared" si="134"/>
        <v>2.564102564102564E-2</v>
      </c>
      <c r="O991">
        <v>738</v>
      </c>
      <c r="P991" s="5">
        <v>1</v>
      </c>
      <c r="Q991" s="7">
        <v>1</v>
      </c>
      <c r="R991" t="str">
        <f t="shared" si="140"/>
        <v>код для проверки</v>
      </c>
      <c r="S991" t="str">
        <f t="shared" si="135"/>
        <v>Низшая четверть</v>
      </c>
      <c r="T991" t="str">
        <f t="shared" si="136"/>
        <v>Больше половины</v>
      </c>
      <c r="U991" t="str">
        <f t="shared" si="137"/>
        <v>код для проверки</v>
      </c>
      <c r="V991" t="str">
        <f t="shared" si="138"/>
        <v>Низшая четверть</v>
      </c>
      <c r="W991" t="str">
        <f t="shared" si="139"/>
        <v>Вторая четверть</v>
      </c>
      <c r="X991">
        <v>14</v>
      </c>
    </row>
    <row r="992" spans="1:24" x14ac:dyDescent="0.35">
      <c r="A992" s="1" t="s">
        <v>1341</v>
      </c>
      <c r="B992" s="2" t="s">
        <v>1342</v>
      </c>
      <c r="C992" s="3" t="s">
        <v>13</v>
      </c>
      <c r="D992" s="2" t="s">
        <v>164</v>
      </c>
      <c r="E992" s="3" t="s">
        <v>1210</v>
      </c>
      <c r="F992" s="2" t="s">
        <v>123</v>
      </c>
      <c r="G992" s="3" t="s">
        <v>35</v>
      </c>
      <c r="H992" s="2" t="s">
        <v>18</v>
      </c>
      <c r="I992" s="3" t="s">
        <v>19</v>
      </c>
      <c r="J992" s="3">
        <v>1209</v>
      </c>
      <c r="K992" s="3">
        <v>45</v>
      </c>
      <c r="L992" s="3">
        <v>0</v>
      </c>
      <c r="M992" s="4">
        <f t="shared" si="133"/>
        <v>3.7220843672456573E-2</v>
      </c>
      <c r="N992" s="4">
        <f t="shared" si="134"/>
        <v>0</v>
      </c>
      <c r="O992">
        <v>336</v>
      </c>
      <c r="P992" s="5">
        <v>1</v>
      </c>
      <c r="Q992" s="7">
        <v>1</v>
      </c>
      <c r="R992" t="str">
        <f t="shared" si="140"/>
        <v>код для проверки</v>
      </c>
      <c r="S992" t="str">
        <f t="shared" si="135"/>
        <v>Низшая четверть</v>
      </c>
      <c r="T992" t="str">
        <f t="shared" si="136"/>
        <v>Низшая четверть</v>
      </c>
      <c r="U992" t="str">
        <f t="shared" si="137"/>
        <v>код для проверки</v>
      </c>
      <c r="V992" t="str">
        <f t="shared" si="138"/>
        <v>Вторая четверть</v>
      </c>
      <c r="W992" t="str">
        <f t="shared" si="139"/>
        <v>Низшая четверть</v>
      </c>
      <c r="X992">
        <v>19</v>
      </c>
    </row>
    <row r="993" spans="1:24" x14ac:dyDescent="0.35">
      <c r="A993" s="1" t="s">
        <v>2599</v>
      </c>
      <c r="B993" s="2" t="s">
        <v>2600</v>
      </c>
      <c r="C993" s="3" t="s">
        <v>13</v>
      </c>
      <c r="D993" s="2" t="s">
        <v>104</v>
      </c>
      <c r="E993" s="3" t="s">
        <v>711</v>
      </c>
      <c r="F993" s="2" t="s">
        <v>96</v>
      </c>
      <c r="G993" s="3" t="s">
        <v>17</v>
      </c>
      <c r="H993" s="2" t="s">
        <v>18</v>
      </c>
      <c r="I993" s="3" t="s">
        <v>19</v>
      </c>
      <c r="J993" s="3">
        <v>1205</v>
      </c>
      <c r="K993" s="3">
        <v>91</v>
      </c>
      <c r="L993" s="3">
        <v>3</v>
      </c>
      <c r="M993" s="4">
        <f t="shared" si="133"/>
        <v>7.551867219917012E-2</v>
      </c>
      <c r="N993" s="4">
        <f t="shared" si="134"/>
        <v>3.2967032967032968E-2</v>
      </c>
      <c r="O993">
        <v>378</v>
      </c>
      <c r="P993" s="5">
        <v>0.875</v>
      </c>
      <c r="Q993" s="7">
        <v>1</v>
      </c>
      <c r="R993" t="str">
        <f t="shared" si="140"/>
        <v>нормальный код</v>
      </c>
      <c r="S993" t="str">
        <f t="shared" si="135"/>
        <v>Вторая четверть</v>
      </c>
      <c r="T993" t="str">
        <f t="shared" si="136"/>
        <v>Больше половины</v>
      </c>
      <c r="U993" t="str">
        <f t="shared" si="137"/>
        <v>нормальный код</v>
      </c>
      <c r="V993" t="str">
        <f t="shared" si="138"/>
        <v>Больше половины</v>
      </c>
      <c r="W993" t="str">
        <f t="shared" si="139"/>
        <v>Вторая четверть</v>
      </c>
      <c r="X993">
        <v>19</v>
      </c>
    </row>
    <row r="994" spans="1:24" x14ac:dyDescent="0.35">
      <c r="A994" s="1" t="s">
        <v>2363</v>
      </c>
      <c r="B994" s="2" t="s">
        <v>2364</v>
      </c>
      <c r="C994" s="3" t="s">
        <v>55</v>
      </c>
      <c r="D994" s="2" t="s">
        <v>1121</v>
      </c>
      <c r="E994" s="3" t="s">
        <v>1122</v>
      </c>
      <c r="F994" s="2" t="s">
        <v>34</v>
      </c>
      <c r="G994" s="3" t="s">
        <v>17</v>
      </c>
      <c r="H994" s="2" t="s">
        <v>18</v>
      </c>
      <c r="I994" s="3" t="s">
        <v>19</v>
      </c>
      <c r="J994" s="3">
        <v>1204</v>
      </c>
      <c r="K994" s="3">
        <v>61</v>
      </c>
      <c r="L994" s="3">
        <v>1</v>
      </c>
      <c r="M994" s="4">
        <f t="shared" si="133"/>
        <v>5.0664451827242524E-2</v>
      </c>
      <c r="N994" s="4">
        <f t="shared" si="134"/>
        <v>1.6393442622950821E-2</v>
      </c>
      <c r="O994">
        <v>314</v>
      </c>
      <c r="P994" s="5">
        <v>1</v>
      </c>
      <c r="Q994" s="7">
        <v>1</v>
      </c>
      <c r="R994" t="str">
        <f t="shared" si="140"/>
        <v>нормальный код</v>
      </c>
      <c r="S994" t="str">
        <f t="shared" si="135"/>
        <v>Вторая четверть</v>
      </c>
      <c r="T994" t="str">
        <f t="shared" si="136"/>
        <v>Вторая четверть</v>
      </c>
      <c r="U994" t="str">
        <f t="shared" si="137"/>
        <v>нормальный код</v>
      </c>
      <c r="V994" t="str">
        <f t="shared" si="138"/>
        <v>Вторая четверть</v>
      </c>
      <c r="W994" t="str">
        <f t="shared" si="139"/>
        <v>Больше половины</v>
      </c>
      <c r="X994">
        <v>22</v>
      </c>
    </row>
    <row r="995" spans="1:24" x14ac:dyDescent="0.35">
      <c r="A995" s="1" t="s">
        <v>2601</v>
      </c>
      <c r="B995" s="2" t="s">
        <v>2602</v>
      </c>
      <c r="C995" s="3" t="s">
        <v>13</v>
      </c>
      <c r="D995" s="2" t="s">
        <v>69</v>
      </c>
      <c r="E995" s="3" t="s">
        <v>1780</v>
      </c>
      <c r="F995" s="2" t="s">
        <v>61</v>
      </c>
      <c r="G995" s="3" t="s">
        <v>72</v>
      </c>
      <c r="H995" s="2" t="s">
        <v>18</v>
      </c>
      <c r="I995" s="3" t="s">
        <v>19</v>
      </c>
      <c r="J995" s="3">
        <v>1203</v>
      </c>
      <c r="K995" s="3">
        <v>62</v>
      </c>
      <c r="L995" s="3">
        <v>0</v>
      </c>
      <c r="M995" s="4">
        <f t="shared" si="133"/>
        <v>5.1537822111388194E-2</v>
      </c>
      <c r="N995" s="4">
        <f t="shared" si="134"/>
        <v>0</v>
      </c>
      <c r="O995">
        <v>539</v>
      </c>
      <c r="P995" s="5">
        <v>1</v>
      </c>
      <c r="Q995" s="7">
        <v>1</v>
      </c>
      <c r="R995" t="str">
        <f t="shared" si="140"/>
        <v>код для проверки</v>
      </c>
      <c r="S995" t="str">
        <f t="shared" si="135"/>
        <v>Вторая четверть</v>
      </c>
      <c r="T995" t="str">
        <f t="shared" si="136"/>
        <v>Низшая четверть</v>
      </c>
      <c r="U995" t="str">
        <f t="shared" si="137"/>
        <v>код для проверки</v>
      </c>
      <c r="V995" t="str">
        <f t="shared" si="138"/>
        <v>Больше половины</v>
      </c>
      <c r="W995" t="str">
        <f t="shared" si="139"/>
        <v>Низшая четверть</v>
      </c>
      <c r="X995">
        <v>14</v>
      </c>
    </row>
    <row r="996" spans="1:24" x14ac:dyDescent="0.35">
      <c r="A996" s="1" t="s">
        <v>1013</v>
      </c>
      <c r="B996" s="2" t="s">
        <v>1014</v>
      </c>
      <c r="C996" s="3" t="s">
        <v>13</v>
      </c>
      <c r="D996" s="2" t="s">
        <v>567</v>
      </c>
      <c r="E996" s="3" t="s">
        <v>842</v>
      </c>
      <c r="F996" s="2" t="s">
        <v>61</v>
      </c>
      <c r="G996" s="3" t="s">
        <v>35</v>
      </c>
      <c r="H996" s="2" t="s">
        <v>18</v>
      </c>
      <c r="I996" s="3" t="s">
        <v>19</v>
      </c>
      <c r="J996" s="3">
        <v>1197</v>
      </c>
      <c r="K996" s="3">
        <v>212</v>
      </c>
      <c r="L996" s="3">
        <v>1</v>
      </c>
      <c r="M996" s="4">
        <f t="shared" si="133"/>
        <v>0.17710944026733499</v>
      </c>
      <c r="N996" s="4">
        <f t="shared" si="134"/>
        <v>4.7169811320754715E-3</v>
      </c>
      <c r="O996">
        <v>387</v>
      </c>
      <c r="P996" s="5">
        <v>1</v>
      </c>
      <c r="Q996" s="7">
        <v>0</v>
      </c>
      <c r="R996" t="s">
        <v>2344</v>
      </c>
      <c r="S996" t="str">
        <f t="shared" si="135"/>
        <v>Больше половины</v>
      </c>
      <c r="T996" t="str">
        <f t="shared" si="136"/>
        <v>Низшая четверть</v>
      </c>
      <c r="U996" t="str">
        <f t="shared" si="137"/>
        <v>код для проверки</v>
      </c>
      <c r="V996" t="str">
        <f t="shared" si="138"/>
        <v>Больше половины</v>
      </c>
      <c r="W996" t="str">
        <f t="shared" si="139"/>
        <v>Низшая четверть</v>
      </c>
      <c r="X996">
        <v>20</v>
      </c>
    </row>
    <row r="997" spans="1:24" x14ac:dyDescent="0.35">
      <c r="A997" s="1" t="s">
        <v>2603</v>
      </c>
      <c r="B997" s="2" t="s">
        <v>2604</v>
      </c>
      <c r="C997" s="3" t="s">
        <v>13</v>
      </c>
      <c r="D997" s="2" t="s">
        <v>155</v>
      </c>
      <c r="E997" s="3" t="s">
        <v>2605</v>
      </c>
      <c r="F997" s="2" t="s">
        <v>61</v>
      </c>
      <c r="G997" s="3" t="s">
        <v>17</v>
      </c>
      <c r="H997" s="2" t="s">
        <v>18</v>
      </c>
      <c r="I997" s="3" t="s">
        <v>19</v>
      </c>
      <c r="J997" s="3">
        <v>1189</v>
      </c>
      <c r="K997" s="3">
        <v>18</v>
      </c>
      <c r="L997" s="3">
        <v>0</v>
      </c>
      <c r="M997" s="4">
        <f t="shared" si="133"/>
        <v>1.5138772077375946E-2</v>
      </c>
      <c r="N997" s="4">
        <f t="shared" si="134"/>
        <v>0</v>
      </c>
      <c r="O997">
        <v>539</v>
      </c>
      <c r="P997" s="5">
        <v>1</v>
      </c>
      <c r="Q997" s="7">
        <v>0</v>
      </c>
      <c r="R997" t="s">
        <v>2344</v>
      </c>
      <c r="S997" t="str">
        <f t="shared" si="135"/>
        <v>Низшая четверть</v>
      </c>
      <c r="T997" t="str">
        <f t="shared" si="136"/>
        <v>Низшая четверть</v>
      </c>
      <c r="U997" t="e">
        <f t="shared" si="137"/>
        <v>#DIV/0!</v>
      </c>
      <c r="V997" t="e">
        <f t="shared" si="138"/>
        <v>#DIV/0!</v>
      </c>
      <c r="W997" t="e">
        <f t="shared" si="139"/>
        <v>#DIV/0!</v>
      </c>
      <c r="X997">
        <v>19</v>
      </c>
    </row>
    <row r="998" spans="1:24" x14ac:dyDescent="0.35">
      <c r="A998" s="1" t="s">
        <v>1794</v>
      </c>
      <c r="B998" s="2" t="s">
        <v>1795</v>
      </c>
      <c r="C998" s="3" t="s">
        <v>13</v>
      </c>
      <c r="D998" s="2" t="s">
        <v>77</v>
      </c>
      <c r="E998" s="3" t="s">
        <v>89</v>
      </c>
      <c r="F998" s="2" t="s">
        <v>34</v>
      </c>
      <c r="G998" s="3" t="s">
        <v>35</v>
      </c>
      <c r="H998" s="2" t="s">
        <v>18</v>
      </c>
      <c r="I998" s="3" t="s">
        <v>19</v>
      </c>
      <c r="J998" s="3">
        <v>1188</v>
      </c>
      <c r="K998" s="3">
        <v>20</v>
      </c>
      <c r="L998" s="3">
        <v>0</v>
      </c>
      <c r="M998" s="4">
        <f t="shared" si="133"/>
        <v>1.6835016835016835E-2</v>
      </c>
      <c r="N998" s="4">
        <f t="shared" si="134"/>
        <v>0</v>
      </c>
      <c r="O998">
        <v>449</v>
      </c>
      <c r="P998" s="5">
        <v>1</v>
      </c>
      <c r="Q998" s="7">
        <v>0</v>
      </c>
      <c r="R998" t="s">
        <v>2344</v>
      </c>
      <c r="S998" t="str">
        <f t="shared" si="135"/>
        <v>Низшая четверть</v>
      </c>
      <c r="T998" t="str">
        <f t="shared" si="136"/>
        <v>Низшая четверть</v>
      </c>
      <c r="U998" t="str">
        <f t="shared" si="137"/>
        <v>код для проверки</v>
      </c>
      <c r="V998" t="str">
        <f t="shared" si="138"/>
        <v>Низшая четверть</v>
      </c>
      <c r="W998" t="str">
        <f t="shared" si="139"/>
        <v>Низшая четверть</v>
      </c>
      <c r="X998">
        <v>10</v>
      </c>
    </row>
    <row r="999" spans="1:24" x14ac:dyDescent="0.35">
      <c r="A999" s="1" t="s">
        <v>2201</v>
      </c>
      <c r="B999" s="2" t="s">
        <v>2202</v>
      </c>
      <c r="C999" s="3" t="s">
        <v>55</v>
      </c>
      <c r="D999" s="2" t="s">
        <v>1049</v>
      </c>
      <c r="E999" s="3" t="s">
        <v>1050</v>
      </c>
      <c r="F999" s="2" t="s">
        <v>34</v>
      </c>
      <c r="G999" s="3" t="s">
        <v>17</v>
      </c>
      <c r="H999" s="2" t="s">
        <v>18</v>
      </c>
      <c r="I999" s="3" t="s">
        <v>19</v>
      </c>
      <c r="J999" s="3">
        <v>1188</v>
      </c>
      <c r="K999" s="3">
        <v>1062</v>
      </c>
      <c r="L999" s="3">
        <v>12</v>
      </c>
      <c r="M999" s="4">
        <f t="shared" si="133"/>
        <v>0.89393939393939392</v>
      </c>
      <c r="N999" s="4">
        <f t="shared" si="134"/>
        <v>1.1299435028248588E-2</v>
      </c>
      <c r="O999">
        <v>427</v>
      </c>
      <c r="P999" s="5">
        <v>0.83333333333333337</v>
      </c>
      <c r="Q999" s="7">
        <v>0</v>
      </c>
      <c r="R999" t="s">
        <v>2344</v>
      </c>
      <c r="S999" t="str">
        <f t="shared" si="135"/>
        <v>Больше половины</v>
      </c>
      <c r="T999" t="str">
        <f t="shared" si="136"/>
        <v>Вторая четверть</v>
      </c>
      <c r="U999" t="str">
        <f t="shared" si="137"/>
        <v>код для проверки</v>
      </c>
      <c r="V999" t="str">
        <f t="shared" si="138"/>
        <v>Больше половины</v>
      </c>
      <c r="W999" t="str">
        <f t="shared" si="139"/>
        <v>Низшая четверть</v>
      </c>
      <c r="X999">
        <v>23</v>
      </c>
    </row>
    <row r="1000" spans="1:24" x14ac:dyDescent="0.35">
      <c r="A1000" s="1" t="s">
        <v>1641</v>
      </c>
      <c r="B1000" s="2" t="s">
        <v>1642</v>
      </c>
      <c r="C1000" s="3" t="s">
        <v>13</v>
      </c>
      <c r="D1000" s="2" t="s">
        <v>155</v>
      </c>
      <c r="E1000" s="3" t="s">
        <v>156</v>
      </c>
      <c r="F1000" s="2" t="s">
        <v>34</v>
      </c>
      <c r="G1000" s="3" t="s">
        <v>17</v>
      </c>
      <c r="H1000" s="2" t="s">
        <v>18</v>
      </c>
      <c r="I1000" s="3" t="s">
        <v>19</v>
      </c>
      <c r="J1000" s="3">
        <v>1176</v>
      </c>
      <c r="K1000" s="3">
        <v>354</v>
      </c>
      <c r="L1000" s="3">
        <v>2</v>
      </c>
      <c r="M1000" s="4">
        <f t="shared" si="133"/>
        <v>0.30102040816326531</v>
      </c>
      <c r="N1000" s="4">
        <f t="shared" si="134"/>
        <v>5.6497175141242938E-3</v>
      </c>
      <c r="O1000">
        <v>628</v>
      </c>
      <c r="P1000" s="5">
        <v>1</v>
      </c>
      <c r="Q1000" s="7">
        <v>0</v>
      </c>
      <c r="R1000" t="s">
        <v>2344</v>
      </c>
      <c r="S1000" t="str">
        <f t="shared" si="135"/>
        <v>Больше половины</v>
      </c>
      <c r="T1000" t="str">
        <f t="shared" si="136"/>
        <v>Низшая четверть</v>
      </c>
      <c r="U1000" t="str">
        <f t="shared" si="137"/>
        <v>код для проверки</v>
      </c>
      <c r="V1000" t="str">
        <f t="shared" si="138"/>
        <v>Больше половины</v>
      </c>
      <c r="W1000" t="str">
        <f t="shared" si="139"/>
        <v>Низшая четверть</v>
      </c>
      <c r="X1000">
        <v>21</v>
      </c>
    </row>
    <row r="1001" spans="1:24" x14ac:dyDescent="0.35">
      <c r="A1001" s="1" t="s">
        <v>1919</v>
      </c>
      <c r="B1001" s="2" t="s">
        <v>1920</v>
      </c>
      <c r="C1001" s="3" t="s">
        <v>55</v>
      </c>
      <c r="D1001" s="2" t="s">
        <v>1049</v>
      </c>
      <c r="E1001" s="3" t="s">
        <v>1050</v>
      </c>
      <c r="F1001" s="2" t="s">
        <v>34</v>
      </c>
      <c r="G1001" s="3" t="s">
        <v>17</v>
      </c>
      <c r="H1001" s="2" t="s">
        <v>18</v>
      </c>
      <c r="I1001" s="3" t="s">
        <v>19</v>
      </c>
      <c r="J1001" s="3">
        <v>1171</v>
      </c>
      <c r="K1001" s="3">
        <v>1630</v>
      </c>
      <c r="L1001" s="3">
        <v>3</v>
      </c>
      <c r="M1001" s="4">
        <f t="shared" si="133"/>
        <v>1.3919726729291204</v>
      </c>
      <c r="N1001" s="4">
        <f t="shared" si="134"/>
        <v>1.8404907975460123E-3</v>
      </c>
      <c r="O1001">
        <v>416</v>
      </c>
      <c r="P1001" s="5">
        <v>1</v>
      </c>
      <c r="Q1001" s="7">
        <v>0</v>
      </c>
      <c r="R1001" t="s">
        <v>2344</v>
      </c>
      <c r="S1001" t="str">
        <f t="shared" si="135"/>
        <v>Больше половины</v>
      </c>
      <c r="T1001" t="str">
        <f t="shared" si="136"/>
        <v>Низшая четверть</v>
      </c>
      <c r="U1001" t="str">
        <f t="shared" si="137"/>
        <v>код для проверки</v>
      </c>
      <c r="V1001" t="str">
        <f t="shared" si="138"/>
        <v>Больше половины</v>
      </c>
      <c r="W1001" t="str">
        <f t="shared" si="139"/>
        <v>Низшая четверть</v>
      </c>
      <c r="X1001">
        <v>22</v>
      </c>
    </row>
    <row r="1002" spans="1:24" x14ac:dyDescent="0.35">
      <c r="A1002" s="1" t="s">
        <v>2606</v>
      </c>
      <c r="B1002" s="2" t="s">
        <v>2607</v>
      </c>
      <c r="C1002" s="3" t="s">
        <v>13</v>
      </c>
      <c r="D1002" s="2" t="s">
        <v>77</v>
      </c>
      <c r="E1002" s="3" t="s">
        <v>2066</v>
      </c>
      <c r="F1002" s="2" t="s">
        <v>96</v>
      </c>
      <c r="G1002" s="3" t="s">
        <v>35</v>
      </c>
      <c r="H1002" s="2" t="s">
        <v>18</v>
      </c>
      <c r="I1002" s="3" t="s">
        <v>19</v>
      </c>
      <c r="J1002" s="3">
        <v>1164</v>
      </c>
      <c r="K1002" s="3">
        <v>18</v>
      </c>
      <c r="L1002" s="3">
        <v>0</v>
      </c>
      <c r="M1002" s="4">
        <f t="shared" si="133"/>
        <v>1.5463917525773196E-2</v>
      </c>
      <c r="N1002" s="4">
        <f t="shared" si="134"/>
        <v>0</v>
      </c>
      <c r="O1002">
        <v>469</v>
      </c>
      <c r="P1002" s="5">
        <v>1</v>
      </c>
      <c r="Q1002" s="7">
        <v>0</v>
      </c>
      <c r="R1002" t="s">
        <v>2344</v>
      </c>
      <c r="S1002" t="str">
        <f t="shared" si="135"/>
        <v>Низшая четверть</v>
      </c>
      <c r="T1002" t="str">
        <f t="shared" si="136"/>
        <v>Низшая четверть</v>
      </c>
      <c r="U1002" t="e">
        <f t="shared" si="137"/>
        <v>#DIV/0!</v>
      </c>
      <c r="V1002" t="e">
        <f t="shared" si="138"/>
        <v>#DIV/0!</v>
      </c>
      <c r="W1002" t="e">
        <f t="shared" si="139"/>
        <v>#DIV/0!</v>
      </c>
      <c r="X1002">
        <v>9</v>
      </c>
    </row>
    <row r="1003" spans="1:24" x14ac:dyDescent="0.35">
      <c r="A1003" s="1" t="s">
        <v>2305</v>
      </c>
      <c r="B1003" s="2" t="s">
        <v>2306</v>
      </c>
      <c r="C1003" s="3" t="s">
        <v>55</v>
      </c>
      <c r="D1003" s="2" t="s">
        <v>1121</v>
      </c>
      <c r="E1003" s="3" t="s">
        <v>1122</v>
      </c>
      <c r="F1003" s="2" t="s">
        <v>34</v>
      </c>
      <c r="G1003" s="3" t="s">
        <v>17</v>
      </c>
      <c r="H1003" s="2" t="s">
        <v>18</v>
      </c>
      <c r="I1003" s="3" t="s">
        <v>19</v>
      </c>
      <c r="J1003" s="3">
        <v>1161</v>
      </c>
      <c r="K1003" s="3">
        <v>45</v>
      </c>
      <c r="L1003" s="3">
        <v>0</v>
      </c>
      <c r="M1003" s="4">
        <f t="shared" si="133"/>
        <v>3.875968992248062E-2</v>
      </c>
      <c r="N1003" s="4">
        <f t="shared" si="134"/>
        <v>0</v>
      </c>
      <c r="O1003">
        <v>165</v>
      </c>
      <c r="P1003" s="5">
        <v>1</v>
      </c>
      <c r="Q1003" s="7">
        <v>0</v>
      </c>
      <c r="R1003" t="s">
        <v>2344</v>
      </c>
      <c r="S1003" t="str">
        <f t="shared" si="135"/>
        <v>Низшая четверть</v>
      </c>
      <c r="T1003" t="str">
        <f t="shared" si="136"/>
        <v>Низшая четверть</v>
      </c>
      <c r="U1003" t="str">
        <f t="shared" si="137"/>
        <v>код для проверки</v>
      </c>
      <c r="V1003" t="str">
        <f t="shared" si="138"/>
        <v>Вторая четверть</v>
      </c>
      <c r="W1003" t="str">
        <f t="shared" si="139"/>
        <v>Низшая четверть</v>
      </c>
      <c r="X1003">
        <v>19</v>
      </c>
    </row>
    <row r="1004" spans="1:24" x14ac:dyDescent="0.35">
      <c r="A1004" s="1" t="s">
        <v>2608</v>
      </c>
      <c r="B1004" s="2" t="s">
        <v>2609</v>
      </c>
      <c r="C1004" s="3" t="s">
        <v>55</v>
      </c>
      <c r="D1004" s="2" t="s">
        <v>56</v>
      </c>
      <c r="E1004" s="3" t="s">
        <v>755</v>
      </c>
      <c r="F1004" s="2" t="s">
        <v>34</v>
      </c>
      <c r="G1004" s="3" t="s">
        <v>17</v>
      </c>
      <c r="H1004" s="2" t="s">
        <v>18</v>
      </c>
      <c r="I1004" s="3" t="s">
        <v>19</v>
      </c>
      <c r="J1004" s="3">
        <v>1160</v>
      </c>
      <c r="K1004" s="3">
        <v>37</v>
      </c>
      <c r="L1004" s="3">
        <v>0</v>
      </c>
      <c r="M1004" s="4">
        <f t="shared" si="133"/>
        <v>3.1896551724137932E-2</v>
      </c>
      <c r="N1004" s="4">
        <f t="shared" si="134"/>
        <v>0</v>
      </c>
      <c r="O1004">
        <v>209</v>
      </c>
      <c r="P1004" s="5">
        <v>0.5</v>
      </c>
      <c r="Q1004" s="7">
        <v>0</v>
      </c>
      <c r="R1004" t="s">
        <v>2344</v>
      </c>
      <c r="S1004" t="str">
        <f t="shared" si="135"/>
        <v>Низшая четверть</v>
      </c>
      <c r="T1004" t="str">
        <f t="shared" si="136"/>
        <v>Низшая четверть</v>
      </c>
      <c r="U1004" t="str">
        <f t="shared" si="137"/>
        <v>код для проверки</v>
      </c>
      <c r="V1004" t="str">
        <f t="shared" si="138"/>
        <v>Вторая четверть</v>
      </c>
      <c r="W1004" t="str">
        <f t="shared" si="139"/>
        <v>Низшая четверть</v>
      </c>
      <c r="X1004">
        <v>17</v>
      </c>
    </row>
    <row r="1005" spans="1:24" x14ac:dyDescent="0.35">
      <c r="A1005" s="1" t="s">
        <v>1274</v>
      </c>
      <c r="B1005" s="2" t="s">
        <v>1275</v>
      </c>
      <c r="C1005" s="3" t="s">
        <v>13</v>
      </c>
      <c r="D1005" s="2" t="s">
        <v>77</v>
      </c>
      <c r="E1005" s="3" t="s">
        <v>193</v>
      </c>
      <c r="F1005" s="2" t="s">
        <v>34</v>
      </c>
      <c r="G1005" s="3" t="s">
        <v>17</v>
      </c>
      <c r="H1005" s="2" t="s">
        <v>18</v>
      </c>
      <c r="I1005" s="3" t="s">
        <v>19</v>
      </c>
      <c r="J1005" s="3">
        <v>1155</v>
      </c>
      <c r="K1005" s="3">
        <v>430</v>
      </c>
      <c r="L1005" s="3">
        <v>2</v>
      </c>
      <c r="M1005" s="4">
        <f t="shared" si="133"/>
        <v>0.37229437229437229</v>
      </c>
      <c r="N1005" s="4">
        <f t="shared" si="134"/>
        <v>4.6511627906976744E-3</v>
      </c>
      <c r="O1005">
        <v>77</v>
      </c>
      <c r="P1005" s="5">
        <v>0.6</v>
      </c>
      <c r="Q1005" s="7">
        <v>0</v>
      </c>
      <c r="R1005" t="s">
        <v>2344</v>
      </c>
      <c r="S1005" t="str">
        <f t="shared" si="135"/>
        <v>Больше половины</v>
      </c>
      <c r="T1005" t="str">
        <f t="shared" si="136"/>
        <v>Низшая четверть</v>
      </c>
      <c r="U1005" t="str">
        <f t="shared" si="137"/>
        <v>код для проверки</v>
      </c>
      <c r="V1005" t="str">
        <f t="shared" si="138"/>
        <v>Больше половины</v>
      </c>
      <c r="W1005" t="str">
        <f t="shared" si="139"/>
        <v>Низшая четверть</v>
      </c>
      <c r="X1005">
        <v>19</v>
      </c>
    </row>
    <row r="1006" spans="1:24" x14ac:dyDescent="0.35">
      <c r="A1006" s="1" t="s">
        <v>2610</v>
      </c>
      <c r="B1006" s="2" t="s">
        <v>2611</v>
      </c>
      <c r="C1006" s="3" t="s">
        <v>13</v>
      </c>
      <c r="D1006" s="2" t="s">
        <v>104</v>
      </c>
      <c r="E1006" s="3" t="s">
        <v>1649</v>
      </c>
      <c r="F1006" s="2" t="s">
        <v>61</v>
      </c>
      <c r="G1006" s="3" t="s">
        <v>17</v>
      </c>
      <c r="H1006" s="2" t="s">
        <v>18</v>
      </c>
      <c r="I1006" s="3" t="s">
        <v>19</v>
      </c>
      <c r="J1006" s="3">
        <v>1149</v>
      </c>
      <c r="K1006" s="3">
        <v>34</v>
      </c>
      <c r="L1006" s="3">
        <v>0</v>
      </c>
      <c r="M1006" s="4">
        <f t="shared" si="133"/>
        <v>2.959094865100087E-2</v>
      </c>
      <c r="N1006" s="4">
        <f t="shared" si="134"/>
        <v>0</v>
      </c>
      <c r="O1006">
        <v>380</v>
      </c>
      <c r="P1006" s="5">
        <v>1</v>
      </c>
      <c r="Q1006" s="7">
        <v>0</v>
      </c>
      <c r="R1006" t="s">
        <v>2344</v>
      </c>
      <c r="S1006" t="str">
        <f t="shared" si="135"/>
        <v>Низшая четверть</v>
      </c>
      <c r="T1006" t="str">
        <f t="shared" si="136"/>
        <v>Низшая четверть</v>
      </c>
      <c r="U1006" t="str">
        <f t="shared" si="137"/>
        <v>код для проверки</v>
      </c>
      <c r="V1006" t="str">
        <f t="shared" si="138"/>
        <v>Низшая четверть</v>
      </c>
      <c r="W1006" t="str">
        <f t="shared" si="139"/>
        <v>Низшая четверть</v>
      </c>
      <c r="X1006">
        <v>20</v>
      </c>
    </row>
    <row r="1007" spans="1:24" x14ac:dyDescent="0.35">
      <c r="A1007" s="1" t="s">
        <v>1736</v>
      </c>
      <c r="B1007" s="2" t="s">
        <v>1737</v>
      </c>
      <c r="C1007" s="3" t="s">
        <v>55</v>
      </c>
      <c r="D1007" s="2" t="s">
        <v>94</v>
      </c>
      <c r="E1007" s="3" t="s">
        <v>812</v>
      </c>
      <c r="F1007" s="2" t="s">
        <v>96</v>
      </c>
      <c r="G1007" s="3" t="s">
        <v>17</v>
      </c>
      <c r="H1007" s="2" t="s">
        <v>18</v>
      </c>
      <c r="I1007" s="3" t="s">
        <v>19</v>
      </c>
      <c r="J1007" s="3">
        <v>1145</v>
      </c>
      <c r="K1007" s="3">
        <v>229</v>
      </c>
      <c r="L1007" s="3">
        <v>1</v>
      </c>
      <c r="M1007" s="4">
        <f t="shared" si="133"/>
        <v>0.2</v>
      </c>
      <c r="N1007" s="4">
        <f t="shared" si="134"/>
        <v>4.3668122270742356E-3</v>
      </c>
      <c r="O1007">
        <v>1299</v>
      </c>
      <c r="P1007" s="5">
        <v>1</v>
      </c>
      <c r="Q1007" s="7">
        <v>0</v>
      </c>
      <c r="R1007" t="s">
        <v>2344</v>
      </c>
      <c r="S1007" t="str">
        <f t="shared" si="135"/>
        <v>Больше половины</v>
      </c>
      <c r="T1007" t="str">
        <f t="shared" si="136"/>
        <v>Низшая четверть</v>
      </c>
      <c r="U1007" t="str">
        <f t="shared" si="137"/>
        <v>код для проверки</v>
      </c>
      <c r="V1007" t="str">
        <f t="shared" si="138"/>
        <v>Больше половины</v>
      </c>
      <c r="W1007" t="str">
        <f t="shared" si="139"/>
        <v>Низшая четверть</v>
      </c>
      <c r="X1007">
        <v>11</v>
      </c>
    </row>
    <row r="1008" spans="1:24" x14ac:dyDescent="0.35">
      <c r="A1008" s="1" t="s">
        <v>2612</v>
      </c>
      <c r="B1008" s="2" t="s">
        <v>2613</v>
      </c>
      <c r="C1008" s="3" t="s">
        <v>55</v>
      </c>
      <c r="D1008" s="2" t="s">
        <v>56</v>
      </c>
      <c r="E1008" s="3" t="s">
        <v>755</v>
      </c>
      <c r="F1008" s="2" t="s">
        <v>34</v>
      </c>
      <c r="G1008" s="3" t="s">
        <v>17</v>
      </c>
      <c r="H1008" s="2" t="s">
        <v>18</v>
      </c>
      <c r="I1008" s="3" t="s">
        <v>19</v>
      </c>
      <c r="J1008" s="3">
        <v>1140</v>
      </c>
      <c r="K1008" s="3">
        <v>41</v>
      </c>
      <c r="L1008" s="3">
        <v>0</v>
      </c>
      <c r="M1008" s="4">
        <f t="shared" si="133"/>
        <v>3.5964912280701755E-2</v>
      </c>
      <c r="N1008" s="4">
        <f t="shared" si="134"/>
        <v>0</v>
      </c>
      <c r="O1008">
        <v>120</v>
      </c>
      <c r="P1008" s="5">
        <v>0.5</v>
      </c>
      <c r="Q1008" s="7">
        <v>0</v>
      </c>
      <c r="R1008" t="s">
        <v>2344</v>
      </c>
      <c r="S1008" t="str">
        <f t="shared" si="135"/>
        <v>Низшая четверть</v>
      </c>
      <c r="T1008" t="str">
        <f t="shared" si="136"/>
        <v>Низшая четверть</v>
      </c>
      <c r="U1008" t="str">
        <f t="shared" si="137"/>
        <v>код для проверки</v>
      </c>
      <c r="V1008" t="str">
        <f t="shared" si="138"/>
        <v>Вторая четверть</v>
      </c>
      <c r="W1008" t="str">
        <f t="shared" si="139"/>
        <v>Низшая четверть</v>
      </c>
      <c r="X1008">
        <v>16</v>
      </c>
    </row>
    <row r="1009" spans="1:24" x14ac:dyDescent="0.35">
      <c r="A1009" s="1" t="s">
        <v>1495</v>
      </c>
      <c r="B1009" s="2" t="s">
        <v>1496</v>
      </c>
      <c r="C1009" s="3" t="s">
        <v>13</v>
      </c>
      <c r="D1009" s="2" t="s">
        <v>77</v>
      </c>
      <c r="E1009" s="3" t="s">
        <v>89</v>
      </c>
      <c r="F1009" s="2" t="s">
        <v>34</v>
      </c>
      <c r="G1009" s="3" t="s">
        <v>17</v>
      </c>
      <c r="H1009" s="2" t="s">
        <v>18</v>
      </c>
      <c r="I1009" s="3" t="s">
        <v>19</v>
      </c>
      <c r="J1009" s="3">
        <v>1127</v>
      </c>
      <c r="K1009" s="3">
        <v>71</v>
      </c>
      <c r="L1009" s="3">
        <v>1</v>
      </c>
      <c r="M1009" s="4">
        <f t="shared" si="133"/>
        <v>6.2999112688553682E-2</v>
      </c>
      <c r="N1009" s="4">
        <f t="shared" si="134"/>
        <v>1.4084507042253521E-2</v>
      </c>
      <c r="O1009">
        <v>629</v>
      </c>
      <c r="P1009" s="5">
        <v>0.55555555555555558</v>
      </c>
      <c r="Q1009" s="7">
        <v>0</v>
      </c>
      <c r="R1009" t="s">
        <v>2344</v>
      </c>
      <c r="S1009" t="str">
        <f t="shared" si="135"/>
        <v>Вторая четверть</v>
      </c>
      <c r="T1009" t="str">
        <f t="shared" si="136"/>
        <v>Вторая четверть</v>
      </c>
      <c r="U1009" t="str">
        <f t="shared" si="137"/>
        <v>нормальный код</v>
      </c>
      <c r="V1009" t="str">
        <f t="shared" si="138"/>
        <v>Вторая четверть</v>
      </c>
      <c r="W1009" t="str">
        <f t="shared" si="139"/>
        <v>Вторая четверть</v>
      </c>
      <c r="X1009">
        <v>13</v>
      </c>
    </row>
    <row r="1010" spans="1:24" x14ac:dyDescent="0.35">
      <c r="A1010" s="1" t="s">
        <v>2614</v>
      </c>
      <c r="B1010" s="2" t="s">
        <v>2615</v>
      </c>
      <c r="C1010" s="3" t="s">
        <v>13</v>
      </c>
      <c r="D1010" s="2" t="s">
        <v>567</v>
      </c>
      <c r="E1010" s="3" t="s">
        <v>842</v>
      </c>
      <c r="F1010" s="2" t="s">
        <v>61</v>
      </c>
      <c r="G1010" s="3" t="s">
        <v>35</v>
      </c>
      <c r="H1010" s="2" t="s">
        <v>18</v>
      </c>
      <c r="I1010" s="3" t="s">
        <v>19</v>
      </c>
      <c r="J1010" s="3">
        <v>1123</v>
      </c>
      <c r="K1010" s="3">
        <v>86</v>
      </c>
      <c r="L1010" s="3">
        <v>0</v>
      </c>
      <c r="M1010" s="4">
        <f t="shared" si="133"/>
        <v>7.6580587711487083E-2</v>
      </c>
      <c r="N1010" s="4">
        <f t="shared" si="134"/>
        <v>0</v>
      </c>
      <c r="O1010">
        <v>490</v>
      </c>
      <c r="P1010" s="5">
        <v>1</v>
      </c>
      <c r="Q1010" s="7">
        <v>0</v>
      </c>
      <c r="R1010" t="s">
        <v>2344</v>
      </c>
      <c r="S1010" t="str">
        <f t="shared" si="135"/>
        <v>Вторая четверть</v>
      </c>
      <c r="T1010" t="str">
        <f t="shared" si="136"/>
        <v>Низшая четверть</v>
      </c>
      <c r="U1010" t="str">
        <f t="shared" si="137"/>
        <v>код для проверки</v>
      </c>
      <c r="V1010" t="str">
        <f t="shared" si="138"/>
        <v>Больше половины</v>
      </c>
      <c r="W1010" t="str">
        <f t="shared" si="139"/>
        <v>Низшая четверть</v>
      </c>
      <c r="X1010">
        <v>18</v>
      </c>
    </row>
    <row r="1011" spans="1:24" x14ac:dyDescent="0.35">
      <c r="A1011" s="1" t="s">
        <v>2616</v>
      </c>
      <c r="B1011" s="2" t="s">
        <v>2617</v>
      </c>
      <c r="C1011" s="3" t="s">
        <v>13</v>
      </c>
      <c r="D1011" s="2" t="s">
        <v>77</v>
      </c>
      <c r="E1011" s="3" t="s">
        <v>444</v>
      </c>
      <c r="F1011" s="2" t="s">
        <v>96</v>
      </c>
      <c r="G1011" s="3" t="s">
        <v>35</v>
      </c>
      <c r="H1011" s="2" t="s">
        <v>18</v>
      </c>
      <c r="I1011" s="3" t="s">
        <v>19</v>
      </c>
      <c r="J1011" s="3">
        <v>1115</v>
      </c>
      <c r="K1011" s="3">
        <v>52</v>
      </c>
      <c r="L1011" s="3">
        <v>0</v>
      </c>
      <c r="M1011" s="4">
        <f t="shared" si="133"/>
        <v>4.663677130044843E-2</v>
      </c>
      <c r="N1011" s="4">
        <f t="shared" si="134"/>
        <v>0</v>
      </c>
      <c r="O1011">
        <v>515</v>
      </c>
      <c r="P1011" s="5">
        <v>1</v>
      </c>
      <c r="Q1011" s="7">
        <v>0</v>
      </c>
      <c r="R1011" t="s">
        <v>2344</v>
      </c>
      <c r="S1011" t="str">
        <f t="shared" si="135"/>
        <v>Низшая четверть</v>
      </c>
      <c r="T1011" t="str">
        <f t="shared" si="136"/>
        <v>Низшая четверть</v>
      </c>
      <c r="U1011" t="str">
        <f t="shared" si="137"/>
        <v>код для проверки</v>
      </c>
      <c r="V1011" t="str">
        <f t="shared" si="138"/>
        <v>Низшая четверть</v>
      </c>
      <c r="W1011" t="str">
        <f t="shared" si="139"/>
        <v>Низшая четверть</v>
      </c>
      <c r="X1011">
        <v>9</v>
      </c>
    </row>
    <row r="1012" spans="1:24" x14ac:dyDescent="0.35">
      <c r="A1012" s="1" t="s">
        <v>1607</v>
      </c>
      <c r="B1012" s="2" t="s">
        <v>1608</v>
      </c>
      <c r="C1012" s="3" t="s">
        <v>13</v>
      </c>
      <c r="D1012" s="2" t="s">
        <v>121</v>
      </c>
      <c r="E1012" s="3" t="s">
        <v>492</v>
      </c>
      <c r="F1012" s="2" t="s">
        <v>123</v>
      </c>
      <c r="G1012" s="3" t="s">
        <v>17</v>
      </c>
      <c r="H1012" s="2" t="s">
        <v>18</v>
      </c>
      <c r="I1012" s="3" t="s">
        <v>19</v>
      </c>
      <c r="J1012" s="3">
        <v>1112</v>
      </c>
      <c r="K1012" s="3">
        <v>58</v>
      </c>
      <c r="L1012" s="3">
        <v>0</v>
      </c>
      <c r="M1012" s="4">
        <f t="shared" si="133"/>
        <v>5.2158273381294966E-2</v>
      </c>
      <c r="N1012" s="4">
        <f t="shared" si="134"/>
        <v>0</v>
      </c>
      <c r="O1012">
        <v>60</v>
      </c>
      <c r="P1012" s="5">
        <v>0.8</v>
      </c>
      <c r="Q1012" s="7">
        <v>0</v>
      </c>
      <c r="R1012" t="s">
        <v>2344</v>
      </c>
      <c r="S1012" t="str">
        <f t="shared" si="135"/>
        <v>Вторая четверть</v>
      </c>
      <c r="T1012" t="str">
        <f t="shared" si="136"/>
        <v>Низшая четверть</v>
      </c>
      <c r="U1012" t="str">
        <f t="shared" si="137"/>
        <v>код для проверки</v>
      </c>
      <c r="V1012" t="str">
        <f t="shared" si="138"/>
        <v>Вторая четверть</v>
      </c>
      <c r="W1012" t="str">
        <f t="shared" si="139"/>
        <v>Низшая четверть</v>
      </c>
      <c r="X1012">
        <v>15</v>
      </c>
    </row>
    <row r="1013" spans="1:24" x14ac:dyDescent="0.35">
      <c r="A1013" s="1" t="s">
        <v>2618</v>
      </c>
      <c r="B1013" s="2" t="s">
        <v>2619</v>
      </c>
      <c r="C1013" s="3" t="s">
        <v>55</v>
      </c>
      <c r="D1013" s="2" t="s">
        <v>56</v>
      </c>
      <c r="E1013" s="3" t="s">
        <v>755</v>
      </c>
      <c r="F1013" s="2" t="s">
        <v>34</v>
      </c>
      <c r="G1013" s="3" t="s">
        <v>17</v>
      </c>
      <c r="H1013" s="2" t="s">
        <v>18</v>
      </c>
      <c r="I1013" s="3" t="s">
        <v>19</v>
      </c>
      <c r="J1013" s="3">
        <v>1108</v>
      </c>
      <c r="K1013" s="3">
        <v>32</v>
      </c>
      <c r="L1013" s="3">
        <v>0</v>
      </c>
      <c r="M1013" s="4">
        <f t="shared" si="133"/>
        <v>2.8880866425992781E-2</v>
      </c>
      <c r="N1013" s="4">
        <f t="shared" si="134"/>
        <v>0</v>
      </c>
      <c r="O1013">
        <v>180</v>
      </c>
      <c r="P1013" s="5">
        <v>0.5</v>
      </c>
      <c r="Q1013" s="7">
        <v>0</v>
      </c>
      <c r="R1013" t="s">
        <v>2344</v>
      </c>
      <c r="S1013" t="str">
        <f t="shared" si="135"/>
        <v>Низшая четверть</v>
      </c>
      <c r="T1013" t="str">
        <f t="shared" si="136"/>
        <v>Низшая четверть</v>
      </c>
      <c r="U1013" t="str">
        <f t="shared" si="137"/>
        <v>код для проверки</v>
      </c>
      <c r="V1013" t="str">
        <f t="shared" si="138"/>
        <v>Вторая четверть</v>
      </c>
      <c r="W1013" t="str">
        <f t="shared" si="139"/>
        <v>Низшая четверть</v>
      </c>
      <c r="X1013">
        <v>15</v>
      </c>
    </row>
    <row r="1014" spans="1:24" x14ac:dyDescent="0.35">
      <c r="A1014" s="1" t="s">
        <v>2048</v>
      </c>
      <c r="B1014" s="2" t="s">
        <v>2049</v>
      </c>
      <c r="C1014" s="3" t="s">
        <v>13</v>
      </c>
      <c r="D1014" s="2" t="s">
        <v>69</v>
      </c>
      <c r="E1014" s="3" t="s">
        <v>159</v>
      </c>
      <c r="F1014" s="2" t="s">
        <v>34</v>
      </c>
      <c r="G1014" s="3" t="s">
        <v>72</v>
      </c>
      <c r="H1014" s="2" t="s">
        <v>18</v>
      </c>
      <c r="I1014" s="3" t="s">
        <v>19</v>
      </c>
      <c r="J1014" s="3">
        <v>1108</v>
      </c>
      <c r="K1014" s="3">
        <v>1040</v>
      </c>
      <c r="L1014" s="3">
        <v>30</v>
      </c>
      <c r="M1014" s="4">
        <f t="shared" si="133"/>
        <v>0.93862815884476536</v>
      </c>
      <c r="N1014" s="4">
        <f t="shared" si="134"/>
        <v>2.8846153846153848E-2</v>
      </c>
      <c r="O1014">
        <v>231</v>
      </c>
      <c r="P1014" s="5">
        <v>1</v>
      </c>
      <c r="Q1014" s="7">
        <v>0</v>
      </c>
      <c r="R1014" t="s">
        <v>2344</v>
      </c>
      <c r="S1014" t="str">
        <f t="shared" si="135"/>
        <v>Больше половины</v>
      </c>
      <c r="T1014" t="str">
        <f t="shared" si="136"/>
        <v>Больше половины</v>
      </c>
      <c r="U1014" t="str">
        <f t="shared" si="137"/>
        <v>нормальный код</v>
      </c>
      <c r="V1014" t="str">
        <f t="shared" si="138"/>
        <v>Больше половины</v>
      </c>
      <c r="W1014" t="str">
        <f t="shared" si="139"/>
        <v>Больше половины</v>
      </c>
      <c r="X1014">
        <v>5</v>
      </c>
    </row>
    <row r="1015" spans="1:24" x14ac:dyDescent="0.35">
      <c r="A1015" s="1" t="s">
        <v>2620</v>
      </c>
      <c r="B1015" s="2" t="s">
        <v>2621</v>
      </c>
      <c r="C1015" s="3" t="s">
        <v>55</v>
      </c>
      <c r="D1015" s="2" t="s">
        <v>56</v>
      </c>
      <c r="E1015" s="3" t="s">
        <v>755</v>
      </c>
      <c r="F1015" s="2" t="s">
        <v>34</v>
      </c>
      <c r="G1015" s="3" t="s">
        <v>17</v>
      </c>
      <c r="H1015" s="2" t="s">
        <v>18</v>
      </c>
      <c r="I1015" s="3" t="s">
        <v>19</v>
      </c>
      <c r="J1015" s="3">
        <v>1105</v>
      </c>
      <c r="K1015" s="3">
        <v>34</v>
      </c>
      <c r="L1015" s="3">
        <v>0</v>
      </c>
      <c r="M1015" s="4">
        <f t="shared" si="133"/>
        <v>3.0769230769230771E-2</v>
      </c>
      <c r="N1015" s="4">
        <f t="shared" si="134"/>
        <v>0</v>
      </c>
      <c r="O1015">
        <v>180</v>
      </c>
      <c r="P1015" s="5">
        <v>0.5</v>
      </c>
      <c r="Q1015" s="7">
        <v>0</v>
      </c>
      <c r="R1015" t="s">
        <v>2344</v>
      </c>
      <c r="S1015" t="str">
        <f t="shared" si="135"/>
        <v>Низшая четверть</v>
      </c>
      <c r="T1015" t="str">
        <f t="shared" si="136"/>
        <v>Низшая четверть</v>
      </c>
      <c r="U1015" t="str">
        <f t="shared" si="137"/>
        <v>код для проверки</v>
      </c>
      <c r="V1015" t="str">
        <f t="shared" si="138"/>
        <v>Вторая четверть</v>
      </c>
      <c r="W1015" t="str">
        <f t="shared" si="139"/>
        <v>Низшая четверть</v>
      </c>
      <c r="X1015">
        <v>18</v>
      </c>
    </row>
    <row r="1016" spans="1:24" x14ac:dyDescent="0.35">
      <c r="A1016" s="1" t="s">
        <v>2622</v>
      </c>
      <c r="B1016" s="2" t="s">
        <v>2623</v>
      </c>
      <c r="C1016" s="3" t="s">
        <v>13</v>
      </c>
      <c r="D1016" s="2" t="s">
        <v>155</v>
      </c>
      <c r="E1016" s="3" t="s">
        <v>156</v>
      </c>
      <c r="F1016" s="2" t="s">
        <v>34</v>
      </c>
      <c r="G1016" s="3" t="s">
        <v>17</v>
      </c>
      <c r="H1016" s="2" t="s">
        <v>18</v>
      </c>
      <c r="I1016" s="3" t="s">
        <v>19</v>
      </c>
      <c r="J1016" s="3">
        <v>1100</v>
      </c>
      <c r="K1016" s="3">
        <v>49</v>
      </c>
      <c r="L1016" s="3">
        <v>4</v>
      </c>
      <c r="M1016" s="4">
        <f t="shared" si="133"/>
        <v>4.4545454545454548E-2</v>
      </c>
      <c r="N1016" s="4">
        <f t="shared" si="134"/>
        <v>8.1632653061224483E-2</v>
      </c>
      <c r="O1016">
        <v>553</v>
      </c>
      <c r="P1016" s="5">
        <v>1</v>
      </c>
      <c r="Q1016" s="7">
        <v>0</v>
      </c>
      <c r="R1016" t="s">
        <v>2344</v>
      </c>
      <c r="S1016" t="str">
        <f t="shared" si="135"/>
        <v>Низшая четверть</v>
      </c>
      <c r="T1016" t="str">
        <f t="shared" si="136"/>
        <v>Больше половины</v>
      </c>
      <c r="U1016" t="str">
        <f t="shared" si="137"/>
        <v>код для проверки</v>
      </c>
      <c r="V1016" t="str">
        <f t="shared" si="138"/>
        <v>Низшая четверть</v>
      </c>
      <c r="W1016" t="str">
        <f t="shared" si="139"/>
        <v>Больше половины</v>
      </c>
      <c r="X1016">
        <v>21</v>
      </c>
    </row>
    <row r="1017" spans="1:24" x14ac:dyDescent="0.35">
      <c r="A1017" s="1" t="s">
        <v>2624</v>
      </c>
      <c r="B1017" s="2" t="s">
        <v>2625</v>
      </c>
      <c r="C1017" s="3" t="s">
        <v>55</v>
      </c>
      <c r="D1017" s="2" t="s">
        <v>56</v>
      </c>
      <c r="E1017" s="3" t="s">
        <v>755</v>
      </c>
      <c r="F1017" s="2" t="s">
        <v>34</v>
      </c>
      <c r="G1017" s="3" t="s">
        <v>17</v>
      </c>
      <c r="H1017" s="2" t="s">
        <v>18</v>
      </c>
      <c r="I1017" s="3" t="s">
        <v>19</v>
      </c>
      <c r="J1017" s="3">
        <v>1095</v>
      </c>
      <c r="K1017" s="3">
        <v>27</v>
      </c>
      <c r="L1017" s="3">
        <v>0</v>
      </c>
      <c r="M1017" s="4">
        <f t="shared" si="133"/>
        <v>2.4657534246575342E-2</v>
      </c>
      <c r="N1017" s="4">
        <f t="shared" si="134"/>
        <v>0</v>
      </c>
      <c r="O1017">
        <v>148</v>
      </c>
      <c r="P1017" s="5">
        <v>0.75</v>
      </c>
      <c r="Q1017" s="7">
        <v>0</v>
      </c>
      <c r="R1017" t="s">
        <v>2344</v>
      </c>
      <c r="S1017" t="str">
        <f t="shared" si="135"/>
        <v>Низшая четверть</v>
      </c>
      <c r="T1017" t="str">
        <f t="shared" si="136"/>
        <v>Низшая четверть</v>
      </c>
      <c r="U1017" t="str">
        <f t="shared" si="137"/>
        <v>код для проверки</v>
      </c>
      <c r="V1017" t="str">
        <f t="shared" si="138"/>
        <v>Вторая четверть</v>
      </c>
      <c r="W1017" t="str">
        <f t="shared" si="139"/>
        <v>Низшая четверть</v>
      </c>
      <c r="X1017">
        <v>18</v>
      </c>
    </row>
    <row r="1018" spans="1:24" x14ac:dyDescent="0.35">
      <c r="A1018" s="1" t="s">
        <v>2626</v>
      </c>
      <c r="B1018" s="2" t="s">
        <v>2627</v>
      </c>
      <c r="C1018" s="3" t="s">
        <v>55</v>
      </c>
      <c r="D1018" s="2" t="s">
        <v>56</v>
      </c>
      <c r="E1018" s="3" t="s">
        <v>755</v>
      </c>
      <c r="F1018" s="2" t="s">
        <v>34</v>
      </c>
      <c r="G1018" s="3" t="s">
        <v>17</v>
      </c>
      <c r="H1018" s="2" t="s">
        <v>18</v>
      </c>
      <c r="I1018" s="3" t="s">
        <v>19</v>
      </c>
      <c r="J1018" s="3">
        <v>1095</v>
      </c>
      <c r="K1018" s="3">
        <v>18</v>
      </c>
      <c r="L1018" s="3">
        <v>0</v>
      </c>
      <c r="M1018" s="4">
        <f t="shared" si="133"/>
        <v>1.643835616438356E-2</v>
      </c>
      <c r="N1018" s="4">
        <f t="shared" si="134"/>
        <v>0</v>
      </c>
      <c r="O1018">
        <v>149</v>
      </c>
      <c r="P1018" s="5">
        <v>0.75</v>
      </c>
      <c r="Q1018" s="7">
        <v>0</v>
      </c>
      <c r="R1018" t="s">
        <v>2344</v>
      </c>
      <c r="S1018" t="str">
        <f t="shared" si="135"/>
        <v>Низшая четверть</v>
      </c>
      <c r="T1018" t="str">
        <f t="shared" si="136"/>
        <v>Низшая четверть</v>
      </c>
      <c r="U1018" t="str">
        <f t="shared" si="137"/>
        <v>код для проверки</v>
      </c>
      <c r="V1018" t="str">
        <f t="shared" si="138"/>
        <v>Низшая четверть</v>
      </c>
      <c r="W1018" t="str">
        <f t="shared" si="139"/>
        <v>Низшая четверть</v>
      </c>
      <c r="X1018">
        <v>17</v>
      </c>
    </row>
    <row r="1019" spans="1:24" x14ac:dyDescent="0.35">
      <c r="A1019" s="1" t="s">
        <v>2222</v>
      </c>
      <c r="B1019" s="2" t="s">
        <v>2223</v>
      </c>
      <c r="C1019" s="3" t="s">
        <v>13</v>
      </c>
      <c r="D1019" s="2" t="s">
        <v>22</v>
      </c>
      <c r="E1019" s="3" t="s">
        <v>272</v>
      </c>
      <c r="F1019" s="2" t="s">
        <v>123</v>
      </c>
      <c r="G1019" s="3" t="s">
        <v>17</v>
      </c>
      <c r="H1019" s="2" t="s">
        <v>18</v>
      </c>
      <c r="I1019" s="3" t="s">
        <v>19</v>
      </c>
      <c r="J1019" s="3">
        <v>1092</v>
      </c>
      <c r="K1019" s="3">
        <v>35</v>
      </c>
      <c r="L1019" s="3">
        <v>1</v>
      </c>
      <c r="M1019" s="4">
        <f t="shared" si="133"/>
        <v>3.2051282051282048E-2</v>
      </c>
      <c r="N1019" s="4">
        <f t="shared" si="134"/>
        <v>2.8571428571428571E-2</v>
      </c>
      <c r="O1019">
        <v>719</v>
      </c>
      <c r="P1019" s="5">
        <v>1</v>
      </c>
      <c r="Q1019" s="7">
        <v>0</v>
      </c>
      <c r="R1019" t="s">
        <v>2344</v>
      </c>
      <c r="S1019" t="str">
        <f t="shared" si="135"/>
        <v>Низшая четверть</v>
      </c>
      <c r="T1019" t="str">
        <f t="shared" si="136"/>
        <v>Больше половины</v>
      </c>
      <c r="U1019" t="str">
        <f t="shared" si="137"/>
        <v>код для проверки</v>
      </c>
      <c r="V1019" t="str">
        <f t="shared" si="138"/>
        <v>Низшая четверть</v>
      </c>
      <c r="W1019" t="str">
        <f t="shared" si="139"/>
        <v>Больше половины</v>
      </c>
      <c r="X1019">
        <v>24</v>
      </c>
    </row>
    <row r="1020" spans="1:24" x14ac:dyDescent="0.35">
      <c r="A1020" s="1" t="s">
        <v>2628</v>
      </c>
      <c r="B1020" s="2" t="s">
        <v>2629</v>
      </c>
      <c r="C1020" s="3" t="s">
        <v>55</v>
      </c>
      <c r="D1020" s="2" t="s">
        <v>56</v>
      </c>
      <c r="E1020" s="3" t="s">
        <v>755</v>
      </c>
      <c r="F1020" s="2" t="s">
        <v>34</v>
      </c>
      <c r="G1020" s="3" t="s">
        <v>17</v>
      </c>
      <c r="H1020" s="2" t="s">
        <v>18</v>
      </c>
      <c r="I1020" s="3" t="s">
        <v>19</v>
      </c>
      <c r="J1020" s="3">
        <v>1090</v>
      </c>
      <c r="K1020" s="3">
        <v>21</v>
      </c>
      <c r="L1020" s="3">
        <v>0</v>
      </c>
      <c r="M1020" s="4">
        <f t="shared" si="133"/>
        <v>1.9266055045871561E-2</v>
      </c>
      <c r="N1020" s="4">
        <f t="shared" si="134"/>
        <v>0</v>
      </c>
      <c r="O1020">
        <v>241</v>
      </c>
      <c r="P1020" s="5">
        <v>0.75</v>
      </c>
      <c r="Q1020" s="7">
        <v>0</v>
      </c>
      <c r="R1020" t="s">
        <v>2344</v>
      </c>
      <c r="S1020" t="str">
        <f t="shared" si="135"/>
        <v>Низшая четверть</v>
      </c>
      <c r="T1020" t="str">
        <f t="shared" si="136"/>
        <v>Низшая четверть</v>
      </c>
      <c r="U1020" t="str">
        <f t="shared" si="137"/>
        <v>код для проверки</v>
      </c>
      <c r="V1020" t="str">
        <f t="shared" si="138"/>
        <v>Низшая четверть</v>
      </c>
      <c r="W1020" t="str">
        <f t="shared" si="139"/>
        <v>Низшая четверть</v>
      </c>
      <c r="X1020">
        <v>17</v>
      </c>
    </row>
    <row r="1021" spans="1:24" x14ac:dyDescent="0.35">
      <c r="A1021" s="1" t="s">
        <v>2281</v>
      </c>
      <c r="B1021" s="2" t="s">
        <v>2282</v>
      </c>
      <c r="C1021" s="3" t="s">
        <v>13</v>
      </c>
      <c r="D1021" s="2" t="s">
        <v>85</v>
      </c>
      <c r="E1021" s="3" t="s">
        <v>1937</v>
      </c>
      <c r="F1021" s="2" t="s">
        <v>96</v>
      </c>
      <c r="G1021" s="3" t="s">
        <v>35</v>
      </c>
      <c r="H1021" s="2" t="s">
        <v>18</v>
      </c>
      <c r="I1021" s="3" t="s">
        <v>19</v>
      </c>
      <c r="J1021" s="3">
        <v>1088</v>
      </c>
      <c r="K1021" s="3">
        <v>192</v>
      </c>
      <c r="L1021" s="3">
        <v>1</v>
      </c>
      <c r="M1021" s="4">
        <f t="shared" si="133"/>
        <v>0.17647058823529413</v>
      </c>
      <c r="N1021" s="4">
        <f t="shared" si="134"/>
        <v>5.208333333333333E-3</v>
      </c>
      <c r="O1021">
        <v>399</v>
      </c>
      <c r="P1021" s="5">
        <v>1</v>
      </c>
      <c r="Q1021" s="7">
        <v>0</v>
      </c>
      <c r="R1021" t="s">
        <v>2344</v>
      </c>
      <c r="S1021" t="str">
        <f t="shared" si="135"/>
        <v>Больше половины</v>
      </c>
      <c r="T1021" t="str">
        <f t="shared" si="136"/>
        <v>Низшая четверть</v>
      </c>
      <c r="U1021" t="str">
        <f t="shared" si="137"/>
        <v>код для проверки</v>
      </c>
      <c r="V1021" t="str">
        <f t="shared" si="138"/>
        <v>Больше половины</v>
      </c>
      <c r="W1021" t="str">
        <f t="shared" si="139"/>
        <v>Низшая четверть</v>
      </c>
      <c r="X1021">
        <v>9</v>
      </c>
    </row>
    <row r="1022" spans="1:24" x14ac:dyDescent="0.35">
      <c r="A1022" s="1" t="s">
        <v>2172</v>
      </c>
      <c r="B1022" s="2" t="s">
        <v>2173</v>
      </c>
      <c r="C1022" s="3" t="s">
        <v>13</v>
      </c>
      <c r="D1022" s="2" t="s">
        <v>121</v>
      </c>
      <c r="E1022" s="3" t="s">
        <v>122</v>
      </c>
      <c r="F1022" s="2" t="s">
        <v>123</v>
      </c>
      <c r="G1022" s="3" t="s">
        <v>17</v>
      </c>
      <c r="H1022" s="2" t="s">
        <v>18</v>
      </c>
      <c r="I1022" s="3" t="s">
        <v>19</v>
      </c>
      <c r="J1022" s="3">
        <v>1081</v>
      </c>
      <c r="K1022" s="3">
        <v>132</v>
      </c>
      <c r="L1022" s="3">
        <v>5</v>
      </c>
      <c r="M1022" s="4">
        <f t="shared" si="133"/>
        <v>0.12210915818686402</v>
      </c>
      <c r="N1022" s="4">
        <f t="shared" si="134"/>
        <v>3.787878787878788E-2</v>
      </c>
      <c r="O1022">
        <v>550</v>
      </c>
      <c r="P1022" s="5">
        <v>1</v>
      </c>
      <c r="Q1022" s="7">
        <v>0</v>
      </c>
      <c r="R1022" t="s">
        <v>2344</v>
      </c>
      <c r="S1022" t="str">
        <f t="shared" si="135"/>
        <v>Больше половины</v>
      </c>
      <c r="T1022" t="str">
        <f t="shared" si="136"/>
        <v>Больше половины</v>
      </c>
      <c r="U1022" t="str">
        <f t="shared" si="137"/>
        <v>нормальный код</v>
      </c>
      <c r="V1022" t="str">
        <f t="shared" si="138"/>
        <v>Больше половины</v>
      </c>
      <c r="W1022" t="str">
        <f t="shared" si="139"/>
        <v>Больше половины</v>
      </c>
      <c r="X1022">
        <v>20</v>
      </c>
    </row>
    <row r="1023" spans="1:24" x14ac:dyDescent="0.35">
      <c r="A1023" s="1" t="s">
        <v>2630</v>
      </c>
      <c r="B1023" s="2" t="s">
        <v>2631</v>
      </c>
      <c r="C1023" s="3" t="s">
        <v>55</v>
      </c>
      <c r="D1023" s="2" t="s">
        <v>56</v>
      </c>
      <c r="E1023" s="3" t="s">
        <v>755</v>
      </c>
      <c r="F1023" s="2" t="s">
        <v>34</v>
      </c>
      <c r="G1023" s="3" t="s">
        <v>17</v>
      </c>
      <c r="H1023" s="2" t="s">
        <v>18</v>
      </c>
      <c r="I1023" s="3" t="s">
        <v>19</v>
      </c>
      <c r="J1023" s="3">
        <v>1078</v>
      </c>
      <c r="K1023" s="3">
        <v>22</v>
      </c>
      <c r="L1023" s="3">
        <v>0</v>
      </c>
      <c r="M1023" s="4">
        <f t="shared" si="133"/>
        <v>2.0408163265306121E-2</v>
      </c>
      <c r="N1023" s="4">
        <f t="shared" si="134"/>
        <v>0</v>
      </c>
      <c r="O1023">
        <v>210</v>
      </c>
      <c r="P1023" s="5">
        <v>0.5</v>
      </c>
      <c r="Q1023" s="7">
        <v>0</v>
      </c>
      <c r="R1023" t="s">
        <v>2344</v>
      </c>
      <c r="S1023" t="str">
        <f t="shared" si="135"/>
        <v>Низшая четверть</v>
      </c>
      <c r="T1023" t="str">
        <f t="shared" si="136"/>
        <v>Низшая четверть</v>
      </c>
      <c r="U1023" t="str">
        <f t="shared" si="137"/>
        <v>код для проверки</v>
      </c>
      <c r="V1023" t="str">
        <f t="shared" si="138"/>
        <v>Низшая четверть</v>
      </c>
      <c r="W1023" t="str">
        <f t="shared" si="139"/>
        <v>Низшая четверть</v>
      </c>
      <c r="X1023">
        <v>15</v>
      </c>
    </row>
    <row r="1024" spans="1:24" x14ac:dyDescent="0.35">
      <c r="A1024" s="1" t="s">
        <v>1316</v>
      </c>
      <c r="B1024" s="2" t="s">
        <v>1317</v>
      </c>
      <c r="C1024" s="3" t="s">
        <v>13</v>
      </c>
      <c r="D1024" s="2" t="s">
        <v>1215</v>
      </c>
      <c r="E1024" s="3" t="s">
        <v>1318</v>
      </c>
      <c r="F1024" s="2" t="s">
        <v>34</v>
      </c>
      <c r="G1024" s="3" t="s">
        <v>17</v>
      </c>
      <c r="H1024" s="2" t="s">
        <v>18</v>
      </c>
      <c r="I1024" s="3" t="s">
        <v>19</v>
      </c>
      <c r="J1024" s="3">
        <v>1078</v>
      </c>
      <c r="K1024" s="3">
        <v>94</v>
      </c>
      <c r="L1024" s="3">
        <v>7</v>
      </c>
      <c r="M1024" s="4">
        <f t="shared" si="133"/>
        <v>8.7198515769944335E-2</v>
      </c>
      <c r="N1024" s="4">
        <f t="shared" si="134"/>
        <v>7.4468085106382975E-2</v>
      </c>
      <c r="O1024">
        <v>197</v>
      </c>
      <c r="P1024" s="5">
        <v>1</v>
      </c>
      <c r="Q1024" s="7">
        <v>0</v>
      </c>
      <c r="R1024" t="s">
        <v>2344</v>
      </c>
      <c r="S1024" t="str">
        <f t="shared" si="135"/>
        <v>Вторая четверть</v>
      </c>
      <c r="T1024" t="str">
        <f t="shared" si="136"/>
        <v>Больше половины</v>
      </c>
      <c r="U1024" t="e">
        <f t="shared" si="137"/>
        <v>#DIV/0!</v>
      </c>
      <c r="V1024" t="e">
        <f t="shared" si="138"/>
        <v>#DIV/0!</v>
      </c>
      <c r="W1024" t="e">
        <f t="shared" si="139"/>
        <v>#DIV/0!</v>
      </c>
      <c r="X1024">
        <v>8</v>
      </c>
    </row>
    <row r="1025" spans="1:24" x14ac:dyDescent="0.35">
      <c r="A1025" s="1" t="s">
        <v>1647</v>
      </c>
      <c r="B1025" s="2" t="s">
        <v>1648</v>
      </c>
      <c r="C1025" s="3" t="s">
        <v>13</v>
      </c>
      <c r="D1025" s="2" t="s">
        <v>104</v>
      </c>
      <c r="E1025" s="3" t="s">
        <v>1649</v>
      </c>
      <c r="F1025" s="2" t="s">
        <v>61</v>
      </c>
      <c r="G1025" s="3" t="s">
        <v>35</v>
      </c>
      <c r="H1025" s="2" t="s">
        <v>18</v>
      </c>
      <c r="I1025" s="3" t="s">
        <v>19</v>
      </c>
      <c r="J1025" s="3">
        <v>1076</v>
      </c>
      <c r="K1025" s="3">
        <v>28</v>
      </c>
      <c r="L1025" s="3">
        <v>0</v>
      </c>
      <c r="M1025" s="4">
        <f t="shared" si="133"/>
        <v>2.6022304832713755E-2</v>
      </c>
      <c r="N1025" s="4">
        <f t="shared" si="134"/>
        <v>0</v>
      </c>
      <c r="O1025">
        <v>140</v>
      </c>
      <c r="P1025" s="5">
        <v>0.8</v>
      </c>
      <c r="Q1025" s="7">
        <v>0</v>
      </c>
      <c r="R1025" t="s">
        <v>2344</v>
      </c>
      <c r="S1025" t="str">
        <f t="shared" si="135"/>
        <v>Низшая четверть</v>
      </c>
      <c r="T1025" t="str">
        <f t="shared" si="136"/>
        <v>Низшая четверть</v>
      </c>
      <c r="U1025" t="str">
        <f t="shared" si="137"/>
        <v>код для проверки</v>
      </c>
      <c r="V1025" t="str">
        <f t="shared" si="138"/>
        <v>Низшая четверть</v>
      </c>
      <c r="W1025" t="str">
        <f t="shared" si="139"/>
        <v>Низшая четверть</v>
      </c>
      <c r="X1025">
        <v>8</v>
      </c>
    </row>
    <row r="1026" spans="1:24" x14ac:dyDescent="0.35">
      <c r="A1026" s="1" t="s">
        <v>2207</v>
      </c>
      <c r="B1026" s="2" t="s">
        <v>2208</v>
      </c>
      <c r="C1026" s="3" t="s">
        <v>13</v>
      </c>
      <c r="D1026" s="2" t="s">
        <v>77</v>
      </c>
      <c r="E1026" s="3" t="s">
        <v>89</v>
      </c>
      <c r="F1026" s="2" t="s">
        <v>34</v>
      </c>
      <c r="G1026" s="3" t="s">
        <v>17</v>
      </c>
      <c r="H1026" s="2" t="s">
        <v>18</v>
      </c>
      <c r="I1026" s="3" t="s">
        <v>19</v>
      </c>
      <c r="J1026" s="3">
        <v>1070</v>
      </c>
      <c r="K1026" s="3">
        <v>49</v>
      </c>
      <c r="L1026" s="3">
        <v>0</v>
      </c>
      <c r="M1026" s="4">
        <f t="shared" si="133"/>
        <v>4.5794392523364487E-2</v>
      </c>
      <c r="N1026" s="4">
        <f t="shared" si="134"/>
        <v>0</v>
      </c>
      <c r="O1026">
        <v>599</v>
      </c>
      <c r="P1026" s="5">
        <v>1</v>
      </c>
      <c r="Q1026" s="7">
        <v>0</v>
      </c>
      <c r="R1026" t="s">
        <v>2344</v>
      </c>
      <c r="S1026" t="str">
        <f t="shared" si="135"/>
        <v>Низшая четверть</v>
      </c>
      <c r="T1026" t="str">
        <f t="shared" si="136"/>
        <v>Низшая четверть</v>
      </c>
      <c r="U1026" t="str">
        <f t="shared" si="137"/>
        <v>код для проверки</v>
      </c>
      <c r="V1026" t="str">
        <f t="shared" si="138"/>
        <v>Низшая четверть</v>
      </c>
      <c r="W1026" t="str">
        <f t="shared" si="139"/>
        <v>Низшая четверть</v>
      </c>
      <c r="X1026">
        <v>6</v>
      </c>
    </row>
    <row r="1027" spans="1:24" x14ac:dyDescent="0.35">
      <c r="A1027" s="1" t="s">
        <v>2244</v>
      </c>
      <c r="B1027" s="2" t="s">
        <v>2245</v>
      </c>
      <c r="C1027" s="3" t="s">
        <v>13</v>
      </c>
      <c r="D1027" s="2" t="s">
        <v>143</v>
      </c>
      <c r="E1027" s="3" t="s">
        <v>1071</v>
      </c>
      <c r="F1027" s="2" t="s">
        <v>34</v>
      </c>
      <c r="G1027" s="3" t="s">
        <v>35</v>
      </c>
      <c r="H1027" s="2" t="s">
        <v>18</v>
      </c>
      <c r="I1027" s="3" t="s">
        <v>19</v>
      </c>
      <c r="J1027" s="3">
        <v>1068</v>
      </c>
      <c r="K1027" s="3">
        <v>506</v>
      </c>
      <c r="L1027" s="3">
        <v>70</v>
      </c>
      <c r="M1027" s="4">
        <f t="shared" si="133"/>
        <v>0.47378277153558052</v>
      </c>
      <c r="N1027" s="4">
        <f t="shared" si="134"/>
        <v>0.13833992094861661</v>
      </c>
      <c r="O1027">
        <v>230</v>
      </c>
      <c r="P1027" s="5">
        <v>1</v>
      </c>
      <c r="Q1027" s="7">
        <v>0</v>
      </c>
      <c r="R1027" t="s">
        <v>2344</v>
      </c>
      <c r="S1027" t="str">
        <f t="shared" si="135"/>
        <v>Больше половины</v>
      </c>
      <c r="T1027" t="str">
        <f t="shared" si="136"/>
        <v>Больше половины</v>
      </c>
      <c r="U1027" t="str">
        <f t="shared" si="137"/>
        <v>нормальный код</v>
      </c>
      <c r="V1027" t="str">
        <f t="shared" si="138"/>
        <v>Больше половины</v>
      </c>
      <c r="W1027" t="str">
        <f t="shared" si="139"/>
        <v>Больше половины</v>
      </c>
      <c r="X1027">
        <v>15</v>
      </c>
    </row>
    <row r="1028" spans="1:24" x14ac:dyDescent="0.35">
      <c r="A1028" s="1" t="s">
        <v>2378</v>
      </c>
      <c r="B1028" s="2" t="s">
        <v>2379</v>
      </c>
      <c r="C1028" s="3" t="s">
        <v>55</v>
      </c>
      <c r="D1028" s="2" t="s">
        <v>56</v>
      </c>
      <c r="E1028" s="3" t="s">
        <v>2380</v>
      </c>
      <c r="F1028" s="2" t="s">
        <v>71</v>
      </c>
      <c r="G1028" s="3" t="s">
        <v>17</v>
      </c>
      <c r="H1028" s="2" t="s">
        <v>1223</v>
      </c>
      <c r="I1028" s="3" t="s">
        <v>19</v>
      </c>
      <c r="J1028" s="3">
        <v>1059</v>
      </c>
      <c r="K1028" s="3">
        <v>24</v>
      </c>
      <c r="L1028" s="3">
        <v>0</v>
      </c>
      <c r="M1028" s="4">
        <f t="shared" ref="M1028:M1091" si="141">IFERROR(K1028/J1028,0)</f>
        <v>2.2662889518413599E-2</v>
      </c>
      <c r="N1028" s="4">
        <f t="shared" ref="N1028:N1091" si="142">IFERROR(L1028/K1028,0)</f>
        <v>0</v>
      </c>
      <c r="O1028">
        <v>479</v>
      </c>
      <c r="P1028" s="5">
        <v>1</v>
      </c>
      <c r="Q1028" s="7">
        <v>0</v>
      </c>
      <c r="R1028" t="s">
        <v>2344</v>
      </c>
      <c r="S1028" t="str">
        <f t="shared" ref="S1028:S1091" si="143">IF(M1028&lt;$S$1*0.5,"Низшая четверть",IF(M1028&lt;$S$1,"Вторая четверть","Больше половины"))</f>
        <v>Низшая четверть</v>
      </c>
      <c r="T1028" t="str">
        <f t="shared" ref="T1028:T1091" si="144">IF(N1028&lt;$T$1*0.5,"Низшая четверть",IF(N1028&lt;$T$1,"Вторая четверть","Больше половины"))</f>
        <v>Низшая четверть</v>
      </c>
      <c r="U1028" t="e">
        <f t="shared" ref="U1028:U1091" si="145">IF(OR(M1028&lt;SUMIFS(K:K,Q:Q,1,E:E,E1028)/SUMIFS(J:J,Q:Q,1,E:E,E1028)*0.5,N1028&lt;SUMIFS(L:L,Q:Q,1,E:E,E1028)/SUMIFS(K:K,Q:Q,1,E:E,E1028)*0.5),"код для проверки","нормальный код")</f>
        <v>#DIV/0!</v>
      </c>
      <c r="V1028" t="e">
        <f t="shared" ref="V1028:V1091" si="146">IF(M1028&lt;SUMIFS(K:K,Q:Q,1,E:E,E1028)/SUMIFS(J:J,Q:Q,1,E:E,E1028)*0.5,"Низшая четверть",IF(M1028&lt;SUMIFS(K:K,Q:Q,1,E:E,E1028)/SUMIFS(J:J,Q:Q,1,E:E,E1028),"Вторая четверть","Больше половины"))</f>
        <v>#DIV/0!</v>
      </c>
      <c r="W1028" t="e">
        <f t="shared" ref="W1028:W1091" si="147">IF(N1028&lt;SUMIFS(L:L,Q:Q,1,E:E,E1028)/SUMIFS(K:K,Q:Q,1,E:E,E1028)*0.5,"Низшая четверть",IF(N1028&lt;SUMIFS(L:L,Q:Q,1,E:E,E1028)/SUMIFS(K:K,Q:Q,1,E:E,E1028),"Вторая четверть","Больше половины"))</f>
        <v>#DIV/0!</v>
      </c>
      <c r="X1028">
        <v>17</v>
      </c>
    </row>
    <row r="1029" spans="1:24" x14ac:dyDescent="0.35">
      <c r="A1029" s="1" t="s">
        <v>2385</v>
      </c>
      <c r="B1029" s="2" t="s">
        <v>2386</v>
      </c>
      <c r="C1029" s="3" t="s">
        <v>55</v>
      </c>
      <c r="D1029" s="2" t="s">
        <v>56</v>
      </c>
      <c r="E1029" s="3" t="s">
        <v>2380</v>
      </c>
      <c r="F1029" s="2" t="s">
        <v>71</v>
      </c>
      <c r="G1029" s="3" t="s">
        <v>17</v>
      </c>
      <c r="H1029" s="2" t="s">
        <v>1223</v>
      </c>
      <c r="I1029" s="3" t="s">
        <v>19</v>
      </c>
      <c r="J1029" s="3">
        <v>1055</v>
      </c>
      <c r="K1029" s="3">
        <v>15</v>
      </c>
      <c r="L1029" s="3">
        <v>0</v>
      </c>
      <c r="M1029" s="4">
        <f t="shared" si="141"/>
        <v>1.4218009478672985E-2</v>
      </c>
      <c r="N1029" s="4">
        <f t="shared" si="142"/>
        <v>0</v>
      </c>
      <c r="O1029">
        <v>550</v>
      </c>
      <c r="P1029" s="5">
        <v>1</v>
      </c>
      <c r="Q1029" s="7">
        <v>0</v>
      </c>
      <c r="R1029" t="s">
        <v>2344</v>
      </c>
      <c r="S1029" t="str">
        <f t="shared" si="143"/>
        <v>Низшая четверть</v>
      </c>
      <c r="T1029" t="str">
        <f t="shared" si="144"/>
        <v>Низшая четверть</v>
      </c>
      <c r="U1029" t="e">
        <f t="shared" si="145"/>
        <v>#DIV/0!</v>
      </c>
      <c r="V1029" t="e">
        <f t="shared" si="146"/>
        <v>#DIV/0!</v>
      </c>
      <c r="W1029" t="e">
        <f t="shared" si="147"/>
        <v>#DIV/0!</v>
      </c>
      <c r="X1029">
        <v>18</v>
      </c>
    </row>
    <row r="1030" spans="1:24" x14ac:dyDescent="0.35">
      <c r="A1030" s="1" t="s">
        <v>2193</v>
      </c>
      <c r="B1030" s="2" t="s">
        <v>2194</v>
      </c>
      <c r="C1030" s="3" t="s">
        <v>55</v>
      </c>
      <c r="D1030" s="2" t="s">
        <v>1049</v>
      </c>
      <c r="E1030" s="3" t="s">
        <v>1050</v>
      </c>
      <c r="F1030" s="2" t="s">
        <v>34</v>
      </c>
      <c r="G1030" s="3" t="s">
        <v>17</v>
      </c>
      <c r="H1030" s="2" t="s">
        <v>18</v>
      </c>
      <c r="I1030" s="3" t="s">
        <v>19</v>
      </c>
      <c r="J1030" s="3">
        <v>1048</v>
      </c>
      <c r="K1030" s="3">
        <v>1921</v>
      </c>
      <c r="L1030" s="3">
        <v>12</v>
      </c>
      <c r="M1030" s="4">
        <f t="shared" si="141"/>
        <v>1.8330152671755726</v>
      </c>
      <c r="N1030" s="4">
        <f t="shared" si="142"/>
        <v>6.2467464862051014E-3</v>
      </c>
      <c r="O1030">
        <v>340</v>
      </c>
      <c r="P1030" s="5">
        <v>0.83333333333333337</v>
      </c>
      <c r="Q1030" s="7">
        <v>0</v>
      </c>
      <c r="R1030" t="s">
        <v>2344</v>
      </c>
      <c r="S1030" t="str">
        <f t="shared" si="143"/>
        <v>Больше половины</v>
      </c>
      <c r="T1030" t="str">
        <f t="shared" si="144"/>
        <v>Низшая четверть</v>
      </c>
      <c r="U1030" t="str">
        <f t="shared" si="145"/>
        <v>код для проверки</v>
      </c>
      <c r="V1030" t="str">
        <f t="shared" si="146"/>
        <v>Больше половины</v>
      </c>
      <c r="W1030" t="str">
        <f t="shared" si="147"/>
        <v>Низшая четверть</v>
      </c>
      <c r="X1030">
        <v>24</v>
      </c>
    </row>
    <row r="1031" spans="1:24" x14ac:dyDescent="0.35">
      <c r="A1031" s="1" t="s">
        <v>2632</v>
      </c>
      <c r="B1031" s="2" t="s">
        <v>2633</v>
      </c>
      <c r="C1031" s="3" t="s">
        <v>13</v>
      </c>
      <c r="D1031" s="2" t="s">
        <v>104</v>
      </c>
      <c r="E1031" s="3" t="s">
        <v>1649</v>
      </c>
      <c r="F1031" s="2" t="s">
        <v>61</v>
      </c>
      <c r="G1031" s="3" t="s">
        <v>35</v>
      </c>
      <c r="H1031" s="2" t="s">
        <v>18</v>
      </c>
      <c r="I1031" s="3" t="s">
        <v>19</v>
      </c>
      <c r="J1031" s="3">
        <v>1043</v>
      </c>
      <c r="K1031" s="3">
        <v>52</v>
      </c>
      <c r="L1031" s="3">
        <v>0</v>
      </c>
      <c r="M1031" s="4">
        <f t="shared" si="141"/>
        <v>4.9856184084372007E-2</v>
      </c>
      <c r="N1031" s="4">
        <f t="shared" si="142"/>
        <v>0</v>
      </c>
      <c r="O1031">
        <v>161</v>
      </c>
      <c r="P1031" s="5">
        <v>1</v>
      </c>
      <c r="Q1031" s="7">
        <v>0</v>
      </c>
      <c r="R1031" t="s">
        <v>2344</v>
      </c>
      <c r="S1031" t="str">
        <f t="shared" si="143"/>
        <v>Вторая четверть</v>
      </c>
      <c r="T1031" t="str">
        <f t="shared" si="144"/>
        <v>Низшая четверть</v>
      </c>
      <c r="U1031" t="str">
        <f t="shared" si="145"/>
        <v>код для проверки</v>
      </c>
      <c r="V1031" t="str">
        <f t="shared" si="146"/>
        <v>Вторая четверть</v>
      </c>
      <c r="W1031" t="str">
        <f t="shared" si="147"/>
        <v>Низшая четверть</v>
      </c>
      <c r="X1031">
        <v>15</v>
      </c>
    </row>
    <row r="1032" spans="1:24" x14ac:dyDescent="0.35">
      <c r="A1032" s="1" t="s">
        <v>2634</v>
      </c>
      <c r="B1032" s="2" t="s">
        <v>2635</v>
      </c>
      <c r="C1032" s="3" t="s">
        <v>13</v>
      </c>
      <c r="D1032" s="2" t="s">
        <v>69</v>
      </c>
      <c r="E1032" s="3" t="s">
        <v>805</v>
      </c>
      <c r="F1032" s="2" t="s">
        <v>34</v>
      </c>
      <c r="G1032" s="3" t="s">
        <v>72</v>
      </c>
      <c r="H1032" s="2" t="s">
        <v>18</v>
      </c>
      <c r="I1032" s="3" t="s">
        <v>19</v>
      </c>
      <c r="J1032" s="3">
        <v>1031</v>
      </c>
      <c r="K1032" s="3">
        <v>36</v>
      </c>
      <c r="L1032" s="3">
        <v>1</v>
      </c>
      <c r="M1032" s="4">
        <f t="shared" si="141"/>
        <v>3.4917555771096023E-2</v>
      </c>
      <c r="N1032" s="4">
        <f t="shared" si="142"/>
        <v>2.7777777777777776E-2</v>
      </c>
      <c r="O1032">
        <v>329</v>
      </c>
      <c r="P1032" s="5">
        <v>0.66666666666666663</v>
      </c>
      <c r="Q1032" s="7">
        <v>0</v>
      </c>
      <c r="R1032" t="s">
        <v>2344</v>
      </c>
      <c r="S1032" t="str">
        <f t="shared" si="143"/>
        <v>Низшая четверть</v>
      </c>
      <c r="T1032" t="str">
        <f t="shared" si="144"/>
        <v>Больше половины</v>
      </c>
      <c r="U1032" t="str">
        <f t="shared" si="145"/>
        <v>код для проверки</v>
      </c>
      <c r="V1032" t="str">
        <f t="shared" si="146"/>
        <v>Низшая четверть</v>
      </c>
      <c r="W1032" t="str">
        <f t="shared" si="147"/>
        <v>Больше половины</v>
      </c>
      <c r="X1032">
        <v>15</v>
      </c>
    </row>
    <row r="1033" spans="1:24" x14ac:dyDescent="0.35">
      <c r="A1033" s="1" t="s">
        <v>1656</v>
      </c>
      <c r="B1033" s="2" t="s">
        <v>1657</v>
      </c>
      <c r="C1033" s="3" t="s">
        <v>13</v>
      </c>
      <c r="D1033" s="2" t="s">
        <v>77</v>
      </c>
      <c r="E1033" s="3" t="s">
        <v>89</v>
      </c>
      <c r="F1033" s="2" t="s">
        <v>34</v>
      </c>
      <c r="G1033" s="3" t="s">
        <v>17</v>
      </c>
      <c r="H1033" s="2" t="s">
        <v>18</v>
      </c>
      <c r="I1033" s="3" t="s">
        <v>19</v>
      </c>
      <c r="J1033" s="3">
        <v>1025</v>
      </c>
      <c r="K1033" s="3">
        <v>24</v>
      </c>
      <c r="L1033" s="3">
        <v>1</v>
      </c>
      <c r="M1033" s="4">
        <f t="shared" si="141"/>
        <v>2.3414634146341463E-2</v>
      </c>
      <c r="N1033" s="4">
        <f t="shared" si="142"/>
        <v>4.1666666666666664E-2</v>
      </c>
      <c r="O1033">
        <v>250</v>
      </c>
      <c r="P1033" s="5">
        <v>0.44444444444444442</v>
      </c>
      <c r="Q1033" s="7">
        <v>0</v>
      </c>
      <c r="R1033" t="s">
        <v>2344</v>
      </c>
      <c r="S1033" t="str">
        <f t="shared" si="143"/>
        <v>Низшая четверть</v>
      </c>
      <c r="T1033" t="str">
        <f t="shared" si="144"/>
        <v>Больше половины</v>
      </c>
      <c r="U1033" t="str">
        <f t="shared" si="145"/>
        <v>код для проверки</v>
      </c>
      <c r="V1033" t="str">
        <f t="shared" si="146"/>
        <v>Низшая четверть</v>
      </c>
      <c r="W1033" t="str">
        <f t="shared" si="147"/>
        <v>Больше половины</v>
      </c>
      <c r="X1033">
        <v>14</v>
      </c>
    </row>
    <row r="1034" spans="1:24" x14ac:dyDescent="0.35">
      <c r="A1034" s="1" t="s">
        <v>2365</v>
      </c>
      <c r="B1034" s="2" t="s">
        <v>2366</v>
      </c>
      <c r="C1034" s="3" t="s">
        <v>55</v>
      </c>
      <c r="D1034" s="2" t="s">
        <v>1121</v>
      </c>
      <c r="E1034" s="3" t="s">
        <v>1122</v>
      </c>
      <c r="F1034" s="2" t="s">
        <v>34</v>
      </c>
      <c r="G1034" s="3" t="s">
        <v>17</v>
      </c>
      <c r="H1034" s="2" t="s">
        <v>18</v>
      </c>
      <c r="I1034" s="3" t="s">
        <v>19</v>
      </c>
      <c r="J1034" s="3">
        <v>1025</v>
      </c>
      <c r="K1034" s="3">
        <v>40</v>
      </c>
      <c r="L1034" s="3">
        <v>0</v>
      </c>
      <c r="M1034" s="4">
        <f t="shared" si="141"/>
        <v>3.9024390243902439E-2</v>
      </c>
      <c r="N1034" s="4">
        <f t="shared" si="142"/>
        <v>0</v>
      </c>
      <c r="O1034">
        <v>416</v>
      </c>
      <c r="P1034" s="5">
        <v>1</v>
      </c>
      <c r="Q1034" s="7">
        <v>0</v>
      </c>
      <c r="R1034" t="s">
        <v>2344</v>
      </c>
      <c r="S1034" t="str">
        <f t="shared" si="143"/>
        <v>Низшая четверть</v>
      </c>
      <c r="T1034" t="str">
        <f t="shared" si="144"/>
        <v>Низшая четверть</v>
      </c>
      <c r="U1034" t="str">
        <f t="shared" si="145"/>
        <v>код для проверки</v>
      </c>
      <c r="V1034" t="str">
        <f t="shared" si="146"/>
        <v>Вторая четверть</v>
      </c>
      <c r="W1034" t="str">
        <f t="shared" si="147"/>
        <v>Низшая четверть</v>
      </c>
      <c r="X1034">
        <v>20</v>
      </c>
    </row>
    <row r="1035" spans="1:24" x14ac:dyDescent="0.35">
      <c r="A1035" s="1" t="s">
        <v>2636</v>
      </c>
      <c r="B1035" s="2" t="s">
        <v>2637</v>
      </c>
      <c r="C1035" s="3" t="s">
        <v>55</v>
      </c>
      <c r="D1035" s="2" t="s">
        <v>56</v>
      </c>
      <c r="E1035" s="3" t="s">
        <v>253</v>
      </c>
      <c r="F1035" s="2" t="s">
        <v>34</v>
      </c>
      <c r="G1035" s="3" t="s">
        <v>17</v>
      </c>
      <c r="H1035" s="2" t="s">
        <v>18</v>
      </c>
      <c r="I1035" s="3" t="s">
        <v>19</v>
      </c>
      <c r="J1035" s="3">
        <v>1006</v>
      </c>
      <c r="K1035" s="3">
        <v>59</v>
      </c>
      <c r="L1035" s="3">
        <v>0</v>
      </c>
      <c r="M1035" s="4">
        <f t="shared" si="141"/>
        <v>5.8648111332007952E-2</v>
      </c>
      <c r="N1035" s="4">
        <f t="shared" si="142"/>
        <v>0</v>
      </c>
      <c r="O1035">
        <v>210</v>
      </c>
      <c r="P1035" s="5">
        <v>1</v>
      </c>
      <c r="Q1035" s="7">
        <v>0</v>
      </c>
      <c r="R1035" t="s">
        <v>2344</v>
      </c>
      <c r="S1035" t="str">
        <f t="shared" si="143"/>
        <v>Вторая четверть</v>
      </c>
      <c r="T1035" t="str">
        <f t="shared" si="144"/>
        <v>Низшая четверть</v>
      </c>
      <c r="U1035" t="str">
        <f t="shared" si="145"/>
        <v>код для проверки</v>
      </c>
      <c r="V1035" t="str">
        <f t="shared" si="146"/>
        <v>Вторая четверть</v>
      </c>
      <c r="W1035" t="str">
        <f t="shared" si="147"/>
        <v>Низшая четверть</v>
      </c>
      <c r="X1035">
        <v>17</v>
      </c>
    </row>
    <row r="1036" spans="1:24" x14ac:dyDescent="0.35">
      <c r="A1036" s="1" t="s">
        <v>2638</v>
      </c>
      <c r="B1036" s="2" t="s">
        <v>2639</v>
      </c>
      <c r="C1036" s="3" t="s">
        <v>13</v>
      </c>
      <c r="D1036" s="2" t="s">
        <v>155</v>
      </c>
      <c r="E1036" s="3" t="s">
        <v>2605</v>
      </c>
      <c r="F1036" s="2" t="s">
        <v>61</v>
      </c>
      <c r="G1036" s="3" t="s">
        <v>17</v>
      </c>
      <c r="H1036" s="2" t="s">
        <v>18</v>
      </c>
      <c r="I1036" s="3" t="s">
        <v>19</v>
      </c>
      <c r="J1036" s="3">
        <v>1000</v>
      </c>
      <c r="K1036" s="3">
        <v>32</v>
      </c>
      <c r="L1036" s="3">
        <v>0</v>
      </c>
      <c r="M1036" s="4">
        <f t="shared" si="141"/>
        <v>3.2000000000000001E-2</v>
      </c>
      <c r="N1036" s="4">
        <f t="shared" si="142"/>
        <v>0</v>
      </c>
      <c r="O1036">
        <v>382</v>
      </c>
      <c r="P1036" s="5">
        <v>1</v>
      </c>
      <c r="Q1036" s="7">
        <v>0</v>
      </c>
      <c r="R1036" t="s">
        <v>2344</v>
      </c>
      <c r="S1036" t="str">
        <f t="shared" si="143"/>
        <v>Низшая четверть</v>
      </c>
      <c r="T1036" t="str">
        <f t="shared" si="144"/>
        <v>Низшая четверть</v>
      </c>
      <c r="U1036" t="e">
        <f t="shared" si="145"/>
        <v>#DIV/0!</v>
      </c>
      <c r="V1036" t="e">
        <f t="shared" si="146"/>
        <v>#DIV/0!</v>
      </c>
      <c r="W1036" t="e">
        <f t="shared" si="147"/>
        <v>#DIV/0!</v>
      </c>
      <c r="X1036">
        <v>19</v>
      </c>
    </row>
    <row r="1037" spans="1:24" x14ac:dyDescent="0.35">
      <c r="A1037" s="1" t="s">
        <v>2395</v>
      </c>
      <c r="B1037" s="2" t="s">
        <v>2396</v>
      </c>
      <c r="C1037" s="3" t="s">
        <v>13</v>
      </c>
      <c r="D1037" s="2" t="s">
        <v>155</v>
      </c>
      <c r="E1037" s="3" t="s">
        <v>156</v>
      </c>
      <c r="F1037" s="2" t="s">
        <v>34</v>
      </c>
      <c r="G1037" s="3" t="s">
        <v>17</v>
      </c>
      <c r="H1037" s="2" t="s">
        <v>18</v>
      </c>
      <c r="I1037" s="3" t="s">
        <v>19</v>
      </c>
      <c r="J1037" s="3">
        <v>996</v>
      </c>
      <c r="K1037" s="3">
        <v>12</v>
      </c>
      <c r="L1037" s="3">
        <v>0</v>
      </c>
      <c r="M1037" s="4">
        <f t="shared" si="141"/>
        <v>1.2048192771084338E-2</v>
      </c>
      <c r="N1037" s="4">
        <f t="shared" si="142"/>
        <v>0</v>
      </c>
      <c r="O1037">
        <v>1052</v>
      </c>
      <c r="P1037" s="5">
        <v>1</v>
      </c>
      <c r="Q1037" s="7">
        <v>0</v>
      </c>
      <c r="R1037" t="s">
        <v>2344</v>
      </c>
      <c r="S1037" t="str">
        <f t="shared" si="143"/>
        <v>Низшая четверть</v>
      </c>
      <c r="T1037" t="str">
        <f t="shared" si="144"/>
        <v>Низшая четверть</v>
      </c>
      <c r="U1037" t="str">
        <f t="shared" si="145"/>
        <v>код для проверки</v>
      </c>
      <c r="V1037" t="str">
        <f t="shared" si="146"/>
        <v>Низшая четверть</v>
      </c>
      <c r="W1037" t="str">
        <f t="shared" si="147"/>
        <v>Низшая четверть</v>
      </c>
      <c r="X1037">
        <v>10</v>
      </c>
    </row>
    <row r="1038" spans="1:24" x14ac:dyDescent="0.35">
      <c r="A1038" s="1" t="s">
        <v>2232</v>
      </c>
      <c r="B1038" s="2" t="s">
        <v>2233</v>
      </c>
      <c r="C1038" s="3" t="s">
        <v>13</v>
      </c>
      <c r="D1038" s="2" t="s">
        <v>69</v>
      </c>
      <c r="E1038" s="3" t="s">
        <v>290</v>
      </c>
      <c r="F1038" s="2" t="s">
        <v>34</v>
      </c>
      <c r="G1038" s="3" t="s">
        <v>72</v>
      </c>
      <c r="H1038" s="2" t="s">
        <v>18</v>
      </c>
      <c r="I1038" s="3" t="s">
        <v>19</v>
      </c>
      <c r="J1038" s="3">
        <v>995</v>
      </c>
      <c r="K1038" s="3">
        <v>815</v>
      </c>
      <c r="L1038" s="3">
        <v>49</v>
      </c>
      <c r="M1038" s="4">
        <f t="shared" si="141"/>
        <v>0.81909547738693467</v>
      </c>
      <c r="N1038" s="4">
        <f t="shared" si="142"/>
        <v>6.0122699386503067E-2</v>
      </c>
      <c r="O1038">
        <v>38</v>
      </c>
      <c r="P1038" s="5">
        <v>0.66666666666666663</v>
      </c>
      <c r="Q1038" s="7">
        <v>0</v>
      </c>
      <c r="R1038" t="s">
        <v>2344</v>
      </c>
      <c r="S1038" t="str">
        <f t="shared" si="143"/>
        <v>Больше половины</v>
      </c>
      <c r="T1038" t="str">
        <f t="shared" si="144"/>
        <v>Больше половины</v>
      </c>
      <c r="U1038" t="str">
        <f t="shared" si="145"/>
        <v>нормальный код</v>
      </c>
      <c r="V1038" t="str">
        <f t="shared" si="146"/>
        <v>Больше половины</v>
      </c>
      <c r="W1038" t="str">
        <f t="shared" si="147"/>
        <v>Больше половины</v>
      </c>
      <c r="X1038">
        <v>13</v>
      </c>
    </row>
    <row r="1039" spans="1:24" x14ac:dyDescent="0.35">
      <c r="A1039" s="1" t="s">
        <v>2640</v>
      </c>
      <c r="B1039" s="2" t="s">
        <v>2641</v>
      </c>
      <c r="C1039" s="3" t="s">
        <v>55</v>
      </c>
      <c r="D1039" s="2" t="s">
        <v>1479</v>
      </c>
      <c r="E1039" s="3" t="s">
        <v>1480</v>
      </c>
      <c r="F1039" s="2" t="s">
        <v>34</v>
      </c>
      <c r="G1039" s="3" t="s">
        <v>17</v>
      </c>
      <c r="H1039" s="2" t="s">
        <v>18</v>
      </c>
      <c r="I1039" s="3" t="s">
        <v>19</v>
      </c>
      <c r="J1039" s="3">
        <v>994</v>
      </c>
      <c r="K1039" s="3">
        <v>109</v>
      </c>
      <c r="L1039" s="3">
        <v>3</v>
      </c>
      <c r="M1039" s="4">
        <f t="shared" si="141"/>
        <v>0.1096579476861167</v>
      </c>
      <c r="N1039" s="4">
        <f t="shared" si="142"/>
        <v>2.7522935779816515E-2</v>
      </c>
      <c r="O1039">
        <v>297</v>
      </c>
      <c r="P1039" s="5">
        <v>1</v>
      </c>
      <c r="Q1039" s="7">
        <v>0</v>
      </c>
      <c r="R1039" t="s">
        <v>2344</v>
      </c>
      <c r="S1039" t="str">
        <f t="shared" si="143"/>
        <v>Больше половины</v>
      </c>
      <c r="T1039" t="str">
        <f t="shared" si="144"/>
        <v>Больше половины</v>
      </c>
      <c r="U1039" t="str">
        <f t="shared" si="145"/>
        <v>нормальный код</v>
      </c>
      <c r="V1039" t="str">
        <f t="shared" si="146"/>
        <v>Больше половины</v>
      </c>
      <c r="W1039" t="str">
        <f t="shared" si="147"/>
        <v>Больше половины</v>
      </c>
      <c r="X1039">
        <v>23</v>
      </c>
    </row>
    <row r="1040" spans="1:24" x14ac:dyDescent="0.35">
      <c r="A1040" s="1" t="s">
        <v>2642</v>
      </c>
      <c r="B1040" s="2" t="s">
        <v>2643</v>
      </c>
      <c r="C1040" s="3" t="s">
        <v>13</v>
      </c>
      <c r="D1040" s="2" t="s">
        <v>104</v>
      </c>
      <c r="E1040" s="3" t="s">
        <v>711</v>
      </c>
      <c r="F1040" s="2" t="s">
        <v>96</v>
      </c>
      <c r="G1040" s="3" t="s">
        <v>17</v>
      </c>
      <c r="H1040" s="2" t="s">
        <v>18</v>
      </c>
      <c r="I1040" s="3" t="s">
        <v>19</v>
      </c>
      <c r="J1040" s="3">
        <v>994</v>
      </c>
      <c r="K1040" s="3">
        <v>13</v>
      </c>
      <c r="L1040" s="3">
        <v>0</v>
      </c>
      <c r="M1040" s="4">
        <f t="shared" si="141"/>
        <v>1.3078470824949699E-2</v>
      </c>
      <c r="N1040" s="4">
        <f t="shared" si="142"/>
        <v>0</v>
      </c>
      <c r="O1040">
        <v>1020</v>
      </c>
      <c r="P1040" s="5">
        <v>1</v>
      </c>
      <c r="Q1040" s="7">
        <v>0</v>
      </c>
      <c r="R1040" t="s">
        <v>2344</v>
      </c>
      <c r="S1040" t="str">
        <f t="shared" si="143"/>
        <v>Низшая четверть</v>
      </c>
      <c r="T1040" t="str">
        <f t="shared" si="144"/>
        <v>Низшая четверть</v>
      </c>
      <c r="U1040" t="str">
        <f t="shared" si="145"/>
        <v>код для проверки</v>
      </c>
      <c r="V1040" t="str">
        <f t="shared" si="146"/>
        <v>Низшая четверть</v>
      </c>
      <c r="W1040" t="str">
        <f t="shared" si="147"/>
        <v>Низшая четверть</v>
      </c>
      <c r="X1040">
        <v>18</v>
      </c>
    </row>
    <row r="1041" spans="1:24" x14ac:dyDescent="0.35">
      <c r="A1041" s="1" t="s">
        <v>2644</v>
      </c>
      <c r="B1041" s="2" t="s">
        <v>2645</v>
      </c>
      <c r="C1041" s="3" t="s">
        <v>13</v>
      </c>
      <c r="D1041" s="2" t="s">
        <v>85</v>
      </c>
      <c r="E1041" s="3" t="s">
        <v>831</v>
      </c>
      <c r="F1041" s="2" t="s">
        <v>34</v>
      </c>
      <c r="G1041" s="3" t="s">
        <v>35</v>
      </c>
      <c r="H1041" s="2" t="s">
        <v>18</v>
      </c>
      <c r="I1041" s="3" t="s">
        <v>19</v>
      </c>
      <c r="J1041" s="3">
        <v>989</v>
      </c>
      <c r="K1041" s="3">
        <v>36</v>
      </c>
      <c r="L1041" s="3">
        <v>0</v>
      </c>
      <c r="M1041" s="4">
        <f t="shared" si="141"/>
        <v>3.6400404448938321E-2</v>
      </c>
      <c r="N1041" s="4">
        <f t="shared" si="142"/>
        <v>0</v>
      </c>
      <c r="O1041">
        <v>280</v>
      </c>
      <c r="P1041" s="5">
        <v>1</v>
      </c>
      <c r="Q1041" s="7">
        <v>0</v>
      </c>
      <c r="R1041" t="s">
        <v>2344</v>
      </c>
      <c r="S1041" t="str">
        <f t="shared" si="143"/>
        <v>Низшая четверть</v>
      </c>
      <c r="T1041" t="str">
        <f t="shared" si="144"/>
        <v>Низшая четверть</v>
      </c>
      <c r="U1041" t="str">
        <f t="shared" si="145"/>
        <v>код для проверки</v>
      </c>
      <c r="V1041" t="str">
        <f t="shared" si="146"/>
        <v>Низшая четверть</v>
      </c>
      <c r="W1041" t="str">
        <f t="shared" si="147"/>
        <v>Низшая четверть</v>
      </c>
      <c r="X1041">
        <v>9</v>
      </c>
    </row>
    <row r="1042" spans="1:24" x14ac:dyDescent="0.35">
      <c r="A1042" s="1" t="s">
        <v>1398</v>
      </c>
      <c r="B1042" s="2" t="s">
        <v>1399</v>
      </c>
      <c r="C1042" s="3" t="s">
        <v>55</v>
      </c>
      <c r="D1042" s="2" t="s">
        <v>56</v>
      </c>
      <c r="E1042" s="3" t="s">
        <v>253</v>
      </c>
      <c r="F1042" s="2" t="s">
        <v>34</v>
      </c>
      <c r="G1042" s="3" t="s">
        <v>17</v>
      </c>
      <c r="H1042" s="2" t="s">
        <v>18</v>
      </c>
      <c r="I1042" s="3" t="s">
        <v>19</v>
      </c>
      <c r="J1042" s="3">
        <v>986</v>
      </c>
      <c r="K1042" s="3">
        <v>141</v>
      </c>
      <c r="L1042" s="3">
        <v>2</v>
      </c>
      <c r="M1042" s="4">
        <f t="shared" si="141"/>
        <v>0.14300202839756593</v>
      </c>
      <c r="N1042" s="4">
        <f t="shared" si="142"/>
        <v>1.4184397163120567E-2</v>
      </c>
      <c r="O1042">
        <v>276</v>
      </c>
      <c r="P1042" s="5">
        <v>1</v>
      </c>
      <c r="Q1042" s="7">
        <v>0</v>
      </c>
      <c r="R1042" t="s">
        <v>2344</v>
      </c>
      <c r="S1042" t="str">
        <f t="shared" si="143"/>
        <v>Больше половины</v>
      </c>
      <c r="T1042" t="str">
        <f t="shared" si="144"/>
        <v>Вторая четверть</v>
      </c>
      <c r="U1042" t="str">
        <f t="shared" si="145"/>
        <v>код для проверки</v>
      </c>
      <c r="V1042" t="str">
        <f t="shared" si="146"/>
        <v>Больше половины</v>
      </c>
      <c r="W1042" t="str">
        <f t="shared" si="147"/>
        <v>Низшая четверть</v>
      </c>
      <c r="X1042">
        <v>28</v>
      </c>
    </row>
    <row r="1043" spans="1:24" x14ac:dyDescent="0.35">
      <c r="A1043" s="1" t="s">
        <v>2646</v>
      </c>
      <c r="B1043" s="2" t="s">
        <v>2647</v>
      </c>
      <c r="C1043" s="3" t="s">
        <v>13</v>
      </c>
      <c r="D1043" s="2" t="s">
        <v>77</v>
      </c>
      <c r="E1043" s="3" t="s">
        <v>2066</v>
      </c>
      <c r="F1043" s="2" t="s">
        <v>96</v>
      </c>
      <c r="G1043" s="3" t="s">
        <v>35</v>
      </c>
      <c r="H1043" s="2" t="s">
        <v>18</v>
      </c>
      <c r="I1043" s="3" t="s">
        <v>19</v>
      </c>
      <c r="J1043" s="3">
        <v>986</v>
      </c>
      <c r="K1043" s="3">
        <v>33</v>
      </c>
      <c r="L1043" s="3">
        <v>0</v>
      </c>
      <c r="M1043" s="4">
        <f t="shared" si="141"/>
        <v>3.3468559837728194E-2</v>
      </c>
      <c r="N1043" s="4">
        <f t="shared" si="142"/>
        <v>0</v>
      </c>
      <c r="O1043">
        <v>401</v>
      </c>
      <c r="P1043" s="5">
        <v>1</v>
      </c>
      <c r="Q1043" s="7">
        <v>0</v>
      </c>
      <c r="R1043" t="s">
        <v>2344</v>
      </c>
      <c r="S1043" t="str">
        <f t="shared" si="143"/>
        <v>Низшая четверть</v>
      </c>
      <c r="T1043" t="str">
        <f t="shared" si="144"/>
        <v>Низшая четверть</v>
      </c>
      <c r="U1043" t="e">
        <f t="shared" si="145"/>
        <v>#DIV/0!</v>
      </c>
      <c r="V1043" t="e">
        <f t="shared" si="146"/>
        <v>#DIV/0!</v>
      </c>
      <c r="W1043" t="e">
        <f t="shared" si="147"/>
        <v>#DIV/0!</v>
      </c>
      <c r="X1043">
        <v>18</v>
      </c>
    </row>
    <row r="1044" spans="1:24" x14ac:dyDescent="0.35">
      <c r="A1044" s="1" t="s">
        <v>1228</v>
      </c>
      <c r="B1044" s="2" t="s">
        <v>1229</v>
      </c>
      <c r="C1044" s="3" t="s">
        <v>55</v>
      </c>
      <c r="D1044" s="2" t="s">
        <v>94</v>
      </c>
      <c r="E1044" s="3" t="s">
        <v>812</v>
      </c>
      <c r="F1044" s="2" t="s">
        <v>96</v>
      </c>
      <c r="G1044" s="3" t="s">
        <v>17</v>
      </c>
      <c r="H1044" s="2" t="s">
        <v>18</v>
      </c>
      <c r="I1044" s="3" t="s">
        <v>19</v>
      </c>
      <c r="J1044" s="3">
        <v>980</v>
      </c>
      <c r="K1044" s="3">
        <v>166</v>
      </c>
      <c r="L1044" s="3">
        <v>0</v>
      </c>
      <c r="M1044" s="4">
        <f t="shared" si="141"/>
        <v>0.16938775510204082</v>
      </c>
      <c r="N1044" s="4">
        <f t="shared" si="142"/>
        <v>0</v>
      </c>
      <c r="O1044">
        <v>1457</v>
      </c>
      <c r="P1044" s="5">
        <v>1</v>
      </c>
      <c r="Q1044" s="7">
        <v>0</v>
      </c>
      <c r="R1044" t="s">
        <v>2344</v>
      </c>
      <c r="S1044" t="str">
        <f t="shared" si="143"/>
        <v>Больше половины</v>
      </c>
      <c r="T1044" t="str">
        <f t="shared" si="144"/>
        <v>Низшая четверть</v>
      </c>
      <c r="U1044" t="str">
        <f t="shared" si="145"/>
        <v>код для проверки</v>
      </c>
      <c r="V1044" t="str">
        <f t="shared" si="146"/>
        <v>Больше половины</v>
      </c>
      <c r="W1044" t="str">
        <f t="shared" si="147"/>
        <v>Низшая четверть</v>
      </c>
      <c r="X1044">
        <v>5</v>
      </c>
    </row>
    <row r="1045" spans="1:24" x14ac:dyDescent="0.35">
      <c r="A1045" s="1" t="s">
        <v>2648</v>
      </c>
      <c r="B1045" s="2" t="s">
        <v>2649</v>
      </c>
      <c r="C1045" s="3" t="s">
        <v>13</v>
      </c>
      <c r="D1045" s="2" t="s">
        <v>69</v>
      </c>
      <c r="E1045" s="3" t="s">
        <v>1511</v>
      </c>
      <c r="F1045" s="2" t="s">
        <v>34</v>
      </c>
      <c r="G1045" s="3" t="s">
        <v>72</v>
      </c>
      <c r="H1045" s="2" t="s">
        <v>18</v>
      </c>
      <c r="I1045" s="3" t="s">
        <v>19</v>
      </c>
      <c r="J1045" s="3">
        <v>967</v>
      </c>
      <c r="K1045" s="3">
        <v>39</v>
      </c>
      <c r="L1045" s="3">
        <v>1</v>
      </c>
      <c r="M1045" s="4">
        <f t="shared" si="141"/>
        <v>4.0330920372285417E-2</v>
      </c>
      <c r="N1045" s="4">
        <f t="shared" si="142"/>
        <v>2.564102564102564E-2</v>
      </c>
      <c r="O1045">
        <v>509</v>
      </c>
      <c r="P1045" s="5">
        <v>1</v>
      </c>
      <c r="Q1045" s="7">
        <v>0</v>
      </c>
      <c r="R1045" t="s">
        <v>2344</v>
      </c>
      <c r="S1045" t="str">
        <f t="shared" si="143"/>
        <v>Низшая четверть</v>
      </c>
      <c r="T1045" t="str">
        <f t="shared" si="144"/>
        <v>Больше половины</v>
      </c>
      <c r="U1045" t="str">
        <f t="shared" si="145"/>
        <v>код для проверки</v>
      </c>
      <c r="V1045" t="str">
        <f t="shared" si="146"/>
        <v>Низшая четверть</v>
      </c>
      <c r="W1045" t="str">
        <f t="shared" si="147"/>
        <v>Вторая четверть</v>
      </c>
      <c r="X1045">
        <v>12</v>
      </c>
    </row>
    <row r="1046" spans="1:24" x14ac:dyDescent="0.35">
      <c r="A1046" s="1" t="s">
        <v>2650</v>
      </c>
      <c r="B1046" s="2" t="s">
        <v>2651</v>
      </c>
      <c r="C1046" s="3" t="s">
        <v>55</v>
      </c>
      <c r="D1046" s="2" t="s">
        <v>56</v>
      </c>
      <c r="E1046" s="3" t="s">
        <v>57</v>
      </c>
      <c r="F1046" s="2" t="s">
        <v>34</v>
      </c>
      <c r="G1046" s="3" t="s">
        <v>17</v>
      </c>
      <c r="H1046" s="2" t="s">
        <v>18</v>
      </c>
      <c r="I1046" s="3" t="s">
        <v>19</v>
      </c>
      <c r="J1046" s="3">
        <v>967</v>
      </c>
      <c r="K1046" s="3">
        <v>7</v>
      </c>
      <c r="L1046" s="3">
        <v>0</v>
      </c>
      <c r="M1046" s="4">
        <f t="shared" si="141"/>
        <v>7.2388831437435368E-3</v>
      </c>
      <c r="N1046" s="4">
        <f t="shared" si="142"/>
        <v>0</v>
      </c>
      <c r="O1046">
        <v>89</v>
      </c>
      <c r="P1046" s="5">
        <v>0.6</v>
      </c>
      <c r="Q1046" s="7">
        <v>0</v>
      </c>
      <c r="R1046" t="s">
        <v>2344</v>
      </c>
      <c r="S1046" t="str">
        <f t="shared" si="143"/>
        <v>Низшая четверть</v>
      </c>
      <c r="T1046" t="str">
        <f t="shared" si="144"/>
        <v>Низшая четверть</v>
      </c>
      <c r="U1046" t="str">
        <f t="shared" si="145"/>
        <v>код для проверки</v>
      </c>
      <c r="V1046" t="str">
        <f t="shared" si="146"/>
        <v>Низшая четверть</v>
      </c>
      <c r="W1046" t="str">
        <f t="shared" si="147"/>
        <v>Низшая четверть</v>
      </c>
      <c r="X1046">
        <v>11</v>
      </c>
    </row>
    <row r="1047" spans="1:24" x14ac:dyDescent="0.35">
      <c r="A1047" s="1" t="s">
        <v>2652</v>
      </c>
      <c r="B1047" s="2" t="s">
        <v>2653</v>
      </c>
      <c r="C1047" s="3" t="s">
        <v>13</v>
      </c>
      <c r="D1047" s="2" t="s">
        <v>85</v>
      </c>
      <c r="E1047" s="3" t="s">
        <v>1937</v>
      </c>
      <c r="F1047" s="2" t="s">
        <v>96</v>
      </c>
      <c r="G1047" s="3" t="s">
        <v>17</v>
      </c>
      <c r="H1047" s="2" t="s">
        <v>18</v>
      </c>
      <c r="I1047" s="3" t="s">
        <v>19</v>
      </c>
      <c r="J1047" s="3">
        <v>965</v>
      </c>
      <c r="K1047" s="3">
        <v>49</v>
      </c>
      <c r="L1047" s="3">
        <v>2</v>
      </c>
      <c r="M1047" s="4">
        <f t="shared" si="141"/>
        <v>5.0777202072538857E-2</v>
      </c>
      <c r="N1047" s="4">
        <f t="shared" si="142"/>
        <v>4.0816326530612242E-2</v>
      </c>
      <c r="O1047">
        <v>677</v>
      </c>
      <c r="P1047" s="5">
        <v>1</v>
      </c>
      <c r="Q1047" s="7">
        <v>0</v>
      </c>
      <c r="R1047" t="s">
        <v>2344</v>
      </c>
      <c r="S1047" t="str">
        <f t="shared" si="143"/>
        <v>Вторая четверть</v>
      </c>
      <c r="T1047" t="str">
        <f t="shared" si="144"/>
        <v>Больше половины</v>
      </c>
      <c r="U1047" t="str">
        <f t="shared" si="145"/>
        <v>нормальный код</v>
      </c>
      <c r="V1047" t="str">
        <f t="shared" si="146"/>
        <v>Вторая четверть</v>
      </c>
      <c r="W1047" t="str">
        <f t="shared" si="147"/>
        <v>Больше половины</v>
      </c>
      <c r="X1047">
        <v>18</v>
      </c>
    </row>
    <row r="1048" spans="1:24" x14ac:dyDescent="0.35">
      <c r="A1048" s="1" t="s">
        <v>2654</v>
      </c>
      <c r="B1048" s="2" t="s">
        <v>2655</v>
      </c>
      <c r="C1048" s="3" t="s">
        <v>13</v>
      </c>
      <c r="D1048" s="2" t="s">
        <v>77</v>
      </c>
      <c r="E1048" s="3" t="s">
        <v>89</v>
      </c>
      <c r="F1048" s="2" t="s">
        <v>34</v>
      </c>
      <c r="G1048" s="3" t="s">
        <v>35</v>
      </c>
      <c r="H1048" s="2" t="s">
        <v>18</v>
      </c>
      <c r="I1048" s="3" t="s">
        <v>19</v>
      </c>
      <c r="J1048" s="3">
        <v>942</v>
      </c>
      <c r="K1048" s="3">
        <v>38</v>
      </c>
      <c r="L1048" s="3">
        <v>0</v>
      </c>
      <c r="M1048" s="4">
        <f t="shared" si="141"/>
        <v>4.0339702760084924E-2</v>
      </c>
      <c r="N1048" s="4">
        <f t="shared" si="142"/>
        <v>0</v>
      </c>
      <c r="O1048">
        <v>180</v>
      </c>
      <c r="P1048" s="5">
        <v>1</v>
      </c>
      <c r="Q1048" s="7">
        <v>0</v>
      </c>
      <c r="R1048" t="s">
        <v>2344</v>
      </c>
      <c r="S1048" t="str">
        <f t="shared" si="143"/>
        <v>Низшая четверть</v>
      </c>
      <c r="T1048" t="str">
        <f t="shared" si="144"/>
        <v>Низшая четверть</v>
      </c>
      <c r="U1048" t="str">
        <f t="shared" si="145"/>
        <v>код для проверки</v>
      </c>
      <c r="V1048" t="str">
        <f t="shared" si="146"/>
        <v>Низшая четверть</v>
      </c>
      <c r="W1048" t="str">
        <f t="shared" si="147"/>
        <v>Низшая четверть</v>
      </c>
      <c r="X1048">
        <v>14</v>
      </c>
    </row>
    <row r="1049" spans="1:24" x14ac:dyDescent="0.35">
      <c r="A1049" s="1" t="s">
        <v>2656</v>
      </c>
      <c r="B1049" s="2" t="s">
        <v>2657</v>
      </c>
      <c r="C1049" s="3" t="s">
        <v>55</v>
      </c>
      <c r="D1049" s="2" t="s">
        <v>1049</v>
      </c>
      <c r="E1049" s="3" t="s">
        <v>1050</v>
      </c>
      <c r="F1049" s="2" t="s">
        <v>34</v>
      </c>
      <c r="G1049" s="3" t="s">
        <v>17</v>
      </c>
      <c r="H1049" s="2" t="s">
        <v>18</v>
      </c>
      <c r="I1049" s="3" t="s">
        <v>19</v>
      </c>
      <c r="J1049" s="3">
        <v>938</v>
      </c>
      <c r="K1049" s="3">
        <v>23</v>
      </c>
      <c r="L1049" s="3">
        <v>1</v>
      </c>
      <c r="M1049" s="4">
        <f t="shared" si="141"/>
        <v>2.4520255863539446E-2</v>
      </c>
      <c r="N1049" s="4">
        <f t="shared" si="142"/>
        <v>4.3478260869565216E-2</v>
      </c>
      <c r="O1049">
        <v>152</v>
      </c>
      <c r="P1049" s="5">
        <v>0.8</v>
      </c>
      <c r="Q1049" s="7">
        <v>0</v>
      </c>
      <c r="R1049" t="s">
        <v>2344</v>
      </c>
      <c r="S1049" t="str">
        <f t="shared" si="143"/>
        <v>Низшая четверть</v>
      </c>
      <c r="T1049" t="str">
        <f t="shared" si="144"/>
        <v>Больше половины</v>
      </c>
      <c r="U1049" t="str">
        <f t="shared" si="145"/>
        <v>код для проверки</v>
      </c>
      <c r="V1049" t="str">
        <f t="shared" si="146"/>
        <v>Низшая четверть</v>
      </c>
      <c r="W1049" t="str">
        <f t="shared" si="147"/>
        <v>Больше половины</v>
      </c>
      <c r="X1049">
        <v>9</v>
      </c>
    </row>
    <row r="1050" spans="1:24" x14ac:dyDescent="0.35">
      <c r="A1050" s="1" t="s">
        <v>2658</v>
      </c>
      <c r="B1050" s="2" t="s">
        <v>2659</v>
      </c>
      <c r="C1050" s="3" t="s">
        <v>13</v>
      </c>
      <c r="D1050" s="2" t="s">
        <v>143</v>
      </c>
      <c r="E1050" s="3" t="s">
        <v>1071</v>
      </c>
      <c r="F1050" s="2" t="s">
        <v>34</v>
      </c>
      <c r="G1050" s="3" t="s">
        <v>35</v>
      </c>
      <c r="H1050" s="2" t="s">
        <v>18</v>
      </c>
      <c r="I1050" s="3" t="s">
        <v>19</v>
      </c>
      <c r="J1050" s="3">
        <v>932</v>
      </c>
      <c r="K1050" s="3">
        <v>13</v>
      </c>
      <c r="L1050" s="3">
        <v>1</v>
      </c>
      <c r="M1050" s="4">
        <f t="shared" si="141"/>
        <v>1.3948497854077254E-2</v>
      </c>
      <c r="N1050" s="4">
        <f t="shared" si="142"/>
        <v>7.6923076923076927E-2</v>
      </c>
      <c r="O1050">
        <v>420</v>
      </c>
      <c r="P1050" s="5">
        <v>1</v>
      </c>
      <c r="Q1050" s="7">
        <v>0</v>
      </c>
      <c r="R1050" t="s">
        <v>2344</v>
      </c>
      <c r="S1050" t="str">
        <f t="shared" si="143"/>
        <v>Низшая четверть</v>
      </c>
      <c r="T1050" t="str">
        <f t="shared" si="144"/>
        <v>Больше половины</v>
      </c>
      <c r="U1050" t="str">
        <f t="shared" si="145"/>
        <v>код для проверки</v>
      </c>
      <c r="V1050" t="str">
        <f t="shared" si="146"/>
        <v>Низшая четверть</v>
      </c>
      <c r="W1050" t="str">
        <f t="shared" si="147"/>
        <v>Больше половины</v>
      </c>
      <c r="X1050">
        <v>8</v>
      </c>
    </row>
    <row r="1051" spans="1:24" x14ac:dyDescent="0.35">
      <c r="A1051" s="1" t="s">
        <v>2660</v>
      </c>
      <c r="B1051" s="2" t="s">
        <v>2661</v>
      </c>
      <c r="C1051" s="3" t="s">
        <v>55</v>
      </c>
      <c r="D1051" s="2" t="s">
        <v>56</v>
      </c>
      <c r="E1051" s="3" t="s">
        <v>755</v>
      </c>
      <c r="F1051" s="2" t="s">
        <v>34</v>
      </c>
      <c r="G1051" s="3" t="s">
        <v>17</v>
      </c>
      <c r="H1051" s="2" t="s">
        <v>18</v>
      </c>
      <c r="I1051" s="3" t="s">
        <v>19</v>
      </c>
      <c r="J1051" s="3">
        <v>924</v>
      </c>
      <c r="K1051" s="3">
        <v>14</v>
      </c>
      <c r="L1051" s="3">
        <v>0</v>
      </c>
      <c r="M1051" s="4">
        <f t="shared" si="141"/>
        <v>1.5151515151515152E-2</v>
      </c>
      <c r="N1051" s="4">
        <f t="shared" si="142"/>
        <v>0</v>
      </c>
      <c r="O1051">
        <v>119</v>
      </c>
      <c r="P1051" s="5">
        <v>0.75</v>
      </c>
      <c r="Q1051" s="7">
        <v>0</v>
      </c>
      <c r="R1051" t="s">
        <v>2344</v>
      </c>
      <c r="S1051" t="str">
        <f t="shared" si="143"/>
        <v>Низшая четверть</v>
      </c>
      <c r="T1051" t="str">
        <f t="shared" si="144"/>
        <v>Низшая четверть</v>
      </c>
      <c r="U1051" t="str">
        <f t="shared" si="145"/>
        <v>код для проверки</v>
      </c>
      <c r="V1051" t="str">
        <f t="shared" si="146"/>
        <v>Низшая четверть</v>
      </c>
      <c r="W1051" t="str">
        <f t="shared" si="147"/>
        <v>Низшая четверть</v>
      </c>
      <c r="X1051">
        <v>8</v>
      </c>
    </row>
    <row r="1052" spans="1:24" x14ac:dyDescent="0.35">
      <c r="A1052" s="1" t="s">
        <v>2662</v>
      </c>
      <c r="B1052" s="2" t="s">
        <v>2663</v>
      </c>
      <c r="C1052" s="3" t="s">
        <v>13</v>
      </c>
      <c r="D1052" s="2" t="s">
        <v>69</v>
      </c>
      <c r="E1052" s="3" t="s">
        <v>210</v>
      </c>
      <c r="F1052" s="2" t="s">
        <v>34</v>
      </c>
      <c r="G1052" s="3" t="s">
        <v>72</v>
      </c>
      <c r="H1052" s="2" t="s">
        <v>18</v>
      </c>
      <c r="I1052" s="3" t="s">
        <v>19</v>
      </c>
      <c r="J1052" s="3">
        <v>916</v>
      </c>
      <c r="K1052" s="3">
        <v>22</v>
      </c>
      <c r="L1052" s="3">
        <v>0</v>
      </c>
      <c r="M1052" s="4">
        <f t="shared" si="141"/>
        <v>2.4017467248908297E-2</v>
      </c>
      <c r="N1052" s="4">
        <f t="shared" si="142"/>
        <v>0</v>
      </c>
      <c r="O1052">
        <v>341</v>
      </c>
      <c r="P1052" s="5">
        <v>1</v>
      </c>
      <c r="Q1052" s="7">
        <v>0</v>
      </c>
      <c r="R1052" t="s">
        <v>2344</v>
      </c>
      <c r="S1052" t="str">
        <f t="shared" si="143"/>
        <v>Низшая четверть</v>
      </c>
      <c r="T1052" t="str">
        <f t="shared" si="144"/>
        <v>Низшая четверть</v>
      </c>
      <c r="U1052" t="str">
        <f t="shared" si="145"/>
        <v>код для проверки</v>
      </c>
      <c r="V1052" t="str">
        <f t="shared" si="146"/>
        <v>Низшая четверть</v>
      </c>
      <c r="W1052" t="str">
        <f t="shared" si="147"/>
        <v>Низшая четверть</v>
      </c>
      <c r="X1052">
        <v>14</v>
      </c>
    </row>
    <row r="1053" spans="1:24" x14ac:dyDescent="0.35">
      <c r="A1053" s="1" t="s">
        <v>2403</v>
      </c>
      <c r="B1053" s="2" t="s">
        <v>2404</v>
      </c>
      <c r="C1053" s="3" t="s">
        <v>55</v>
      </c>
      <c r="D1053" s="2" t="s">
        <v>1049</v>
      </c>
      <c r="E1053" s="3" t="s">
        <v>2405</v>
      </c>
      <c r="F1053" s="2" t="s">
        <v>96</v>
      </c>
      <c r="G1053" s="3" t="s">
        <v>17</v>
      </c>
      <c r="H1053" s="2" t="s">
        <v>1223</v>
      </c>
      <c r="I1053" s="3" t="s">
        <v>19</v>
      </c>
      <c r="J1053" s="3">
        <v>914</v>
      </c>
      <c r="K1053" s="3">
        <v>21</v>
      </c>
      <c r="L1053" s="3">
        <v>0</v>
      </c>
      <c r="M1053" s="4">
        <f t="shared" si="141"/>
        <v>2.2975929978118162E-2</v>
      </c>
      <c r="N1053" s="4">
        <f t="shared" si="142"/>
        <v>0</v>
      </c>
      <c r="O1053">
        <v>561</v>
      </c>
      <c r="P1053" s="5">
        <v>0.83333333333333337</v>
      </c>
      <c r="Q1053" s="7">
        <v>0</v>
      </c>
      <c r="R1053" t="s">
        <v>2344</v>
      </c>
      <c r="S1053" t="str">
        <f t="shared" si="143"/>
        <v>Низшая четверть</v>
      </c>
      <c r="T1053" t="str">
        <f t="shared" si="144"/>
        <v>Низшая четверть</v>
      </c>
      <c r="U1053" t="e">
        <f t="shared" si="145"/>
        <v>#DIV/0!</v>
      </c>
      <c r="V1053" t="e">
        <f t="shared" si="146"/>
        <v>#DIV/0!</v>
      </c>
      <c r="W1053" t="e">
        <f t="shared" si="147"/>
        <v>#DIV/0!</v>
      </c>
      <c r="X1053">
        <v>20</v>
      </c>
    </row>
    <row r="1054" spans="1:24" x14ac:dyDescent="0.35">
      <c r="A1054" s="1" t="s">
        <v>1810</v>
      </c>
      <c r="B1054" s="2" t="s">
        <v>1811</v>
      </c>
      <c r="C1054" s="3" t="s">
        <v>13</v>
      </c>
      <c r="D1054" s="2" t="s">
        <v>77</v>
      </c>
      <c r="E1054" s="3" t="s">
        <v>1592</v>
      </c>
      <c r="F1054" s="2" t="s">
        <v>96</v>
      </c>
      <c r="G1054" s="3" t="s">
        <v>17</v>
      </c>
      <c r="H1054" s="2" t="s">
        <v>18</v>
      </c>
      <c r="I1054" s="3" t="s">
        <v>19</v>
      </c>
      <c r="J1054" s="3">
        <v>913</v>
      </c>
      <c r="K1054" s="3">
        <v>17</v>
      </c>
      <c r="L1054" s="3">
        <v>1</v>
      </c>
      <c r="M1054" s="4">
        <f t="shared" si="141"/>
        <v>1.8619934282584884E-2</v>
      </c>
      <c r="N1054" s="4">
        <f t="shared" si="142"/>
        <v>5.8823529411764705E-2</v>
      </c>
      <c r="O1054">
        <v>93</v>
      </c>
      <c r="P1054" s="5">
        <v>0.55555555555555558</v>
      </c>
      <c r="Q1054" s="7">
        <v>0</v>
      </c>
      <c r="R1054" t="s">
        <v>2344</v>
      </c>
      <c r="S1054" t="str">
        <f t="shared" si="143"/>
        <v>Низшая четверть</v>
      </c>
      <c r="T1054" t="str">
        <f t="shared" si="144"/>
        <v>Больше половины</v>
      </c>
      <c r="U1054" t="str">
        <f t="shared" si="145"/>
        <v>код для проверки</v>
      </c>
      <c r="V1054" t="str">
        <f t="shared" si="146"/>
        <v>Низшая четверть</v>
      </c>
      <c r="W1054" t="str">
        <f t="shared" si="147"/>
        <v>Больше половины</v>
      </c>
      <c r="X1054">
        <v>8</v>
      </c>
    </row>
    <row r="1055" spans="1:24" x14ac:dyDescent="0.35">
      <c r="A1055" s="1" t="s">
        <v>2664</v>
      </c>
      <c r="B1055" s="2" t="s">
        <v>2665</v>
      </c>
      <c r="C1055" s="3" t="s">
        <v>13</v>
      </c>
      <c r="D1055" s="2" t="s">
        <v>104</v>
      </c>
      <c r="E1055" s="3" t="s">
        <v>711</v>
      </c>
      <c r="F1055" s="2" t="s">
        <v>96</v>
      </c>
      <c r="G1055" s="3" t="s">
        <v>17</v>
      </c>
      <c r="H1055" s="2" t="s">
        <v>18</v>
      </c>
      <c r="I1055" s="3" t="s">
        <v>19</v>
      </c>
      <c r="J1055" s="3">
        <v>912</v>
      </c>
      <c r="K1055" s="3">
        <v>22</v>
      </c>
      <c r="L1055" s="3">
        <v>0</v>
      </c>
      <c r="M1055" s="4">
        <f t="shared" si="141"/>
        <v>2.4122807017543858E-2</v>
      </c>
      <c r="N1055" s="4">
        <f t="shared" si="142"/>
        <v>0</v>
      </c>
      <c r="O1055">
        <v>508</v>
      </c>
      <c r="P1055" s="5">
        <v>1</v>
      </c>
      <c r="Q1055" s="7">
        <v>0</v>
      </c>
      <c r="R1055" t="s">
        <v>2344</v>
      </c>
      <c r="S1055" t="str">
        <f t="shared" si="143"/>
        <v>Низшая четверть</v>
      </c>
      <c r="T1055" t="str">
        <f t="shared" si="144"/>
        <v>Низшая четверть</v>
      </c>
      <c r="U1055" t="str">
        <f t="shared" si="145"/>
        <v>код для проверки</v>
      </c>
      <c r="V1055" t="str">
        <f t="shared" si="146"/>
        <v>Низшая четверть</v>
      </c>
      <c r="W1055" t="str">
        <f t="shared" si="147"/>
        <v>Низшая четверть</v>
      </c>
      <c r="X1055">
        <v>25</v>
      </c>
    </row>
    <row r="1056" spans="1:24" x14ac:dyDescent="0.35">
      <c r="A1056" s="1" t="s">
        <v>1744</v>
      </c>
      <c r="B1056" s="2" t="s">
        <v>1745</v>
      </c>
      <c r="C1056" s="3" t="s">
        <v>13</v>
      </c>
      <c r="D1056" s="2" t="s">
        <v>155</v>
      </c>
      <c r="E1056" s="3" t="s">
        <v>156</v>
      </c>
      <c r="F1056" s="2" t="s">
        <v>34</v>
      </c>
      <c r="G1056" s="3" t="s">
        <v>17</v>
      </c>
      <c r="H1056" s="2" t="s">
        <v>18</v>
      </c>
      <c r="I1056" s="3" t="s">
        <v>19</v>
      </c>
      <c r="J1056" s="3">
        <v>907</v>
      </c>
      <c r="K1056" s="3">
        <v>69</v>
      </c>
      <c r="L1056" s="3">
        <v>1</v>
      </c>
      <c r="M1056" s="4">
        <f t="shared" si="141"/>
        <v>7.6074972436604188E-2</v>
      </c>
      <c r="N1056" s="4">
        <f t="shared" si="142"/>
        <v>1.4492753623188406E-2</v>
      </c>
      <c r="O1056">
        <v>376</v>
      </c>
      <c r="P1056" s="5">
        <v>1</v>
      </c>
      <c r="Q1056" s="7">
        <v>0</v>
      </c>
      <c r="R1056" t="s">
        <v>2344</v>
      </c>
      <c r="S1056" t="str">
        <f t="shared" si="143"/>
        <v>Вторая четверть</v>
      </c>
      <c r="T1056" t="str">
        <f t="shared" si="144"/>
        <v>Вторая четверть</v>
      </c>
      <c r="U1056" t="str">
        <f t="shared" si="145"/>
        <v>нормальный код</v>
      </c>
      <c r="V1056" t="str">
        <f t="shared" si="146"/>
        <v>Вторая четверть</v>
      </c>
      <c r="W1056" t="str">
        <f t="shared" si="147"/>
        <v>Вторая четверть</v>
      </c>
      <c r="X1056">
        <v>7</v>
      </c>
    </row>
    <row r="1057" spans="1:24" x14ac:dyDescent="0.35">
      <c r="A1057" s="1" t="s">
        <v>2666</v>
      </c>
      <c r="B1057" s="2" t="s">
        <v>2667</v>
      </c>
      <c r="C1057" s="3" t="s">
        <v>55</v>
      </c>
      <c r="D1057" s="2" t="s">
        <v>1479</v>
      </c>
      <c r="E1057" s="3" t="s">
        <v>1480</v>
      </c>
      <c r="F1057" s="2" t="s">
        <v>34</v>
      </c>
      <c r="G1057" s="3" t="s">
        <v>17</v>
      </c>
      <c r="H1057" s="2" t="s">
        <v>18</v>
      </c>
      <c r="I1057" s="3" t="s">
        <v>19</v>
      </c>
      <c r="J1057" s="3">
        <v>906</v>
      </c>
      <c r="K1057" s="3">
        <v>26</v>
      </c>
      <c r="L1057" s="3">
        <v>0</v>
      </c>
      <c r="M1057" s="4">
        <f t="shared" si="141"/>
        <v>2.8697571743929361E-2</v>
      </c>
      <c r="N1057" s="4">
        <f t="shared" si="142"/>
        <v>0</v>
      </c>
      <c r="O1057">
        <v>330</v>
      </c>
      <c r="P1057" s="5">
        <v>1</v>
      </c>
      <c r="Q1057" s="7">
        <v>0</v>
      </c>
      <c r="R1057" t="s">
        <v>2344</v>
      </c>
      <c r="S1057" t="str">
        <f t="shared" si="143"/>
        <v>Низшая четверть</v>
      </c>
      <c r="T1057" t="str">
        <f t="shared" si="144"/>
        <v>Низшая четверть</v>
      </c>
      <c r="U1057" t="str">
        <f t="shared" si="145"/>
        <v>код для проверки</v>
      </c>
      <c r="V1057" t="str">
        <f t="shared" si="146"/>
        <v>Низшая четверть</v>
      </c>
      <c r="W1057" t="str">
        <f t="shared" si="147"/>
        <v>Низшая четверть</v>
      </c>
      <c r="X1057">
        <v>17</v>
      </c>
    </row>
    <row r="1058" spans="1:24" x14ac:dyDescent="0.35">
      <c r="A1058" s="1" t="s">
        <v>2668</v>
      </c>
      <c r="B1058" s="2" t="s">
        <v>2669</v>
      </c>
      <c r="C1058" s="3" t="s">
        <v>55</v>
      </c>
      <c r="D1058" s="2" t="s">
        <v>1221</v>
      </c>
      <c r="E1058" s="3" t="s">
        <v>1450</v>
      </c>
      <c r="F1058" s="2" t="s">
        <v>61</v>
      </c>
      <c r="G1058" s="3" t="s">
        <v>17</v>
      </c>
      <c r="H1058" s="2" t="s">
        <v>18</v>
      </c>
      <c r="I1058" s="3" t="s">
        <v>19</v>
      </c>
      <c r="J1058" s="3">
        <v>903</v>
      </c>
      <c r="K1058" s="3">
        <v>45</v>
      </c>
      <c r="L1058" s="3">
        <v>0</v>
      </c>
      <c r="M1058" s="4">
        <f t="shared" si="141"/>
        <v>4.9833887043189369E-2</v>
      </c>
      <c r="N1058" s="4">
        <f t="shared" si="142"/>
        <v>0</v>
      </c>
      <c r="O1058">
        <v>390</v>
      </c>
      <c r="P1058" s="5">
        <v>0.8</v>
      </c>
      <c r="Q1058" s="7">
        <v>0</v>
      </c>
      <c r="R1058" t="s">
        <v>2344</v>
      </c>
      <c r="S1058" t="str">
        <f t="shared" si="143"/>
        <v>Вторая четверть</v>
      </c>
      <c r="T1058" t="str">
        <f t="shared" si="144"/>
        <v>Низшая четверть</v>
      </c>
      <c r="U1058" t="str">
        <f t="shared" si="145"/>
        <v>код для проверки</v>
      </c>
      <c r="V1058" t="str">
        <f t="shared" si="146"/>
        <v>Больше половины</v>
      </c>
      <c r="W1058" t="str">
        <f t="shared" si="147"/>
        <v>Низшая четверть</v>
      </c>
      <c r="X1058">
        <v>19</v>
      </c>
    </row>
    <row r="1059" spans="1:24" x14ac:dyDescent="0.35">
      <c r="A1059" s="1" t="s">
        <v>2670</v>
      </c>
      <c r="B1059" s="2" t="s">
        <v>2671</v>
      </c>
      <c r="C1059" s="3" t="s">
        <v>13</v>
      </c>
      <c r="D1059" s="2" t="s">
        <v>155</v>
      </c>
      <c r="E1059" s="3" t="s">
        <v>156</v>
      </c>
      <c r="F1059" s="2" t="s">
        <v>34</v>
      </c>
      <c r="G1059" s="3" t="s">
        <v>17</v>
      </c>
      <c r="H1059" s="2" t="s">
        <v>18</v>
      </c>
      <c r="I1059" s="3" t="s">
        <v>19</v>
      </c>
      <c r="J1059" s="3">
        <v>903</v>
      </c>
      <c r="K1059" s="3">
        <v>28</v>
      </c>
      <c r="L1059" s="3">
        <v>2</v>
      </c>
      <c r="M1059" s="4">
        <f t="shared" si="141"/>
        <v>3.1007751937984496E-2</v>
      </c>
      <c r="N1059" s="4">
        <f t="shared" si="142"/>
        <v>7.1428571428571425E-2</v>
      </c>
      <c r="O1059">
        <v>557</v>
      </c>
      <c r="P1059" s="5">
        <v>1</v>
      </c>
      <c r="Q1059" s="7">
        <v>0</v>
      </c>
      <c r="R1059" t="s">
        <v>2344</v>
      </c>
      <c r="S1059" t="str">
        <f t="shared" si="143"/>
        <v>Низшая четверть</v>
      </c>
      <c r="T1059" t="str">
        <f t="shared" si="144"/>
        <v>Больше половины</v>
      </c>
      <c r="U1059" t="str">
        <f t="shared" si="145"/>
        <v>код для проверки</v>
      </c>
      <c r="V1059" t="str">
        <f t="shared" si="146"/>
        <v>Низшая четверть</v>
      </c>
      <c r="W1059" t="str">
        <f t="shared" si="147"/>
        <v>Больше половины</v>
      </c>
      <c r="X1059">
        <v>20</v>
      </c>
    </row>
    <row r="1060" spans="1:24" x14ac:dyDescent="0.35">
      <c r="A1060" s="1" t="s">
        <v>1696</v>
      </c>
      <c r="B1060" s="2" t="s">
        <v>1697</v>
      </c>
      <c r="C1060" s="3" t="s">
        <v>13</v>
      </c>
      <c r="D1060" s="2" t="s">
        <v>412</v>
      </c>
      <c r="E1060" s="3" t="s">
        <v>611</v>
      </c>
      <c r="F1060" s="2" t="s">
        <v>61</v>
      </c>
      <c r="G1060" s="3" t="s">
        <v>17</v>
      </c>
      <c r="H1060" s="2" t="s">
        <v>97</v>
      </c>
      <c r="I1060" s="3" t="s">
        <v>19</v>
      </c>
      <c r="J1060" s="3">
        <v>903</v>
      </c>
      <c r="K1060" s="3">
        <v>308</v>
      </c>
      <c r="L1060" s="3">
        <v>0</v>
      </c>
      <c r="M1060" s="4">
        <f t="shared" si="141"/>
        <v>0.34108527131782945</v>
      </c>
      <c r="N1060" s="4">
        <f t="shared" si="142"/>
        <v>0</v>
      </c>
      <c r="O1060">
        <v>948</v>
      </c>
      <c r="P1060" s="5">
        <v>1</v>
      </c>
      <c r="Q1060" s="7">
        <v>0</v>
      </c>
      <c r="R1060" t="s">
        <v>2344</v>
      </c>
      <c r="S1060" t="str">
        <f t="shared" si="143"/>
        <v>Больше половины</v>
      </c>
      <c r="T1060" t="str">
        <f t="shared" si="144"/>
        <v>Низшая четверть</v>
      </c>
      <c r="U1060" t="str">
        <f t="shared" si="145"/>
        <v>код для проверки</v>
      </c>
      <c r="V1060" t="str">
        <f t="shared" si="146"/>
        <v>Больше половины</v>
      </c>
      <c r="W1060" t="str">
        <f t="shared" si="147"/>
        <v>Низшая четверть</v>
      </c>
      <c r="X1060">
        <v>5</v>
      </c>
    </row>
    <row r="1061" spans="1:24" x14ac:dyDescent="0.35">
      <c r="A1061" s="1" t="s">
        <v>1842</v>
      </c>
      <c r="B1061" s="2" t="s">
        <v>1843</v>
      </c>
      <c r="C1061" s="3" t="s">
        <v>55</v>
      </c>
      <c r="D1061" s="2" t="s">
        <v>94</v>
      </c>
      <c r="E1061" s="3" t="s">
        <v>812</v>
      </c>
      <c r="F1061" s="2" t="s">
        <v>96</v>
      </c>
      <c r="G1061" s="3" t="s">
        <v>17</v>
      </c>
      <c r="H1061" s="2" t="s">
        <v>18</v>
      </c>
      <c r="I1061" s="3" t="s">
        <v>19</v>
      </c>
      <c r="J1061" s="3">
        <v>896</v>
      </c>
      <c r="K1061" s="3">
        <v>175</v>
      </c>
      <c r="L1061" s="3">
        <v>1</v>
      </c>
      <c r="M1061" s="4">
        <f t="shared" si="141"/>
        <v>0.1953125</v>
      </c>
      <c r="N1061" s="4">
        <f t="shared" si="142"/>
        <v>5.7142857142857143E-3</v>
      </c>
      <c r="O1061">
        <v>1538</v>
      </c>
      <c r="P1061" s="5">
        <v>1</v>
      </c>
      <c r="Q1061" s="7">
        <v>0</v>
      </c>
      <c r="R1061" t="s">
        <v>2344</v>
      </c>
      <c r="S1061" t="str">
        <f t="shared" si="143"/>
        <v>Больше половины</v>
      </c>
      <c r="T1061" t="str">
        <f t="shared" si="144"/>
        <v>Низшая четверть</v>
      </c>
      <c r="U1061" t="str">
        <f t="shared" si="145"/>
        <v>код для проверки</v>
      </c>
      <c r="V1061" t="str">
        <f t="shared" si="146"/>
        <v>Больше половины</v>
      </c>
      <c r="W1061" t="str">
        <f t="shared" si="147"/>
        <v>Низшая четверть</v>
      </c>
      <c r="X1061">
        <v>7</v>
      </c>
    </row>
    <row r="1062" spans="1:24" x14ac:dyDescent="0.35">
      <c r="A1062" s="1" t="s">
        <v>2672</v>
      </c>
      <c r="B1062" s="2" t="s">
        <v>2673</v>
      </c>
      <c r="C1062" s="3" t="s">
        <v>55</v>
      </c>
      <c r="D1062" s="2" t="s">
        <v>1049</v>
      </c>
      <c r="E1062" s="3" t="s">
        <v>1050</v>
      </c>
      <c r="F1062" s="2" t="s">
        <v>34</v>
      </c>
      <c r="G1062" s="3" t="s">
        <v>17</v>
      </c>
      <c r="H1062" s="2" t="s">
        <v>18</v>
      </c>
      <c r="I1062" s="3" t="s">
        <v>19</v>
      </c>
      <c r="J1062" s="3">
        <v>875</v>
      </c>
      <c r="K1062" s="3">
        <v>8</v>
      </c>
      <c r="L1062" s="3">
        <v>2</v>
      </c>
      <c r="M1062" s="4">
        <f t="shared" si="141"/>
        <v>9.1428571428571435E-3</v>
      </c>
      <c r="N1062" s="4">
        <f t="shared" si="142"/>
        <v>0.25</v>
      </c>
      <c r="O1062">
        <v>60</v>
      </c>
      <c r="P1062" s="5">
        <v>0.8</v>
      </c>
      <c r="Q1062" s="7">
        <v>0</v>
      </c>
      <c r="R1062" t="s">
        <v>2344</v>
      </c>
      <c r="S1062" t="str">
        <f t="shared" si="143"/>
        <v>Низшая четверть</v>
      </c>
      <c r="T1062" t="str">
        <f t="shared" si="144"/>
        <v>Больше половины</v>
      </c>
      <c r="U1062" t="str">
        <f t="shared" si="145"/>
        <v>код для проверки</v>
      </c>
      <c r="V1062" t="str">
        <f t="shared" si="146"/>
        <v>Низшая четверть</v>
      </c>
      <c r="W1062" t="str">
        <f t="shared" si="147"/>
        <v>Больше половины</v>
      </c>
      <c r="X1062">
        <v>11</v>
      </c>
    </row>
    <row r="1063" spans="1:24" x14ac:dyDescent="0.35">
      <c r="A1063" s="1" t="s">
        <v>1605</v>
      </c>
      <c r="B1063" s="2" t="s">
        <v>1606</v>
      </c>
      <c r="C1063" s="3" t="s">
        <v>13</v>
      </c>
      <c r="D1063" s="2" t="s">
        <v>155</v>
      </c>
      <c r="E1063" s="3" t="s">
        <v>244</v>
      </c>
      <c r="F1063" s="2" t="s">
        <v>34</v>
      </c>
      <c r="G1063" s="3" t="s">
        <v>35</v>
      </c>
      <c r="H1063" s="2" t="s">
        <v>18</v>
      </c>
      <c r="I1063" s="3" t="s">
        <v>19</v>
      </c>
      <c r="J1063" s="3">
        <v>875</v>
      </c>
      <c r="K1063" s="3">
        <v>3</v>
      </c>
      <c r="L1063" s="3">
        <v>0</v>
      </c>
      <c r="M1063" s="4">
        <f t="shared" si="141"/>
        <v>3.4285714285714284E-3</v>
      </c>
      <c r="N1063" s="4">
        <f t="shared" si="142"/>
        <v>0</v>
      </c>
      <c r="O1063">
        <v>120</v>
      </c>
      <c r="P1063" s="5">
        <v>1</v>
      </c>
      <c r="Q1063" s="7">
        <v>0</v>
      </c>
      <c r="R1063" t="s">
        <v>2344</v>
      </c>
      <c r="S1063" t="str">
        <f t="shared" si="143"/>
        <v>Низшая четверть</v>
      </c>
      <c r="T1063" t="str">
        <f t="shared" si="144"/>
        <v>Низшая четверть</v>
      </c>
      <c r="U1063" t="str">
        <f t="shared" si="145"/>
        <v>код для проверки</v>
      </c>
      <c r="V1063" t="str">
        <f t="shared" si="146"/>
        <v>Низшая четверть</v>
      </c>
      <c r="W1063" t="str">
        <f t="shared" si="147"/>
        <v>Низшая четверть</v>
      </c>
      <c r="X1063">
        <v>5</v>
      </c>
    </row>
    <row r="1064" spans="1:24" x14ac:dyDescent="0.35">
      <c r="A1064" s="1" t="s">
        <v>2158</v>
      </c>
      <c r="B1064" s="2" t="s">
        <v>2159</v>
      </c>
      <c r="C1064" s="3" t="s">
        <v>55</v>
      </c>
      <c r="D1064" s="2" t="s">
        <v>1049</v>
      </c>
      <c r="E1064" s="3" t="s">
        <v>1050</v>
      </c>
      <c r="F1064" s="2" t="s">
        <v>34</v>
      </c>
      <c r="G1064" s="3" t="s">
        <v>17</v>
      </c>
      <c r="H1064" s="2" t="s">
        <v>18</v>
      </c>
      <c r="I1064" s="3" t="s">
        <v>19</v>
      </c>
      <c r="J1064" s="3">
        <v>872</v>
      </c>
      <c r="K1064" s="3">
        <v>38</v>
      </c>
      <c r="L1064" s="3">
        <v>0</v>
      </c>
      <c r="M1064" s="4">
        <f t="shared" si="141"/>
        <v>4.3577981651376149E-2</v>
      </c>
      <c r="N1064" s="4">
        <f t="shared" si="142"/>
        <v>0</v>
      </c>
      <c r="O1064">
        <v>330</v>
      </c>
      <c r="P1064" s="5">
        <v>1</v>
      </c>
      <c r="Q1064" s="7">
        <v>0</v>
      </c>
      <c r="R1064" t="s">
        <v>2344</v>
      </c>
      <c r="S1064" t="str">
        <f t="shared" si="143"/>
        <v>Низшая четверть</v>
      </c>
      <c r="T1064" t="str">
        <f t="shared" si="144"/>
        <v>Низшая четверть</v>
      </c>
      <c r="U1064" t="str">
        <f t="shared" si="145"/>
        <v>код для проверки</v>
      </c>
      <c r="V1064" t="str">
        <f t="shared" si="146"/>
        <v>Низшая четверть</v>
      </c>
      <c r="W1064" t="str">
        <f t="shared" si="147"/>
        <v>Низшая четверть</v>
      </c>
      <c r="X1064">
        <v>24</v>
      </c>
    </row>
    <row r="1065" spans="1:24" x14ac:dyDescent="0.35">
      <c r="A1065" s="1" t="s">
        <v>1892</v>
      </c>
      <c r="B1065" s="2" t="s">
        <v>1893</v>
      </c>
      <c r="C1065" s="3" t="s">
        <v>55</v>
      </c>
      <c r="D1065" s="2" t="s">
        <v>1049</v>
      </c>
      <c r="E1065" s="3" t="s">
        <v>1050</v>
      </c>
      <c r="F1065" s="2" t="s">
        <v>34</v>
      </c>
      <c r="G1065" s="3" t="s">
        <v>17</v>
      </c>
      <c r="H1065" s="2" t="s">
        <v>18</v>
      </c>
      <c r="I1065" s="3" t="s">
        <v>19</v>
      </c>
      <c r="J1065" s="3">
        <v>872</v>
      </c>
      <c r="K1065" s="3">
        <v>55</v>
      </c>
      <c r="L1065" s="3">
        <v>0</v>
      </c>
      <c r="M1065" s="4">
        <f t="shared" si="141"/>
        <v>6.3073394495412841E-2</v>
      </c>
      <c r="N1065" s="4">
        <f t="shared" si="142"/>
        <v>0</v>
      </c>
      <c r="O1065">
        <v>60</v>
      </c>
      <c r="P1065" s="5">
        <v>0.4</v>
      </c>
      <c r="Q1065" s="7">
        <v>0</v>
      </c>
      <c r="R1065" t="s">
        <v>2344</v>
      </c>
      <c r="S1065" t="str">
        <f t="shared" si="143"/>
        <v>Вторая четверть</v>
      </c>
      <c r="T1065" t="str">
        <f t="shared" si="144"/>
        <v>Низшая четверть</v>
      </c>
      <c r="U1065" t="str">
        <f t="shared" si="145"/>
        <v>код для проверки</v>
      </c>
      <c r="V1065" t="str">
        <f t="shared" si="146"/>
        <v>Вторая четверть</v>
      </c>
      <c r="W1065" t="str">
        <f t="shared" si="147"/>
        <v>Низшая четверть</v>
      </c>
      <c r="X1065">
        <v>14</v>
      </c>
    </row>
    <row r="1066" spans="1:24" x14ac:dyDescent="0.35">
      <c r="A1066" s="1" t="s">
        <v>2674</v>
      </c>
      <c r="B1066" s="2" t="s">
        <v>2675</v>
      </c>
      <c r="C1066" s="3" t="s">
        <v>55</v>
      </c>
      <c r="D1066" s="2" t="s">
        <v>1049</v>
      </c>
      <c r="E1066" s="3" t="s">
        <v>1050</v>
      </c>
      <c r="F1066" s="2" t="s">
        <v>34</v>
      </c>
      <c r="G1066" s="3" t="s">
        <v>17</v>
      </c>
      <c r="H1066" s="2" t="s">
        <v>18</v>
      </c>
      <c r="I1066" s="3" t="s">
        <v>19</v>
      </c>
      <c r="J1066" s="3">
        <v>865</v>
      </c>
      <c r="K1066" s="3">
        <v>16</v>
      </c>
      <c r="L1066" s="3">
        <v>2</v>
      </c>
      <c r="M1066" s="4">
        <f t="shared" si="141"/>
        <v>1.8497109826589597E-2</v>
      </c>
      <c r="N1066" s="4">
        <f t="shared" si="142"/>
        <v>0.125</v>
      </c>
      <c r="O1066">
        <v>1768</v>
      </c>
      <c r="P1066" s="5">
        <v>1</v>
      </c>
      <c r="Q1066" s="7">
        <v>0</v>
      </c>
      <c r="R1066" t="s">
        <v>2344</v>
      </c>
      <c r="S1066" t="str">
        <f t="shared" si="143"/>
        <v>Низшая четверть</v>
      </c>
      <c r="T1066" t="str">
        <f t="shared" si="144"/>
        <v>Больше половины</v>
      </c>
      <c r="U1066" t="str">
        <f t="shared" si="145"/>
        <v>код для проверки</v>
      </c>
      <c r="V1066" t="str">
        <f t="shared" si="146"/>
        <v>Низшая четверть</v>
      </c>
      <c r="W1066" t="str">
        <f t="shared" si="147"/>
        <v>Больше половины</v>
      </c>
      <c r="X1066">
        <v>9</v>
      </c>
    </row>
    <row r="1067" spans="1:24" x14ac:dyDescent="0.35">
      <c r="A1067" s="1" t="s">
        <v>519</v>
      </c>
      <c r="B1067" s="2" t="s">
        <v>520</v>
      </c>
      <c r="C1067" s="3" t="s">
        <v>13</v>
      </c>
      <c r="D1067" s="2" t="s">
        <v>22</v>
      </c>
      <c r="E1067" s="3" t="s">
        <v>272</v>
      </c>
      <c r="F1067" s="2" t="s">
        <v>123</v>
      </c>
      <c r="G1067" s="3" t="s">
        <v>35</v>
      </c>
      <c r="H1067" s="2" t="s">
        <v>18</v>
      </c>
      <c r="I1067" s="3" t="s">
        <v>19</v>
      </c>
      <c r="J1067" s="3">
        <v>865</v>
      </c>
      <c r="K1067" s="3">
        <v>28</v>
      </c>
      <c r="L1067" s="3">
        <v>0</v>
      </c>
      <c r="M1067" s="4">
        <f t="shared" si="141"/>
        <v>3.236994219653179E-2</v>
      </c>
      <c r="N1067" s="4">
        <f t="shared" si="142"/>
        <v>0</v>
      </c>
      <c r="O1067">
        <v>300</v>
      </c>
      <c r="P1067" s="5">
        <v>1</v>
      </c>
      <c r="Q1067" s="7">
        <v>0</v>
      </c>
      <c r="R1067" t="s">
        <v>2344</v>
      </c>
      <c r="S1067" t="str">
        <f t="shared" si="143"/>
        <v>Низшая четверть</v>
      </c>
      <c r="T1067" t="str">
        <f t="shared" si="144"/>
        <v>Низшая четверть</v>
      </c>
      <c r="U1067" t="str">
        <f t="shared" si="145"/>
        <v>код для проверки</v>
      </c>
      <c r="V1067" t="str">
        <f t="shared" si="146"/>
        <v>Низшая четверть</v>
      </c>
      <c r="W1067" t="str">
        <f t="shared" si="147"/>
        <v>Низшая четверть</v>
      </c>
      <c r="X1067">
        <v>24</v>
      </c>
    </row>
    <row r="1068" spans="1:24" x14ac:dyDescent="0.35">
      <c r="A1068" s="1" t="s">
        <v>2676</v>
      </c>
      <c r="B1068" s="2" t="s">
        <v>2677</v>
      </c>
      <c r="C1068" s="3" t="s">
        <v>55</v>
      </c>
      <c r="D1068" s="2" t="s">
        <v>1049</v>
      </c>
      <c r="E1068" s="3" t="s">
        <v>2678</v>
      </c>
      <c r="F1068" s="2" t="s">
        <v>34</v>
      </c>
      <c r="G1068" s="3" t="s">
        <v>17</v>
      </c>
      <c r="H1068" s="2" t="s">
        <v>18</v>
      </c>
      <c r="I1068" s="3" t="s">
        <v>19</v>
      </c>
      <c r="J1068" s="3">
        <v>863</v>
      </c>
      <c r="K1068" s="3">
        <v>13</v>
      </c>
      <c r="L1068" s="3">
        <v>0</v>
      </c>
      <c r="M1068" s="4">
        <f t="shared" si="141"/>
        <v>1.5063731170336037E-2</v>
      </c>
      <c r="N1068" s="4">
        <f t="shared" si="142"/>
        <v>0</v>
      </c>
      <c r="O1068">
        <v>270</v>
      </c>
      <c r="P1068" s="5">
        <v>0.8</v>
      </c>
      <c r="Q1068" s="7">
        <v>0</v>
      </c>
      <c r="R1068" t="s">
        <v>2344</v>
      </c>
      <c r="S1068" t="str">
        <f t="shared" si="143"/>
        <v>Низшая четверть</v>
      </c>
      <c r="T1068" t="str">
        <f t="shared" si="144"/>
        <v>Низшая четверть</v>
      </c>
      <c r="U1068" t="e">
        <f t="shared" si="145"/>
        <v>#DIV/0!</v>
      </c>
      <c r="V1068" t="e">
        <f t="shared" si="146"/>
        <v>#DIV/0!</v>
      </c>
      <c r="W1068" t="e">
        <f t="shared" si="147"/>
        <v>#DIV/0!</v>
      </c>
      <c r="X1068">
        <v>17</v>
      </c>
    </row>
    <row r="1069" spans="1:24" x14ac:dyDescent="0.35">
      <c r="A1069" s="1" t="s">
        <v>2191</v>
      </c>
      <c r="B1069" s="2" t="s">
        <v>2192</v>
      </c>
      <c r="C1069" s="3" t="s">
        <v>55</v>
      </c>
      <c r="D1069" s="2" t="s">
        <v>1049</v>
      </c>
      <c r="E1069" s="3" t="s">
        <v>1050</v>
      </c>
      <c r="F1069" s="2" t="s">
        <v>34</v>
      </c>
      <c r="G1069" s="3" t="s">
        <v>17</v>
      </c>
      <c r="H1069" s="2" t="s">
        <v>18</v>
      </c>
      <c r="I1069" s="3" t="s">
        <v>19</v>
      </c>
      <c r="J1069" s="3">
        <v>862</v>
      </c>
      <c r="K1069" s="3">
        <v>48</v>
      </c>
      <c r="L1069" s="3">
        <v>0</v>
      </c>
      <c r="M1069" s="4">
        <f t="shared" si="141"/>
        <v>5.5684454756380508E-2</v>
      </c>
      <c r="N1069" s="4">
        <f t="shared" si="142"/>
        <v>0</v>
      </c>
      <c r="O1069">
        <v>480</v>
      </c>
      <c r="P1069" s="5">
        <v>1</v>
      </c>
      <c r="Q1069" s="7">
        <v>0</v>
      </c>
      <c r="R1069" t="s">
        <v>2344</v>
      </c>
      <c r="S1069" t="str">
        <f t="shared" si="143"/>
        <v>Вторая четверть</v>
      </c>
      <c r="T1069" t="str">
        <f t="shared" si="144"/>
        <v>Низшая четверть</v>
      </c>
      <c r="U1069" t="str">
        <f t="shared" si="145"/>
        <v>код для проверки</v>
      </c>
      <c r="V1069" t="str">
        <f t="shared" si="146"/>
        <v>Низшая четверть</v>
      </c>
      <c r="W1069" t="str">
        <f t="shared" si="147"/>
        <v>Низшая четверть</v>
      </c>
      <c r="X1069">
        <v>16</v>
      </c>
    </row>
    <row r="1070" spans="1:24" x14ac:dyDescent="0.35">
      <c r="A1070" s="1" t="s">
        <v>2679</v>
      </c>
      <c r="B1070" s="2" t="s">
        <v>2680</v>
      </c>
      <c r="C1070" s="3" t="s">
        <v>13</v>
      </c>
      <c r="D1070" s="2" t="s">
        <v>85</v>
      </c>
      <c r="E1070" s="3" t="s">
        <v>1937</v>
      </c>
      <c r="F1070" s="2" t="s">
        <v>96</v>
      </c>
      <c r="G1070" s="3" t="s">
        <v>35</v>
      </c>
      <c r="H1070" s="2" t="s">
        <v>18</v>
      </c>
      <c r="I1070" s="3" t="s">
        <v>19</v>
      </c>
      <c r="J1070" s="3">
        <v>854</v>
      </c>
      <c r="K1070" s="3">
        <v>12</v>
      </c>
      <c r="L1070" s="3">
        <v>0</v>
      </c>
      <c r="M1070" s="4">
        <f t="shared" si="141"/>
        <v>1.405152224824356E-2</v>
      </c>
      <c r="N1070" s="4">
        <f t="shared" si="142"/>
        <v>0</v>
      </c>
      <c r="O1070">
        <v>402</v>
      </c>
      <c r="P1070" s="5">
        <v>1</v>
      </c>
      <c r="Q1070" s="7">
        <v>0</v>
      </c>
      <c r="R1070" t="s">
        <v>2344</v>
      </c>
      <c r="S1070" t="str">
        <f t="shared" si="143"/>
        <v>Низшая четверть</v>
      </c>
      <c r="T1070" t="str">
        <f t="shared" si="144"/>
        <v>Низшая четверть</v>
      </c>
      <c r="U1070" t="str">
        <f t="shared" si="145"/>
        <v>код для проверки</v>
      </c>
      <c r="V1070" t="str">
        <f t="shared" si="146"/>
        <v>Низшая четверть</v>
      </c>
      <c r="W1070" t="str">
        <f t="shared" si="147"/>
        <v>Низшая четверть</v>
      </c>
      <c r="X1070">
        <v>8</v>
      </c>
    </row>
    <row r="1071" spans="1:24" x14ac:dyDescent="0.35">
      <c r="A1071" s="1" t="s">
        <v>1808</v>
      </c>
      <c r="B1071" s="2" t="s">
        <v>1809</v>
      </c>
      <c r="C1071" s="3" t="s">
        <v>55</v>
      </c>
      <c r="D1071" s="2" t="s">
        <v>94</v>
      </c>
      <c r="E1071" s="3" t="s">
        <v>812</v>
      </c>
      <c r="F1071" s="2" t="s">
        <v>96</v>
      </c>
      <c r="G1071" s="3" t="s">
        <v>17</v>
      </c>
      <c r="H1071" s="2" t="s">
        <v>18</v>
      </c>
      <c r="I1071" s="3" t="s">
        <v>19</v>
      </c>
      <c r="J1071" s="3">
        <v>850</v>
      </c>
      <c r="K1071" s="3">
        <v>224</v>
      </c>
      <c r="L1071" s="3">
        <v>4</v>
      </c>
      <c r="M1071" s="4">
        <f t="shared" si="141"/>
        <v>0.2635294117647059</v>
      </c>
      <c r="N1071" s="4">
        <f t="shared" si="142"/>
        <v>1.7857142857142856E-2</v>
      </c>
      <c r="O1071">
        <v>1839</v>
      </c>
      <c r="P1071" s="5">
        <v>1</v>
      </c>
      <c r="Q1071" s="7">
        <v>0</v>
      </c>
      <c r="R1071" t="s">
        <v>2344</v>
      </c>
      <c r="S1071" t="str">
        <f t="shared" si="143"/>
        <v>Больше половины</v>
      </c>
      <c r="T1071" t="str">
        <f t="shared" si="144"/>
        <v>Вторая четверть</v>
      </c>
      <c r="U1071" t="str">
        <f t="shared" si="145"/>
        <v>нормальный код</v>
      </c>
      <c r="V1071" t="str">
        <f t="shared" si="146"/>
        <v>Больше половины</v>
      </c>
      <c r="W1071" t="str">
        <f t="shared" si="147"/>
        <v>Больше половины</v>
      </c>
      <c r="X1071">
        <v>7</v>
      </c>
    </row>
    <row r="1072" spans="1:24" x14ac:dyDescent="0.35">
      <c r="A1072" s="1" t="s">
        <v>2681</v>
      </c>
      <c r="B1072" s="2" t="s">
        <v>2682</v>
      </c>
      <c r="C1072" s="3" t="s">
        <v>55</v>
      </c>
      <c r="D1072" s="2" t="s">
        <v>2683</v>
      </c>
      <c r="E1072" s="3" t="s">
        <v>2684</v>
      </c>
      <c r="F1072" s="2" t="s">
        <v>34</v>
      </c>
      <c r="G1072" s="3" t="s">
        <v>17</v>
      </c>
      <c r="H1072" s="2" t="s">
        <v>18</v>
      </c>
      <c r="I1072" s="3" t="s">
        <v>19</v>
      </c>
      <c r="J1072" s="3">
        <v>849</v>
      </c>
      <c r="K1072" s="3">
        <v>32</v>
      </c>
      <c r="L1072" s="3">
        <v>1</v>
      </c>
      <c r="M1072" s="4">
        <f t="shared" si="141"/>
        <v>3.7691401648998819E-2</v>
      </c>
      <c r="N1072" s="4">
        <f t="shared" si="142"/>
        <v>3.125E-2</v>
      </c>
      <c r="O1072">
        <v>448</v>
      </c>
      <c r="P1072" s="5">
        <v>1</v>
      </c>
      <c r="Q1072" s="7">
        <v>0</v>
      </c>
      <c r="R1072" t="s">
        <v>2344</v>
      </c>
      <c r="S1072" t="str">
        <f t="shared" si="143"/>
        <v>Низшая четверть</v>
      </c>
      <c r="T1072" t="str">
        <f t="shared" si="144"/>
        <v>Больше половины</v>
      </c>
      <c r="U1072" t="e">
        <f t="shared" si="145"/>
        <v>#DIV/0!</v>
      </c>
      <c r="V1072" t="e">
        <f t="shared" si="146"/>
        <v>#DIV/0!</v>
      </c>
      <c r="W1072" t="e">
        <f t="shared" si="147"/>
        <v>#DIV/0!</v>
      </c>
      <c r="X1072">
        <v>19</v>
      </c>
    </row>
    <row r="1073" spans="1:24" x14ac:dyDescent="0.35">
      <c r="A1073" s="1" t="s">
        <v>1514</v>
      </c>
      <c r="B1073" s="2" t="s">
        <v>1515</v>
      </c>
      <c r="C1073" s="3" t="s">
        <v>13</v>
      </c>
      <c r="D1073" s="2" t="s">
        <v>155</v>
      </c>
      <c r="E1073" s="3" t="s">
        <v>1516</v>
      </c>
      <c r="F1073" s="2" t="s">
        <v>34</v>
      </c>
      <c r="G1073" s="3" t="s">
        <v>35</v>
      </c>
      <c r="H1073" s="2" t="s">
        <v>18</v>
      </c>
      <c r="I1073" s="3" t="s">
        <v>19</v>
      </c>
      <c r="J1073" s="3">
        <v>845</v>
      </c>
      <c r="K1073" s="3">
        <v>66</v>
      </c>
      <c r="L1073" s="3">
        <v>0</v>
      </c>
      <c r="M1073" s="4">
        <f t="shared" si="141"/>
        <v>7.8106508875739639E-2</v>
      </c>
      <c r="N1073" s="4">
        <f t="shared" si="142"/>
        <v>0</v>
      </c>
      <c r="O1073">
        <v>272</v>
      </c>
      <c r="P1073" s="5">
        <v>1</v>
      </c>
      <c r="Q1073" s="7">
        <v>0</v>
      </c>
      <c r="R1073" t="s">
        <v>2344</v>
      </c>
      <c r="S1073" t="str">
        <f t="shared" si="143"/>
        <v>Вторая четверть</v>
      </c>
      <c r="T1073" t="str">
        <f t="shared" si="144"/>
        <v>Низшая четверть</v>
      </c>
      <c r="U1073" t="e">
        <f t="shared" si="145"/>
        <v>#DIV/0!</v>
      </c>
      <c r="V1073" t="e">
        <f t="shared" si="146"/>
        <v>#DIV/0!</v>
      </c>
      <c r="W1073" t="e">
        <f t="shared" si="147"/>
        <v>#DIV/0!</v>
      </c>
      <c r="X1073">
        <v>16</v>
      </c>
    </row>
    <row r="1074" spans="1:24" x14ac:dyDescent="0.35">
      <c r="A1074" s="1" t="s">
        <v>1792</v>
      </c>
      <c r="B1074" s="2" t="s">
        <v>1793</v>
      </c>
      <c r="C1074" s="3" t="s">
        <v>13</v>
      </c>
      <c r="D1074" s="2" t="s">
        <v>155</v>
      </c>
      <c r="E1074" s="3" t="s">
        <v>156</v>
      </c>
      <c r="F1074" s="2" t="s">
        <v>34</v>
      </c>
      <c r="G1074" s="3" t="s">
        <v>17</v>
      </c>
      <c r="H1074" s="2" t="s">
        <v>18</v>
      </c>
      <c r="I1074" s="3" t="s">
        <v>19</v>
      </c>
      <c r="J1074" s="3">
        <v>842</v>
      </c>
      <c r="K1074" s="3">
        <v>44</v>
      </c>
      <c r="L1074" s="3">
        <v>2</v>
      </c>
      <c r="M1074" s="4">
        <f t="shared" si="141"/>
        <v>5.2256532066508314E-2</v>
      </c>
      <c r="N1074" s="4">
        <f t="shared" si="142"/>
        <v>4.5454545454545456E-2</v>
      </c>
      <c r="O1074">
        <v>360</v>
      </c>
      <c r="P1074" s="5">
        <v>1</v>
      </c>
      <c r="Q1074" s="7">
        <v>0</v>
      </c>
      <c r="R1074" t="s">
        <v>2344</v>
      </c>
      <c r="S1074" t="str">
        <f t="shared" si="143"/>
        <v>Вторая четверть</v>
      </c>
      <c r="T1074" t="str">
        <f t="shared" si="144"/>
        <v>Больше половины</v>
      </c>
      <c r="U1074" t="str">
        <f t="shared" si="145"/>
        <v>нормальный код</v>
      </c>
      <c r="V1074" t="str">
        <f t="shared" si="146"/>
        <v>Вторая четверть</v>
      </c>
      <c r="W1074" t="str">
        <f t="shared" si="147"/>
        <v>Больше половины</v>
      </c>
      <c r="X1074">
        <v>19</v>
      </c>
    </row>
    <row r="1075" spans="1:24" x14ac:dyDescent="0.35">
      <c r="A1075" s="1" t="s">
        <v>2685</v>
      </c>
      <c r="B1075" s="2" t="s">
        <v>2686</v>
      </c>
      <c r="C1075" s="3" t="s">
        <v>55</v>
      </c>
      <c r="D1075" s="2" t="s">
        <v>1049</v>
      </c>
      <c r="E1075" s="3" t="s">
        <v>2678</v>
      </c>
      <c r="F1075" s="2" t="s">
        <v>34</v>
      </c>
      <c r="G1075" s="3" t="s">
        <v>17</v>
      </c>
      <c r="H1075" s="2" t="s">
        <v>18</v>
      </c>
      <c r="I1075" s="3" t="s">
        <v>19</v>
      </c>
      <c r="J1075" s="3">
        <v>838</v>
      </c>
      <c r="K1075" s="3">
        <v>11</v>
      </c>
      <c r="L1075" s="3">
        <v>0</v>
      </c>
      <c r="M1075" s="4">
        <f t="shared" si="141"/>
        <v>1.3126491646778043E-2</v>
      </c>
      <c r="N1075" s="4">
        <f t="shared" si="142"/>
        <v>0</v>
      </c>
      <c r="O1075">
        <v>180</v>
      </c>
      <c r="P1075" s="5">
        <v>1</v>
      </c>
      <c r="Q1075" s="7">
        <v>0</v>
      </c>
      <c r="R1075" t="s">
        <v>2344</v>
      </c>
      <c r="S1075" t="str">
        <f t="shared" si="143"/>
        <v>Низшая четверть</v>
      </c>
      <c r="T1075" t="str">
        <f t="shared" si="144"/>
        <v>Низшая четверть</v>
      </c>
      <c r="U1075" t="e">
        <f t="shared" si="145"/>
        <v>#DIV/0!</v>
      </c>
      <c r="V1075" t="e">
        <f t="shared" si="146"/>
        <v>#DIV/0!</v>
      </c>
      <c r="W1075" t="e">
        <f t="shared" si="147"/>
        <v>#DIV/0!</v>
      </c>
      <c r="X1075">
        <v>19</v>
      </c>
    </row>
    <row r="1076" spans="1:24" x14ac:dyDescent="0.35">
      <c r="A1076" s="1" t="s">
        <v>2687</v>
      </c>
      <c r="B1076" s="2" t="s">
        <v>2688</v>
      </c>
      <c r="C1076" s="3" t="s">
        <v>55</v>
      </c>
      <c r="D1076" s="2" t="s">
        <v>1049</v>
      </c>
      <c r="E1076" s="3" t="s">
        <v>1050</v>
      </c>
      <c r="F1076" s="2" t="s">
        <v>34</v>
      </c>
      <c r="G1076" s="3" t="s">
        <v>17</v>
      </c>
      <c r="H1076" s="2" t="s">
        <v>18</v>
      </c>
      <c r="I1076" s="3" t="s">
        <v>19</v>
      </c>
      <c r="J1076" s="3">
        <v>836</v>
      </c>
      <c r="K1076" s="3">
        <v>3</v>
      </c>
      <c r="L1076" s="3">
        <v>0</v>
      </c>
      <c r="M1076" s="4">
        <f t="shared" si="141"/>
        <v>3.5885167464114833E-3</v>
      </c>
      <c r="N1076" s="4">
        <f t="shared" si="142"/>
        <v>0</v>
      </c>
      <c r="O1076">
        <v>60</v>
      </c>
      <c r="P1076" s="5">
        <v>0.4</v>
      </c>
      <c r="Q1076" s="7">
        <v>0</v>
      </c>
      <c r="R1076" t="s">
        <v>2344</v>
      </c>
      <c r="S1076" t="str">
        <f t="shared" si="143"/>
        <v>Низшая четверть</v>
      </c>
      <c r="T1076" t="str">
        <f t="shared" si="144"/>
        <v>Низшая четверть</v>
      </c>
      <c r="U1076" t="str">
        <f t="shared" si="145"/>
        <v>код для проверки</v>
      </c>
      <c r="V1076" t="str">
        <f t="shared" si="146"/>
        <v>Низшая четверть</v>
      </c>
      <c r="W1076" t="str">
        <f t="shared" si="147"/>
        <v>Низшая четверть</v>
      </c>
      <c r="X1076">
        <v>5</v>
      </c>
    </row>
    <row r="1077" spans="1:24" x14ac:dyDescent="0.35">
      <c r="A1077" s="1" t="s">
        <v>2689</v>
      </c>
      <c r="B1077" s="2" t="s">
        <v>2690</v>
      </c>
      <c r="C1077" s="3" t="s">
        <v>55</v>
      </c>
      <c r="D1077" s="2" t="s">
        <v>1049</v>
      </c>
      <c r="E1077" s="3" t="s">
        <v>2678</v>
      </c>
      <c r="F1077" s="2" t="s">
        <v>34</v>
      </c>
      <c r="G1077" s="3" t="s">
        <v>17</v>
      </c>
      <c r="H1077" s="2" t="s">
        <v>18</v>
      </c>
      <c r="I1077" s="3" t="s">
        <v>19</v>
      </c>
      <c r="J1077" s="3">
        <v>835</v>
      </c>
      <c r="K1077" s="3">
        <v>13</v>
      </c>
      <c r="L1077" s="3">
        <v>0</v>
      </c>
      <c r="M1077" s="4">
        <f t="shared" si="141"/>
        <v>1.5568862275449102E-2</v>
      </c>
      <c r="N1077" s="4">
        <f t="shared" si="142"/>
        <v>0</v>
      </c>
      <c r="O1077">
        <v>329</v>
      </c>
      <c r="P1077" s="5">
        <v>1</v>
      </c>
      <c r="Q1077" s="7">
        <v>0</v>
      </c>
      <c r="R1077" t="s">
        <v>2344</v>
      </c>
      <c r="S1077" t="str">
        <f t="shared" si="143"/>
        <v>Низшая четверть</v>
      </c>
      <c r="T1077" t="str">
        <f t="shared" si="144"/>
        <v>Низшая четверть</v>
      </c>
      <c r="U1077" t="e">
        <f t="shared" si="145"/>
        <v>#DIV/0!</v>
      </c>
      <c r="V1077" t="e">
        <f t="shared" si="146"/>
        <v>#DIV/0!</v>
      </c>
      <c r="W1077" t="e">
        <f t="shared" si="147"/>
        <v>#DIV/0!</v>
      </c>
      <c r="X1077">
        <v>18</v>
      </c>
    </row>
    <row r="1078" spans="1:24" x14ac:dyDescent="0.35">
      <c r="A1078" s="1" t="s">
        <v>2691</v>
      </c>
      <c r="B1078" s="2" t="s">
        <v>2692</v>
      </c>
      <c r="C1078" s="3" t="s">
        <v>55</v>
      </c>
      <c r="D1078" s="2" t="s">
        <v>1049</v>
      </c>
      <c r="E1078" s="3" t="s">
        <v>1050</v>
      </c>
      <c r="F1078" s="2" t="s">
        <v>34</v>
      </c>
      <c r="G1078" s="3" t="s">
        <v>17</v>
      </c>
      <c r="H1078" s="2" t="s">
        <v>18</v>
      </c>
      <c r="I1078" s="3" t="s">
        <v>19</v>
      </c>
      <c r="J1078" s="3">
        <v>829</v>
      </c>
      <c r="K1078" s="3">
        <v>14</v>
      </c>
      <c r="L1078" s="3">
        <v>0</v>
      </c>
      <c r="M1078" s="4">
        <f t="shared" si="141"/>
        <v>1.6887816646562123E-2</v>
      </c>
      <c r="N1078" s="4">
        <f t="shared" si="142"/>
        <v>0</v>
      </c>
      <c r="O1078">
        <v>1767</v>
      </c>
      <c r="P1078" s="5">
        <v>1</v>
      </c>
      <c r="Q1078" s="7">
        <v>0</v>
      </c>
      <c r="R1078" t="s">
        <v>2344</v>
      </c>
      <c r="S1078" t="str">
        <f t="shared" si="143"/>
        <v>Низшая четверть</v>
      </c>
      <c r="T1078" t="str">
        <f t="shared" si="144"/>
        <v>Низшая четверть</v>
      </c>
      <c r="U1078" t="str">
        <f t="shared" si="145"/>
        <v>код для проверки</v>
      </c>
      <c r="V1078" t="str">
        <f t="shared" si="146"/>
        <v>Низшая четверть</v>
      </c>
      <c r="W1078" t="str">
        <f t="shared" si="147"/>
        <v>Низшая четверть</v>
      </c>
      <c r="X1078">
        <v>9</v>
      </c>
    </row>
    <row r="1079" spans="1:24" x14ac:dyDescent="0.35">
      <c r="A1079" s="1" t="s">
        <v>1828</v>
      </c>
      <c r="B1079" s="2" t="s">
        <v>1829</v>
      </c>
      <c r="C1079" s="3" t="s">
        <v>55</v>
      </c>
      <c r="D1079" s="2" t="s">
        <v>94</v>
      </c>
      <c r="E1079" s="3" t="s">
        <v>812</v>
      </c>
      <c r="F1079" s="2" t="s">
        <v>96</v>
      </c>
      <c r="G1079" s="3" t="s">
        <v>17</v>
      </c>
      <c r="H1079" s="2" t="s">
        <v>18</v>
      </c>
      <c r="I1079" s="3" t="s">
        <v>19</v>
      </c>
      <c r="J1079" s="3">
        <v>827</v>
      </c>
      <c r="K1079" s="3">
        <v>184</v>
      </c>
      <c r="L1079" s="3">
        <v>1</v>
      </c>
      <c r="M1079" s="4">
        <f t="shared" si="141"/>
        <v>0.22249093107617895</v>
      </c>
      <c r="N1079" s="4">
        <f t="shared" si="142"/>
        <v>5.434782608695652E-3</v>
      </c>
      <c r="O1079">
        <v>1815</v>
      </c>
      <c r="P1079" s="5">
        <v>1</v>
      </c>
      <c r="Q1079" s="7">
        <v>0</v>
      </c>
      <c r="R1079" t="s">
        <v>2344</v>
      </c>
      <c r="S1079" t="str">
        <f t="shared" si="143"/>
        <v>Больше половины</v>
      </c>
      <c r="T1079" t="str">
        <f t="shared" si="144"/>
        <v>Низшая четверть</v>
      </c>
      <c r="U1079" t="str">
        <f t="shared" si="145"/>
        <v>код для проверки</v>
      </c>
      <c r="V1079" t="str">
        <f t="shared" si="146"/>
        <v>Больше половины</v>
      </c>
      <c r="W1079" t="str">
        <f t="shared" si="147"/>
        <v>Низшая четверть</v>
      </c>
      <c r="X1079">
        <v>5</v>
      </c>
    </row>
    <row r="1080" spans="1:24" x14ac:dyDescent="0.35">
      <c r="A1080" s="1" t="s">
        <v>1694</v>
      </c>
      <c r="B1080" s="2" t="s">
        <v>1695</v>
      </c>
      <c r="C1080" s="3" t="s">
        <v>55</v>
      </c>
      <c r="D1080" s="2" t="s">
        <v>56</v>
      </c>
      <c r="E1080" s="3" t="s">
        <v>472</v>
      </c>
      <c r="F1080" s="2" t="s">
        <v>34</v>
      </c>
      <c r="G1080" s="3" t="s">
        <v>17</v>
      </c>
      <c r="H1080" s="2" t="s">
        <v>18</v>
      </c>
      <c r="I1080" s="3" t="s">
        <v>19</v>
      </c>
      <c r="J1080" s="3">
        <v>827</v>
      </c>
      <c r="K1080" s="3">
        <v>151</v>
      </c>
      <c r="L1080" s="3">
        <v>0</v>
      </c>
      <c r="M1080" s="4">
        <f t="shared" si="141"/>
        <v>0.1825876662636034</v>
      </c>
      <c r="N1080" s="4">
        <f t="shared" si="142"/>
        <v>0</v>
      </c>
      <c r="O1080">
        <v>259</v>
      </c>
      <c r="P1080" s="5">
        <v>1</v>
      </c>
      <c r="Q1080" s="7">
        <v>0</v>
      </c>
      <c r="R1080" t="s">
        <v>2344</v>
      </c>
      <c r="S1080" t="str">
        <f t="shared" si="143"/>
        <v>Больше половины</v>
      </c>
      <c r="T1080" t="str">
        <f t="shared" si="144"/>
        <v>Низшая четверть</v>
      </c>
      <c r="U1080" t="str">
        <f t="shared" si="145"/>
        <v>код для проверки</v>
      </c>
      <c r="V1080" t="str">
        <f t="shared" si="146"/>
        <v>Больше половины</v>
      </c>
      <c r="W1080" t="str">
        <f t="shared" si="147"/>
        <v>Низшая четверть</v>
      </c>
      <c r="X1080">
        <v>18</v>
      </c>
    </row>
    <row r="1081" spans="1:24" x14ac:dyDescent="0.35">
      <c r="A1081" s="1" t="s">
        <v>2693</v>
      </c>
      <c r="B1081" s="2" t="s">
        <v>2694</v>
      </c>
      <c r="C1081" s="3" t="s">
        <v>55</v>
      </c>
      <c r="D1081" s="2" t="s">
        <v>1049</v>
      </c>
      <c r="E1081" s="3" t="s">
        <v>2678</v>
      </c>
      <c r="F1081" s="2" t="s">
        <v>34</v>
      </c>
      <c r="G1081" s="3" t="s">
        <v>17</v>
      </c>
      <c r="H1081" s="2" t="s">
        <v>18</v>
      </c>
      <c r="I1081" s="3" t="s">
        <v>19</v>
      </c>
      <c r="J1081" s="3">
        <v>826</v>
      </c>
      <c r="K1081" s="3">
        <v>8</v>
      </c>
      <c r="L1081" s="3">
        <v>0</v>
      </c>
      <c r="M1081" s="4">
        <f t="shared" si="141"/>
        <v>9.6852300242130755E-3</v>
      </c>
      <c r="N1081" s="4">
        <f t="shared" si="142"/>
        <v>0</v>
      </c>
      <c r="O1081">
        <v>450</v>
      </c>
      <c r="P1081" s="5">
        <v>1</v>
      </c>
      <c r="Q1081" s="7">
        <v>0</v>
      </c>
      <c r="R1081" t="s">
        <v>2344</v>
      </c>
      <c r="S1081" t="str">
        <f t="shared" si="143"/>
        <v>Низшая четверть</v>
      </c>
      <c r="T1081" t="str">
        <f t="shared" si="144"/>
        <v>Низшая четверть</v>
      </c>
      <c r="U1081" t="e">
        <f t="shared" si="145"/>
        <v>#DIV/0!</v>
      </c>
      <c r="V1081" t="e">
        <f t="shared" si="146"/>
        <v>#DIV/0!</v>
      </c>
      <c r="W1081" t="e">
        <f t="shared" si="147"/>
        <v>#DIV/0!</v>
      </c>
      <c r="X1081">
        <v>19</v>
      </c>
    </row>
    <row r="1082" spans="1:24" x14ac:dyDescent="0.35">
      <c r="A1082" s="1" t="s">
        <v>2695</v>
      </c>
      <c r="B1082" s="2" t="s">
        <v>2696</v>
      </c>
      <c r="C1082" s="3" t="s">
        <v>55</v>
      </c>
      <c r="D1082" s="2" t="s">
        <v>1221</v>
      </c>
      <c r="E1082" s="3" t="s">
        <v>1450</v>
      </c>
      <c r="F1082" s="2" t="s">
        <v>61</v>
      </c>
      <c r="G1082" s="3" t="s">
        <v>17</v>
      </c>
      <c r="H1082" s="2" t="s">
        <v>18</v>
      </c>
      <c r="I1082" s="3" t="s">
        <v>19</v>
      </c>
      <c r="J1082" s="3">
        <v>824</v>
      </c>
      <c r="K1082" s="3">
        <v>41</v>
      </c>
      <c r="L1082" s="3">
        <v>0</v>
      </c>
      <c r="M1082" s="4">
        <f t="shared" si="141"/>
        <v>4.9757281553398057E-2</v>
      </c>
      <c r="N1082" s="4">
        <f t="shared" si="142"/>
        <v>0</v>
      </c>
      <c r="O1082">
        <v>531</v>
      </c>
      <c r="P1082" s="5">
        <v>0.7142857142857143</v>
      </c>
      <c r="Q1082" s="7">
        <v>0</v>
      </c>
      <c r="R1082" t="s">
        <v>2344</v>
      </c>
      <c r="S1082" t="str">
        <f t="shared" si="143"/>
        <v>Вторая четверть</v>
      </c>
      <c r="T1082" t="str">
        <f t="shared" si="144"/>
        <v>Низшая четверть</v>
      </c>
      <c r="U1082" t="str">
        <f t="shared" si="145"/>
        <v>код для проверки</v>
      </c>
      <c r="V1082" t="str">
        <f t="shared" si="146"/>
        <v>Больше половины</v>
      </c>
      <c r="W1082" t="str">
        <f t="shared" si="147"/>
        <v>Низшая четверть</v>
      </c>
      <c r="X1082">
        <v>28</v>
      </c>
    </row>
    <row r="1083" spans="1:24" x14ac:dyDescent="0.35">
      <c r="A1083" s="1" t="s">
        <v>2199</v>
      </c>
      <c r="B1083" s="2" t="s">
        <v>2200</v>
      </c>
      <c r="C1083" s="3" t="s">
        <v>55</v>
      </c>
      <c r="D1083" s="2" t="s">
        <v>1049</v>
      </c>
      <c r="E1083" s="3" t="s">
        <v>1050</v>
      </c>
      <c r="F1083" s="2" t="s">
        <v>34</v>
      </c>
      <c r="G1083" s="3" t="s">
        <v>17</v>
      </c>
      <c r="H1083" s="2" t="s">
        <v>18</v>
      </c>
      <c r="I1083" s="3" t="s">
        <v>19</v>
      </c>
      <c r="J1083" s="3">
        <v>823</v>
      </c>
      <c r="K1083" s="3">
        <v>1104</v>
      </c>
      <c r="L1083" s="3">
        <v>6</v>
      </c>
      <c r="M1083" s="4">
        <f t="shared" si="141"/>
        <v>1.3414337788578372</v>
      </c>
      <c r="N1083" s="4">
        <f t="shared" si="142"/>
        <v>5.434782608695652E-3</v>
      </c>
      <c r="O1083">
        <v>324</v>
      </c>
      <c r="P1083" s="5">
        <v>1</v>
      </c>
      <c r="Q1083" s="7">
        <v>0</v>
      </c>
      <c r="R1083" t="s">
        <v>2344</v>
      </c>
      <c r="S1083" t="str">
        <f t="shared" si="143"/>
        <v>Больше половины</v>
      </c>
      <c r="T1083" t="str">
        <f t="shared" si="144"/>
        <v>Низшая четверть</v>
      </c>
      <c r="U1083" t="str">
        <f t="shared" si="145"/>
        <v>код для проверки</v>
      </c>
      <c r="V1083" t="str">
        <f t="shared" si="146"/>
        <v>Больше половины</v>
      </c>
      <c r="W1083" t="str">
        <f t="shared" si="147"/>
        <v>Низшая четверть</v>
      </c>
      <c r="X1083">
        <v>20</v>
      </c>
    </row>
    <row r="1084" spans="1:24" x14ac:dyDescent="0.35">
      <c r="A1084" s="1" t="s">
        <v>2697</v>
      </c>
      <c r="B1084" s="2" t="s">
        <v>2698</v>
      </c>
      <c r="C1084" s="3" t="s">
        <v>13</v>
      </c>
      <c r="D1084" s="2" t="s">
        <v>77</v>
      </c>
      <c r="E1084" s="3" t="s">
        <v>1592</v>
      </c>
      <c r="F1084" s="2" t="s">
        <v>96</v>
      </c>
      <c r="G1084" s="3" t="s">
        <v>17</v>
      </c>
      <c r="H1084" s="2" t="s">
        <v>18</v>
      </c>
      <c r="I1084" s="3" t="s">
        <v>19</v>
      </c>
      <c r="J1084" s="3">
        <v>823</v>
      </c>
      <c r="K1084" s="3">
        <v>36</v>
      </c>
      <c r="L1084" s="3">
        <v>1</v>
      </c>
      <c r="M1084" s="4">
        <f t="shared" si="141"/>
        <v>4.374240583232078E-2</v>
      </c>
      <c r="N1084" s="4">
        <f t="shared" si="142"/>
        <v>2.7777777777777776E-2</v>
      </c>
      <c r="O1084">
        <v>499</v>
      </c>
      <c r="P1084" s="5">
        <v>1</v>
      </c>
      <c r="Q1084" s="7">
        <v>0</v>
      </c>
      <c r="R1084" t="s">
        <v>2344</v>
      </c>
      <c r="S1084" t="str">
        <f t="shared" si="143"/>
        <v>Низшая четверть</v>
      </c>
      <c r="T1084" t="str">
        <f t="shared" si="144"/>
        <v>Больше половины</v>
      </c>
      <c r="U1084" t="str">
        <f t="shared" si="145"/>
        <v>код для проверки</v>
      </c>
      <c r="V1084" t="str">
        <f t="shared" si="146"/>
        <v>Низшая четверть</v>
      </c>
      <c r="W1084" t="str">
        <f t="shared" si="147"/>
        <v>Больше половины</v>
      </c>
      <c r="X1084">
        <v>20</v>
      </c>
    </row>
    <row r="1085" spans="1:24" x14ac:dyDescent="0.35">
      <c r="A1085" s="1" t="s">
        <v>2699</v>
      </c>
      <c r="B1085" s="2" t="s">
        <v>2700</v>
      </c>
      <c r="C1085" s="3" t="s">
        <v>13</v>
      </c>
      <c r="D1085" s="2" t="s">
        <v>85</v>
      </c>
      <c r="E1085" s="3" t="s">
        <v>1937</v>
      </c>
      <c r="F1085" s="2" t="s">
        <v>96</v>
      </c>
      <c r="G1085" s="3" t="s">
        <v>17</v>
      </c>
      <c r="H1085" s="2" t="s">
        <v>18</v>
      </c>
      <c r="I1085" s="3" t="s">
        <v>19</v>
      </c>
      <c r="J1085" s="3">
        <v>822</v>
      </c>
      <c r="K1085" s="3">
        <v>18</v>
      </c>
      <c r="L1085" s="3">
        <v>0</v>
      </c>
      <c r="M1085" s="4">
        <f t="shared" si="141"/>
        <v>2.1897810218978103E-2</v>
      </c>
      <c r="N1085" s="4">
        <f t="shared" si="142"/>
        <v>0</v>
      </c>
      <c r="O1085">
        <v>679</v>
      </c>
      <c r="P1085" s="5">
        <v>1</v>
      </c>
      <c r="Q1085" s="7">
        <v>0</v>
      </c>
      <c r="R1085" t="s">
        <v>2344</v>
      </c>
      <c r="S1085" t="str">
        <f t="shared" si="143"/>
        <v>Низшая четверть</v>
      </c>
      <c r="T1085" t="str">
        <f t="shared" si="144"/>
        <v>Низшая четверть</v>
      </c>
      <c r="U1085" t="str">
        <f t="shared" si="145"/>
        <v>код для проверки</v>
      </c>
      <c r="V1085" t="str">
        <f t="shared" si="146"/>
        <v>Низшая четверть</v>
      </c>
      <c r="W1085" t="str">
        <f t="shared" si="147"/>
        <v>Низшая четверть</v>
      </c>
      <c r="X1085">
        <v>17</v>
      </c>
    </row>
    <row r="1086" spans="1:24" x14ac:dyDescent="0.35">
      <c r="A1086" s="1" t="s">
        <v>2701</v>
      </c>
      <c r="B1086" s="2" t="s">
        <v>2702</v>
      </c>
      <c r="C1086" s="3" t="s">
        <v>55</v>
      </c>
      <c r="D1086" s="2" t="s">
        <v>2683</v>
      </c>
      <c r="E1086" s="3" t="s">
        <v>2684</v>
      </c>
      <c r="F1086" s="2" t="s">
        <v>34</v>
      </c>
      <c r="G1086" s="3" t="s">
        <v>17</v>
      </c>
      <c r="H1086" s="2" t="s">
        <v>18</v>
      </c>
      <c r="I1086" s="3" t="s">
        <v>19</v>
      </c>
      <c r="J1086" s="3">
        <v>818</v>
      </c>
      <c r="K1086" s="3">
        <v>26</v>
      </c>
      <c r="L1086" s="3">
        <v>1</v>
      </c>
      <c r="M1086" s="4">
        <f t="shared" si="141"/>
        <v>3.1784841075794622E-2</v>
      </c>
      <c r="N1086" s="4">
        <f t="shared" si="142"/>
        <v>3.8461538461538464E-2</v>
      </c>
      <c r="O1086">
        <v>239</v>
      </c>
      <c r="P1086" s="5">
        <v>1</v>
      </c>
      <c r="Q1086" s="7">
        <v>0</v>
      </c>
      <c r="R1086" t="s">
        <v>2344</v>
      </c>
      <c r="S1086" t="str">
        <f t="shared" si="143"/>
        <v>Низшая четверть</v>
      </c>
      <c r="T1086" t="str">
        <f t="shared" si="144"/>
        <v>Больше половины</v>
      </c>
      <c r="U1086" t="e">
        <f t="shared" si="145"/>
        <v>#DIV/0!</v>
      </c>
      <c r="V1086" t="e">
        <f t="shared" si="146"/>
        <v>#DIV/0!</v>
      </c>
      <c r="W1086" t="e">
        <f t="shared" si="147"/>
        <v>#DIV/0!</v>
      </c>
      <c r="X1086">
        <v>21</v>
      </c>
    </row>
    <row r="1087" spans="1:24" x14ac:dyDescent="0.35">
      <c r="A1087" s="1" t="s">
        <v>2703</v>
      </c>
      <c r="B1087" s="2" t="s">
        <v>2704</v>
      </c>
      <c r="C1087" s="3" t="s">
        <v>13</v>
      </c>
      <c r="D1087" s="2" t="s">
        <v>77</v>
      </c>
      <c r="E1087" s="3" t="s">
        <v>89</v>
      </c>
      <c r="F1087" s="2" t="s">
        <v>34</v>
      </c>
      <c r="G1087" s="3" t="s">
        <v>35</v>
      </c>
      <c r="H1087" s="2" t="s">
        <v>18</v>
      </c>
      <c r="I1087" s="3" t="s">
        <v>19</v>
      </c>
      <c r="J1087" s="3">
        <v>811</v>
      </c>
      <c r="K1087" s="3">
        <v>12</v>
      </c>
      <c r="L1087" s="3">
        <v>0</v>
      </c>
      <c r="M1087" s="4">
        <f t="shared" si="141"/>
        <v>1.4796547472256474E-2</v>
      </c>
      <c r="N1087" s="4">
        <f t="shared" si="142"/>
        <v>0</v>
      </c>
      <c r="O1087">
        <v>140</v>
      </c>
      <c r="P1087" s="5">
        <v>1</v>
      </c>
      <c r="Q1087" s="7">
        <v>0</v>
      </c>
      <c r="R1087" t="s">
        <v>2344</v>
      </c>
      <c r="S1087" t="str">
        <f t="shared" si="143"/>
        <v>Низшая четверть</v>
      </c>
      <c r="T1087" t="str">
        <f t="shared" si="144"/>
        <v>Низшая четверть</v>
      </c>
      <c r="U1087" t="str">
        <f t="shared" si="145"/>
        <v>код для проверки</v>
      </c>
      <c r="V1087" t="str">
        <f t="shared" si="146"/>
        <v>Низшая четверть</v>
      </c>
      <c r="W1087" t="str">
        <f t="shared" si="147"/>
        <v>Низшая четверть</v>
      </c>
      <c r="X1087">
        <v>12</v>
      </c>
    </row>
    <row r="1088" spans="1:24" x14ac:dyDescent="0.35">
      <c r="A1088" s="1" t="s">
        <v>1915</v>
      </c>
      <c r="B1088" s="2" t="s">
        <v>1916</v>
      </c>
      <c r="C1088" s="3" t="s">
        <v>55</v>
      </c>
      <c r="D1088" s="2" t="s">
        <v>1049</v>
      </c>
      <c r="E1088" s="3" t="s">
        <v>1050</v>
      </c>
      <c r="F1088" s="2" t="s">
        <v>34</v>
      </c>
      <c r="G1088" s="3" t="s">
        <v>17</v>
      </c>
      <c r="H1088" s="2" t="s">
        <v>18</v>
      </c>
      <c r="I1088" s="3" t="s">
        <v>19</v>
      </c>
      <c r="J1088" s="3">
        <v>809</v>
      </c>
      <c r="K1088" s="3">
        <v>1177</v>
      </c>
      <c r="L1088" s="3">
        <v>5</v>
      </c>
      <c r="M1088" s="4">
        <f t="shared" si="141"/>
        <v>1.4548825710754016</v>
      </c>
      <c r="N1088" s="4">
        <f t="shared" si="142"/>
        <v>4.248088360237893E-3</v>
      </c>
      <c r="O1088">
        <v>473</v>
      </c>
      <c r="P1088" s="5">
        <v>1</v>
      </c>
      <c r="Q1088" s="7">
        <v>0</v>
      </c>
      <c r="R1088" t="s">
        <v>2344</v>
      </c>
      <c r="S1088" t="str">
        <f t="shared" si="143"/>
        <v>Больше половины</v>
      </c>
      <c r="T1088" t="str">
        <f t="shared" si="144"/>
        <v>Низшая четверть</v>
      </c>
      <c r="U1088" t="str">
        <f t="shared" si="145"/>
        <v>код для проверки</v>
      </c>
      <c r="V1088" t="str">
        <f t="shared" si="146"/>
        <v>Больше половины</v>
      </c>
      <c r="W1088" t="str">
        <f t="shared" si="147"/>
        <v>Низшая четверть</v>
      </c>
      <c r="X1088">
        <v>23</v>
      </c>
    </row>
    <row r="1089" spans="1:24" x14ac:dyDescent="0.35">
      <c r="A1089" s="1" t="s">
        <v>2705</v>
      </c>
      <c r="B1089" s="2" t="s">
        <v>2706</v>
      </c>
      <c r="C1089" s="3" t="s">
        <v>55</v>
      </c>
      <c r="D1089" s="2" t="s">
        <v>1049</v>
      </c>
      <c r="E1089" s="3" t="s">
        <v>1050</v>
      </c>
      <c r="F1089" s="2" t="s">
        <v>34</v>
      </c>
      <c r="G1089" s="3" t="s">
        <v>17</v>
      </c>
      <c r="H1089" s="2" t="s">
        <v>18</v>
      </c>
      <c r="I1089" s="3" t="s">
        <v>19</v>
      </c>
      <c r="J1089" s="3">
        <v>806</v>
      </c>
      <c r="K1089" s="3">
        <v>4</v>
      </c>
      <c r="L1089" s="3">
        <v>0</v>
      </c>
      <c r="M1089" s="4">
        <f t="shared" si="141"/>
        <v>4.9627791563275434E-3</v>
      </c>
      <c r="N1089" s="4">
        <f t="shared" si="142"/>
        <v>0</v>
      </c>
      <c r="O1089">
        <v>161</v>
      </c>
      <c r="P1089" s="5">
        <v>1</v>
      </c>
      <c r="Q1089" s="7">
        <v>0</v>
      </c>
      <c r="R1089" t="s">
        <v>2344</v>
      </c>
      <c r="S1089" t="str">
        <f t="shared" si="143"/>
        <v>Низшая четверть</v>
      </c>
      <c r="T1089" t="str">
        <f t="shared" si="144"/>
        <v>Низшая четверть</v>
      </c>
      <c r="U1089" t="str">
        <f t="shared" si="145"/>
        <v>код для проверки</v>
      </c>
      <c r="V1089" t="str">
        <f t="shared" si="146"/>
        <v>Низшая четверть</v>
      </c>
      <c r="W1089" t="str">
        <f t="shared" si="147"/>
        <v>Низшая четверть</v>
      </c>
      <c r="X1089">
        <v>16</v>
      </c>
    </row>
    <row r="1090" spans="1:24" x14ac:dyDescent="0.35">
      <c r="A1090" s="1" t="s">
        <v>2707</v>
      </c>
      <c r="B1090" s="2" t="s">
        <v>2708</v>
      </c>
      <c r="C1090" s="3" t="s">
        <v>13</v>
      </c>
      <c r="D1090" s="2" t="s">
        <v>155</v>
      </c>
      <c r="E1090" s="3" t="s">
        <v>2605</v>
      </c>
      <c r="F1090" s="2" t="s">
        <v>61</v>
      </c>
      <c r="G1090" s="3" t="s">
        <v>35</v>
      </c>
      <c r="H1090" s="2" t="s">
        <v>18</v>
      </c>
      <c r="I1090" s="3" t="s">
        <v>19</v>
      </c>
      <c r="J1090" s="3">
        <v>805</v>
      </c>
      <c r="K1090" s="3">
        <v>24</v>
      </c>
      <c r="L1090" s="3">
        <v>0</v>
      </c>
      <c r="M1090" s="4">
        <f t="shared" si="141"/>
        <v>2.9813664596273291E-2</v>
      </c>
      <c r="N1090" s="4">
        <f t="shared" si="142"/>
        <v>0</v>
      </c>
      <c r="O1090">
        <v>380</v>
      </c>
      <c r="P1090" s="5">
        <v>1</v>
      </c>
      <c r="Q1090" s="7">
        <v>0</v>
      </c>
      <c r="R1090" t="s">
        <v>2344</v>
      </c>
      <c r="S1090" t="str">
        <f t="shared" si="143"/>
        <v>Низшая четверть</v>
      </c>
      <c r="T1090" t="str">
        <f t="shared" si="144"/>
        <v>Низшая четверть</v>
      </c>
      <c r="U1090" t="e">
        <f t="shared" si="145"/>
        <v>#DIV/0!</v>
      </c>
      <c r="V1090" t="e">
        <f t="shared" si="146"/>
        <v>#DIV/0!</v>
      </c>
      <c r="W1090" t="e">
        <f t="shared" si="147"/>
        <v>#DIV/0!</v>
      </c>
      <c r="X1090">
        <v>20</v>
      </c>
    </row>
    <row r="1091" spans="1:24" x14ac:dyDescent="0.35">
      <c r="A1091" s="1" t="s">
        <v>1752</v>
      </c>
      <c r="B1091" s="2" t="s">
        <v>1753</v>
      </c>
      <c r="C1091" s="3" t="s">
        <v>13</v>
      </c>
      <c r="D1091" s="2" t="s">
        <v>155</v>
      </c>
      <c r="E1091" s="3" t="s">
        <v>156</v>
      </c>
      <c r="F1091" s="2" t="s">
        <v>34</v>
      </c>
      <c r="G1091" s="3" t="s">
        <v>17</v>
      </c>
      <c r="H1091" s="2" t="s">
        <v>18</v>
      </c>
      <c r="I1091" s="3" t="s">
        <v>19</v>
      </c>
      <c r="J1091" s="3">
        <v>802</v>
      </c>
      <c r="K1091" s="3">
        <v>28</v>
      </c>
      <c r="L1091" s="3">
        <v>2</v>
      </c>
      <c r="M1091" s="4">
        <f t="shared" si="141"/>
        <v>3.4912718204488775E-2</v>
      </c>
      <c r="N1091" s="4">
        <f t="shared" si="142"/>
        <v>7.1428571428571425E-2</v>
      </c>
      <c r="O1091">
        <v>458</v>
      </c>
      <c r="P1091" s="5">
        <v>1</v>
      </c>
      <c r="Q1091" s="7">
        <v>0</v>
      </c>
      <c r="R1091" t="s">
        <v>2344</v>
      </c>
      <c r="S1091" t="str">
        <f t="shared" si="143"/>
        <v>Низшая четверть</v>
      </c>
      <c r="T1091" t="str">
        <f t="shared" si="144"/>
        <v>Больше половины</v>
      </c>
      <c r="U1091" t="str">
        <f t="shared" si="145"/>
        <v>код для проверки</v>
      </c>
      <c r="V1091" t="str">
        <f t="shared" si="146"/>
        <v>Низшая четверть</v>
      </c>
      <c r="W1091" t="str">
        <f t="shared" si="147"/>
        <v>Больше половины</v>
      </c>
      <c r="X1091">
        <v>9</v>
      </c>
    </row>
    <row r="1092" spans="1:24" x14ac:dyDescent="0.35">
      <c r="A1092" s="1" t="s">
        <v>2709</v>
      </c>
      <c r="B1092" s="2" t="s">
        <v>2710</v>
      </c>
      <c r="C1092" s="3" t="s">
        <v>55</v>
      </c>
      <c r="D1092" s="2" t="s">
        <v>2683</v>
      </c>
      <c r="E1092" s="3" t="s">
        <v>2684</v>
      </c>
      <c r="F1092" s="2" t="s">
        <v>34</v>
      </c>
      <c r="G1092" s="3" t="s">
        <v>17</v>
      </c>
      <c r="H1092" s="2" t="s">
        <v>18</v>
      </c>
      <c r="I1092" s="3" t="s">
        <v>19</v>
      </c>
      <c r="J1092" s="3">
        <v>798</v>
      </c>
      <c r="K1092" s="3">
        <v>29</v>
      </c>
      <c r="L1092" s="3">
        <v>1</v>
      </c>
      <c r="M1092" s="4">
        <f t="shared" ref="M1092:M1155" si="148">IFERROR(K1092/J1092,0)</f>
        <v>3.6340852130325813E-2</v>
      </c>
      <c r="N1092" s="4">
        <f t="shared" ref="N1092:N1155" si="149">IFERROR(L1092/K1092,0)</f>
        <v>3.4482758620689655E-2</v>
      </c>
      <c r="O1092">
        <v>408</v>
      </c>
      <c r="P1092" s="5">
        <v>1</v>
      </c>
      <c r="Q1092" s="7">
        <v>0</v>
      </c>
      <c r="R1092" t="s">
        <v>2344</v>
      </c>
      <c r="S1092" t="str">
        <f t="shared" ref="S1092:S1155" si="150">IF(M1092&lt;$S$1*0.5,"Низшая четверть",IF(M1092&lt;$S$1,"Вторая четверть","Больше половины"))</f>
        <v>Низшая четверть</v>
      </c>
      <c r="T1092" t="str">
        <f t="shared" ref="T1092:T1155" si="151">IF(N1092&lt;$T$1*0.5,"Низшая четверть",IF(N1092&lt;$T$1,"Вторая четверть","Больше половины"))</f>
        <v>Больше половины</v>
      </c>
      <c r="U1092" t="e">
        <f t="shared" ref="U1092:U1155" si="152">IF(OR(M1092&lt;SUMIFS(K:K,Q:Q,1,E:E,E1092)/SUMIFS(J:J,Q:Q,1,E:E,E1092)*0.5,N1092&lt;SUMIFS(L:L,Q:Q,1,E:E,E1092)/SUMIFS(K:K,Q:Q,1,E:E,E1092)*0.5),"код для проверки","нормальный код")</f>
        <v>#DIV/0!</v>
      </c>
      <c r="V1092" t="e">
        <f t="shared" ref="V1092:V1155" si="153">IF(M1092&lt;SUMIFS(K:K,Q:Q,1,E:E,E1092)/SUMIFS(J:J,Q:Q,1,E:E,E1092)*0.5,"Низшая четверть",IF(M1092&lt;SUMIFS(K:K,Q:Q,1,E:E,E1092)/SUMIFS(J:J,Q:Q,1,E:E,E1092),"Вторая четверть","Больше половины"))</f>
        <v>#DIV/0!</v>
      </c>
      <c r="W1092" t="e">
        <f t="shared" ref="W1092:W1155" si="154">IF(N1092&lt;SUMIFS(L:L,Q:Q,1,E:E,E1092)/SUMIFS(K:K,Q:Q,1,E:E,E1092)*0.5,"Низшая четверть",IF(N1092&lt;SUMIFS(L:L,Q:Q,1,E:E,E1092)/SUMIFS(K:K,Q:Q,1,E:E,E1092),"Вторая четверть","Больше половины"))</f>
        <v>#DIV/0!</v>
      </c>
      <c r="X1092">
        <v>20</v>
      </c>
    </row>
    <row r="1093" spans="1:24" x14ac:dyDescent="0.35">
      <c r="A1093" s="1" t="s">
        <v>2711</v>
      </c>
      <c r="B1093" s="2" t="s">
        <v>2712</v>
      </c>
      <c r="C1093" s="3" t="s">
        <v>13</v>
      </c>
      <c r="D1093" s="2" t="s">
        <v>85</v>
      </c>
      <c r="E1093" s="3" t="s">
        <v>1937</v>
      </c>
      <c r="F1093" s="2" t="s">
        <v>96</v>
      </c>
      <c r="G1093" s="3" t="s">
        <v>35</v>
      </c>
      <c r="H1093" s="2" t="s">
        <v>18</v>
      </c>
      <c r="I1093" s="3" t="s">
        <v>19</v>
      </c>
      <c r="J1093" s="3">
        <v>797</v>
      </c>
      <c r="K1093" s="3">
        <v>24</v>
      </c>
      <c r="L1093" s="3">
        <v>1</v>
      </c>
      <c r="M1093" s="4">
        <f t="shared" si="148"/>
        <v>3.0112923462986198E-2</v>
      </c>
      <c r="N1093" s="4">
        <f t="shared" si="149"/>
        <v>4.1666666666666664E-2</v>
      </c>
      <c r="O1093">
        <v>389</v>
      </c>
      <c r="P1093" s="5">
        <v>1</v>
      </c>
      <c r="Q1093" s="7">
        <v>0</v>
      </c>
      <c r="R1093" t="s">
        <v>2344</v>
      </c>
      <c r="S1093" t="str">
        <f t="shared" si="150"/>
        <v>Низшая четверть</v>
      </c>
      <c r="T1093" t="str">
        <f t="shared" si="151"/>
        <v>Больше половины</v>
      </c>
      <c r="U1093" t="str">
        <f t="shared" si="152"/>
        <v>код для проверки</v>
      </c>
      <c r="V1093" t="str">
        <f t="shared" si="153"/>
        <v>Низшая четверть</v>
      </c>
      <c r="W1093" t="str">
        <f t="shared" si="154"/>
        <v>Больше половины</v>
      </c>
      <c r="X1093">
        <v>8</v>
      </c>
    </row>
    <row r="1094" spans="1:24" x14ac:dyDescent="0.35">
      <c r="A1094" s="1" t="s">
        <v>2713</v>
      </c>
      <c r="B1094" s="2" t="s">
        <v>2714</v>
      </c>
      <c r="C1094" s="3" t="s">
        <v>13</v>
      </c>
      <c r="D1094" s="2" t="s">
        <v>567</v>
      </c>
      <c r="E1094" s="3" t="s">
        <v>842</v>
      </c>
      <c r="F1094" s="2" t="s">
        <v>61</v>
      </c>
      <c r="G1094" s="3" t="s">
        <v>17</v>
      </c>
      <c r="H1094" s="2" t="s">
        <v>18</v>
      </c>
      <c r="I1094" s="3" t="s">
        <v>19</v>
      </c>
      <c r="J1094" s="3">
        <v>793</v>
      </c>
      <c r="K1094" s="3">
        <v>24</v>
      </c>
      <c r="L1094" s="3">
        <v>0</v>
      </c>
      <c r="M1094" s="4">
        <f t="shared" si="148"/>
        <v>3.0264817150063052E-2</v>
      </c>
      <c r="N1094" s="4">
        <f t="shared" si="149"/>
        <v>0</v>
      </c>
      <c r="O1094">
        <v>301</v>
      </c>
      <c r="P1094" s="5">
        <v>1</v>
      </c>
      <c r="Q1094" s="7">
        <v>0</v>
      </c>
      <c r="R1094" t="s">
        <v>2344</v>
      </c>
      <c r="S1094" t="str">
        <f t="shared" si="150"/>
        <v>Низшая четверть</v>
      </c>
      <c r="T1094" t="str">
        <f t="shared" si="151"/>
        <v>Низшая четверть</v>
      </c>
      <c r="U1094" t="str">
        <f t="shared" si="152"/>
        <v>код для проверки</v>
      </c>
      <c r="V1094" t="str">
        <f t="shared" si="153"/>
        <v>Низшая четверть</v>
      </c>
      <c r="W1094" t="str">
        <f t="shared" si="154"/>
        <v>Низшая четверть</v>
      </c>
      <c r="X1094">
        <v>12</v>
      </c>
    </row>
    <row r="1095" spans="1:24" x14ac:dyDescent="0.35">
      <c r="A1095" s="1" t="s">
        <v>2715</v>
      </c>
      <c r="B1095" s="2" t="s">
        <v>2716</v>
      </c>
      <c r="C1095" s="3" t="s">
        <v>55</v>
      </c>
      <c r="D1095" s="2" t="s">
        <v>1049</v>
      </c>
      <c r="E1095" s="3" t="s">
        <v>1050</v>
      </c>
      <c r="F1095" s="2" t="s">
        <v>34</v>
      </c>
      <c r="G1095" s="3" t="s">
        <v>17</v>
      </c>
      <c r="H1095" s="2" t="s">
        <v>18</v>
      </c>
      <c r="I1095" s="3" t="s">
        <v>19</v>
      </c>
      <c r="J1095" s="3">
        <v>792</v>
      </c>
      <c r="K1095" s="3">
        <v>2</v>
      </c>
      <c r="L1095" s="3">
        <v>0</v>
      </c>
      <c r="M1095" s="4">
        <f t="shared" si="148"/>
        <v>2.5252525252525255E-3</v>
      </c>
      <c r="N1095" s="4">
        <f t="shared" si="149"/>
        <v>0</v>
      </c>
      <c r="O1095">
        <v>180</v>
      </c>
      <c r="P1095" s="5">
        <v>1</v>
      </c>
      <c r="Q1095" s="7">
        <v>0</v>
      </c>
      <c r="R1095" t="s">
        <v>2344</v>
      </c>
      <c r="S1095" t="str">
        <f t="shared" si="150"/>
        <v>Низшая четверть</v>
      </c>
      <c r="T1095" t="str">
        <f t="shared" si="151"/>
        <v>Низшая четверть</v>
      </c>
      <c r="U1095" t="str">
        <f t="shared" si="152"/>
        <v>код для проверки</v>
      </c>
      <c r="V1095" t="str">
        <f t="shared" si="153"/>
        <v>Низшая четверть</v>
      </c>
      <c r="W1095" t="str">
        <f t="shared" si="154"/>
        <v>Низшая четверть</v>
      </c>
      <c r="X1095">
        <v>9</v>
      </c>
    </row>
    <row r="1096" spans="1:24" x14ac:dyDescent="0.35">
      <c r="A1096" s="1" t="s">
        <v>2717</v>
      </c>
      <c r="B1096" s="2" t="s">
        <v>2718</v>
      </c>
      <c r="C1096" s="3" t="s">
        <v>55</v>
      </c>
      <c r="D1096" s="2" t="s">
        <v>1221</v>
      </c>
      <c r="E1096" s="3" t="s">
        <v>1450</v>
      </c>
      <c r="F1096" s="2" t="s">
        <v>61</v>
      </c>
      <c r="G1096" s="3" t="s">
        <v>17</v>
      </c>
      <c r="H1096" s="2" t="s">
        <v>18</v>
      </c>
      <c r="I1096" s="3" t="s">
        <v>19</v>
      </c>
      <c r="J1096" s="3">
        <v>787</v>
      </c>
      <c r="K1096" s="3">
        <v>42</v>
      </c>
      <c r="L1096" s="3">
        <v>0</v>
      </c>
      <c r="M1096" s="4">
        <f t="shared" si="148"/>
        <v>5.3367217280813214E-2</v>
      </c>
      <c r="N1096" s="4">
        <f t="shared" si="149"/>
        <v>0</v>
      </c>
      <c r="O1096">
        <v>120</v>
      </c>
      <c r="P1096" s="5">
        <v>0.8</v>
      </c>
      <c r="Q1096" s="7">
        <v>0</v>
      </c>
      <c r="R1096" t="s">
        <v>2344</v>
      </c>
      <c r="S1096" t="str">
        <f t="shared" si="150"/>
        <v>Вторая четверть</v>
      </c>
      <c r="T1096" t="str">
        <f t="shared" si="151"/>
        <v>Низшая четверть</v>
      </c>
      <c r="U1096" t="str">
        <f t="shared" si="152"/>
        <v>код для проверки</v>
      </c>
      <c r="V1096" t="str">
        <f t="shared" si="153"/>
        <v>Больше половины</v>
      </c>
      <c r="W1096" t="str">
        <f t="shared" si="154"/>
        <v>Низшая четверть</v>
      </c>
      <c r="X1096">
        <v>23</v>
      </c>
    </row>
    <row r="1097" spans="1:24" x14ac:dyDescent="0.35">
      <c r="A1097" s="1" t="s">
        <v>1742</v>
      </c>
      <c r="B1097" s="2" t="s">
        <v>1743</v>
      </c>
      <c r="C1097" s="3" t="s">
        <v>55</v>
      </c>
      <c r="D1097" s="2" t="s">
        <v>56</v>
      </c>
      <c r="E1097" s="3" t="s">
        <v>700</v>
      </c>
      <c r="F1097" s="2" t="s">
        <v>96</v>
      </c>
      <c r="G1097" s="3" t="s">
        <v>17</v>
      </c>
      <c r="H1097" s="2" t="s">
        <v>18</v>
      </c>
      <c r="I1097" s="3" t="s">
        <v>19</v>
      </c>
      <c r="J1097" s="3">
        <v>786</v>
      </c>
      <c r="K1097" s="3">
        <v>31</v>
      </c>
      <c r="L1097" s="3">
        <v>0</v>
      </c>
      <c r="M1097" s="4">
        <f t="shared" si="148"/>
        <v>3.9440203562340966E-2</v>
      </c>
      <c r="N1097" s="4">
        <f t="shared" si="149"/>
        <v>0</v>
      </c>
      <c r="O1097">
        <v>235</v>
      </c>
      <c r="P1097" s="5">
        <v>0.75</v>
      </c>
      <c r="Q1097" s="7">
        <v>0</v>
      </c>
      <c r="R1097" t="s">
        <v>2344</v>
      </c>
      <c r="S1097" t="str">
        <f t="shared" si="150"/>
        <v>Низшая четверть</v>
      </c>
      <c r="T1097" t="str">
        <f t="shared" si="151"/>
        <v>Низшая четверть</v>
      </c>
      <c r="U1097" t="str">
        <f t="shared" si="152"/>
        <v>код для проверки</v>
      </c>
      <c r="V1097" t="str">
        <f t="shared" si="153"/>
        <v>Вторая четверть</v>
      </c>
      <c r="W1097" t="str">
        <f t="shared" si="154"/>
        <v>Низшая четверть</v>
      </c>
      <c r="X1097">
        <v>25</v>
      </c>
    </row>
    <row r="1098" spans="1:24" x14ac:dyDescent="0.35">
      <c r="A1098" s="1" t="s">
        <v>2414</v>
      </c>
      <c r="B1098" s="2" t="s">
        <v>2415</v>
      </c>
      <c r="C1098" s="3" t="s">
        <v>13</v>
      </c>
      <c r="D1098" s="2" t="s">
        <v>143</v>
      </c>
      <c r="E1098" s="3" t="s">
        <v>144</v>
      </c>
      <c r="F1098" s="2" t="s">
        <v>34</v>
      </c>
      <c r="G1098" s="3" t="s">
        <v>35</v>
      </c>
      <c r="H1098" s="2" t="s">
        <v>18</v>
      </c>
      <c r="I1098" s="3" t="s">
        <v>19</v>
      </c>
      <c r="J1098" s="3">
        <v>784</v>
      </c>
      <c r="K1098" s="3">
        <v>16</v>
      </c>
      <c r="L1098" s="3">
        <v>0</v>
      </c>
      <c r="M1098" s="4">
        <f t="shared" si="148"/>
        <v>2.0408163265306121E-2</v>
      </c>
      <c r="N1098" s="4">
        <f t="shared" si="149"/>
        <v>0</v>
      </c>
      <c r="O1098">
        <v>1083</v>
      </c>
      <c r="P1098" s="5">
        <v>1</v>
      </c>
      <c r="Q1098" s="7">
        <v>0</v>
      </c>
      <c r="R1098" t="s">
        <v>2344</v>
      </c>
      <c r="S1098" t="str">
        <f t="shared" si="150"/>
        <v>Низшая четверть</v>
      </c>
      <c r="T1098" t="str">
        <f t="shared" si="151"/>
        <v>Низшая четверть</v>
      </c>
      <c r="U1098" t="str">
        <f t="shared" si="152"/>
        <v>код для проверки</v>
      </c>
      <c r="V1098" t="str">
        <f t="shared" si="153"/>
        <v>Низшая четверть</v>
      </c>
      <c r="W1098" t="str">
        <f t="shared" si="154"/>
        <v>Низшая четверть</v>
      </c>
      <c r="X1098">
        <v>8</v>
      </c>
    </row>
    <row r="1099" spans="1:24" x14ac:dyDescent="0.35">
      <c r="A1099" s="1" t="s">
        <v>1682</v>
      </c>
      <c r="B1099" s="2" t="s">
        <v>1683</v>
      </c>
      <c r="C1099" s="3" t="s">
        <v>13</v>
      </c>
      <c r="D1099" s="2" t="s">
        <v>155</v>
      </c>
      <c r="E1099" s="3" t="s">
        <v>156</v>
      </c>
      <c r="F1099" s="2" t="s">
        <v>34</v>
      </c>
      <c r="G1099" s="3" t="s">
        <v>17</v>
      </c>
      <c r="H1099" s="2" t="s">
        <v>18</v>
      </c>
      <c r="I1099" s="3" t="s">
        <v>19</v>
      </c>
      <c r="J1099" s="3">
        <v>777</v>
      </c>
      <c r="K1099" s="3">
        <v>4</v>
      </c>
      <c r="L1099" s="3">
        <v>0</v>
      </c>
      <c r="M1099" s="4">
        <f t="shared" si="148"/>
        <v>5.1480051480051478E-3</v>
      </c>
      <c r="N1099" s="4">
        <f t="shared" si="149"/>
        <v>0</v>
      </c>
      <c r="O1099">
        <v>400</v>
      </c>
      <c r="P1099" s="5">
        <v>0.45454545454545453</v>
      </c>
      <c r="Q1099" s="7">
        <v>0</v>
      </c>
      <c r="R1099" t="s">
        <v>2344</v>
      </c>
      <c r="S1099" t="str">
        <f t="shared" si="150"/>
        <v>Низшая четверть</v>
      </c>
      <c r="T1099" t="str">
        <f t="shared" si="151"/>
        <v>Низшая четверть</v>
      </c>
      <c r="U1099" t="str">
        <f t="shared" si="152"/>
        <v>код для проверки</v>
      </c>
      <c r="V1099" t="str">
        <f t="shared" si="153"/>
        <v>Низшая четверть</v>
      </c>
      <c r="W1099" t="str">
        <f t="shared" si="154"/>
        <v>Низшая четверть</v>
      </c>
      <c r="X1099">
        <v>9</v>
      </c>
    </row>
    <row r="1100" spans="1:24" x14ac:dyDescent="0.35">
      <c r="A1100" s="1" t="s">
        <v>2719</v>
      </c>
      <c r="B1100" s="2" t="s">
        <v>2720</v>
      </c>
      <c r="C1100" s="3" t="s">
        <v>55</v>
      </c>
      <c r="D1100" s="2" t="s">
        <v>1221</v>
      </c>
      <c r="E1100" s="3" t="s">
        <v>1450</v>
      </c>
      <c r="F1100" s="2" t="s">
        <v>61</v>
      </c>
      <c r="G1100" s="3" t="s">
        <v>17</v>
      </c>
      <c r="H1100" s="2" t="s">
        <v>18</v>
      </c>
      <c r="I1100" s="3" t="s">
        <v>19</v>
      </c>
      <c r="J1100" s="3">
        <v>776</v>
      </c>
      <c r="K1100" s="3">
        <v>36</v>
      </c>
      <c r="L1100" s="3">
        <v>1</v>
      </c>
      <c r="M1100" s="4">
        <f t="shared" si="148"/>
        <v>4.6391752577319589E-2</v>
      </c>
      <c r="N1100" s="4">
        <f t="shared" si="149"/>
        <v>2.7777777777777776E-2</v>
      </c>
      <c r="O1100">
        <v>239</v>
      </c>
      <c r="P1100" s="5">
        <v>0.8</v>
      </c>
      <c r="Q1100" s="7">
        <v>0</v>
      </c>
      <c r="R1100" t="s">
        <v>2344</v>
      </c>
      <c r="S1100" t="str">
        <f t="shared" si="150"/>
        <v>Низшая четверть</v>
      </c>
      <c r="T1100" t="str">
        <f t="shared" si="151"/>
        <v>Больше половины</v>
      </c>
      <c r="U1100" t="str">
        <f t="shared" si="152"/>
        <v>нормальный код</v>
      </c>
      <c r="V1100" t="str">
        <f t="shared" si="153"/>
        <v>Больше половины</v>
      </c>
      <c r="W1100" t="str">
        <f t="shared" si="154"/>
        <v>Больше половины</v>
      </c>
      <c r="X1100">
        <v>25</v>
      </c>
    </row>
    <row r="1101" spans="1:24" x14ac:dyDescent="0.35">
      <c r="A1101" s="1" t="s">
        <v>1539</v>
      </c>
      <c r="B1101" s="2" t="s">
        <v>1540</v>
      </c>
      <c r="C1101" s="3" t="s">
        <v>13</v>
      </c>
      <c r="D1101" s="2" t="s">
        <v>412</v>
      </c>
      <c r="E1101" s="3" t="s">
        <v>611</v>
      </c>
      <c r="F1101" s="2" t="s">
        <v>61</v>
      </c>
      <c r="G1101" s="3" t="s">
        <v>17</v>
      </c>
      <c r="H1101" s="2" t="s">
        <v>97</v>
      </c>
      <c r="I1101" s="3" t="s">
        <v>19</v>
      </c>
      <c r="J1101" s="3">
        <v>774</v>
      </c>
      <c r="K1101" s="3">
        <v>325</v>
      </c>
      <c r="L1101" s="3">
        <v>0</v>
      </c>
      <c r="M1101" s="4">
        <f t="shared" si="148"/>
        <v>0.41989664082687339</v>
      </c>
      <c r="N1101" s="4">
        <f t="shared" si="149"/>
        <v>0</v>
      </c>
      <c r="O1101">
        <v>694</v>
      </c>
      <c r="P1101" s="5">
        <v>1</v>
      </c>
      <c r="Q1101" s="7">
        <v>0</v>
      </c>
      <c r="R1101" t="s">
        <v>2344</v>
      </c>
      <c r="S1101" t="str">
        <f t="shared" si="150"/>
        <v>Больше половины</v>
      </c>
      <c r="T1101" t="str">
        <f t="shared" si="151"/>
        <v>Низшая четверть</v>
      </c>
      <c r="U1101" t="str">
        <f t="shared" si="152"/>
        <v>код для проверки</v>
      </c>
      <c r="V1101" t="str">
        <f t="shared" si="153"/>
        <v>Больше половины</v>
      </c>
      <c r="W1101" t="str">
        <f t="shared" si="154"/>
        <v>Низшая четверть</v>
      </c>
      <c r="X1101">
        <v>6</v>
      </c>
    </row>
    <row r="1102" spans="1:24" x14ac:dyDescent="0.35">
      <c r="A1102" s="1" t="s">
        <v>2328</v>
      </c>
      <c r="B1102" s="2" t="s">
        <v>2329</v>
      </c>
      <c r="C1102" s="3" t="s">
        <v>55</v>
      </c>
      <c r="D1102" s="2" t="s">
        <v>1874</v>
      </c>
      <c r="E1102" s="3" t="s">
        <v>1875</v>
      </c>
      <c r="F1102" s="2" t="s">
        <v>34</v>
      </c>
      <c r="G1102" s="3" t="s">
        <v>17</v>
      </c>
      <c r="H1102" s="2" t="s">
        <v>97</v>
      </c>
      <c r="I1102" s="3" t="s">
        <v>19</v>
      </c>
      <c r="J1102" s="3">
        <v>766</v>
      </c>
      <c r="K1102" s="3">
        <v>50</v>
      </c>
      <c r="L1102" s="3">
        <v>1</v>
      </c>
      <c r="M1102" s="4">
        <f t="shared" si="148"/>
        <v>6.5274151436031339E-2</v>
      </c>
      <c r="N1102" s="4">
        <f t="shared" si="149"/>
        <v>0.02</v>
      </c>
      <c r="O1102">
        <v>748</v>
      </c>
      <c r="P1102" s="5">
        <v>0.75</v>
      </c>
      <c r="Q1102" s="7">
        <v>0</v>
      </c>
      <c r="R1102" t="s">
        <v>2344</v>
      </c>
      <c r="S1102" t="str">
        <f t="shared" si="150"/>
        <v>Вторая четверть</v>
      </c>
      <c r="T1102" t="str">
        <f t="shared" si="151"/>
        <v>Вторая четверть</v>
      </c>
      <c r="U1102" t="str">
        <f t="shared" si="152"/>
        <v>нормальный код</v>
      </c>
      <c r="V1102" t="str">
        <f t="shared" si="153"/>
        <v>Больше половины</v>
      </c>
      <c r="W1102" t="str">
        <f t="shared" si="154"/>
        <v>Больше половины</v>
      </c>
      <c r="X1102">
        <v>18</v>
      </c>
    </row>
    <row r="1103" spans="1:24" x14ac:dyDescent="0.35">
      <c r="A1103" s="1" t="s">
        <v>2721</v>
      </c>
      <c r="B1103" s="2" t="s">
        <v>2722</v>
      </c>
      <c r="C1103" s="3" t="s">
        <v>13</v>
      </c>
      <c r="D1103" s="2" t="s">
        <v>77</v>
      </c>
      <c r="E1103" s="3" t="s">
        <v>89</v>
      </c>
      <c r="F1103" s="2" t="s">
        <v>34</v>
      </c>
      <c r="G1103" s="3" t="s">
        <v>35</v>
      </c>
      <c r="H1103" s="2" t="s">
        <v>18</v>
      </c>
      <c r="I1103" s="3" t="s">
        <v>19</v>
      </c>
      <c r="J1103" s="3">
        <v>762</v>
      </c>
      <c r="K1103" s="3">
        <v>15</v>
      </c>
      <c r="L1103" s="3">
        <v>0</v>
      </c>
      <c r="M1103" s="4">
        <f t="shared" si="148"/>
        <v>1.968503937007874E-2</v>
      </c>
      <c r="N1103" s="4">
        <f t="shared" si="149"/>
        <v>0</v>
      </c>
      <c r="O1103">
        <v>588</v>
      </c>
      <c r="P1103" s="5">
        <v>0.8</v>
      </c>
      <c r="Q1103" s="7">
        <v>0</v>
      </c>
      <c r="R1103" t="s">
        <v>2344</v>
      </c>
      <c r="S1103" t="str">
        <f t="shared" si="150"/>
        <v>Низшая четверть</v>
      </c>
      <c r="T1103" t="str">
        <f t="shared" si="151"/>
        <v>Низшая четверть</v>
      </c>
      <c r="U1103" t="str">
        <f t="shared" si="152"/>
        <v>код для проверки</v>
      </c>
      <c r="V1103" t="str">
        <f t="shared" si="153"/>
        <v>Низшая четверть</v>
      </c>
      <c r="W1103" t="str">
        <f t="shared" si="154"/>
        <v>Низшая четверть</v>
      </c>
      <c r="X1103">
        <v>16</v>
      </c>
    </row>
    <row r="1104" spans="1:24" x14ac:dyDescent="0.35">
      <c r="A1104" s="1" t="s">
        <v>2408</v>
      </c>
      <c r="B1104" s="2" t="s">
        <v>2409</v>
      </c>
      <c r="C1104" s="3" t="s">
        <v>55</v>
      </c>
      <c r="D1104" s="2" t="s">
        <v>1049</v>
      </c>
      <c r="E1104" s="3" t="s">
        <v>2405</v>
      </c>
      <c r="F1104" s="2" t="s">
        <v>96</v>
      </c>
      <c r="G1104" s="3" t="s">
        <v>17</v>
      </c>
      <c r="H1104" s="2" t="s">
        <v>1223</v>
      </c>
      <c r="I1104" s="3" t="s">
        <v>19</v>
      </c>
      <c r="J1104" s="3">
        <v>759</v>
      </c>
      <c r="K1104" s="3">
        <v>10</v>
      </c>
      <c r="L1104" s="3">
        <v>0</v>
      </c>
      <c r="M1104" s="4">
        <f t="shared" si="148"/>
        <v>1.3175230566534914E-2</v>
      </c>
      <c r="N1104" s="4">
        <f t="shared" si="149"/>
        <v>0</v>
      </c>
      <c r="O1104">
        <v>325</v>
      </c>
      <c r="P1104" s="5">
        <v>0.83333333333333337</v>
      </c>
      <c r="Q1104" s="7">
        <v>0</v>
      </c>
      <c r="R1104" t="s">
        <v>2344</v>
      </c>
      <c r="S1104" t="str">
        <f t="shared" si="150"/>
        <v>Низшая четверть</v>
      </c>
      <c r="T1104" t="str">
        <f t="shared" si="151"/>
        <v>Низшая четверть</v>
      </c>
      <c r="U1104" t="e">
        <f t="shared" si="152"/>
        <v>#DIV/0!</v>
      </c>
      <c r="V1104" t="e">
        <f t="shared" si="153"/>
        <v>#DIV/0!</v>
      </c>
      <c r="W1104" t="e">
        <f t="shared" si="154"/>
        <v>#DIV/0!</v>
      </c>
      <c r="X1104">
        <v>16</v>
      </c>
    </row>
    <row r="1105" spans="1:24" x14ac:dyDescent="0.35">
      <c r="A1105" s="1" t="s">
        <v>2723</v>
      </c>
      <c r="B1105" s="2" t="s">
        <v>2724</v>
      </c>
      <c r="C1105" s="3" t="s">
        <v>55</v>
      </c>
      <c r="D1105" s="2" t="s">
        <v>1221</v>
      </c>
      <c r="E1105" s="3" t="s">
        <v>1450</v>
      </c>
      <c r="F1105" s="2" t="s">
        <v>61</v>
      </c>
      <c r="G1105" s="3" t="s">
        <v>17</v>
      </c>
      <c r="H1105" s="2" t="s">
        <v>18</v>
      </c>
      <c r="I1105" s="3" t="s">
        <v>19</v>
      </c>
      <c r="J1105" s="3">
        <v>754</v>
      </c>
      <c r="K1105" s="3">
        <v>28</v>
      </c>
      <c r="L1105" s="3">
        <v>0</v>
      </c>
      <c r="M1105" s="4">
        <f t="shared" si="148"/>
        <v>3.7135278514588858E-2</v>
      </c>
      <c r="N1105" s="4">
        <f t="shared" si="149"/>
        <v>0</v>
      </c>
      <c r="O1105">
        <v>150</v>
      </c>
      <c r="P1105" s="5">
        <v>1</v>
      </c>
      <c r="Q1105" s="7">
        <v>0</v>
      </c>
      <c r="R1105" t="s">
        <v>2344</v>
      </c>
      <c r="S1105" t="str">
        <f t="shared" si="150"/>
        <v>Низшая четверть</v>
      </c>
      <c r="T1105" t="str">
        <f t="shared" si="151"/>
        <v>Низшая четверть</v>
      </c>
      <c r="U1105" t="str">
        <f t="shared" si="152"/>
        <v>код для проверки</v>
      </c>
      <c r="V1105" t="str">
        <f t="shared" si="153"/>
        <v>Больше половины</v>
      </c>
      <c r="W1105" t="str">
        <f t="shared" si="154"/>
        <v>Низшая четверть</v>
      </c>
      <c r="X1105">
        <v>24</v>
      </c>
    </row>
    <row r="1106" spans="1:24" x14ac:dyDescent="0.35">
      <c r="A1106" s="1" t="s">
        <v>2725</v>
      </c>
      <c r="B1106" s="2" t="s">
        <v>2726</v>
      </c>
      <c r="C1106" s="3" t="s">
        <v>13</v>
      </c>
      <c r="D1106" s="2" t="s">
        <v>155</v>
      </c>
      <c r="E1106" s="3" t="s">
        <v>156</v>
      </c>
      <c r="F1106" s="2" t="s">
        <v>34</v>
      </c>
      <c r="G1106" s="3" t="s">
        <v>35</v>
      </c>
      <c r="H1106" s="2" t="s">
        <v>18</v>
      </c>
      <c r="I1106" s="3" t="s">
        <v>19</v>
      </c>
      <c r="J1106" s="3">
        <v>750</v>
      </c>
      <c r="K1106" s="3">
        <v>12</v>
      </c>
      <c r="L1106" s="3">
        <v>0</v>
      </c>
      <c r="M1106" s="4">
        <f t="shared" si="148"/>
        <v>1.6E-2</v>
      </c>
      <c r="N1106" s="4">
        <f t="shared" si="149"/>
        <v>0</v>
      </c>
      <c r="O1106">
        <v>680</v>
      </c>
      <c r="P1106" s="5">
        <v>1</v>
      </c>
      <c r="Q1106" s="7">
        <v>0</v>
      </c>
      <c r="R1106" t="s">
        <v>2344</v>
      </c>
      <c r="S1106" t="str">
        <f t="shared" si="150"/>
        <v>Низшая четверть</v>
      </c>
      <c r="T1106" t="str">
        <f t="shared" si="151"/>
        <v>Низшая четверть</v>
      </c>
      <c r="U1106" t="str">
        <f t="shared" si="152"/>
        <v>код для проверки</v>
      </c>
      <c r="V1106" t="str">
        <f t="shared" si="153"/>
        <v>Низшая четверть</v>
      </c>
      <c r="W1106" t="str">
        <f t="shared" si="154"/>
        <v>Низшая четверть</v>
      </c>
      <c r="X1106">
        <v>13</v>
      </c>
    </row>
    <row r="1107" spans="1:24" x14ac:dyDescent="0.35">
      <c r="A1107" s="1" t="s">
        <v>1784</v>
      </c>
      <c r="B1107" s="2" t="s">
        <v>1785</v>
      </c>
      <c r="C1107" s="3" t="s">
        <v>13</v>
      </c>
      <c r="D1107" s="2" t="s">
        <v>77</v>
      </c>
      <c r="E1107" s="3" t="s">
        <v>1592</v>
      </c>
      <c r="F1107" s="2" t="s">
        <v>96</v>
      </c>
      <c r="G1107" s="3" t="s">
        <v>17</v>
      </c>
      <c r="H1107" s="2" t="s">
        <v>18</v>
      </c>
      <c r="I1107" s="3" t="s">
        <v>19</v>
      </c>
      <c r="J1107" s="3">
        <v>749</v>
      </c>
      <c r="K1107" s="3">
        <v>88</v>
      </c>
      <c r="L1107" s="3">
        <v>1</v>
      </c>
      <c r="M1107" s="4">
        <f t="shared" si="148"/>
        <v>0.11748998664886515</v>
      </c>
      <c r="N1107" s="4">
        <f t="shared" si="149"/>
        <v>1.1363636363636364E-2</v>
      </c>
      <c r="O1107">
        <v>507</v>
      </c>
      <c r="P1107" s="5">
        <v>1</v>
      </c>
      <c r="Q1107" s="7">
        <v>0</v>
      </c>
      <c r="R1107" t="s">
        <v>2344</v>
      </c>
      <c r="S1107" t="str">
        <f t="shared" si="150"/>
        <v>Больше половины</v>
      </c>
      <c r="T1107" t="str">
        <f t="shared" si="151"/>
        <v>Вторая четверть</v>
      </c>
      <c r="U1107" t="str">
        <f t="shared" si="152"/>
        <v>код для проверки</v>
      </c>
      <c r="V1107" t="str">
        <f t="shared" si="153"/>
        <v>Больше половины</v>
      </c>
      <c r="W1107" t="str">
        <f t="shared" si="154"/>
        <v>Низшая четверть</v>
      </c>
      <c r="X1107">
        <v>9</v>
      </c>
    </row>
    <row r="1108" spans="1:24" x14ac:dyDescent="0.35">
      <c r="A1108" s="1" t="s">
        <v>1848</v>
      </c>
      <c r="B1108" s="2" t="s">
        <v>1849</v>
      </c>
      <c r="C1108" s="3" t="s">
        <v>13</v>
      </c>
      <c r="D1108" s="2" t="s">
        <v>412</v>
      </c>
      <c r="E1108" s="3" t="s">
        <v>413</v>
      </c>
      <c r="F1108" s="2" t="s">
        <v>61</v>
      </c>
      <c r="G1108" s="3" t="s">
        <v>17</v>
      </c>
      <c r="H1108" s="2" t="s">
        <v>97</v>
      </c>
      <c r="I1108" s="3" t="s">
        <v>19</v>
      </c>
      <c r="J1108" s="3">
        <v>747</v>
      </c>
      <c r="K1108" s="3">
        <v>175</v>
      </c>
      <c r="L1108" s="3">
        <v>2</v>
      </c>
      <c r="M1108" s="4">
        <f t="shared" si="148"/>
        <v>0.23427041499330656</v>
      </c>
      <c r="N1108" s="4">
        <f t="shared" si="149"/>
        <v>1.1428571428571429E-2</v>
      </c>
      <c r="O1108">
        <v>0</v>
      </c>
      <c r="P1108" s="5">
        <v>0</v>
      </c>
      <c r="Q1108" s="7">
        <v>0</v>
      </c>
      <c r="R1108" t="s">
        <v>2350</v>
      </c>
      <c r="S1108" t="str">
        <f t="shared" si="150"/>
        <v>Больше половины</v>
      </c>
      <c r="T1108" t="str">
        <f t="shared" si="151"/>
        <v>Вторая четверть</v>
      </c>
      <c r="U1108" t="str">
        <f t="shared" si="152"/>
        <v>код для проверки</v>
      </c>
      <c r="V1108" t="str">
        <f t="shared" si="153"/>
        <v>Больше половины</v>
      </c>
      <c r="W1108" t="str">
        <f t="shared" si="154"/>
        <v>Низшая четверть</v>
      </c>
      <c r="X1108">
        <v>6</v>
      </c>
    </row>
    <row r="1109" spans="1:24" x14ac:dyDescent="0.35">
      <c r="A1109" s="1" t="s">
        <v>2727</v>
      </c>
      <c r="B1109" s="2" t="s">
        <v>2728</v>
      </c>
      <c r="C1109" s="3" t="s">
        <v>13</v>
      </c>
      <c r="D1109" s="2" t="s">
        <v>85</v>
      </c>
      <c r="E1109" s="3" t="s">
        <v>1937</v>
      </c>
      <c r="F1109" s="2" t="s">
        <v>96</v>
      </c>
      <c r="G1109" s="3" t="s">
        <v>35</v>
      </c>
      <c r="H1109" s="2" t="s">
        <v>18</v>
      </c>
      <c r="I1109" s="3" t="s">
        <v>19</v>
      </c>
      <c r="J1109" s="3">
        <v>747</v>
      </c>
      <c r="K1109" s="3">
        <v>14</v>
      </c>
      <c r="L1109" s="3">
        <v>0</v>
      </c>
      <c r="M1109" s="4">
        <f t="shared" si="148"/>
        <v>1.8741633199464525E-2</v>
      </c>
      <c r="N1109" s="4">
        <f t="shared" si="149"/>
        <v>0</v>
      </c>
      <c r="O1109">
        <v>372</v>
      </c>
      <c r="P1109" s="5">
        <v>1</v>
      </c>
      <c r="Q1109" s="7">
        <v>0</v>
      </c>
      <c r="R1109" t="s">
        <v>2344</v>
      </c>
      <c r="S1109" t="str">
        <f t="shared" si="150"/>
        <v>Низшая четверть</v>
      </c>
      <c r="T1109" t="str">
        <f t="shared" si="151"/>
        <v>Низшая четверть</v>
      </c>
      <c r="U1109" t="str">
        <f t="shared" si="152"/>
        <v>код для проверки</v>
      </c>
      <c r="V1109" t="str">
        <f t="shared" si="153"/>
        <v>Низшая четверть</v>
      </c>
      <c r="W1109" t="str">
        <f t="shared" si="154"/>
        <v>Низшая четверть</v>
      </c>
      <c r="X1109">
        <v>10</v>
      </c>
    </row>
    <row r="1110" spans="1:24" x14ac:dyDescent="0.35">
      <c r="A1110" s="1" t="s">
        <v>2729</v>
      </c>
      <c r="B1110" s="2" t="s">
        <v>2730</v>
      </c>
      <c r="C1110" s="3" t="s">
        <v>13</v>
      </c>
      <c r="D1110" s="2" t="s">
        <v>155</v>
      </c>
      <c r="E1110" s="3" t="s">
        <v>156</v>
      </c>
      <c r="F1110" s="2" t="s">
        <v>34</v>
      </c>
      <c r="G1110" s="3" t="s">
        <v>35</v>
      </c>
      <c r="H1110" s="2" t="s">
        <v>18</v>
      </c>
      <c r="I1110" s="3" t="s">
        <v>19</v>
      </c>
      <c r="J1110" s="3">
        <v>746</v>
      </c>
      <c r="K1110" s="3">
        <v>19</v>
      </c>
      <c r="L1110" s="3">
        <v>1</v>
      </c>
      <c r="M1110" s="4">
        <f t="shared" si="148"/>
        <v>2.5469168900804289E-2</v>
      </c>
      <c r="N1110" s="4">
        <f t="shared" si="149"/>
        <v>5.2631578947368418E-2</v>
      </c>
      <c r="O1110">
        <v>369</v>
      </c>
      <c r="P1110" s="5">
        <v>1</v>
      </c>
      <c r="Q1110" s="7">
        <v>0</v>
      </c>
      <c r="R1110" t="s">
        <v>2344</v>
      </c>
      <c r="S1110" t="str">
        <f t="shared" si="150"/>
        <v>Низшая четверть</v>
      </c>
      <c r="T1110" t="str">
        <f t="shared" si="151"/>
        <v>Больше половины</v>
      </c>
      <c r="U1110" t="str">
        <f t="shared" si="152"/>
        <v>код для проверки</v>
      </c>
      <c r="V1110" t="str">
        <f t="shared" si="153"/>
        <v>Низшая четверть</v>
      </c>
      <c r="W1110" t="str">
        <f t="shared" si="154"/>
        <v>Больше половины</v>
      </c>
      <c r="X1110">
        <v>16</v>
      </c>
    </row>
    <row r="1111" spans="1:24" x14ac:dyDescent="0.35">
      <c r="A1111" s="1" t="s">
        <v>1565</v>
      </c>
      <c r="B1111" s="2" t="s">
        <v>1566</v>
      </c>
      <c r="C1111" s="3" t="s">
        <v>13</v>
      </c>
      <c r="D1111" s="2" t="s">
        <v>104</v>
      </c>
      <c r="E1111" s="3" t="s">
        <v>105</v>
      </c>
      <c r="F1111" s="2" t="s">
        <v>71</v>
      </c>
      <c r="G1111" s="3" t="s">
        <v>17</v>
      </c>
      <c r="H1111" s="2" t="s">
        <v>18</v>
      </c>
      <c r="I1111" s="3" t="s">
        <v>19</v>
      </c>
      <c r="J1111" s="3">
        <v>745</v>
      </c>
      <c r="K1111" s="3">
        <v>25</v>
      </c>
      <c r="L1111" s="3">
        <v>2</v>
      </c>
      <c r="M1111" s="4">
        <f t="shared" si="148"/>
        <v>3.3557046979865772E-2</v>
      </c>
      <c r="N1111" s="4">
        <f t="shared" si="149"/>
        <v>0.08</v>
      </c>
      <c r="O1111">
        <v>328</v>
      </c>
      <c r="P1111" s="5">
        <v>1</v>
      </c>
      <c r="Q1111" s="7">
        <v>0</v>
      </c>
      <c r="R1111" t="s">
        <v>2344</v>
      </c>
      <c r="S1111" t="str">
        <f t="shared" si="150"/>
        <v>Низшая четверть</v>
      </c>
      <c r="T1111" t="str">
        <f t="shared" si="151"/>
        <v>Больше половины</v>
      </c>
      <c r="U1111" t="str">
        <f t="shared" si="152"/>
        <v>код для проверки</v>
      </c>
      <c r="V1111" t="str">
        <f t="shared" si="153"/>
        <v>Низшая четверть</v>
      </c>
      <c r="W1111" t="str">
        <f t="shared" si="154"/>
        <v>Больше половины</v>
      </c>
      <c r="X1111">
        <v>12</v>
      </c>
    </row>
    <row r="1112" spans="1:24" x14ac:dyDescent="0.35">
      <c r="A1112" s="1" t="s">
        <v>2215</v>
      </c>
      <c r="B1112" s="2" t="s">
        <v>2216</v>
      </c>
      <c r="C1112" s="3" t="s">
        <v>55</v>
      </c>
      <c r="D1112" s="2" t="s">
        <v>1049</v>
      </c>
      <c r="E1112" s="3" t="s">
        <v>1050</v>
      </c>
      <c r="F1112" s="2" t="s">
        <v>34</v>
      </c>
      <c r="G1112" s="3" t="s">
        <v>17</v>
      </c>
      <c r="H1112" s="2" t="s">
        <v>18</v>
      </c>
      <c r="I1112" s="3" t="s">
        <v>19</v>
      </c>
      <c r="J1112" s="3">
        <v>742</v>
      </c>
      <c r="K1112" s="3">
        <v>15</v>
      </c>
      <c r="L1112" s="3">
        <v>0</v>
      </c>
      <c r="M1112" s="4">
        <f t="shared" si="148"/>
        <v>2.0215633423180591E-2</v>
      </c>
      <c r="N1112" s="4">
        <f t="shared" si="149"/>
        <v>0</v>
      </c>
      <c r="O1112">
        <v>120</v>
      </c>
      <c r="P1112" s="5">
        <v>1</v>
      </c>
      <c r="Q1112" s="7">
        <v>0</v>
      </c>
      <c r="R1112" t="s">
        <v>2344</v>
      </c>
      <c r="S1112" t="str">
        <f t="shared" si="150"/>
        <v>Низшая четверть</v>
      </c>
      <c r="T1112" t="str">
        <f t="shared" si="151"/>
        <v>Низшая четверть</v>
      </c>
      <c r="U1112" t="str">
        <f t="shared" si="152"/>
        <v>код для проверки</v>
      </c>
      <c r="V1112" t="str">
        <f t="shared" si="153"/>
        <v>Низшая четверть</v>
      </c>
      <c r="W1112" t="str">
        <f t="shared" si="154"/>
        <v>Низшая четверть</v>
      </c>
      <c r="X1112">
        <v>22</v>
      </c>
    </row>
    <row r="1113" spans="1:24" x14ac:dyDescent="0.35">
      <c r="A1113" s="1" t="s">
        <v>1238</v>
      </c>
      <c r="B1113" s="2" t="s">
        <v>1239</v>
      </c>
      <c r="C1113" s="3" t="s">
        <v>55</v>
      </c>
      <c r="D1113" s="2" t="s">
        <v>94</v>
      </c>
      <c r="E1113" s="3" t="s">
        <v>812</v>
      </c>
      <c r="F1113" s="2" t="s">
        <v>96</v>
      </c>
      <c r="G1113" s="3" t="s">
        <v>17</v>
      </c>
      <c r="H1113" s="2" t="s">
        <v>18</v>
      </c>
      <c r="I1113" s="3" t="s">
        <v>19</v>
      </c>
      <c r="J1113" s="3">
        <v>741</v>
      </c>
      <c r="K1113" s="3">
        <v>104</v>
      </c>
      <c r="L1113" s="3">
        <v>0</v>
      </c>
      <c r="M1113" s="4">
        <f t="shared" si="148"/>
        <v>0.14035087719298245</v>
      </c>
      <c r="N1113" s="4">
        <f t="shared" si="149"/>
        <v>0</v>
      </c>
      <c r="O1113">
        <v>1334</v>
      </c>
      <c r="P1113" s="5">
        <v>1</v>
      </c>
      <c r="Q1113" s="7">
        <v>0</v>
      </c>
      <c r="R1113" t="s">
        <v>2344</v>
      </c>
      <c r="S1113" t="str">
        <f t="shared" si="150"/>
        <v>Больше половины</v>
      </c>
      <c r="T1113" t="str">
        <f t="shared" si="151"/>
        <v>Низшая четверть</v>
      </c>
      <c r="U1113" t="str">
        <f t="shared" si="152"/>
        <v>код для проверки</v>
      </c>
      <c r="V1113" t="str">
        <f t="shared" si="153"/>
        <v>Больше половины</v>
      </c>
      <c r="W1113" t="str">
        <f t="shared" si="154"/>
        <v>Низшая четверть</v>
      </c>
      <c r="X1113">
        <v>2</v>
      </c>
    </row>
    <row r="1114" spans="1:24" x14ac:dyDescent="0.35">
      <c r="A1114" s="1" t="s">
        <v>2195</v>
      </c>
      <c r="B1114" s="2" t="s">
        <v>2196</v>
      </c>
      <c r="C1114" s="3" t="s">
        <v>55</v>
      </c>
      <c r="D1114" s="2" t="s">
        <v>1049</v>
      </c>
      <c r="E1114" s="3" t="s">
        <v>1050</v>
      </c>
      <c r="F1114" s="2" t="s">
        <v>34</v>
      </c>
      <c r="G1114" s="3" t="s">
        <v>17</v>
      </c>
      <c r="H1114" s="2" t="s">
        <v>18</v>
      </c>
      <c r="I1114" s="3" t="s">
        <v>19</v>
      </c>
      <c r="J1114" s="3">
        <v>739</v>
      </c>
      <c r="K1114" s="3">
        <v>1256</v>
      </c>
      <c r="L1114" s="3">
        <v>9</v>
      </c>
      <c r="M1114" s="4">
        <f t="shared" si="148"/>
        <v>1.6995940460081191</v>
      </c>
      <c r="N1114" s="4">
        <f t="shared" si="149"/>
        <v>7.1656050955414014E-3</v>
      </c>
      <c r="O1114">
        <v>328</v>
      </c>
      <c r="P1114" s="5">
        <v>1</v>
      </c>
      <c r="Q1114" s="7">
        <v>0</v>
      </c>
      <c r="R1114" t="s">
        <v>2344</v>
      </c>
      <c r="S1114" t="str">
        <f t="shared" si="150"/>
        <v>Больше половины</v>
      </c>
      <c r="T1114" t="str">
        <f t="shared" si="151"/>
        <v>Низшая четверть</v>
      </c>
      <c r="U1114" t="str">
        <f t="shared" si="152"/>
        <v>код для проверки</v>
      </c>
      <c r="V1114" t="str">
        <f t="shared" si="153"/>
        <v>Больше половины</v>
      </c>
      <c r="W1114" t="str">
        <f t="shared" si="154"/>
        <v>Низшая четверть</v>
      </c>
      <c r="X1114">
        <v>24</v>
      </c>
    </row>
    <row r="1115" spans="1:24" x14ac:dyDescent="0.35">
      <c r="A1115" s="1" t="s">
        <v>1664</v>
      </c>
      <c r="B1115" s="2" t="s">
        <v>1665</v>
      </c>
      <c r="C1115" s="3" t="s">
        <v>13</v>
      </c>
      <c r="D1115" s="2" t="s">
        <v>85</v>
      </c>
      <c r="E1115" s="3" t="s">
        <v>599</v>
      </c>
      <c r="F1115" s="2" t="s">
        <v>34</v>
      </c>
      <c r="G1115" s="3" t="s">
        <v>35</v>
      </c>
      <c r="H1115" s="2" t="s">
        <v>18</v>
      </c>
      <c r="I1115" s="3" t="s">
        <v>19</v>
      </c>
      <c r="J1115" s="3">
        <v>735</v>
      </c>
      <c r="K1115" s="3">
        <v>16</v>
      </c>
      <c r="L1115" s="3">
        <v>2</v>
      </c>
      <c r="M1115" s="4">
        <f t="shared" si="148"/>
        <v>2.1768707482993196E-2</v>
      </c>
      <c r="N1115" s="4">
        <f t="shared" si="149"/>
        <v>0.125</v>
      </c>
      <c r="O1115">
        <v>163</v>
      </c>
      <c r="P1115" s="5">
        <v>0.8</v>
      </c>
      <c r="Q1115" s="7">
        <v>0</v>
      </c>
      <c r="R1115" t="s">
        <v>2344</v>
      </c>
      <c r="S1115" t="str">
        <f t="shared" si="150"/>
        <v>Низшая четверть</v>
      </c>
      <c r="T1115" t="str">
        <f t="shared" si="151"/>
        <v>Больше половины</v>
      </c>
      <c r="U1115" t="str">
        <f t="shared" si="152"/>
        <v>код для проверки</v>
      </c>
      <c r="V1115" t="str">
        <f t="shared" si="153"/>
        <v>Низшая четверть</v>
      </c>
      <c r="W1115" t="str">
        <f t="shared" si="154"/>
        <v>Больше половины</v>
      </c>
      <c r="X1115">
        <v>7</v>
      </c>
    </row>
    <row r="1116" spans="1:24" x14ac:dyDescent="0.35">
      <c r="A1116" s="1" t="s">
        <v>1846</v>
      </c>
      <c r="B1116" s="2" t="s">
        <v>1847</v>
      </c>
      <c r="C1116" s="3" t="s">
        <v>55</v>
      </c>
      <c r="D1116" s="2" t="s">
        <v>94</v>
      </c>
      <c r="E1116" s="3" t="s">
        <v>812</v>
      </c>
      <c r="F1116" s="2" t="s">
        <v>96</v>
      </c>
      <c r="G1116" s="3" t="s">
        <v>17</v>
      </c>
      <c r="H1116" s="2" t="s">
        <v>18</v>
      </c>
      <c r="I1116" s="3" t="s">
        <v>19</v>
      </c>
      <c r="J1116" s="3">
        <v>734</v>
      </c>
      <c r="K1116" s="3">
        <v>210</v>
      </c>
      <c r="L1116" s="3">
        <v>1</v>
      </c>
      <c r="M1116" s="4">
        <f t="shared" si="148"/>
        <v>0.28610354223433243</v>
      </c>
      <c r="N1116" s="4">
        <f t="shared" si="149"/>
        <v>4.7619047619047623E-3</v>
      </c>
      <c r="O1116">
        <v>1296</v>
      </c>
      <c r="P1116" s="5">
        <v>1</v>
      </c>
      <c r="Q1116" s="7">
        <v>0</v>
      </c>
      <c r="R1116" t="s">
        <v>2344</v>
      </c>
      <c r="S1116" t="str">
        <f t="shared" si="150"/>
        <v>Больше половины</v>
      </c>
      <c r="T1116" t="str">
        <f t="shared" si="151"/>
        <v>Низшая четверть</v>
      </c>
      <c r="U1116" t="str">
        <f t="shared" si="152"/>
        <v>код для проверки</v>
      </c>
      <c r="V1116" t="str">
        <f t="shared" si="153"/>
        <v>Больше половины</v>
      </c>
      <c r="W1116" t="str">
        <f t="shared" si="154"/>
        <v>Низшая четверть</v>
      </c>
      <c r="X1116">
        <v>9</v>
      </c>
    </row>
    <row r="1117" spans="1:24" x14ac:dyDescent="0.35">
      <c r="A1117" s="1" t="s">
        <v>2731</v>
      </c>
      <c r="B1117" s="2" t="s">
        <v>2732</v>
      </c>
      <c r="C1117" s="3" t="s">
        <v>13</v>
      </c>
      <c r="D1117" s="2" t="s">
        <v>121</v>
      </c>
      <c r="E1117" s="3" t="s">
        <v>650</v>
      </c>
      <c r="F1117" s="2" t="s">
        <v>71</v>
      </c>
      <c r="G1117" s="3" t="s">
        <v>17</v>
      </c>
      <c r="H1117" s="2" t="s">
        <v>18</v>
      </c>
      <c r="I1117" s="3" t="s">
        <v>19</v>
      </c>
      <c r="J1117" s="3">
        <v>730</v>
      </c>
      <c r="K1117" s="3">
        <v>7</v>
      </c>
      <c r="L1117" s="3">
        <v>0</v>
      </c>
      <c r="M1117" s="4">
        <f t="shared" si="148"/>
        <v>9.5890410958904115E-3</v>
      </c>
      <c r="N1117" s="4">
        <f t="shared" si="149"/>
        <v>0</v>
      </c>
      <c r="O1117">
        <v>254</v>
      </c>
      <c r="P1117" s="5">
        <v>0.8</v>
      </c>
      <c r="Q1117" s="7">
        <v>0</v>
      </c>
      <c r="R1117" t="s">
        <v>2344</v>
      </c>
      <c r="S1117" t="str">
        <f t="shared" si="150"/>
        <v>Низшая четверть</v>
      </c>
      <c r="T1117" t="str">
        <f t="shared" si="151"/>
        <v>Низшая четверть</v>
      </c>
      <c r="U1117" t="str">
        <f t="shared" si="152"/>
        <v>код для проверки</v>
      </c>
      <c r="V1117" t="str">
        <f t="shared" si="153"/>
        <v>Низшая четверть</v>
      </c>
      <c r="W1117" t="str">
        <f t="shared" si="154"/>
        <v>Низшая четверть</v>
      </c>
      <c r="X1117">
        <v>11</v>
      </c>
    </row>
    <row r="1118" spans="1:24" x14ac:dyDescent="0.35">
      <c r="A1118" s="1" t="s">
        <v>2213</v>
      </c>
      <c r="B1118" s="2" t="s">
        <v>2214</v>
      </c>
      <c r="C1118" s="3" t="s">
        <v>55</v>
      </c>
      <c r="D1118" s="2" t="s">
        <v>1049</v>
      </c>
      <c r="E1118" s="3" t="s">
        <v>1050</v>
      </c>
      <c r="F1118" s="2" t="s">
        <v>34</v>
      </c>
      <c r="G1118" s="3" t="s">
        <v>17</v>
      </c>
      <c r="H1118" s="2" t="s">
        <v>18</v>
      </c>
      <c r="I1118" s="3" t="s">
        <v>19</v>
      </c>
      <c r="J1118" s="3">
        <v>729</v>
      </c>
      <c r="K1118" s="3">
        <v>21</v>
      </c>
      <c r="L1118" s="3">
        <v>0</v>
      </c>
      <c r="M1118" s="4">
        <f t="shared" si="148"/>
        <v>2.8806584362139918E-2</v>
      </c>
      <c r="N1118" s="4">
        <f t="shared" si="149"/>
        <v>0</v>
      </c>
      <c r="O1118">
        <v>290</v>
      </c>
      <c r="P1118" s="5">
        <v>1</v>
      </c>
      <c r="Q1118" s="7">
        <v>0</v>
      </c>
      <c r="R1118" t="s">
        <v>2344</v>
      </c>
      <c r="S1118" t="str">
        <f t="shared" si="150"/>
        <v>Низшая четверть</v>
      </c>
      <c r="T1118" t="str">
        <f t="shared" si="151"/>
        <v>Низшая четверть</v>
      </c>
      <c r="U1118" t="str">
        <f t="shared" si="152"/>
        <v>код для проверки</v>
      </c>
      <c r="V1118" t="str">
        <f t="shared" si="153"/>
        <v>Низшая четверть</v>
      </c>
      <c r="W1118" t="str">
        <f t="shared" si="154"/>
        <v>Низшая четверть</v>
      </c>
      <c r="X1118">
        <v>23</v>
      </c>
    </row>
    <row r="1119" spans="1:24" x14ac:dyDescent="0.35">
      <c r="A1119" s="1" t="s">
        <v>2160</v>
      </c>
      <c r="B1119" s="2" t="s">
        <v>2161</v>
      </c>
      <c r="C1119" s="3" t="s">
        <v>55</v>
      </c>
      <c r="D1119" s="2" t="s">
        <v>1049</v>
      </c>
      <c r="E1119" s="3" t="s">
        <v>1050</v>
      </c>
      <c r="F1119" s="2" t="s">
        <v>34</v>
      </c>
      <c r="G1119" s="3" t="s">
        <v>17</v>
      </c>
      <c r="H1119" s="2" t="s">
        <v>18</v>
      </c>
      <c r="I1119" s="3" t="s">
        <v>19</v>
      </c>
      <c r="J1119" s="3">
        <v>729</v>
      </c>
      <c r="K1119" s="3">
        <v>921</v>
      </c>
      <c r="L1119" s="3">
        <v>5</v>
      </c>
      <c r="M1119" s="4">
        <f t="shared" si="148"/>
        <v>1.2633744855967077</v>
      </c>
      <c r="N1119" s="4">
        <f t="shared" si="149"/>
        <v>5.4288816503800215E-3</v>
      </c>
      <c r="O1119">
        <v>323</v>
      </c>
      <c r="P1119" s="5">
        <v>1</v>
      </c>
      <c r="Q1119" s="7">
        <v>0</v>
      </c>
      <c r="R1119" t="s">
        <v>2344</v>
      </c>
      <c r="S1119" t="str">
        <f t="shared" si="150"/>
        <v>Больше половины</v>
      </c>
      <c r="T1119" t="str">
        <f t="shared" si="151"/>
        <v>Низшая четверть</v>
      </c>
      <c r="U1119" t="str">
        <f t="shared" si="152"/>
        <v>код для проверки</v>
      </c>
      <c r="V1119" t="str">
        <f t="shared" si="153"/>
        <v>Больше половины</v>
      </c>
      <c r="W1119" t="str">
        <f t="shared" si="154"/>
        <v>Низшая четверть</v>
      </c>
      <c r="X1119">
        <v>22</v>
      </c>
    </row>
    <row r="1120" spans="1:24" x14ac:dyDescent="0.35">
      <c r="A1120" s="1" t="s">
        <v>2733</v>
      </c>
      <c r="B1120" s="2" t="s">
        <v>2734</v>
      </c>
      <c r="C1120" s="3" t="s">
        <v>13</v>
      </c>
      <c r="D1120" s="2" t="s">
        <v>155</v>
      </c>
      <c r="E1120" s="3" t="s">
        <v>156</v>
      </c>
      <c r="F1120" s="2" t="s">
        <v>34</v>
      </c>
      <c r="G1120" s="3" t="s">
        <v>35</v>
      </c>
      <c r="H1120" s="2" t="s">
        <v>18</v>
      </c>
      <c r="I1120" s="3" t="s">
        <v>19</v>
      </c>
      <c r="J1120" s="3">
        <v>723</v>
      </c>
      <c r="K1120" s="3">
        <v>11</v>
      </c>
      <c r="L1120" s="3">
        <v>0</v>
      </c>
      <c r="M1120" s="4">
        <f t="shared" si="148"/>
        <v>1.5214384508990318E-2</v>
      </c>
      <c r="N1120" s="4">
        <f t="shared" si="149"/>
        <v>0</v>
      </c>
      <c r="O1120">
        <v>660</v>
      </c>
      <c r="P1120" s="5">
        <v>1</v>
      </c>
      <c r="Q1120" s="7">
        <v>0</v>
      </c>
      <c r="R1120" t="s">
        <v>2344</v>
      </c>
      <c r="S1120" t="str">
        <f t="shared" si="150"/>
        <v>Низшая четверть</v>
      </c>
      <c r="T1120" t="str">
        <f t="shared" si="151"/>
        <v>Низшая четверть</v>
      </c>
      <c r="U1120" t="str">
        <f t="shared" si="152"/>
        <v>код для проверки</v>
      </c>
      <c r="V1120" t="str">
        <f t="shared" si="153"/>
        <v>Низшая четверть</v>
      </c>
      <c r="W1120" t="str">
        <f t="shared" si="154"/>
        <v>Низшая четверть</v>
      </c>
      <c r="X1120">
        <v>16</v>
      </c>
    </row>
    <row r="1121" spans="1:24" x14ac:dyDescent="0.35">
      <c r="A1121" s="1" t="s">
        <v>1858</v>
      </c>
      <c r="B1121" s="2" t="s">
        <v>1859</v>
      </c>
      <c r="C1121" s="3" t="s">
        <v>13</v>
      </c>
      <c r="D1121" s="2" t="s">
        <v>77</v>
      </c>
      <c r="E1121" s="3" t="s">
        <v>193</v>
      </c>
      <c r="F1121" s="2" t="s">
        <v>34</v>
      </c>
      <c r="G1121" s="3" t="s">
        <v>17</v>
      </c>
      <c r="H1121" s="2" t="s">
        <v>18</v>
      </c>
      <c r="I1121" s="3" t="s">
        <v>19</v>
      </c>
      <c r="J1121" s="3">
        <v>719</v>
      </c>
      <c r="K1121" s="3">
        <v>30</v>
      </c>
      <c r="L1121" s="3">
        <v>1</v>
      </c>
      <c r="M1121" s="4">
        <f t="shared" si="148"/>
        <v>4.1724617524339362E-2</v>
      </c>
      <c r="N1121" s="4">
        <f t="shared" si="149"/>
        <v>3.3333333333333333E-2</v>
      </c>
      <c r="O1121">
        <v>176</v>
      </c>
      <c r="P1121" s="5">
        <v>1</v>
      </c>
      <c r="Q1121" s="7">
        <v>0</v>
      </c>
      <c r="R1121" t="s">
        <v>2344</v>
      </c>
      <c r="S1121" t="str">
        <f t="shared" si="150"/>
        <v>Низшая четверть</v>
      </c>
      <c r="T1121" t="str">
        <f t="shared" si="151"/>
        <v>Больше половины</v>
      </c>
      <c r="U1121" t="str">
        <f t="shared" si="152"/>
        <v>нормальный код</v>
      </c>
      <c r="V1121" t="str">
        <f t="shared" si="153"/>
        <v>Вторая четверть</v>
      </c>
      <c r="W1121" t="str">
        <f t="shared" si="154"/>
        <v>Больше половины</v>
      </c>
      <c r="X1121">
        <v>14</v>
      </c>
    </row>
    <row r="1122" spans="1:24" x14ac:dyDescent="0.35">
      <c r="A1122" s="1" t="s">
        <v>2197</v>
      </c>
      <c r="B1122" s="2" t="s">
        <v>2198</v>
      </c>
      <c r="C1122" s="3" t="s">
        <v>55</v>
      </c>
      <c r="D1122" s="2" t="s">
        <v>1049</v>
      </c>
      <c r="E1122" s="3" t="s">
        <v>1050</v>
      </c>
      <c r="F1122" s="2" t="s">
        <v>34</v>
      </c>
      <c r="G1122" s="3" t="s">
        <v>17</v>
      </c>
      <c r="H1122" s="2" t="s">
        <v>18</v>
      </c>
      <c r="I1122" s="3" t="s">
        <v>19</v>
      </c>
      <c r="J1122" s="3">
        <v>718</v>
      </c>
      <c r="K1122" s="3">
        <v>992</v>
      </c>
      <c r="L1122" s="3">
        <v>8</v>
      </c>
      <c r="M1122" s="4">
        <f t="shared" si="148"/>
        <v>1.3816155988857939</v>
      </c>
      <c r="N1122" s="4">
        <f t="shared" si="149"/>
        <v>8.0645161290322578E-3</v>
      </c>
      <c r="O1122">
        <v>312</v>
      </c>
      <c r="P1122" s="5">
        <v>0.83333333333333337</v>
      </c>
      <c r="Q1122" s="7">
        <v>0</v>
      </c>
      <c r="R1122" t="s">
        <v>2344</v>
      </c>
      <c r="S1122" t="str">
        <f t="shared" si="150"/>
        <v>Больше половины</v>
      </c>
      <c r="T1122" t="str">
        <f t="shared" si="151"/>
        <v>Низшая четверть</v>
      </c>
      <c r="U1122" t="str">
        <f t="shared" si="152"/>
        <v>код для проверки</v>
      </c>
      <c r="V1122" t="str">
        <f t="shared" si="153"/>
        <v>Больше половины</v>
      </c>
      <c r="W1122" t="str">
        <f t="shared" si="154"/>
        <v>Низшая четверть</v>
      </c>
      <c r="X1122">
        <v>23</v>
      </c>
    </row>
    <row r="1123" spans="1:24" x14ac:dyDescent="0.35">
      <c r="A1123" s="1" t="s">
        <v>2211</v>
      </c>
      <c r="B1123" s="2" t="s">
        <v>2212</v>
      </c>
      <c r="C1123" s="3" t="s">
        <v>55</v>
      </c>
      <c r="D1123" s="2" t="s">
        <v>1049</v>
      </c>
      <c r="E1123" s="3" t="s">
        <v>1050</v>
      </c>
      <c r="F1123" s="2" t="s">
        <v>34</v>
      </c>
      <c r="G1123" s="3" t="s">
        <v>17</v>
      </c>
      <c r="H1123" s="2" t="s">
        <v>18</v>
      </c>
      <c r="I1123" s="3" t="s">
        <v>19</v>
      </c>
      <c r="J1123" s="3">
        <v>718</v>
      </c>
      <c r="K1123" s="3">
        <v>18</v>
      </c>
      <c r="L1123" s="3">
        <v>0</v>
      </c>
      <c r="M1123" s="4">
        <f t="shared" si="148"/>
        <v>2.5069637883008356E-2</v>
      </c>
      <c r="N1123" s="4">
        <f t="shared" si="149"/>
        <v>0</v>
      </c>
      <c r="O1123">
        <v>340</v>
      </c>
      <c r="P1123" s="5">
        <v>1</v>
      </c>
      <c r="Q1123" s="7">
        <v>0</v>
      </c>
      <c r="R1123" t="s">
        <v>2344</v>
      </c>
      <c r="S1123" t="str">
        <f t="shared" si="150"/>
        <v>Низшая четверть</v>
      </c>
      <c r="T1123" t="str">
        <f t="shared" si="151"/>
        <v>Низшая четверть</v>
      </c>
      <c r="U1123" t="str">
        <f t="shared" si="152"/>
        <v>код для проверки</v>
      </c>
      <c r="V1123" t="str">
        <f t="shared" si="153"/>
        <v>Низшая четверть</v>
      </c>
      <c r="W1123" t="str">
        <f t="shared" si="154"/>
        <v>Низшая четверть</v>
      </c>
      <c r="X1123">
        <v>23</v>
      </c>
    </row>
    <row r="1124" spans="1:24" x14ac:dyDescent="0.35">
      <c r="A1124" s="1" t="s">
        <v>2406</v>
      </c>
      <c r="B1124" s="2" t="s">
        <v>2407</v>
      </c>
      <c r="C1124" s="3" t="s">
        <v>55</v>
      </c>
      <c r="D1124" s="2" t="s">
        <v>1049</v>
      </c>
      <c r="E1124" s="3" t="s">
        <v>2405</v>
      </c>
      <c r="F1124" s="2" t="s">
        <v>96</v>
      </c>
      <c r="G1124" s="3" t="s">
        <v>17</v>
      </c>
      <c r="H1124" s="2" t="s">
        <v>1223</v>
      </c>
      <c r="I1124" s="3" t="s">
        <v>19</v>
      </c>
      <c r="J1124" s="3">
        <v>715</v>
      </c>
      <c r="K1124" s="3">
        <v>24</v>
      </c>
      <c r="L1124" s="3">
        <v>0</v>
      </c>
      <c r="M1124" s="4">
        <f t="shared" si="148"/>
        <v>3.3566433566433566E-2</v>
      </c>
      <c r="N1124" s="4">
        <f t="shared" si="149"/>
        <v>0</v>
      </c>
      <c r="O1124">
        <v>265</v>
      </c>
      <c r="P1124" s="5">
        <v>0.83333333333333337</v>
      </c>
      <c r="Q1124" s="7">
        <v>0</v>
      </c>
      <c r="R1124" t="s">
        <v>2344</v>
      </c>
      <c r="S1124" t="str">
        <f t="shared" si="150"/>
        <v>Низшая четверть</v>
      </c>
      <c r="T1124" t="str">
        <f t="shared" si="151"/>
        <v>Низшая четверть</v>
      </c>
      <c r="U1124" t="e">
        <f t="shared" si="152"/>
        <v>#DIV/0!</v>
      </c>
      <c r="V1124" t="e">
        <f t="shared" si="153"/>
        <v>#DIV/0!</v>
      </c>
      <c r="W1124" t="e">
        <f t="shared" si="154"/>
        <v>#DIV/0!</v>
      </c>
      <c r="X1124">
        <v>20</v>
      </c>
    </row>
    <row r="1125" spans="1:24" x14ac:dyDescent="0.35">
      <c r="A1125" s="1" t="s">
        <v>2735</v>
      </c>
      <c r="B1125" s="2" t="s">
        <v>2736</v>
      </c>
      <c r="C1125" s="3" t="s">
        <v>13</v>
      </c>
      <c r="D1125" s="2" t="s">
        <v>155</v>
      </c>
      <c r="E1125" s="3" t="s">
        <v>156</v>
      </c>
      <c r="F1125" s="2" t="s">
        <v>34</v>
      </c>
      <c r="G1125" s="3" t="s">
        <v>35</v>
      </c>
      <c r="H1125" s="2" t="s">
        <v>18</v>
      </c>
      <c r="I1125" s="3" t="s">
        <v>19</v>
      </c>
      <c r="J1125" s="3">
        <v>711</v>
      </c>
      <c r="K1125" s="3">
        <v>12</v>
      </c>
      <c r="L1125" s="3">
        <v>0</v>
      </c>
      <c r="M1125" s="4">
        <f t="shared" si="148"/>
        <v>1.6877637130801686E-2</v>
      </c>
      <c r="N1125" s="4">
        <f t="shared" si="149"/>
        <v>0</v>
      </c>
      <c r="O1125">
        <v>710</v>
      </c>
      <c r="P1125" s="5">
        <v>1</v>
      </c>
      <c r="Q1125" s="7">
        <v>0</v>
      </c>
      <c r="R1125" t="s">
        <v>2344</v>
      </c>
      <c r="S1125" t="str">
        <f t="shared" si="150"/>
        <v>Низшая четверть</v>
      </c>
      <c r="T1125" t="str">
        <f t="shared" si="151"/>
        <v>Низшая четверть</v>
      </c>
      <c r="U1125" t="str">
        <f t="shared" si="152"/>
        <v>код для проверки</v>
      </c>
      <c r="V1125" t="str">
        <f t="shared" si="153"/>
        <v>Низшая четверть</v>
      </c>
      <c r="W1125" t="str">
        <f t="shared" si="154"/>
        <v>Низшая четверть</v>
      </c>
      <c r="X1125">
        <v>16</v>
      </c>
    </row>
    <row r="1126" spans="1:24" x14ac:dyDescent="0.35">
      <c r="A1126" s="1" t="s">
        <v>2737</v>
      </c>
      <c r="B1126" s="2" t="s">
        <v>2738</v>
      </c>
      <c r="C1126" s="3" t="s">
        <v>13</v>
      </c>
      <c r="D1126" s="2" t="s">
        <v>155</v>
      </c>
      <c r="E1126" s="3" t="s">
        <v>2605</v>
      </c>
      <c r="F1126" s="2" t="s">
        <v>61</v>
      </c>
      <c r="G1126" s="3" t="s">
        <v>35</v>
      </c>
      <c r="H1126" s="2" t="s">
        <v>18</v>
      </c>
      <c r="I1126" s="3" t="s">
        <v>19</v>
      </c>
      <c r="J1126" s="3">
        <v>710</v>
      </c>
      <c r="K1126" s="3">
        <v>33</v>
      </c>
      <c r="L1126" s="3">
        <v>0</v>
      </c>
      <c r="M1126" s="4">
        <f t="shared" si="148"/>
        <v>4.647887323943662E-2</v>
      </c>
      <c r="N1126" s="4">
        <f t="shared" si="149"/>
        <v>0</v>
      </c>
      <c r="O1126">
        <v>430</v>
      </c>
      <c r="P1126" s="5">
        <v>1</v>
      </c>
      <c r="Q1126" s="7">
        <v>0</v>
      </c>
      <c r="R1126" t="s">
        <v>2344</v>
      </c>
      <c r="S1126" t="str">
        <f t="shared" si="150"/>
        <v>Низшая четверть</v>
      </c>
      <c r="T1126" t="str">
        <f t="shared" si="151"/>
        <v>Низшая четверть</v>
      </c>
      <c r="U1126" t="e">
        <f t="shared" si="152"/>
        <v>#DIV/0!</v>
      </c>
      <c r="V1126" t="e">
        <f t="shared" si="153"/>
        <v>#DIV/0!</v>
      </c>
      <c r="W1126" t="e">
        <f t="shared" si="154"/>
        <v>#DIV/0!</v>
      </c>
      <c r="X1126">
        <v>10</v>
      </c>
    </row>
    <row r="1127" spans="1:24" x14ac:dyDescent="0.35">
      <c r="A1127" s="1" t="s">
        <v>2162</v>
      </c>
      <c r="B1127" s="2" t="s">
        <v>2163</v>
      </c>
      <c r="C1127" s="3" t="s">
        <v>55</v>
      </c>
      <c r="D1127" s="2" t="s">
        <v>1049</v>
      </c>
      <c r="E1127" s="3" t="s">
        <v>1050</v>
      </c>
      <c r="F1127" s="2" t="s">
        <v>34</v>
      </c>
      <c r="G1127" s="3" t="s">
        <v>17</v>
      </c>
      <c r="H1127" s="2" t="s">
        <v>18</v>
      </c>
      <c r="I1127" s="3" t="s">
        <v>19</v>
      </c>
      <c r="J1127" s="3">
        <v>709</v>
      </c>
      <c r="K1127" s="3">
        <v>21</v>
      </c>
      <c r="L1127" s="3">
        <v>0</v>
      </c>
      <c r="M1127" s="4">
        <f t="shared" si="148"/>
        <v>2.9619181946403384E-2</v>
      </c>
      <c r="N1127" s="4">
        <f t="shared" si="149"/>
        <v>0</v>
      </c>
      <c r="O1127">
        <v>130</v>
      </c>
      <c r="P1127" s="5">
        <v>1</v>
      </c>
      <c r="Q1127" s="7">
        <v>0</v>
      </c>
      <c r="R1127" t="s">
        <v>2344</v>
      </c>
      <c r="S1127" t="str">
        <f t="shared" si="150"/>
        <v>Низшая четверть</v>
      </c>
      <c r="T1127" t="str">
        <f t="shared" si="151"/>
        <v>Низшая четверть</v>
      </c>
      <c r="U1127" t="str">
        <f t="shared" si="152"/>
        <v>код для проверки</v>
      </c>
      <c r="V1127" t="str">
        <f t="shared" si="153"/>
        <v>Низшая четверть</v>
      </c>
      <c r="W1127" t="str">
        <f t="shared" si="154"/>
        <v>Низшая четверть</v>
      </c>
      <c r="X1127">
        <v>20</v>
      </c>
    </row>
    <row r="1128" spans="1:24" x14ac:dyDescent="0.35">
      <c r="A1128" s="1" t="s">
        <v>1501</v>
      </c>
      <c r="B1128" s="2" t="s">
        <v>1502</v>
      </c>
      <c r="C1128" s="3" t="s">
        <v>13</v>
      </c>
      <c r="D1128" s="2" t="s">
        <v>121</v>
      </c>
      <c r="E1128" s="3" t="s">
        <v>650</v>
      </c>
      <c r="F1128" s="2" t="s">
        <v>71</v>
      </c>
      <c r="G1128" s="3" t="s">
        <v>35</v>
      </c>
      <c r="H1128" s="2" t="s">
        <v>18</v>
      </c>
      <c r="I1128" s="3" t="s">
        <v>19</v>
      </c>
      <c r="J1128" s="3">
        <v>703</v>
      </c>
      <c r="K1128" s="3">
        <v>19</v>
      </c>
      <c r="L1128" s="3">
        <v>0</v>
      </c>
      <c r="M1128" s="4">
        <f t="shared" si="148"/>
        <v>2.7027027027027029E-2</v>
      </c>
      <c r="N1128" s="4">
        <f t="shared" si="149"/>
        <v>0</v>
      </c>
      <c r="O1128">
        <v>93</v>
      </c>
      <c r="P1128" s="5">
        <v>1</v>
      </c>
      <c r="Q1128" s="7">
        <v>0</v>
      </c>
      <c r="R1128" t="s">
        <v>2344</v>
      </c>
      <c r="S1128" t="str">
        <f t="shared" si="150"/>
        <v>Низшая четверть</v>
      </c>
      <c r="T1128" t="str">
        <f t="shared" si="151"/>
        <v>Низшая четверть</v>
      </c>
      <c r="U1128" t="str">
        <f t="shared" si="152"/>
        <v>код для проверки</v>
      </c>
      <c r="V1128" t="str">
        <f t="shared" si="153"/>
        <v>Низшая четверть</v>
      </c>
      <c r="W1128" t="str">
        <f t="shared" si="154"/>
        <v>Низшая четверть</v>
      </c>
      <c r="X1128">
        <v>22</v>
      </c>
    </row>
    <row r="1129" spans="1:24" x14ac:dyDescent="0.35">
      <c r="A1129" s="1" t="s">
        <v>2410</v>
      </c>
      <c r="B1129" s="2" t="s">
        <v>2411</v>
      </c>
      <c r="C1129" s="3" t="s">
        <v>55</v>
      </c>
      <c r="D1129" s="2" t="s">
        <v>1049</v>
      </c>
      <c r="E1129" s="3" t="s">
        <v>2405</v>
      </c>
      <c r="F1129" s="2" t="s">
        <v>96</v>
      </c>
      <c r="G1129" s="3" t="s">
        <v>17</v>
      </c>
      <c r="H1129" s="2" t="s">
        <v>1223</v>
      </c>
      <c r="I1129" s="3" t="s">
        <v>19</v>
      </c>
      <c r="J1129" s="3">
        <v>702</v>
      </c>
      <c r="K1129" s="3">
        <v>10</v>
      </c>
      <c r="L1129" s="3">
        <v>0</v>
      </c>
      <c r="M1129" s="4">
        <f t="shared" si="148"/>
        <v>1.4245014245014245E-2</v>
      </c>
      <c r="N1129" s="4">
        <f t="shared" si="149"/>
        <v>0</v>
      </c>
      <c r="O1129">
        <v>295</v>
      </c>
      <c r="P1129" s="5">
        <v>0.83333333333333337</v>
      </c>
      <c r="Q1129" s="7">
        <v>0</v>
      </c>
      <c r="R1129" t="s">
        <v>2344</v>
      </c>
      <c r="S1129" t="str">
        <f t="shared" si="150"/>
        <v>Низшая четверть</v>
      </c>
      <c r="T1129" t="str">
        <f t="shared" si="151"/>
        <v>Низшая четверть</v>
      </c>
      <c r="U1129" t="e">
        <f t="shared" si="152"/>
        <v>#DIV/0!</v>
      </c>
      <c r="V1129" t="e">
        <f t="shared" si="153"/>
        <v>#DIV/0!</v>
      </c>
      <c r="W1129" t="e">
        <f t="shared" si="154"/>
        <v>#DIV/0!</v>
      </c>
      <c r="X1129">
        <v>18</v>
      </c>
    </row>
    <row r="1130" spans="1:24" x14ac:dyDescent="0.35">
      <c r="A1130" s="1" t="s">
        <v>1533</v>
      </c>
      <c r="B1130" s="2" t="s">
        <v>1534</v>
      </c>
      <c r="C1130" s="3" t="s">
        <v>13</v>
      </c>
      <c r="D1130" s="2" t="s">
        <v>164</v>
      </c>
      <c r="E1130" s="3" t="s">
        <v>256</v>
      </c>
      <c r="F1130" s="2" t="s">
        <v>123</v>
      </c>
      <c r="G1130" s="3" t="s">
        <v>35</v>
      </c>
      <c r="H1130" s="2" t="s">
        <v>18</v>
      </c>
      <c r="I1130" s="3" t="s">
        <v>19</v>
      </c>
      <c r="J1130" s="3">
        <v>701</v>
      </c>
      <c r="K1130" s="3">
        <v>18</v>
      </c>
      <c r="L1130" s="3">
        <v>0</v>
      </c>
      <c r="M1130" s="4">
        <f t="shared" si="148"/>
        <v>2.5677603423680456E-2</v>
      </c>
      <c r="N1130" s="4">
        <f t="shared" si="149"/>
        <v>0</v>
      </c>
      <c r="O1130">
        <v>226</v>
      </c>
      <c r="P1130" s="5">
        <v>0.8</v>
      </c>
      <c r="Q1130" s="7">
        <v>0</v>
      </c>
      <c r="R1130" t="s">
        <v>2344</v>
      </c>
      <c r="S1130" t="str">
        <f t="shared" si="150"/>
        <v>Низшая четверть</v>
      </c>
      <c r="T1130" t="str">
        <f t="shared" si="151"/>
        <v>Низшая четверть</v>
      </c>
      <c r="U1130" t="str">
        <f t="shared" si="152"/>
        <v>код для проверки</v>
      </c>
      <c r="V1130" t="str">
        <f t="shared" si="153"/>
        <v>Низшая четверть</v>
      </c>
      <c r="W1130" t="str">
        <f t="shared" si="154"/>
        <v>Низшая четверть</v>
      </c>
      <c r="X1130">
        <v>9</v>
      </c>
    </row>
    <row r="1131" spans="1:24" x14ac:dyDescent="0.35">
      <c r="A1131" s="1" t="s">
        <v>2279</v>
      </c>
      <c r="B1131" s="2" t="s">
        <v>2280</v>
      </c>
      <c r="C1131" s="3" t="s">
        <v>13</v>
      </c>
      <c r="D1131" s="2" t="s">
        <v>155</v>
      </c>
      <c r="E1131" s="3" t="s">
        <v>156</v>
      </c>
      <c r="F1131" s="2" t="s">
        <v>34</v>
      </c>
      <c r="G1131" s="3" t="s">
        <v>17</v>
      </c>
      <c r="H1131" s="2" t="s">
        <v>18</v>
      </c>
      <c r="I1131" s="3" t="s">
        <v>19</v>
      </c>
      <c r="J1131" s="3">
        <v>699</v>
      </c>
      <c r="K1131" s="3">
        <v>55</v>
      </c>
      <c r="L1131" s="3">
        <v>1</v>
      </c>
      <c r="M1131" s="4">
        <f t="shared" si="148"/>
        <v>7.8683834048640919E-2</v>
      </c>
      <c r="N1131" s="4">
        <f t="shared" si="149"/>
        <v>1.8181818181818181E-2</v>
      </c>
      <c r="O1131">
        <v>82</v>
      </c>
      <c r="P1131" s="5">
        <v>1</v>
      </c>
      <c r="Q1131" s="7">
        <v>0</v>
      </c>
      <c r="R1131" t="s">
        <v>2344</v>
      </c>
      <c r="S1131" t="str">
        <f t="shared" si="150"/>
        <v>Вторая четверть</v>
      </c>
      <c r="T1131" t="str">
        <f t="shared" si="151"/>
        <v>Вторая четверть</v>
      </c>
      <c r="U1131" t="str">
        <f t="shared" si="152"/>
        <v>нормальный код</v>
      </c>
      <c r="V1131" t="str">
        <f t="shared" si="153"/>
        <v>Вторая четверть</v>
      </c>
      <c r="W1131" t="str">
        <f t="shared" si="154"/>
        <v>Вторая четверть</v>
      </c>
      <c r="X1131">
        <v>17</v>
      </c>
    </row>
    <row r="1132" spans="1:24" x14ac:dyDescent="0.35">
      <c r="A1132" s="1" t="s">
        <v>2457</v>
      </c>
      <c r="B1132" s="2" t="s">
        <v>2458</v>
      </c>
      <c r="C1132" s="3" t="s">
        <v>13</v>
      </c>
      <c r="D1132" s="2" t="s">
        <v>69</v>
      </c>
      <c r="E1132" s="3" t="s">
        <v>2445</v>
      </c>
      <c r="F1132" s="2" t="s">
        <v>96</v>
      </c>
      <c r="G1132" s="3" t="s">
        <v>72</v>
      </c>
      <c r="H1132" s="2" t="s">
        <v>18</v>
      </c>
      <c r="I1132" s="3" t="s">
        <v>19</v>
      </c>
      <c r="J1132" s="3">
        <v>698</v>
      </c>
      <c r="K1132" s="3">
        <v>35</v>
      </c>
      <c r="L1132" s="3">
        <v>2</v>
      </c>
      <c r="M1132" s="4">
        <f t="shared" si="148"/>
        <v>5.0143266475644696E-2</v>
      </c>
      <c r="N1132" s="4">
        <f t="shared" si="149"/>
        <v>5.7142857142857141E-2</v>
      </c>
      <c r="O1132">
        <v>179</v>
      </c>
      <c r="P1132" s="5">
        <v>1</v>
      </c>
      <c r="Q1132" s="7">
        <v>0</v>
      </c>
      <c r="R1132" t="s">
        <v>2344</v>
      </c>
      <c r="S1132" t="str">
        <f t="shared" si="150"/>
        <v>Вторая четверть</v>
      </c>
      <c r="T1132" t="str">
        <f t="shared" si="151"/>
        <v>Больше половины</v>
      </c>
      <c r="U1132" t="str">
        <f t="shared" si="152"/>
        <v>нормальный код</v>
      </c>
      <c r="V1132" t="str">
        <f t="shared" si="153"/>
        <v>Больше половины</v>
      </c>
      <c r="W1132" t="str">
        <f t="shared" si="154"/>
        <v>Больше половины</v>
      </c>
      <c r="X1132">
        <v>10</v>
      </c>
    </row>
    <row r="1133" spans="1:24" x14ac:dyDescent="0.35">
      <c r="A1133" s="1" t="s">
        <v>2739</v>
      </c>
      <c r="B1133" s="2" t="s">
        <v>2740</v>
      </c>
      <c r="C1133" s="3" t="s">
        <v>13</v>
      </c>
      <c r="D1133" s="2" t="s">
        <v>121</v>
      </c>
      <c r="E1133" s="3" t="s">
        <v>122</v>
      </c>
      <c r="F1133" s="2" t="s">
        <v>123</v>
      </c>
      <c r="G1133" s="3" t="s">
        <v>17</v>
      </c>
      <c r="H1133" s="2" t="s">
        <v>18</v>
      </c>
      <c r="I1133" s="3" t="s">
        <v>19</v>
      </c>
      <c r="J1133" s="3">
        <v>697</v>
      </c>
      <c r="K1133" s="3">
        <v>41</v>
      </c>
      <c r="L1133" s="3">
        <v>0</v>
      </c>
      <c r="M1133" s="4">
        <f t="shared" si="148"/>
        <v>5.8823529411764705E-2</v>
      </c>
      <c r="N1133" s="4">
        <f t="shared" si="149"/>
        <v>0</v>
      </c>
      <c r="O1133">
        <v>689</v>
      </c>
      <c r="P1133" s="5">
        <v>1</v>
      </c>
      <c r="Q1133" s="7">
        <v>0</v>
      </c>
      <c r="R1133" t="s">
        <v>2344</v>
      </c>
      <c r="S1133" t="str">
        <f t="shared" si="150"/>
        <v>Вторая четверть</v>
      </c>
      <c r="T1133" t="str">
        <f t="shared" si="151"/>
        <v>Низшая четверть</v>
      </c>
      <c r="U1133" t="str">
        <f t="shared" si="152"/>
        <v>код для проверки</v>
      </c>
      <c r="V1133" t="str">
        <f t="shared" si="153"/>
        <v>Вторая четверть</v>
      </c>
      <c r="W1133" t="str">
        <f t="shared" si="154"/>
        <v>Низшая четверть</v>
      </c>
      <c r="X1133">
        <v>18</v>
      </c>
    </row>
    <row r="1134" spans="1:24" x14ac:dyDescent="0.35">
      <c r="A1134" s="1" t="s">
        <v>2168</v>
      </c>
      <c r="B1134" s="2" t="s">
        <v>2169</v>
      </c>
      <c r="C1134" s="3" t="s">
        <v>13</v>
      </c>
      <c r="D1134" s="2" t="s">
        <v>22</v>
      </c>
      <c r="E1134" s="3" t="s">
        <v>396</v>
      </c>
      <c r="F1134" s="2" t="s">
        <v>16</v>
      </c>
      <c r="G1134" s="3" t="s">
        <v>17</v>
      </c>
      <c r="H1134" s="2" t="s">
        <v>18</v>
      </c>
      <c r="I1134" s="3" t="s">
        <v>19</v>
      </c>
      <c r="J1134" s="3">
        <v>696</v>
      </c>
      <c r="K1134" s="3">
        <v>30</v>
      </c>
      <c r="L1134" s="3">
        <v>1</v>
      </c>
      <c r="M1134" s="4">
        <f t="shared" si="148"/>
        <v>4.3103448275862072E-2</v>
      </c>
      <c r="N1134" s="4">
        <f t="shared" si="149"/>
        <v>3.3333333333333333E-2</v>
      </c>
      <c r="O1134">
        <v>298</v>
      </c>
      <c r="P1134" s="5">
        <v>0.8571428571428571</v>
      </c>
      <c r="Q1134" s="7">
        <v>0</v>
      </c>
      <c r="R1134" t="s">
        <v>2344</v>
      </c>
      <c r="S1134" t="str">
        <f t="shared" si="150"/>
        <v>Низшая четверть</v>
      </c>
      <c r="T1134" t="str">
        <f t="shared" si="151"/>
        <v>Больше половины</v>
      </c>
      <c r="U1134" t="str">
        <f t="shared" si="152"/>
        <v>нормальный код</v>
      </c>
      <c r="V1134" t="str">
        <f t="shared" si="153"/>
        <v>Вторая четверть</v>
      </c>
      <c r="W1134" t="str">
        <f t="shared" si="154"/>
        <v>Больше половины</v>
      </c>
      <c r="X1134">
        <v>18</v>
      </c>
    </row>
    <row r="1135" spans="1:24" x14ac:dyDescent="0.35">
      <c r="A1135" s="1" t="s">
        <v>1426</v>
      </c>
      <c r="B1135" s="2" t="s">
        <v>1427</v>
      </c>
      <c r="C1135" s="3" t="s">
        <v>13</v>
      </c>
      <c r="D1135" s="2" t="s">
        <v>412</v>
      </c>
      <c r="E1135" s="3" t="s">
        <v>611</v>
      </c>
      <c r="F1135" s="2" t="s">
        <v>61</v>
      </c>
      <c r="G1135" s="3" t="s">
        <v>17</v>
      </c>
      <c r="H1135" s="2" t="s">
        <v>97</v>
      </c>
      <c r="I1135" s="3" t="s">
        <v>19</v>
      </c>
      <c r="J1135" s="3">
        <v>696</v>
      </c>
      <c r="K1135" s="3">
        <v>257</v>
      </c>
      <c r="L1135" s="3">
        <v>1</v>
      </c>
      <c r="M1135" s="4">
        <f t="shared" si="148"/>
        <v>0.3692528735632184</v>
      </c>
      <c r="N1135" s="4">
        <f t="shared" si="149"/>
        <v>3.8910505836575876E-3</v>
      </c>
      <c r="O1135">
        <v>745</v>
      </c>
      <c r="P1135" s="5">
        <v>0.66666666666666663</v>
      </c>
      <c r="Q1135" s="7">
        <v>0</v>
      </c>
      <c r="R1135" t="s">
        <v>2344</v>
      </c>
      <c r="S1135" t="str">
        <f t="shared" si="150"/>
        <v>Больше половины</v>
      </c>
      <c r="T1135" t="str">
        <f t="shared" si="151"/>
        <v>Низшая четверть</v>
      </c>
      <c r="U1135" t="str">
        <f t="shared" si="152"/>
        <v>код для проверки</v>
      </c>
      <c r="V1135" t="str">
        <f t="shared" si="153"/>
        <v>Больше половины</v>
      </c>
      <c r="W1135" t="str">
        <f t="shared" si="154"/>
        <v>Низшая четверть</v>
      </c>
      <c r="X1135">
        <v>6</v>
      </c>
    </row>
    <row r="1136" spans="1:24" x14ac:dyDescent="0.35">
      <c r="A1136" s="1" t="s">
        <v>2741</v>
      </c>
      <c r="B1136" s="2" t="s">
        <v>2742</v>
      </c>
      <c r="C1136" s="3" t="s">
        <v>13</v>
      </c>
      <c r="D1136" s="2" t="s">
        <v>69</v>
      </c>
      <c r="E1136" s="3" t="s">
        <v>2533</v>
      </c>
      <c r="F1136" s="2" t="s">
        <v>34</v>
      </c>
      <c r="G1136" s="3" t="s">
        <v>72</v>
      </c>
      <c r="H1136" s="2" t="s">
        <v>18</v>
      </c>
      <c r="I1136" s="3" t="s">
        <v>19</v>
      </c>
      <c r="J1136" s="3">
        <v>690</v>
      </c>
      <c r="K1136" s="3">
        <v>55</v>
      </c>
      <c r="L1136" s="3">
        <v>1</v>
      </c>
      <c r="M1136" s="4">
        <f t="shared" si="148"/>
        <v>7.9710144927536225E-2</v>
      </c>
      <c r="N1136" s="4">
        <f t="shared" si="149"/>
        <v>1.8181818181818181E-2</v>
      </c>
      <c r="O1136">
        <v>79</v>
      </c>
      <c r="P1136" s="5">
        <v>1</v>
      </c>
      <c r="Q1136" s="7">
        <v>0</v>
      </c>
      <c r="R1136" t="s">
        <v>2344</v>
      </c>
      <c r="S1136" t="str">
        <f t="shared" si="150"/>
        <v>Вторая четверть</v>
      </c>
      <c r="T1136" t="str">
        <f t="shared" si="151"/>
        <v>Вторая четверть</v>
      </c>
      <c r="U1136" t="str">
        <f t="shared" si="152"/>
        <v>код для проверки</v>
      </c>
      <c r="V1136" t="str">
        <f t="shared" si="153"/>
        <v>Больше половины</v>
      </c>
      <c r="W1136" t="str">
        <f t="shared" si="154"/>
        <v>Низшая четверть</v>
      </c>
      <c r="X1136">
        <v>17</v>
      </c>
    </row>
    <row r="1137" spans="1:24" x14ac:dyDescent="0.35">
      <c r="A1137" s="1" t="s">
        <v>2743</v>
      </c>
      <c r="B1137" s="2" t="s">
        <v>2744</v>
      </c>
      <c r="C1137" s="3" t="s">
        <v>13</v>
      </c>
      <c r="D1137" s="2" t="s">
        <v>69</v>
      </c>
      <c r="E1137" s="3" t="s">
        <v>1780</v>
      </c>
      <c r="F1137" s="2" t="s">
        <v>61</v>
      </c>
      <c r="G1137" s="3" t="s">
        <v>72</v>
      </c>
      <c r="H1137" s="2" t="s">
        <v>18</v>
      </c>
      <c r="I1137" s="3" t="s">
        <v>19</v>
      </c>
      <c r="J1137" s="3">
        <v>683</v>
      </c>
      <c r="K1137" s="3">
        <v>29</v>
      </c>
      <c r="L1137" s="3">
        <v>0</v>
      </c>
      <c r="M1137" s="4">
        <f t="shared" si="148"/>
        <v>4.24597364568082E-2</v>
      </c>
      <c r="N1137" s="4">
        <f t="shared" si="149"/>
        <v>0</v>
      </c>
      <c r="O1137">
        <v>100</v>
      </c>
      <c r="P1137" s="5">
        <v>1</v>
      </c>
      <c r="Q1137" s="7">
        <v>0</v>
      </c>
      <c r="R1137" t="s">
        <v>2344</v>
      </c>
      <c r="S1137" t="str">
        <f t="shared" si="150"/>
        <v>Низшая четверть</v>
      </c>
      <c r="T1137" t="str">
        <f t="shared" si="151"/>
        <v>Низшая четверть</v>
      </c>
      <c r="U1137" t="str">
        <f t="shared" si="152"/>
        <v>код для проверки</v>
      </c>
      <c r="V1137" t="str">
        <f t="shared" si="153"/>
        <v>Больше половины</v>
      </c>
      <c r="W1137" t="str">
        <f t="shared" si="154"/>
        <v>Низшая четверть</v>
      </c>
      <c r="X1137">
        <v>12</v>
      </c>
    </row>
    <row r="1138" spans="1:24" x14ac:dyDescent="0.35">
      <c r="A1138" s="1" t="s">
        <v>2745</v>
      </c>
      <c r="B1138" s="2" t="s">
        <v>2746</v>
      </c>
      <c r="C1138" s="3" t="s">
        <v>13</v>
      </c>
      <c r="D1138" s="2" t="s">
        <v>85</v>
      </c>
      <c r="E1138" s="3" t="s">
        <v>1937</v>
      </c>
      <c r="F1138" s="2" t="s">
        <v>96</v>
      </c>
      <c r="G1138" s="3" t="s">
        <v>17</v>
      </c>
      <c r="H1138" s="2" t="s">
        <v>18</v>
      </c>
      <c r="I1138" s="3" t="s">
        <v>19</v>
      </c>
      <c r="J1138" s="3">
        <v>683</v>
      </c>
      <c r="K1138" s="3">
        <v>25</v>
      </c>
      <c r="L1138" s="3">
        <v>1</v>
      </c>
      <c r="M1138" s="4">
        <f t="shared" si="148"/>
        <v>3.6603221083455345E-2</v>
      </c>
      <c r="N1138" s="4">
        <f t="shared" si="149"/>
        <v>0.04</v>
      </c>
      <c r="O1138">
        <v>219</v>
      </c>
      <c r="P1138" s="5">
        <v>1</v>
      </c>
      <c r="Q1138" s="7">
        <v>0</v>
      </c>
      <c r="R1138" t="s">
        <v>2344</v>
      </c>
      <c r="S1138" t="str">
        <f t="shared" si="150"/>
        <v>Низшая четверть</v>
      </c>
      <c r="T1138" t="str">
        <f t="shared" si="151"/>
        <v>Больше половины</v>
      </c>
      <c r="U1138" t="str">
        <f t="shared" si="152"/>
        <v>нормальный код</v>
      </c>
      <c r="V1138" t="str">
        <f t="shared" si="153"/>
        <v>Вторая четверть</v>
      </c>
      <c r="W1138" t="str">
        <f t="shared" si="154"/>
        <v>Больше половины</v>
      </c>
      <c r="X1138">
        <v>17</v>
      </c>
    </row>
    <row r="1139" spans="1:24" x14ac:dyDescent="0.35">
      <c r="A1139" s="1" t="s">
        <v>2747</v>
      </c>
      <c r="B1139" s="2" t="s">
        <v>2748</v>
      </c>
      <c r="C1139" s="3" t="s">
        <v>13</v>
      </c>
      <c r="D1139" s="2" t="s">
        <v>155</v>
      </c>
      <c r="E1139" s="3" t="s">
        <v>156</v>
      </c>
      <c r="F1139" s="2" t="s">
        <v>34</v>
      </c>
      <c r="G1139" s="3" t="s">
        <v>35</v>
      </c>
      <c r="H1139" s="2" t="s">
        <v>18</v>
      </c>
      <c r="I1139" s="3" t="s">
        <v>19</v>
      </c>
      <c r="J1139" s="3">
        <v>679</v>
      </c>
      <c r="K1139" s="3">
        <v>12</v>
      </c>
      <c r="L1139" s="3">
        <v>0</v>
      </c>
      <c r="M1139" s="4">
        <f t="shared" si="148"/>
        <v>1.7673048600883652E-2</v>
      </c>
      <c r="N1139" s="4">
        <f t="shared" si="149"/>
        <v>0</v>
      </c>
      <c r="O1139">
        <v>120</v>
      </c>
      <c r="P1139" s="5">
        <v>0.2</v>
      </c>
      <c r="Q1139" s="7">
        <v>0</v>
      </c>
      <c r="R1139" t="s">
        <v>2344</v>
      </c>
      <c r="S1139" t="str">
        <f t="shared" si="150"/>
        <v>Низшая четверть</v>
      </c>
      <c r="T1139" t="str">
        <f t="shared" si="151"/>
        <v>Низшая четверть</v>
      </c>
      <c r="U1139" t="str">
        <f t="shared" si="152"/>
        <v>код для проверки</v>
      </c>
      <c r="V1139" t="str">
        <f t="shared" si="153"/>
        <v>Низшая четверть</v>
      </c>
      <c r="W1139" t="str">
        <f t="shared" si="154"/>
        <v>Низшая четверть</v>
      </c>
      <c r="X1139">
        <v>6</v>
      </c>
    </row>
    <row r="1140" spans="1:24" x14ac:dyDescent="0.35">
      <c r="A1140" s="1" t="s">
        <v>1776</v>
      </c>
      <c r="B1140" s="2" t="s">
        <v>1777</v>
      </c>
      <c r="C1140" s="3" t="s">
        <v>55</v>
      </c>
      <c r="D1140" s="2" t="s">
        <v>94</v>
      </c>
      <c r="E1140" s="3" t="s">
        <v>812</v>
      </c>
      <c r="F1140" s="2" t="s">
        <v>96</v>
      </c>
      <c r="G1140" s="3" t="s">
        <v>17</v>
      </c>
      <c r="H1140" s="2" t="s">
        <v>18</v>
      </c>
      <c r="I1140" s="3" t="s">
        <v>19</v>
      </c>
      <c r="J1140" s="3">
        <v>678</v>
      </c>
      <c r="K1140" s="3">
        <v>200</v>
      </c>
      <c r="L1140" s="3">
        <v>1</v>
      </c>
      <c r="M1140" s="4">
        <f t="shared" si="148"/>
        <v>0.29498525073746312</v>
      </c>
      <c r="N1140" s="4">
        <f t="shared" si="149"/>
        <v>5.0000000000000001E-3</v>
      </c>
      <c r="O1140">
        <v>460</v>
      </c>
      <c r="P1140" s="5">
        <v>0.8</v>
      </c>
      <c r="Q1140" s="7">
        <v>0</v>
      </c>
      <c r="R1140" t="s">
        <v>2344</v>
      </c>
      <c r="S1140" t="str">
        <f t="shared" si="150"/>
        <v>Больше половины</v>
      </c>
      <c r="T1140" t="str">
        <f t="shared" si="151"/>
        <v>Низшая четверть</v>
      </c>
      <c r="U1140" t="str">
        <f t="shared" si="152"/>
        <v>код для проверки</v>
      </c>
      <c r="V1140" t="str">
        <f t="shared" si="153"/>
        <v>Больше половины</v>
      </c>
      <c r="W1140" t="str">
        <f t="shared" si="154"/>
        <v>Низшая четверть</v>
      </c>
      <c r="X1140">
        <v>7</v>
      </c>
    </row>
    <row r="1141" spans="1:24" x14ac:dyDescent="0.35">
      <c r="A1141" s="1" t="s">
        <v>2749</v>
      </c>
      <c r="B1141" s="2" t="s">
        <v>2750</v>
      </c>
      <c r="C1141" s="3" t="s">
        <v>13</v>
      </c>
      <c r="D1141" s="2" t="s">
        <v>155</v>
      </c>
      <c r="E1141" s="3" t="s">
        <v>156</v>
      </c>
      <c r="F1141" s="2" t="s">
        <v>34</v>
      </c>
      <c r="G1141" s="3" t="s">
        <v>35</v>
      </c>
      <c r="H1141" s="2" t="s">
        <v>18</v>
      </c>
      <c r="I1141" s="3" t="s">
        <v>19</v>
      </c>
      <c r="J1141" s="3">
        <v>678</v>
      </c>
      <c r="K1141" s="3">
        <v>5</v>
      </c>
      <c r="L1141" s="3">
        <v>0</v>
      </c>
      <c r="M1141" s="4">
        <f t="shared" si="148"/>
        <v>7.3746312684365781E-3</v>
      </c>
      <c r="N1141" s="4">
        <f t="shared" si="149"/>
        <v>0</v>
      </c>
      <c r="O1141">
        <v>364</v>
      </c>
      <c r="P1141" s="5">
        <v>0.8</v>
      </c>
      <c r="Q1141" s="7">
        <v>0</v>
      </c>
      <c r="R1141" t="s">
        <v>2344</v>
      </c>
      <c r="S1141" t="str">
        <f t="shared" si="150"/>
        <v>Низшая четверть</v>
      </c>
      <c r="T1141" t="str">
        <f t="shared" si="151"/>
        <v>Низшая четверть</v>
      </c>
      <c r="U1141" t="str">
        <f t="shared" si="152"/>
        <v>код для проверки</v>
      </c>
      <c r="V1141" t="str">
        <f t="shared" si="153"/>
        <v>Низшая четверть</v>
      </c>
      <c r="W1141" t="str">
        <f t="shared" si="154"/>
        <v>Низшая четверть</v>
      </c>
      <c r="X1141">
        <v>15</v>
      </c>
    </row>
    <row r="1142" spans="1:24" x14ac:dyDescent="0.35">
      <c r="A1142" s="1" t="s">
        <v>2751</v>
      </c>
      <c r="B1142" s="2" t="s">
        <v>2752</v>
      </c>
      <c r="C1142" s="3" t="s">
        <v>13</v>
      </c>
      <c r="D1142" s="2" t="s">
        <v>155</v>
      </c>
      <c r="E1142" s="3" t="s">
        <v>156</v>
      </c>
      <c r="F1142" s="2" t="s">
        <v>34</v>
      </c>
      <c r="G1142" s="3" t="s">
        <v>17</v>
      </c>
      <c r="H1142" s="2" t="s">
        <v>18</v>
      </c>
      <c r="I1142" s="3" t="s">
        <v>19</v>
      </c>
      <c r="J1142" s="3">
        <v>675</v>
      </c>
      <c r="K1142" s="3">
        <v>5</v>
      </c>
      <c r="L1142" s="3">
        <v>0</v>
      </c>
      <c r="M1142" s="4">
        <f t="shared" si="148"/>
        <v>7.4074074074074077E-3</v>
      </c>
      <c r="N1142" s="4">
        <f t="shared" si="149"/>
        <v>0</v>
      </c>
      <c r="O1142">
        <v>445</v>
      </c>
      <c r="P1142" s="5">
        <v>1</v>
      </c>
      <c r="Q1142" s="7">
        <v>0</v>
      </c>
      <c r="R1142" t="s">
        <v>2344</v>
      </c>
      <c r="S1142" t="str">
        <f t="shared" si="150"/>
        <v>Низшая четверть</v>
      </c>
      <c r="T1142" t="str">
        <f t="shared" si="151"/>
        <v>Низшая четверть</v>
      </c>
      <c r="U1142" t="str">
        <f t="shared" si="152"/>
        <v>код для проверки</v>
      </c>
      <c r="V1142" t="str">
        <f t="shared" si="153"/>
        <v>Низшая четверть</v>
      </c>
      <c r="W1142" t="str">
        <f t="shared" si="154"/>
        <v>Низшая четверть</v>
      </c>
      <c r="X1142">
        <v>19</v>
      </c>
    </row>
    <row r="1143" spans="1:24" x14ac:dyDescent="0.35">
      <c r="A1143" s="1" t="s">
        <v>2753</v>
      </c>
      <c r="B1143" s="2" t="s">
        <v>2754</v>
      </c>
      <c r="C1143" s="3" t="s">
        <v>13</v>
      </c>
      <c r="D1143" s="2" t="s">
        <v>630</v>
      </c>
      <c r="E1143" s="3" t="s">
        <v>685</v>
      </c>
      <c r="F1143" s="2" t="s">
        <v>61</v>
      </c>
      <c r="G1143" s="3" t="s">
        <v>17</v>
      </c>
      <c r="H1143" s="2" t="s">
        <v>97</v>
      </c>
      <c r="I1143" s="3" t="s">
        <v>19</v>
      </c>
      <c r="J1143" s="3">
        <v>660</v>
      </c>
      <c r="K1143" s="3">
        <v>63</v>
      </c>
      <c r="L1143" s="3">
        <v>1</v>
      </c>
      <c r="M1143" s="4">
        <f t="shared" si="148"/>
        <v>9.5454545454545459E-2</v>
      </c>
      <c r="N1143" s="4">
        <f t="shared" si="149"/>
        <v>1.5873015873015872E-2</v>
      </c>
      <c r="O1143">
        <v>399</v>
      </c>
      <c r="P1143" s="5">
        <v>1</v>
      </c>
      <c r="Q1143" s="7">
        <v>0</v>
      </c>
      <c r="R1143" t="s">
        <v>2344</v>
      </c>
      <c r="S1143" t="str">
        <f t="shared" si="150"/>
        <v>Больше половины</v>
      </c>
      <c r="T1143" t="str">
        <f t="shared" si="151"/>
        <v>Вторая четверть</v>
      </c>
      <c r="U1143" t="str">
        <f t="shared" si="152"/>
        <v>нормальный код</v>
      </c>
      <c r="V1143" t="str">
        <f t="shared" si="153"/>
        <v>Вторая четверть</v>
      </c>
      <c r="W1143" t="str">
        <f t="shared" si="154"/>
        <v>Вторая четверть</v>
      </c>
      <c r="X1143">
        <v>8</v>
      </c>
    </row>
    <row r="1144" spans="1:24" x14ac:dyDescent="0.35">
      <c r="A1144" s="1" t="s">
        <v>2224</v>
      </c>
      <c r="B1144" s="2" t="s">
        <v>2225</v>
      </c>
      <c r="C1144" s="3" t="s">
        <v>13</v>
      </c>
      <c r="D1144" s="2" t="s">
        <v>69</v>
      </c>
      <c r="E1144" s="3" t="s">
        <v>455</v>
      </c>
      <c r="F1144" s="2" t="s">
        <v>34</v>
      </c>
      <c r="G1144" s="3" t="s">
        <v>72</v>
      </c>
      <c r="H1144" s="2" t="s">
        <v>18</v>
      </c>
      <c r="I1144" s="3" t="s">
        <v>19</v>
      </c>
      <c r="J1144" s="3">
        <v>652</v>
      </c>
      <c r="K1144" s="3">
        <v>268</v>
      </c>
      <c r="L1144" s="3">
        <v>11</v>
      </c>
      <c r="M1144" s="4">
        <f t="shared" si="148"/>
        <v>0.41104294478527609</v>
      </c>
      <c r="N1144" s="4">
        <f t="shared" si="149"/>
        <v>4.1044776119402986E-2</v>
      </c>
      <c r="O1144">
        <v>210</v>
      </c>
      <c r="P1144" s="5">
        <v>1</v>
      </c>
      <c r="Q1144" s="7">
        <v>0</v>
      </c>
      <c r="R1144" t="s">
        <v>2344</v>
      </c>
      <c r="S1144" t="str">
        <f t="shared" si="150"/>
        <v>Больше половины</v>
      </c>
      <c r="T1144" t="str">
        <f t="shared" si="151"/>
        <v>Больше половины</v>
      </c>
      <c r="U1144" t="str">
        <f t="shared" si="152"/>
        <v>нормальный код</v>
      </c>
      <c r="V1144" t="str">
        <f t="shared" si="153"/>
        <v>Больше половины</v>
      </c>
      <c r="W1144" t="str">
        <f t="shared" si="154"/>
        <v>Больше половины</v>
      </c>
      <c r="X1144">
        <v>13</v>
      </c>
    </row>
    <row r="1145" spans="1:24" x14ac:dyDescent="0.35">
      <c r="A1145" s="1" t="s">
        <v>2389</v>
      </c>
      <c r="B1145" s="2" t="s">
        <v>2390</v>
      </c>
      <c r="C1145" s="3" t="s">
        <v>55</v>
      </c>
      <c r="D1145" s="2" t="s">
        <v>1221</v>
      </c>
      <c r="E1145" s="3" t="s">
        <v>1450</v>
      </c>
      <c r="F1145" s="2" t="s">
        <v>61</v>
      </c>
      <c r="G1145" s="3" t="s">
        <v>17</v>
      </c>
      <c r="H1145" s="2" t="s">
        <v>18</v>
      </c>
      <c r="I1145" s="3" t="s">
        <v>19</v>
      </c>
      <c r="J1145" s="3">
        <v>649</v>
      </c>
      <c r="K1145" s="3">
        <v>20</v>
      </c>
      <c r="L1145" s="3">
        <v>0</v>
      </c>
      <c r="M1145" s="4">
        <f t="shared" si="148"/>
        <v>3.0816640986132512E-2</v>
      </c>
      <c r="N1145" s="4">
        <f t="shared" si="149"/>
        <v>0</v>
      </c>
      <c r="O1145">
        <v>894</v>
      </c>
      <c r="P1145" s="5">
        <v>1</v>
      </c>
      <c r="Q1145" s="7">
        <v>0</v>
      </c>
      <c r="R1145" t="s">
        <v>2344</v>
      </c>
      <c r="S1145" t="str">
        <f t="shared" si="150"/>
        <v>Низшая четверть</v>
      </c>
      <c r="T1145" t="str">
        <f t="shared" si="151"/>
        <v>Низшая четверть</v>
      </c>
      <c r="U1145" t="str">
        <f t="shared" si="152"/>
        <v>код для проверки</v>
      </c>
      <c r="V1145" t="str">
        <f t="shared" si="153"/>
        <v>Вторая четверть</v>
      </c>
      <c r="W1145" t="str">
        <f t="shared" si="154"/>
        <v>Низшая четверть</v>
      </c>
      <c r="X1145">
        <v>11</v>
      </c>
    </row>
    <row r="1146" spans="1:24" x14ac:dyDescent="0.35">
      <c r="A1146" s="1" t="s">
        <v>2755</v>
      </c>
      <c r="B1146" s="2" t="s">
        <v>2756</v>
      </c>
      <c r="C1146" s="3" t="s">
        <v>13</v>
      </c>
      <c r="D1146" s="2" t="s">
        <v>143</v>
      </c>
      <c r="E1146" s="3" t="s">
        <v>1071</v>
      </c>
      <c r="F1146" s="2" t="s">
        <v>34</v>
      </c>
      <c r="G1146" s="3" t="s">
        <v>35</v>
      </c>
      <c r="H1146" s="2" t="s">
        <v>18</v>
      </c>
      <c r="I1146" s="3" t="s">
        <v>19</v>
      </c>
      <c r="J1146" s="3">
        <v>646</v>
      </c>
      <c r="K1146" s="3">
        <v>6</v>
      </c>
      <c r="L1146" s="3">
        <v>0</v>
      </c>
      <c r="M1146" s="4">
        <f t="shared" si="148"/>
        <v>9.2879256965944269E-3</v>
      </c>
      <c r="N1146" s="4">
        <f t="shared" si="149"/>
        <v>0</v>
      </c>
      <c r="O1146">
        <v>725</v>
      </c>
      <c r="P1146" s="5">
        <v>1</v>
      </c>
      <c r="Q1146" s="7">
        <v>0</v>
      </c>
      <c r="R1146" t="s">
        <v>2344</v>
      </c>
      <c r="S1146" t="str">
        <f t="shared" si="150"/>
        <v>Низшая четверть</v>
      </c>
      <c r="T1146" t="str">
        <f t="shared" si="151"/>
        <v>Низшая четверть</v>
      </c>
      <c r="U1146" t="str">
        <f t="shared" si="152"/>
        <v>код для проверки</v>
      </c>
      <c r="V1146" t="str">
        <f t="shared" si="153"/>
        <v>Низшая четверть</v>
      </c>
      <c r="W1146" t="str">
        <f t="shared" si="154"/>
        <v>Больше половины</v>
      </c>
      <c r="X1146">
        <v>9</v>
      </c>
    </row>
    <row r="1147" spans="1:24" x14ac:dyDescent="0.35">
      <c r="A1147" s="1" t="s">
        <v>2757</v>
      </c>
      <c r="B1147" s="2" t="s">
        <v>2758</v>
      </c>
      <c r="C1147" s="3" t="s">
        <v>13</v>
      </c>
      <c r="D1147" s="2" t="s">
        <v>143</v>
      </c>
      <c r="E1147" s="3" t="s">
        <v>1071</v>
      </c>
      <c r="F1147" s="2" t="s">
        <v>34</v>
      </c>
      <c r="G1147" s="3" t="s">
        <v>35</v>
      </c>
      <c r="H1147" s="2" t="s">
        <v>18</v>
      </c>
      <c r="I1147" s="3" t="s">
        <v>19</v>
      </c>
      <c r="J1147" s="3">
        <v>641</v>
      </c>
      <c r="K1147" s="3">
        <v>12</v>
      </c>
      <c r="L1147" s="3">
        <v>0</v>
      </c>
      <c r="M1147" s="4">
        <f t="shared" si="148"/>
        <v>1.8720748829953199E-2</v>
      </c>
      <c r="N1147" s="4">
        <f t="shared" si="149"/>
        <v>0</v>
      </c>
      <c r="O1147">
        <v>700</v>
      </c>
      <c r="P1147" s="5">
        <v>1</v>
      </c>
      <c r="Q1147" s="7">
        <v>0</v>
      </c>
      <c r="R1147" t="s">
        <v>2344</v>
      </c>
      <c r="S1147" t="str">
        <f t="shared" si="150"/>
        <v>Низшая четверть</v>
      </c>
      <c r="T1147" t="str">
        <f t="shared" si="151"/>
        <v>Низшая четверть</v>
      </c>
      <c r="U1147" t="str">
        <f t="shared" si="152"/>
        <v>нормальный код</v>
      </c>
      <c r="V1147" t="str">
        <f t="shared" si="153"/>
        <v>Вторая четверть</v>
      </c>
      <c r="W1147" t="str">
        <f t="shared" si="154"/>
        <v>Больше половины</v>
      </c>
      <c r="X1147">
        <v>14</v>
      </c>
    </row>
    <row r="1148" spans="1:24" x14ac:dyDescent="0.35">
      <c r="A1148" s="1" t="s">
        <v>2759</v>
      </c>
      <c r="B1148" s="2" t="s">
        <v>2760</v>
      </c>
      <c r="C1148" s="3" t="s">
        <v>13</v>
      </c>
      <c r="D1148" s="2" t="s">
        <v>155</v>
      </c>
      <c r="E1148" s="3" t="s">
        <v>156</v>
      </c>
      <c r="F1148" s="2" t="s">
        <v>34</v>
      </c>
      <c r="G1148" s="3" t="s">
        <v>35</v>
      </c>
      <c r="H1148" s="2" t="s">
        <v>18</v>
      </c>
      <c r="I1148" s="3" t="s">
        <v>19</v>
      </c>
      <c r="J1148" s="3">
        <v>641</v>
      </c>
      <c r="K1148" s="3">
        <v>17</v>
      </c>
      <c r="L1148" s="3">
        <v>0</v>
      </c>
      <c r="M1148" s="4">
        <f t="shared" si="148"/>
        <v>2.6521060842433698E-2</v>
      </c>
      <c r="N1148" s="4">
        <f t="shared" si="149"/>
        <v>0</v>
      </c>
      <c r="O1148">
        <v>679</v>
      </c>
      <c r="P1148" s="5">
        <v>1</v>
      </c>
      <c r="Q1148" s="7">
        <v>0</v>
      </c>
      <c r="R1148" t="s">
        <v>2344</v>
      </c>
      <c r="S1148" t="str">
        <f t="shared" si="150"/>
        <v>Низшая четверть</v>
      </c>
      <c r="T1148" t="str">
        <f t="shared" si="151"/>
        <v>Низшая четверть</v>
      </c>
      <c r="U1148" t="str">
        <f t="shared" si="152"/>
        <v>код для проверки</v>
      </c>
      <c r="V1148" t="str">
        <f t="shared" si="153"/>
        <v>Низшая четверть</v>
      </c>
      <c r="W1148" t="str">
        <f t="shared" si="154"/>
        <v>Низшая четверть</v>
      </c>
      <c r="X1148">
        <v>19</v>
      </c>
    </row>
    <row r="1149" spans="1:24" x14ac:dyDescent="0.35">
      <c r="A1149" s="1" t="s">
        <v>2761</v>
      </c>
      <c r="B1149" s="2" t="s">
        <v>2762</v>
      </c>
      <c r="C1149" s="3" t="s">
        <v>13</v>
      </c>
      <c r="D1149" s="2" t="s">
        <v>77</v>
      </c>
      <c r="E1149" s="3" t="s">
        <v>89</v>
      </c>
      <c r="F1149" s="2" t="s">
        <v>34</v>
      </c>
      <c r="G1149" s="3" t="s">
        <v>17</v>
      </c>
      <c r="H1149" s="2" t="s">
        <v>18</v>
      </c>
      <c r="I1149" s="3" t="s">
        <v>19</v>
      </c>
      <c r="J1149" s="3">
        <v>637</v>
      </c>
      <c r="K1149" s="3">
        <v>7</v>
      </c>
      <c r="L1149" s="3">
        <v>0</v>
      </c>
      <c r="M1149" s="4">
        <f t="shared" si="148"/>
        <v>1.098901098901099E-2</v>
      </c>
      <c r="N1149" s="4">
        <f t="shared" si="149"/>
        <v>0</v>
      </c>
      <c r="O1149">
        <v>1</v>
      </c>
      <c r="P1149" s="5">
        <v>0.1111111111111111</v>
      </c>
      <c r="Q1149" s="7">
        <v>0</v>
      </c>
      <c r="R1149" t="s">
        <v>2350</v>
      </c>
      <c r="S1149" t="str">
        <f t="shared" si="150"/>
        <v>Низшая четверть</v>
      </c>
      <c r="T1149" t="str">
        <f t="shared" si="151"/>
        <v>Низшая четверть</v>
      </c>
      <c r="U1149" t="str">
        <f t="shared" si="152"/>
        <v>код для проверки</v>
      </c>
      <c r="V1149" t="str">
        <f t="shared" si="153"/>
        <v>Низшая четверть</v>
      </c>
      <c r="W1149" t="str">
        <f t="shared" si="154"/>
        <v>Низшая четверть</v>
      </c>
      <c r="X1149">
        <v>7</v>
      </c>
    </row>
    <row r="1150" spans="1:24" x14ac:dyDescent="0.35">
      <c r="A1150" s="1" t="s">
        <v>2763</v>
      </c>
      <c r="B1150" s="2" t="s">
        <v>2764</v>
      </c>
      <c r="C1150" s="3" t="s">
        <v>13</v>
      </c>
      <c r="D1150" s="2" t="s">
        <v>77</v>
      </c>
      <c r="E1150" s="3" t="s">
        <v>980</v>
      </c>
      <c r="F1150" s="2" t="s">
        <v>96</v>
      </c>
      <c r="G1150" s="3" t="s">
        <v>17</v>
      </c>
      <c r="H1150" s="2" t="s">
        <v>18</v>
      </c>
      <c r="I1150" s="3" t="s">
        <v>19</v>
      </c>
      <c r="J1150" s="3">
        <v>631</v>
      </c>
      <c r="K1150" s="3">
        <v>16</v>
      </c>
      <c r="L1150" s="3">
        <v>0</v>
      </c>
      <c r="M1150" s="4">
        <f t="shared" si="148"/>
        <v>2.5356576862123614E-2</v>
      </c>
      <c r="N1150" s="4">
        <f t="shared" si="149"/>
        <v>0</v>
      </c>
      <c r="O1150">
        <v>872</v>
      </c>
      <c r="P1150" s="5">
        <v>1</v>
      </c>
      <c r="Q1150" s="7">
        <v>0</v>
      </c>
      <c r="R1150" t="s">
        <v>2344</v>
      </c>
      <c r="S1150" t="str">
        <f t="shared" si="150"/>
        <v>Низшая четверть</v>
      </c>
      <c r="T1150" t="str">
        <f t="shared" si="151"/>
        <v>Низшая четверть</v>
      </c>
      <c r="U1150" t="str">
        <f t="shared" si="152"/>
        <v>код для проверки</v>
      </c>
      <c r="V1150" t="str">
        <f t="shared" si="153"/>
        <v>Низшая четверть</v>
      </c>
      <c r="W1150" t="str">
        <f t="shared" si="154"/>
        <v>Низшая четверть</v>
      </c>
      <c r="X1150">
        <v>6</v>
      </c>
    </row>
    <row r="1151" spans="1:24" x14ac:dyDescent="0.35">
      <c r="A1151" s="1" t="s">
        <v>2765</v>
      </c>
      <c r="B1151" s="2" t="s">
        <v>2766</v>
      </c>
      <c r="C1151" s="3" t="s">
        <v>13</v>
      </c>
      <c r="D1151" s="2" t="s">
        <v>567</v>
      </c>
      <c r="E1151" s="3" t="s">
        <v>842</v>
      </c>
      <c r="F1151" s="2" t="s">
        <v>61</v>
      </c>
      <c r="G1151" s="3" t="s">
        <v>17</v>
      </c>
      <c r="H1151" s="2" t="s">
        <v>18</v>
      </c>
      <c r="I1151" s="3" t="s">
        <v>19</v>
      </c>
      <c r="J1151" s="3">
        <v>625</v>
      </c>
      <c r="K1151" s="3">
        <v>57</v>
      </c>
      <c r="L1151" s="3">
        <v>1</v>
      </c>
      <c r="M1151" s="4">
        <f t="shared" si="148"/>
        <v>9.1200000000000003E-2</v>
      </c>
      <c r="N1151" s="4">
        <f t="shared" si="149"/>
        <v>1.7543859649122806E-2</v>
      </c>
      <c r="O1151">
        <v>560</v>
      </c>
      <c r="P1151" s="5">
        <v>1</v>
      </c>
      <c r="Q1151" s="7">
        <v>0</v>
      </c>
      <c r="R1151" t="s">
        <v>2344</v>
      </c>
      <c r="S1151" t="str">
        <f t="shared" si="150"/>
        <v>Вторая четверть</v>
      </c>
      <c r="T1151" t="str">
        <f t="shared" si="151"/>
        <v>Вторая четверть</v>
      </c>
      <c r="U1151" t="str">
        <f t="shared" si="152"/>
        <v>нормальный код</v>
      </c>
      <c r="V1151" t="str">
        <f t="shared" si="153"/>
        <v>Больше половины</v>
      </c>
      <c r="W1151" t="str">
        <f t="shared" si="154"/>
        <v>Вторая четверть</v>
      </c>
      <c r="X1151">
        <v>21</v>
      </c>
    </row>
    <row r="1152" spans="1:24" x14ac:dyDescent="0.35">
      <c r="A1152" s="1" t="s">
        <v>2767</v>
      </c>
      <c r="B1152" s="2" t="s">
        <v>2768</v>
      </c>
      <c r="C1152" s="3" t="s">
        <v>13</v>
      </c>
      <c r="D1152" s="2" t="s">
        <v>77</v>
      </c>
      <c r="E1152" s="3" t="s">
        <v>89</v>
      </c>
      <c r="F1152" s="2" t="s">
        <v>34</v>
      </c>
      <c r="G1152" s="3" t="s">
        <v>17</v>
      </c>
      <c r="H1152" s="2" t="s">
        <v>18</v>
      </c>
      <c r="I1152" s="3" t="s">
        <v>19</v>
      </c>
      <c r="J1152" s="3">
        <v>625</v>
      </c>
      <c r="K1152" s="3">
        <v>26</v>
      </c>
      <c r="L1152" s="3">
        <v>0</v>
      </c>
      <c r="M1152" s="4">
        <f t="shared" si="148"/>
        <v>4.1599999999999998E-2</v>
      </c>
      <c r="N1152" s="4">
        <f t="shared" si="149"/>
        <v>0</v>
      </c>
      <c r="O1152">
        <v>778</v>
      </c>
      <c r="P1152" s="5">
        <v>1</v>
      </c>
      <c r="Q1152" s="7">
        <v>0</v>
      </c>
      <c r="R1152" t="s">
        <v>2344</v>
      </c>
      <c r="S1152" t="str">
        <f t="shared" si="150"/>
        <v>Низшая четверть</v>
      </c>
      <c r="T1152" t="str">
        <f t="shared" si="151"/>
        <v>Низшая четверть</v>
      </c>
      <c r="U1152" t="str">
        <f t="shared" si="152"/>
        <v>код для проверки</v>
      </c>
      <c r="V1152" t="str">
        <f t="shared" si="153"/>
        <v>Низшая четверть</v>
      </c>
      <c r="W1152" t="str">
        <f t="shared" si="154"/>
        <v>Низшая четверть</v>
      </c>
      <c r="X1152">
        <v>14</v>
      </c>
    </row>
    <row r="1153" spans="1:24" x14ac:dyDescent="0.35">
      <c r="A1153" s="1" t="s">
        <v>2449</v>
      </c>
      <c r="B1153" s="2" t="s">
        <v>2450</v>
      </c>
      <c r="C1153" s="3" t="s">
        <v>55</v>
      </c>
      <c r="D1153" s="2" t="s">
        <v>1049</v>
      </c>
      <c r="E1153" s="3" t="s">
        <v>2405</v>
      </c>
      <c r="F1153" s="2" t="s">
        <v>96</v>
      </c>
      <c r="G1153" s="3" t="s">
        <v>17</v>
      </c>
      <c r="H1153" s="2" t="s">
        <v>1223</v>
      </c>
      <c r="I1153" s="3" t="s">
        <v>19</v>
      </c>
      <c r="J1153" s="3">
        <v>616</v>
      </c>
      <c r="K1153" s="3">
        <v>13</v>
      </c>
      <c r="L1153" s="3">
        <v>0</v>
      </c>
      <c r="M1153" s="4">
        <f t="shared" si="148"/>
        <v>2.1103896103896104E-2</v>
      </c>
      <c r="N1153" s="4">
        <f t="shared" si="149"/>
        <v>0</v>
      </c>
      <c r="O1153">
        <v>250</v>
      </c>
      <c r="P1153" s="5">
        <v>1</v>
      </c>
      <c r="Q1153" s="7">
        <v>0</v>
      </c>
      <c r="R1153" t="s">
        <v>2344</v>
      </c>
      <c r="S1153" t="str">
        <f t="shared" si="150"/>
        <v>Низшая четверть</v>
      </c>
      <c r="T1153" t="str">
        <f t="shared" si="151"/>
        <v>Низшая четверть</v>
      </c>
      <c r="U1153" t="e">
        <f t="shared" si="152"/>
        <v>#DIV/0!</v>
      </c>
      <c r="V1153" t="e">
        <f t="shared" si="153"/>
        <v>#DIV/0!</v>
      </c>
      <c r="W1153" t="e">
        <f t="shared" si="154"/>
        <v>#DIV/0!</v>
      </c>
      <c r="X1153">
        <v>9</v>
      </c>
    </row>
    <row r="1154" spans="1:24" x14ac:dyDescent="0.35">
      <c r="A1154" s="1" t="s">
        <v>2416</v>
      </c>
      <c r="B1154" s="2" t="s">
        <v>2417</v>
      </c>
      <c r="C1154" s="3" t="s">
        <v>13</v>
      </c>
      <c r="D1154" s="2" t="s">
        <v>155</v>
      </c>
      <c r="E1154" s="3" t="s">
        <v>156</v>
      </c>
      <c r="F1154" s="2" t="s">
        <v>34</v>
      </c>
      <c r="G1154" s="3" t="s">
        <v>17</v>
      </c>
      <c r="H1154" s="2" t="s">
        <v>18</v>
      </c>
      <c r="I1154" s="3" t="s">
        <v>19</v>
      </c>
      <c r="J1154" s="3">
        <v>612</v>
      </c>
      <c r="K1154" s="3">
        <v>16</v>
      </c>
      <c r="L1154" s="3">
        <v>0</v>
      </c>
      <c r="M1154" s="4">
        <f t="shared" si="148"/>
        <v>2.6143790849673203E-2</v>
      </c>
      <c r="N1154" s="4">
        <f t="shared" si="149"/>
        <v>0</v>
      </c>
      <c r="O1154">
        <v>920</v>
      </c>
      <c r="P1154" s="5">
        <v>1</v>
      </c>
      <c r="Q1154" s="7">
        <v>0</v>
      </c>
      <c r="R1154" t="s">
        <v>2344</v>
      </c>
      <c r="S1154" t="str">
        <f t="shared" si="150"/>
        <v>Низшая четверть</v>
      </c>
      <c r="T1154" t="str">
        <f t="shared" si="151"/>
        <v>Низшая четверть</v>
      </c>
      <c r="U1154" t="str">
        <f t="shared" si="152"/>
        <v>код для проверки</v>
      </c>
      <c r="V1154" t="str">
        <f t="shared" si="153"/>
        <v>Низшая четверть</v>
      </c>
      <c r="W1154" t="str">
        <f t="shared" si="154"/>
        <v>Низшая четверть</v>
      </c>
      <c r="X1154">
        <v>15</v>
      </c>
    </row>
    <row r="1155" spans="1:24" x14ac:dyDescent="0.35">
      <c r="A1155" s="1" t="s">
        <v>1921</v>
      </c>
      <c r="B1155" s="2" t="s">
        <v>1922</v>
      </c>
      <c r="C1155" s="3" t="s">
        <v>55</v>
      </c>
      <c r="D1155" s="2" t="s">
        <v>1049</v>
      </c>
      <c r="E1155" s="3" t="s">
        <v>1050</v>
      </c>
      <c r="F1155" s="2" t="s">
        <v>34</v>
      </c>
      <c r="G1155" s="3" t="s">
        <v>17</v>
      </c>
      <c r="H1155" s="2" t="s">
        <v>18</v>
      </c>
      <c r="I1155" s="3" t="s">
        <v>19</v>
      </c>
      <c r="J1155" s="3">
        <v>607</v>
      </c>
      <c r="K1155" s="3">
        <v>978</v>
      </c>
      <c r="L1155" s="3">
        <v>1</v>
      </c>
      <c r="M1155" s="4">
        <f t="shared" si="148"/>
        <v>1.6112026359143328</v>
      </c>
      <c r="N1155" s="4">
        <f t="shared" si="149"/>
        <v>1.0224948875255625E-3</v>
      </c>
      <c r="O1155">
        <v>239</v>
      </c>
      <c r="P1155" s="5">
        <v>0.8</v>
      </c>
      <c r="Q1155" s="7">
        <v>0</v>
      </c>
      <c r="R1155" t="s">
        <v>2344</v>
      </c>
      <c r="S1155" t="str">
        <f t="shared" si="150"/>
        <v>Больше половины</v>
      </c>
      <c r="T1155" t="str">
        <f t="shared" si="151"/>
        <v>Низшая четверть</v>
      </c>
      <c r="U1155" t="str">
        <f t="shared" si="152"/>
        <v>код для проверки</v>
      </c>
      <c r="V1155" t="str">
        <f t="shared" si="153"/>
        <v>Больше половины</v>
      </c>
      <c r="W1155" t="str">
        <f t="shared" si="154"/>
        <v>Низшая четверть</v>
      </c>
      <c r="X1155">
        <v>21</v>
      </c>
    </row>
    <row r="1156" spans="1:24" x14ac:dyDescent="0.35">
      <c r="A1156" s="1" t="s">
        <v>2769</v>
      </c>
      <c r="B1156" s="2" t="s">
        <v>2770</v>
      </c>
      <c r="C1156" s="3" t="s">
        <v>13</v>
      </c>
      <c r="D1156" s="2" t="s">
        <v>77</v>
      </c>
      <c r="E1156" s="3" t="s">
        <v>89</v>
      </c>
      <c r="F1156" s="2" t="s">
        <v>34</v>
      </c>
      <c r="G1156" s="3" t="s">
        <v>17</v>
      </c>
      <c r="H1156" s="2" t="s">
        <v>18</v>
      </c>
      <c r="I1156" s="3" t="s">
        <v>19</v>
      </c>
      <c r="J1156" s="3">
        <v>602</v>
      </c>
      <c r="K1156" s="3">
        <v>6</v>
      </c>
      <c r="L1156" s="3">
        <v>0</v>
      </c>
      <c r="M1156" s="4">
        <f t="shared" ref="M1156:M1161" si="155">IFERROR(K1156/J1156,0)</f>
        <v>9.9667774086378731E-3</v>
      </c>
      <c r="N1156" s="4">
        <f t="shared" ref="N1156:N1161" si="156">IFERROR(L1156/K1156,0)</f>
        <v>0</v>
      </c>
      <c r="O1156">
        <v>0</v>
      </c>
      <c r="P1156" s="5">
        <v>0</v>
      </c>
      <c r="Q1156" s="7">
        <v>0</v>
      </c>
      <c r="R1156" t="s">
        <v>2350</v>
      </c>
      <c r="S1156" t="str">
        <f t="shared" ref="S1156:S1161" si="157">IF(M1156&lt;$S$1*0.5,"Низшая четверть",IF(M1156&lt;$S$1,"Вторая четверть","Больше половины"))</f>
        <v>Низшая четверть</v>
      </c>
      <c r="T1156" t="str">
        <f t="shared" ref="T1156:T1161" si="158">IF(N1156&lt;$T$1*0.5,"Низшая четверть",IF(N1156&lt;$T$1,"Вторая четверть","Больше половины"))</f>
        <v>Низшая четверть</v>
      </c>
      <c r="U1156" t="str">
        <f t="shared" ref="U1156:U1161" si="159">IF(OR(M1156&lt;SUMIFS(K:K,Q:Q,1,E:E,E1156)/SUMIFS(J:J,Q:Q,1,E:E,E1156)*0.5,N1156&lt;SUMIFS(L:L,Q:Q,1,E:E,E1156)/SUMIFS(K:K,Q:Q,1,E:E,E1156)*0.5),"код для проверки","нормальный код")</f>
        <v>код для проверки</v>
      </c>
      <c r="V1156" t="str">
        <f t="shared" ref="V1156:V1161" si="160">IF(M1156&lt;SUMIFS(K:K,Q:Q,1,E:E,E1156)/SUMIFS(J:J,Q:Q,1,E:E,E1156)*0.5,"Низшая четверть",IF(M1156&lt;SUMIFS(K:K,Q:Q,1,E:E,E1156)/SUMIFS(J:J,Q:Q,1,E:E,E1156),"Вторая четверть","Больше половины"))</f>
        <v>Низшая четверть</v>
      </c>
      <c r="W1156" t="str">
        <f t="shared" ref="W1156:W1161" si="161">IF(N1156&lt;SUMIFS(L:L,Q:Q,1,E:E,E1156)/SUMIFS(K:K,Q:Q,1,E:E,E1156)*0.5,"Низшая четверть",IF(N1156&lt;SUMIFS(L:L,Q:Q,1,E:E,E1156)/SUMIFS(K:K,Q:Q,1,E:E,E1156),"Вторая четверть","Больше половины"))</f>
        <v>Низшая четверть</v>
      </c>
      <c r="X1156">
        <v>7</v>
      </c>
    </row>
    <row r="1157" spans="1:24" x14ac:dyDescent="0.35">
      <c r="A1157" s="1" t="s">
        <v>2771</v>
      </c>
      <c r="B1157" s="2" t="s">
        <v>2772</v>
      </c>
      <c r="C1157" s="3" t="s">
        <v>13</v>
      </c>
      <c r="D1157" s="2" t="s">
        <v>104</v>
      </c>
      <c r="E1157" s="3" t="s">
        <v>711</v>
      </c>
      <c r="F1157" s="2" t="s">
        <v>96</v>
      </c>
      <c r="G1157" s="3" t="s">
        <v>17</v>
      </c>
      <c r="H1157" s="2" t="s">
        <v>18</v>
      </c>
      <c r="I1157" s="3" t="s">
        <v>19</v>
      </c>
      <c r="J1157" s="3">
        <v>596</v>
      </c>
      <c r="K1157" s="3">
        <v>38</v>
      </c>
      <c r="L1157" s="3">
        <v>4</v>
      </c>
      <c r="M1157" s="4">
        <f t="shared" si="155"/>
        <v>6.3758389261744972E-2</v>
      </c>
      <c r="N1157" s="4">
        <f t="shared" si="156"/>
        <v>0.10526315789473684</v>
      </c>
      <c r="O1157">
        <v>1255</v>
      </c>
      <c r="P1157" s="5">
        <v>1</v>
      </c>
      <c r="Q1157" s="7">
        <v>0</v>
      </c>
      <c r="R1157" t="s">
        <v>2344</v>
      </c>
      <c r="S1157" t="str">
        <f t="shared" si="157"/>
        <v>Вторая четверть</v>
      </c>
      <c r="T1157" t="str">
        <f t="shared" si="158"/>
        <v>Больше половины</v>
      </c>
      <c r="U1157" t="str">
        <f t="shared" si="159"/>
        <v>нормальный код</v>
      </c>
      <c r="V1157" t="str">
        <f t="shared" si="160"/>
        <v>Вторая четверть</v>
      </c>
      <c r="W1157" t="str">
        <f t="shared" si="161"/>
        <v>Больше половины</v>
      </c>
      <c r="X1157">
        <v>16</v>
      </c>
    </row>
    <row r="1158" spans="1:24" x14ac:dyDescent="0.35">
      <c r="A1158" s="1" t="s">
        <v>2773</v>
      </c>
      <c r="B1158" s="2" t="s">
        <v>2774</v>
      </c>
      <c r="C1158" s="3" t="s">
        <v>13</v>
      </c>
      <c r="D1158" s="2" t="s">
        <v>143</v>
      </c>
      <c r="E1158" s="3" t="s">
        <v>144</v>
      </c>
      <c r="F1158" s="2" t="s">
        <v>34</v>
      </c>
      <c r="G1158" s="3" t="s">
        <v>17</v>
      </c>
      <c r="H1158" s="2" t="s">
        <v>18</v>
      </c>
      <c r="I1158" s="3" t="s">
        <v>19</v>
      </c>
      <c r="J1158" s="3">
        <v>595</v>
      </c>
      <c r="K1158" s="3">
        <v>11</v>
      </c>
      <c r="L1158" s="3">
        <v>1</v>
      </c>
      <c r="M1158" s="4">
        <f t="shared" si="155"/>
        <v>1.8487394957983194E-2</v>
      </c>
      <c r="N1158" s="4">
        <f t="shared" si="156"/>
        <v>9.0909090909090912E-2</v>
      </c>
      <c r="O1158">
        <v>818</v>
      </c>
      <c r="P1158" s="5">
        <v>0.875</v>
      </c>
      <c r="Q1158" s="7">
        <v>0</v>
      </c>
      <c r="R1158" t="s">
        <v>2344</v>
      </c>
      <c r="S1158" t="str">
        <f t="shared" si="157"/>
        <v>Низшая четверть</v>
      </c>
      <c r="T1158" t="str">
        <f t="shared" si="158"/>
        <v>Больше половины</v>
      </c>
      <c r="U1158" t="str">
        <f t="shared" si="159"/>
        <v>код для проверки</v>
      </c>
      <c r="V1158" t="str">
        <f t="shared" si="160"/>
        <v>Низшая четверть</v>
      </c>
      <c r="W1158" t="str">
        <f t="shared" si="161"/>
        <v>Больше половины</v>
      </c>
      <c r="X1158">
        <v>15</v>
      </c>
    </row>
    <row r="1159" spans="1:24" x14ac:dyDescent="0.35">
      <c r="A1159" s="1" t="s">
        <v>2775</v>
      </c>
      <c r="B1159" s="2" t="s">
        <v>2776</v>
      </c>
      <c r="C1159" s="3" t="s">
        <v>13</v>
      </c>
      <c r="D1159" s="2" t="s">
        <v>155</v>
      </c>
      <c r="E1159" s="3" t="s">
        <v>156</v>
      </c>
      <c r="F1159" s="2" t="s">
        <v>34</v>
      </c>
      <c r="G1159" s="3" t="s">
        <v>35</v>
      </c>
      <c r="H1159" s="2" t="s">
        <v>18</v>
      </c>
      <c r="I1159" s="3" t="s">
        <v>19</v>
      </c>
      <c r="J1159" s="3">
        <v>594</v>
      </c>
      <c r="K1159" s="3">
        <v>3</v>
      </c>
      <c r="L1159" s="3">
        <v>0</v>
      </c>
      <c r="M1159" s="4">
        <f t="shared" si="155"/>
        <v>5.0505050505050509E-3</v>
      </c>
      <c r="N1159" s="4">
        <f t="shared" si="156"/>
        <v>0</v>
      </c>
      <c r="O1159">
        <v>700</v>
      </c>
      <c r="P1159" s="5">
        <v>1</v>
      </c>
      <c r="Q1159" s="7">
        <v>0</v>
      </c>
      <c r="R1159" t="s">
        <v>2344</v>
      </c>
      <c r="S1159" t="str">
        <f t="shared" si="157"/>
        <v>Низшая четверть</v>
      </c>
      <c r="T1159" t="str">
        <f t="shared" si="158"/>
        <v>Низшая четверть</v>
      </c>
      <c r="U1159" t="str">
        <f t="shared" si="159"/>
        <v>код для проверки</v>
      </c>
      <c r="V1159" t="str">
        <f t="shared" si="160"/>
        <v>Низшая четверть</v>
      </c>
      <c r="W1159" t="str">
        <f t="shared" si="161"/>
        <v>Низшая четверть</v>
      </c>
      <c r="X1159">
        <v>10</v>
      </c>
    </row>
    <row r="1160" spans="1:24" x14ac:dyDescent="0.35">
      <c r="A1160" s="1" t="s">
        <v>2777</v>
      </c>
      <c r="B1160" s="2" t="s">
        <v>2778</v>
      </c>
      <c r="C1160" s="3" t="s">
        <v>13</v>
      </c>
      <c r="D1160" s="2" t="s">
        <v>77</v>
      </c>
      <c r="E1160" s="3" t="s">
        <v>89</v>
      </c>
      <c r="F1160" s="2" t="s">
        <v>34</v>
      </c>
      <c r="G1160" s="3" t="s">
        <v>17</v>
      </c>
      <c r="H1160" s="2" t="s">
        <v>18</v>
      </c>
      <c r="I1160" s="3" t="s">
        <v>19</v>
      </c>
      <c r="J1160" s="3">
        <v>592</v>
      </c>
      <c r="K1160" s="3">
        <v>9</v>
      </c>
      <c r="L1160" s="3">
        <v>0</v>
      </c>
      <c r="M1160" s="4">
        <f t="shared" si="155"/>
        <v>1.5202702702702704E-2</v>
      </c>
      <c r="N1160" s="4">
        <f t="shared" si="156"/>
        <v>0</v>
      </c>
      <c r="O1160">
        <v>5</v>
      </c>
      <c r="P1160" s="5">
        <v>0.55555555555555558</v>
      </c>
      <c r="Q1160" s="7">
        <v>0</v>
      </c>
      <c r="R1160" t="s">
        <v>2350</v>
      </c>
      <c r="S1160" t="str">
        <f t="shared" si="157"/>
        <v>Низшая четверть</v>
      </c>
      <c r="T1160" t="str">
        <f t="shared" si="158"/>
        <v>Низшая четверть</v>
      </c>
      <c r="U1160" t="str">
        <f t="shared" si="159"/>
        <v>код для проверки</v>
      </c>
      <c r="V1160" t="str">
        <f t="shared" si="160"/>
        <v>Низшая четверть</v>
      </c>
      <c r="W1160" t="str">
        <f t="shared" si="161"/>
        <v>Низшая четверть</v>
      </c>
      <c r="X1160">
        <v>8</v>
      </c>
    </row>
    <row r="1161" spans="1:24" x14ac:dyDescent="0.35">
      <c r="A1161" s="1" t="s">
        <v>2181</v>
      </c>
      <c r="B1161" s="2" t="s">
        <v>2182</v>
      </c>
      <c r="C1161" s="3" t="s">
        <v>55</v>
      </c>
      <c r="D1161" s="2" t="s">
        <v>1049</v>
      </c>
      <c r="E1161" s="3" t="s">
        <v>1050</v>
      </c>
      <c r="F1161" s="2" t="s">
        <v>34</v>
      </c>
      <c r="G1161" s="3" t="s">
        <v>17</v>
      </c>
      <c r="H1161" s="2" t="s">
        <v>18</v>
      </c>
      <c r="I1161" s="3" t="s">
        <v>19</v>
      </c>
      <c r="J1161" s="3">
        <v>591</v>
      </c>
      <c r="K1161" s="3">
        <v>36</v>
      </c>
      <c r="L1161" s="3">
        <v>0</v>
      </c>
      <c r="M1161" s="4">
        <f t="shared" si="155"/>
        <v>6.0913705583756347E-2</v>
      </c>
      <c r="N1161" s="4">
        <f t="shared" si="156"/>
        <v>0</v>
      </c>
      <c r="O1161">
        <v>400</v>
      </c>
      <c r="P1161" s="5">
        <v>1</v>
      </c>
      <c r="Q1161" s="7">
        <v>0</v>
      </c>
      <c r="R1161" t="s">
        <v>2344</v>
      </c>
      <c r="S1161" t="str">
        <f t="shared" si="157"/>
        <v>Вторая четверть</v>
      </c>
      <c r="T1161" t="str">
        <f t="shared" si="158"/>
        <v>Низшая четверть</v>
      </c>
      <c r="U1161" t="str">
        <f t="shared" si="159"/>
        <v>код для проверки</v>
      </c>
      <c r="V1161" t="str">
        <f t="shared" si="160"/>
        <v>Вторая четверть</v>
      </c>
      <c r="W1161" t="str">
        <f t="shared" si="161"/>
        <v>Низшая четверть</v>
      </c>
      <c r="X1161">
        <v>20</v>
      </c>
    </row>
    <row r="1162" spans="1:24" x14ac:dyDescent="0.35">
      <c r="A1162" s="1" t="s">
        <v>2183</v>
      </c>
      <c r="B1162" s="2" t="s">
        <v>2184</v>
      </c>
      <c r="C1162" s="3" t="s">
        <v>13</v>
      </c>
      <c r="D1162" s="2" t="s">
        <v>77</v>
      </c>
      <c r="E1162" s="3" t="s">
        <v>89</v>
      </c>
      <c r="F1162" s="2" t="s">
        <v>34</v>
      </c>
      <c r="G1162" s="3" t="s">
        <v>35</v>
      </c>
      <c r="H1162" s="2" t="s">
        <v>18</v>
      </c>
      <c r="I1162" s="3" t="s">
        <v>19</v>
      </c>
      <c r="J1162" s="3">
        <v>590</v>
      </c>
      <c r="K1162" s="3">
        <v>18</v>
      </c>
      <c r="L1162" s="3">
        <v>1</v>
      </c>
      <c r="M1162" s="4">
        <f t="shared" ref="M1162:M1225" si="162">IFERROR(K1162/J1162,0)</f>
        <v>3.0508474576271188E-2</v>
      </c>
      <c r="N1162" s="4">
        <f t="shared" ref="N1162:N1225" si="163">IFERROR(L1162/K1162,0)</f>
        <v>5.5555555555555552E-2</v>
      </c>
      <c r="O1162">
        <v>698</v>
      </c>
      <c r="P1162" s="5">
        <v>1</v>
      </c>
      <c r="Q1162" s="7">
        <v>0</v>
      </c>
      <c r="R1162" t="s">
        <v>2344</v>
      </c>
      <c r="S1162" t="str">
        <f t="shared" ref="S1162:S1225" si="164">IF(M1162&lt;$S$1*0.5,"Низшая четверть",IF(M1162&lt;$S$1,"Вторая четверть","Больше половины"))</f>
        <v>Низшая четверть</v>
      </c>
      <c r="T1162" t="str">
        <f t="shared" ref="T1162:T1225" si="165">IF(N1162&lt;$T$1*0.5,"Низшая четверть",IF(N1162&lt;$T$1,"Вторая четверть","Больше половины"))</f>
        <v>Больше половины</v>
      </c>
      <c r="U1162" t="str">
        <f t="shared" ref="U1162:U1225" si="166">IF(OR(M1162&lt;SUMIFS(K:K,Q:Q,1,E:E,E1162)/SUMIFS(J:J,Q:Q,1,E:E,E1162)*0.5,N1162&lt;SUMIFS(L:L,Q:Q,1,E:E,E1162)/SUMIFS(K:K,Q:Q,1,E:E,E1162)*0.5),"код для проверки","нормальный код")</f>
        <v>код для проверки</v>
      </c>
      <c r="V1162" t="str">
        <f t="shared" ref="V1162:V1225" si="167">IF(M1162&lt;SUMIFS(K:K,Q:Q,1,E:E,E1162)/SUMIFS(J:J,Q:Q,1,E:E,E1162)*0.5,"Низшая четверть",IF(M1162&lt;SUMIFS(K:K,Q:Q,1,E:E,E1162)/SUMIFS(J:J,Q:Q,1,E:E,E1162),"Вторая четверть","Больше половины"))</f>
        <v>Низшая четверть</v>
      </c>
      <c r="W1162" t="str">
        <f t="shared" ref="W1162:W1225" si="168">IF(N1162&lt;SUMIFS(L:L,Q:Q,1,E:E,E1162)/SUMIFS(K:K,Q:Q,1,E:E,E1162)*0.5,"Низшая четверть",IF(N1162&lt;SUMIFS(L:L,Q:Q,1,E:E,E1162)/SUMIFS(K:K,Q:Q,1,E:E,E1162),"Вторая четверть","Больше половины"))</f>
        <v>Больше половины</v>
      </c>
      <c r="X1162">
        <v>12</v>
      </c>
    </row>
    <row r="1163" spans="1:24" x14ac:dyDescent="0.35">
      <c r="A1163" s="1" t="s">
        <v>775</v>
      </c>
      <c r="B1163" s="2" t="s">
        <v>776</v>
      </c>
      <c r="C1163" s="3" t="s">
        <v>13</v>
      </c>
      <c r="D1163" s="2" t="s">
        <v>42</v>
      </c>
      <c r="E1163" s="3" t="s">
        <v>43</v>
      </c>
      <c r="F1163" s="2" t="s">
        <v>44</v>
      </c>
      <c r="G1163" s="3" t="s">
        <v>17</v>
      </c>
      <c r="H1163" s="2" t="s">
        <v>18</v>
      </c>
      <c r="I1163" s="3" t="s">
        <v>19</v>
      </c>
      <c r="J1163" s="3">
        <v>583</v>
      </c>
      <c r="K1163" s="3">
        <v>393</v>
      </c>
      <c r="L1163" s="3">
        <v>2</v>
      </c>
      <c r="M1163" s="4">
        <f t="shared" si="162"/>
        <v>0.67409948542024012</v>
      </c>
      <c r="N1163" s="4">
        <f t="shared" si="163"/>
        <v>5.0890585241730284E-3</v>
      </c>
      <c r="O1163">
        <v>0</v>
      </c>
      <c r="P1163" s="5">
        <v>0.2</v>
      </c>
      <c r="Q1163" s="7">
        <v>0</v>
      </c>
      <c r="R1163" t="s">
        <v>2350</v>
      </c>
      <c r="S1163" t="str">
        <f t="shared" si="164"/>
        <v>Больше половины</v>
      </c>
      <c r="T1163" t="str">
        <f t="shared" si="165"/>
        <v>Низшая четверть</v>
      </c>
      <c r="U1163" t="str">
        <f t="shared" si="166"/>
        <v>код для проверки</v>
      </c>
      <c r="V1163" t="str">
        <f t="shared" si="167"/>
        <v>Больше половины</v>
      </c>
      <c r="W1163" t="str">
        <f t="shared" si="168"/>
        <v>Низшая четверть</v>
      </c>
      <c r="X1163">
        <v>15</v>
      </c>
    </row>
    <row r="1164" spans="1:24" x14ac:dyDescent="0.35">
      <c r="A1164" s="1" t="s">
        <v>2779</v>
      </c>
      <c r="B1164" s="2" t="s">
        <v>2780</v>
      </c>
      <c r="C1164" s="3" t="s">
        <v>13</v>
      </c>
      <c r="D1164" s="2" t="s">
        <v>77</v>
      </c>
      <c r="E1164" s="3" t="s">
        <v>89</v>
      </c>
      <c r="F1164" s="2" t="s">
        <v>34</v>
      </c>
      <c r="G1164" s="3" t="s">
        <v>17</v>
      </c>
      <c r="H1164" s="2" t="s">
        <v>18</v>
      </c>
      <c r="I1164" s="3" t="s">
        <v>19</v>
      </c>
      <c r="J1164" s="3">
        <v>568</v>
      </c>
      <c r="K1164" s="3">
        <v>42</v>
      </c>
      <c r="L1164" s="3">
        <v>0</v>
      </c>
      <c r="M1164" s="4">
        <f t="shared" si="162"/>
        <v>7.3943661971830985E-2</v>
      </c>
      <c r="N1164" s="4">
        <f t="shared" si="163"/>
        <v>0</v>
      </c>
      <c r="O1164">
        <v>151</v>
      </c>
      <c r="P1164" s="5">
        <v>0.55555555555555558</v>
      </c>
      <c r="Q1164" s="7">
        <v>0</v>
      </c>
      <c r="R1164" t="s">
        <v>2344</v>
      </c>
      <c r="S1164" t="str">
        <f t="shared" si="164"/>
        <v>Вторая четверть</v>
      </c>
      <c r="T1164" t="str">
        <f t="shared" si="165"/>
        <v>Низшая четверть</v>
      </c>
      <c r="U1164" t="str">
        <f t="shared" si="166"/>
        <v>код для проверки</v>
      </c>
      <c r="V1164" t="str">
        <f t="shared" si="167"/>
        <v>Вторая четверть</v>
      </c>
      <c r="W1164" t="str">
        <f t="shared" si="168"/>
        <v>Низшая четверть</v>
      </c>
      <c r="X1164">
        <v>9</v>
      </c>
    </row>
    <row r="1165" spans="1:24" x14ac:dyDescent="0.35">
      <c r="A1165" s="1" t="s">
        <v>2781</v>
      </c>
      <c r="B1165" s="2" t="s">
        <v>2782</v>
      </c>
      <c r="C1165" s="3" t="s">
        <v>13</v>
      </c>
      <c r="D1165" s="2" t="s">
        <v>77</v>
      </c>
      <c r="E1165" s="3" t="s">
        <v>89</v>
      </c>
      <c r="F1165" s="2" t="s">
        <v>34</v>
      </c>
      <c r="G1165" s="3" t="s">
        <v>17</v>
      </c>
      <c r="H1165" s="2" t="s">
        <v>18</v>
      </c>
      <c r="I1165" s="3" t="s">
        <v>19</v>
      </c>
      <c r="J1165" s="3">
        <v>567</v>
      </c>
      <c r="K1165" s="3">
        <v>0</v>
      </c>
      <c r="L1165" s="3">
        <v>0</v>
      </c>
      <c r="M1165" s="4">
        <f t="shared" si="162"/>
        <v>0</v>
      </c>
      <c r="N1165" s="4">
        <f t="shared" si="163"/>
        <v>0</v>
      </c>
      <c r="O1165">
        <v>155</v>
      </c>
      <c r="P1165" s="5">
        <v>0.55555555555555558</v>
      </c>
      <c r="Q1165" s="7">
        <v>0</v>
      </c>
      <c r="R1165" t="s">
        <v>2344</v>
      </c>
      <c r="S1165" t="str">
        <f t="shared" si="164"/>
        <v>Низшая четверть</v>
      </c>
      <c r="T1165" t="str">
        <f t="shared" si="165"/>
        <v>Низшая четверть</v>
      </c>
      <c r="U1165" t="str">
        <f t="shared" si="166"/>
        <v>код для проверки</v>
      </c>
      <c r="V1165" t="str">
        <f t="shared" si="167"/>
        <v>Низшая четверть</v>
      </c>
      <c r="W1165" t="str">
        <f t="shared" si="168"/>
        <v>Низшая четверть</v>
      </c>
      <c r="X1165">
        <v>8</v>
      </c>
    </row>
    <row r="1166" spans="1:24" x14ac:dyDescent="0.35">
      <c r="A1166" s="1" t="s">
        <v>2783</v>
      </c>
      <c r="B1166" s="2" t="s">
        <v>2784</v>
      </c>
      <c r="C1166" s="3" t="s">
        <v>13</v>
      </c>
      <c r="D1166" s="2" t="s">
        <v>1215</v>
      </c>
      <c r="E1166" s="3" t="s">
        <v>1216</v>
      </c>
      <c r="F1166" s="2" t="s">
        <v>34</v>
      </c>
      <c r="G1166" s="3" t="s">
        <v>17</v>
      </c>
      <c r="H1166" s="2" t="s">
        <v>18</v>
      </c>
      <c r="I1166" s="3" t="s">
        <v>19</v>
      </c>
      <c r="J1166" s="3">
        <v>567</v>
      </c>
      <c r="K1166" s="3">
        <v>53</v>
      </c>
      <c r="L1166" s="3">
        <v>1</v>
      </c>
      <c r="M1166" s="4">
        <f t="shared" si="162"/>
        <v>9.3474426807760136E-2</v>
      </c>
      <c r="N1166" s="4">
        <f t="shared" si="163"/>
        <v>1.8867924528301886E-2</v>
      </c>
      <c r="O1166">
        <v>518</v>
      </c>
      <c r="P1166" s="5">
        <v>1</v>
      </c>
      <c r="Q1166" s="7">
        <v>0</v>
      </c>
      <c r="R1166" t="s">
        <v>2344</v>
      </c>
      <c r="S1166" t="str">
        <f t="shared" si="164"/>
        <v>Вторая четверть</v>
      </c>
      <c r="T1166" t="str">
        <f t="shared" si="165"/>
        <v>Вторая четверть</v>
      </c>
      <c r="U1166" t="str">
        <f t="shared" si="166"/>
        <v>нормальный код</v>
      </c>
      <c r="V1166" t="str">
        <f t="shared" si="167"/>
        <v>Вторая четверть</v>
      </c>
      <c r="W1166" t="str">
        <f t="shared" si="168"/>
        <v>Больше половины</v>
      </c>
      <c r="X1166">
        <v>26</v>
      </c>
    </row>
    <row r="1167" spans="1:24" x14ac:dyDescent="0.35">
      <c r="A1167" s="1" t="s">
        <v>2387</v>
      </c>
      <c r="B1167" s="2" t="s">
        <v>2388</v>
      </c>
      <c r="C1167" s="3" t="s">
        <v>13</v>
      </c>
      <c r="D1167" s="2" t="s">
        <v>143</v>
      </c>
      <c r="E1167" s="3" t="s">
        <v>144</v>
      </c>
      <c r="F1167" s="2" t="s">
        <v>34</v>
      </c>
      <c r="G1167" s="3" t="s">
        <v>17</v>
      </c>
      <c r="H1167" s="2" t="s">
        <v>18</v>
      </c>
      <c r="I1167" s="3" t="s">
        <v>19</v>
      </c>
      <c r="J1167" s="3">
        <v>563</v>
      </c>
      <c r="K1167" s="3">
        <v>9</v>
      </c>
      <c r="L1167" s="3">
        <v>0</v>
      </c>
      <c r="M1167" s="4">
        <f t="shared" si="162"/>
        <v>1.5985790408525755E-2</v>
      </c>
      <c r="N1167" s="4">
        <f t="shared" si="163"/>
        <v>0</v>
      </c>
      <c r="O1167">
        <v>920</v>
      </c>
      <c r="P1167" s="5">
        <v>1</v>
      </c>
      <c r="Q1167" s="7">
        <v>0</v>
      </c>
      <c r="R1167" t="s">
        <v>2344</v>
      </c>
      <c r="S1167" t="str">
        <f t="shared" si="164"/>
        <v>Низшая четверть</v>
      </c>
      <c r="T1167" t="str">
        <f t="shared" si="165"/>
        <v>Низшая четверть</v>
      </c>
      <c r="U1167" t="str">
        <f t="shared" si="166"/>
        <v>код для проверки</v>
      </c>
      <c r="V1167" t="str">
        <f t="shared" si="167"/>
        <v>Низшая четверть</v>
      </c>
      <c r="W1167" t="str">
        <f t="shared" si="168"/>
        <v>Низшая четверть</v>
      </c>
      <c r="X1167">
        <v>16</v>
      </c>
    </row>
    <row r="1168" spans="1:24" x14ac:dyDescent="0.35">
      <c r="A1168" s="1" t="s">
        <v>2785</v>
      </c>
      <c r="B1168" s="2" t="s">
        <v>2786</v>
      </c>
      <c r="C1168" s="3" t="s">
        <v>13</v>
      </c>
      <c r="D1168" s="2" t="s">
        <v>77</v>
      </c>
      <c r="E1168" s="3" t="s">
        <v>89</v>
      </c>
      <c r="F1168" s="2" t="s">
        <v>34</v>
      </c>
      <c r="G1168" s="3" t="s">
        <v>17</v>
      </c>
      <c r="H1168" s="2" t="s">
        <v>18</v>
      </c>
      <c r="I1168" s="3" t="s">
        <v>19</v>
      </c>
      <c r="J1168" s="3">
        <v>562</v>
      </c>
      <c r="K1168" s="3">
        <v>13</v>
      </c>
      <c r="L1168" s="3">
        <v>0</v>
      </c>
      <c r="M1168" s="4">
        <f t="shared" si="162"/>
        <v>2.3131672597864767E-2</v>
      </c>
      <c r="N1168" s="4">
        <f t="shared" si="163"/>
        <v>0</v>
      </c>
      <c r="O1168">
        <v>300</v>
      </c>
      <c r="P1168" s="5">
        <v>0.55555555555555558</v>
      </c>
      <c r="Q1168" s="7">
        <v>0</v>
      </c>
      <c r="R1168" t="s">
        <v>2344</v>
      </c>
      <c r="S1168" t="str">
        <f t="shared" si="164"/>
        <v>Низшая четверть</v>
      </c>
      <c r="T1168" t="str">
        <f t="shared" si="165"/>
        <v>Низшая четверть</v>
      </c>
      <c r="U1168" t="str">
        <f t="shared" si="166"/>
        <v>код для проверки</v>
      </c>
      <c r="V1168" t="str">
        <f t="shared" si="167"/>
        <v>Низшая четверть</v>
      </c>
      <c r="W1168" t="str">
        <f t="shared" si="168"/>
        <v>Низшая четверть</v>
      </c>
      <c r="X1168">
        <v>8</v>
      </c>
    </row>
    <row r="1169" spans="1:24" x14ac:dyDescent="0.35">
      <c r="A1169" s="1" t="s">
        <v>2459</v>
      </c>
      <c r="B1169" s="2" t="s">
        <v>2460</v>
      </c>
      <c r="C1169" s="3" t="s">
        <v>55</v>
      </c>
      <c r="D1169" s="2" t="s">
        <v>1049</v>
      </c>
      <c r="E1169" s="3" t="s">
        <v>2405</v>
      </c>
      <c r="F1169" s="2" t="s">
        <v>96</v>
      </c>
      <c r="G1169" s="3" t="s">
        <v>17</v>
      </c>
      <c r="H1169" s="2" t="s">
        <v>1223</v>
      </c>
      <c r="I1169" s="3" t="s">
        <v>19</v>
      </c>
      <c r="J1169" s="3">
        <v>557</v>
      </c>
      <c r="K1169" s="3">
        <v>14</v>
      </c>
      <c r="L1169" s="3">
        <v>0</v>
      </c>
      <c r="M1169" s="4">
        <f t="shared" si="162"/>
        <v>2.5134649910233394E-2</v>
      </c>
      <c r="N1169" s="4">
        <f t="shared" si="163"/>
        <v>0</v>
      </c>
      <c r="O1169">
        <v>249</v>
      </c>
      <c r="P1169" s="5">
        <v>1</v>
      </c>
      <c r="Q1169" s="7">
        <v>0</v>
      </c>
      <c r="R1169" t="s">
        <v>2344</v>
      </c>
      <c r="S1169" t="str">
        <f t="shared" si="164"/>
        <v>Низшая четверть</v>
      </c>
      <c r="T1169" t="str">
        <f t="shared" si="165"/>
        <v>Низшая четверть</v>
      </c>
      <c r="U1169" t="e">
        <f t="shared" si="166"/>
        <v>#DIV/0!</v>
      </c>
      <c r="V1169" t="e">
        <f t="shared" si="167"/>
        <v>#DIV/0!</v>
      </c>
      <c r="W1169" t="e">
        <f t="shared" si="168"/>
        <v>#DIV/0!</v>
      </c>
      <c r="X1169">
        <v>8</v>
      </c>
    </row>
    <row r="1170" spans="1:24" x14ac:dyDescent="0.35">
      <c r="A1170" s="1" t="s">
        <v>2787</v>
      </c>
      <c r="B1170" s="2" t="s">
        <v>2788</v>
      </c>
      <c r="C1170" s="3" t="s">
        <v>55</v>
      </c>
      <c r="D1170" s="2" t="s">
        <v>1479</v>
      </c>
      <c r="E1170" s="3" t="s">
        <v>1480</v>
      </c>
      <c r="F1170" s="2" t="s">
        <v>34</v>
      </c>
      <c r="G1170" s="3" t="s">
        <v>17</v>
      </c>
      <c r="H1170" s="2" t="s">
        <v>18</v>
      </c>
      <c r="I1170" s="3" t="s">
        <v>19</v>
      </c>
      <c r="J1170" s="3">
        <v>552</v>
      </c>
      <c r="K1170" s="3">
        <v>18</v>
      </c>
      <c r="L1170" s="3">
        <v>1</v>
      </c>
      <c r="M1170" s="4">
        <f t="shared" si="162"/>
        <v>3.2608695652173912E-2</v>
      </c>
      <c r="N1170" s="4">
        <f t="shared" si="163"/>
        <v>5.5555555555555552E-2</v>
      </c>
      <c r="O1170">
        <v>98</v>
      </c>
      <c r="P1170" s="5">
        <v>0.7142857142857143</v>
      </c>
      <c r="Q1170" s="7">
        <v>0</v>
      </c>
      <c r="R1170" t="s">
        <v>2344</v>
      </c>
      <c r="S1170" t="str">
        <f t="shared" si="164"/>
        <v>Низшая четверть</v>
      </c>
      <c r="T1170" t="str">
        <f t="shared" si="165"/>
        <v>Больше половины</v>
      </c>
      <c r="U1170" t="str">
        <f t="shared" si="166"/>
        <v>код для проверки</v>
      </c>
      <c r="V1170" t="str">
        <f t="shared" si="167"/>
        <v>Низшая четверть</v>
      </c>
      <c r="W1170" t="str">
        <f t="shared" si="168"/>
        <v>Больше половины</v>
      </c>
      <c r="X1170">
        <v>16</v>
      </c>
    </row>
    <row r="1171" spans="1:24" x14ac:dyDescent="0.35">
      <c r="A1171" s="1" t="s">
        <v>2317</v>
      </c>
      <c r="B1171" s="2" t="s">
        <v>2318</v>
      </c>
      <c r="C1171" s="3" t="s">
        <v>13</v>
      </c>
      <c r="D1171" s="2" t="s">
        <v>1215</v>
      </c>
      <c r="E1171" s="3" t="s">
        <v>1216</v>
      </c>
      <c r="F1171" s="2" t="s">
        <v>34</v>
      </c>
      <c r="G1171" s="3" t="s">
        <v>17</v>
      </c>
      <c r="H1171" s="2" t="s">
        <v>18</v>
      </c>
      <c r="I1171" s="3" t="s">
        <v>19</v>
      </c>
      <c r="J1171" s="3">
        <v>549</v>
      </c>
      <c r="K1171" s="3">
        <v>39</v>
      </c>
      <c r="L1171" s="3">
        <v>1</v>
      </c>
      <c r="M1171" s="4">
        <f t="shared" si="162"/>
        <v>7.1038251366120214E-2</v>
      </c>
      <c r="N1171" s="4">
        <f t="shared" si="163"/>
        <v>2.564102564102564E-2</v>
      </c>
      <c r="O1171">
        <v>920</v>
      </c>
      <c r="P1171" s="5">
        <v>1</v>
      </c>
      <c r="Q1171" s="7">
        <v>0</v>
      </c>
      <c r="R1171" t="s">
        <v>2344</v>
      </c>
      <c r="S1171" t="str">
        <f t="shared" si="164"/>
        <v>Вторая четверть</v>
      </c>
      <c r="T1171" t="str">
        <f t="shared" si="165"/>
        <v>Больше половины</v>
      </c>
      <c r="U1171" t="str">
        <f t="shared" si="166"/>
        <v>нормальный код</v>
      </c>
      <c r="V1171" t="str">
        <f t="shared" si="167"/>
        <v>Вторая четверть</v>
      </c>
      <c r="W1171" t="str">
        <f t="shared" si="168"/>
        <v>Больше половины</v>
      </c>
      <c r="X1171">
        <v>8</v>
      </c>
    </row>
    <row r="1172" spans="1:24" x14ac:dyDescent="0.35">
      <c r="A1172" s="1" t="s">
        <v>2789</v>
      </c>
      <c r="B1172" s="2" t="s">
        <v>2790</v>
      </c>
      <c r="C1172" s="3" t="s">
        <v>13</v>
      </c>
      <c r="D1172" s="2" t="s">
        <v>85</v>
      </c>
      <c r="E1172" s="3" t="s">
        <v>1937</v>
      </c>
      <c r="F1172" s="2" t="s">
        <v>96</v>
      </c>
      <c r="G1172" s="3" t="s">
        <v>17</v>
      </c>
      <c r="H1172" s="2" t="s">
        <v>18</v>
      </c>
      <c r="I1172" s="3" t="s">
        <v>19</v>
      </c>
      <c r="J1172" s="3">
        <v>547</v>
      </c>
      <c r="K1172" s="3">
        <v>17</v>
      </c>
      <c r="L1172" s="3">
        <v>1</v>
      </c>
      <c r="M1172" s="4">
        <f t="shared" si="162"/>
        <v>3.1078610603290677E-2</v>
      </c>
      <c r="N1172" s="4">
        <f t="shared" si="163"/>
        <v>5.8823529411764705E-2</v>
      </c>
      <c r="O1172">
        <v>279</v>
      </c>
      <c r="P1172" s="5">
        <v>1</v>
      </c>
      <c r="Q1172" s="7">
        <v>0</v>
      </c>
      <c r="R1172" t="s">
        <v>2344</v>
      </c>
      <c r="S1172" t="str">
        <f t="shared" si="164"/>
        <v>Низшая четверть</v>
      </c>
      <c r="T1172" t="str">
        <f t="shared" si="165"/>
        <v>Больше половины</v>
      </c>
      <c r="U1172" t="str">
        <f t="shared" si="166"/>
        <v>код для проверки</v>
      </c>
      <c r="V1172" t="str">
        <f t="shared" si="167"/>
        <v>Низшая четверть</v>
      </c>
      <c r="W1172" t="str">
        <f t="shared" si="168"/>
        <v>Больше половины</v>
      </c>
      <c r="X1172">
        <v>10</v>
      </c>
    </row>
    <row r="1173" spans="1:24" x14ac:dyDescent="0.35">
      <c r="A1173" s="1" t="s">
        <v>2791</v>
      </c>
      <c r="B1173" s="2" t="s">
        <v>2792</v>
      </c>
      <c r="C1173" s="3" t="s">
        <v>13</v>
      </c>
      <c r="D1173" s="2" t="s">
        <v>630</v>
      </c>
      <c r="E1173" s="3" t="s">
        <v>685</v>
      </c>
      <c r="F1173" s="2" t="s">
        <v>61</v>
      </c>
      <c r="G1173" s="3" t="s">
        <v>17</v>
      </c>
      <c r="H1173" s="2" t="s">
        <v>97</v>
      </c>
      <c r="I1173" s="3" t="s">
        <v>19</v>
      </c>
      <c r="J1173" s="3">
        <v>546</v>
      </c>
      <c r="K1173" s="3">
        <v>101</v>
      </c>
      <c r="L1173" s="3">
        <v>1</v>
      </c>
      <c r="M1173" s="4">
        <f t="shared" si="162"/>
        <v>0.18498168498168499</v>
      </c>
      <c r="N1173" s="4">
        <f t="shared" si="163"/>
        <v>9.9009900990099011E-3</v>
      </c>
      <c r="O1173">
        <v>399</v>
      </c>
      <c r="P1173" s="5">
        <v>1</v>
      </c>
      <c r="Q1173" s="7">
        <v>0</v>
      </c>
      <c r="R1173" t="s">
        <v>2344</v>
      </c>
      <c r="S1173" t="str">
        <f t="shared" si="164"/>
        <v>Больше половины</v>
      </c>
      <c r="T1173" t="str">
        <f t="shared" si="165"/>
        <v>Низшая четверть</v>
      </c>
      <c r="U1173" t="str">
        <f t="shared" si="166"/>
        <v>код для проверки</v>
      </c>
      <c r="V1173" t="str">
        <f t="shared" si="167"/>
        <v>Больше половины</v>
      </c>
      <c r="W1173" t="str">
        <f t="shared" si="168"/>
        <v>Низшая четверть</v>
      </c>
      <c r="X1173">
        <v>12</v>
      </c>
    </row>
    <row r="1174" spans="1:24" x14ac:dyDescent="0.35">
      <c r="A1174" s="1" t="s">
        <v>2793</v>
      </c>
      <c r="B1174" s="2" t="s">
        <v>2794</v>
      </c>
      <c r="C1174" s="3" t="s">
        <v>13</v>
      </c>
      <c r="D1174" s="2" t="s">
        <v>69</v>
      </c>
      <c r="E1174" s="3" t="s">
        <v>923</v>
      </c>
      <c r="F1174" s="2" t="s">
        <v>34</v>
      </c>
      <c r="G1174" s="3" t="s">
        <v>72</v>
      </c>
      <c r="H1174" s="2" t="s">
        <v>18</v>
      </c>
      <c r="I1174" s="3" t="s">
        <v>19</v>
      </c>
      <c r="J1174" s="3">
        <v>530</v>
      </c>
      <c r="K1174" s="3">
        <v>15</v>
      </c>
      <c r="L1174" s="3">
        <v>0</v>
      </c>
      <c r="M1174" s="4">
        <f t="shared" si="162"/>
        <v>2.8301886792452831E-2</v>
      </c>
      <c r="N1174" s="4">
        <f t="shared" si="163"/>
        <v>0</v>
      </c>
      <c r="O1174">
        <v>220</v>
      </c>
      <c r="P1174" s="5">
        <v>1</v>
      </c>
      <c r="Q1174" s="7">
        <v>0</v>
      </c>
      <c r="R1174" t="s">
        <v>2344</v>
      </c>
      <c r="S1174" t="str">
        <f t="shared" si="164"/>
        <v>Низшая четверть</v>
      </c>
      <c r="T1174" t="str">
        <f t="shared" si="165"/>
        <v>Низшая четверть</v>
      </c>
      <c r="U1174" t="str">
        <f t="shared" si="166"/>
        <v>код для проверки</v>
      </c>
      <c r="V1174" t="str">
        <f t="shared" si="167"/>
        <v>Низшая четверть</v>
      </c>
      <c r="W1174" t="str">
        <f t="shared" si="168"/>
        <v>Низшая четверть</v>
      </c>
      <c r="X1174">
        <v>27</v>
      </c>
    </row>
    <row r="1175" spans="1:24" x14ac:dyDescent="0.35">
      <c r="A1175" s="1" t="s">
        <v>2795</v>
      </c>
      <c r="B1175" s="2" t="s">
        <v>2796</v>
      </c>
      <c r="C1175" s="3" t="s">
        <v>13</v>
      </c>
      <c r="D1175" s="2" t="s">
        <v>69</v>
      </c>
      <c r="E1175" s="3" t="s">
        <v>2592</v>
      </c>
      <c r="F1175" s="2" t="s">
        <v>34</v>
      </c>
      <c r="G1175" s="3" t="s">
        <v>72</v>
      </c>
      <c r="H1175" s="2" t="s">
        <v>18</v>
      </c>
      <c r="I1175" s="3" t="s">
        <v>19</v>
      </c>
      <c r="J1175" s="3">
        <v>523</v>
      </c>
      <c r="K1175" s="3">
        <v>10</v>
      </c>
      <c r="L1175" s="3">
        <v>0</v>
      </c>
      <c r="M1175" s="4">
        <f t="shared" si="162"/>
        <v>1.9120458891013385E-2</v>
      </c>
      <c r="N1175" s="4">
        <f t="shared" si="163"/>
        <v>0</v>
      </c>
      <c r="O1175">
        <v>240</v>
      </c>
      <c r="P1175" s="5">
        <v>1</v>
      </c>
      <c r="Q1175" s="7">
        <v>0</v>
      </c>
      <c r="R1175" t="s">
        <v>2344</v>
      </c>
      <c r="S1175" t="str">
        <f t="shared" si="164"/>
        <v>Низшая четверть</v>
      </c>
      <c r="T1175" t="str">
        <f t="shared" si="165"/>
        <v>Низшая четверть</v>
      </c>
      <c r="U1175" t="str">
        <f t="shared" si="166"/>
        <v>нормальный код</v>
      </c>
      <c r="V1175" t="str">
        <f t="shared" si="167"/>
        <v>Вторая четверть</v>
      </c>
      <c r="W1175" t="str">
        <f t="shared" si="168"/>
        <v>Больше половины</v>
      </c>
      <c r="X1175">
        <v>15</v>
      </c>
    </row>
    <row r="1176" spans="1:24" x14ac:dyDescent="0.35">
      <c r="A1176" s="1" t="s">
        <v>2797</v>
      </c>
      <c r="B1176" s="2" t="s">
        <v>2798</v>
      </c>
      <c r="C1176" s="3" t="s">
        <v>13</v>
      </c>
      <c r="D1176" s="2" t="s">
        <v>69</v>
      </c>
      <c r="E1176" s="3" t="s">
        <v>2592</v>
      </c>
      <c r="F1176" s="2" t="s">
        <v>34</v>
      </c>
      <c r="G1176" s="3" t="s">
        <v>72</v>
      </c>
      <c r="H1176" s="2" t="s">
        <v>18</v>
      </c>
      <c r="I1176" s="3" t="s">
        <v>19</v>
      </c>
      <c r="J1176" s="3">
        <v>510</v>
      </c>
      <c r="K1176" s="3">
        <v>7</v>
      </c>
      <c r="L1176" s="3">
        <v>0</v>
      </c>
      <c r="M1176" s="4">
        <f t="shared" si="162"/>
        <v>1.3725490196078431E-2</v>
      </c>
      <c r="N1176" s="4">
        <f t="shared" si="163"/>
        <v>0</v>
      </c>
      <c r="O1176">
        <v>200</v>
      </c>
      <c r="P1176" s="5">
        <v>1</v>
      </c>
      <c r="Q1176" s="7">
        <v>0</v>
      </c>
      <c r="R1176" t="s">
        <v>2344</v>
      </c>
      <c r="S1176" t="str">
        <f t="shared" si="164"/>
        <v>Низшая четверть</v>
      </c>
      <c r="T1176" t="str">
        <f t="shared" si="165"/>
        <v>Низшая четверть</v>
      </c>
      <c r="U1176" t="str">
        <f t="shared" si="166"/>
        <v>нормальный код</v>
      </c>
      <c r="V1176" t="str">
        <f t="shared" si="167"/>
        <v>Вторая четверть</v>
      </c>
      <c r="W1176" t="str">
        <f t="shared" si="168"/>
        <v>Больше половины</v>
      </c>
      <c r="X1176">
        <v>13</v>
      </c>
    </row>
    <row r="1177" spans="1:24" x14ac:dyDescent="0.35">
      <c r="A1177" s="1" t="s">
        <v>2420</v>
      </c>
      <c r="B1177" s="2" t="s">
        <v>2421</v>
      </c>
      <c r="C1177" s="3" t="s">
        <v>13</v>
      </c>
      <c r="D1177" s="2" t="s">
        <v>85</v>
      </c>
      <c r="E1177" s="3" t="s">
        <v>1937</v>
      </c>
      <c r="F1177" s="2" t="s">
        <v>96</v>
      </c>
      <c r="G1177" s="3" t="s">
        <v>17</v>
      </c>
      <c r="H1177" s="2" t="s">
        <v>18</v>
      </c>
      <c r="I1177" s="3" t="s">
        <v>19</v>
      </c>
      <c r="J1177" s="3">
        <v>507</v>
      </c>
      <c r="K1177" s="3">
        <v>9</v>
      </c>
      <c r="L1177" s="3">
        <v>0</v>
      </c>
      <c r="M1177" s="4">
        <f t="shared" si="162"/>
        <v>1.7751479289940829E-2</v>
      </c>
      <c r="N1177" s="4">
        <f t="shared" si="163"/>
        <v>0</v>
      </c>
      <c r="O1177">
        <v>1060</v>
      </c>
      <c r="P1177" s="5">
        <v>1</v>
      </c>
      <c r="Q1177" s="7">
        <v>0</v>
      </c>
      <c r="R1177" t="s">
        <v>2344</v>
      </c>
      <c r="S1177" t="str">
        <f t="shared" si="164"/>
        <v>Низшая четверть</v>
      </c>
      <c r="T1177" t="str">
        <f t="shared" si="165"/>
        <v>Низшая четверть</v>
      </c>
      <c r="U1177" t="str">
        <f t="shared" si="166"/>
        <v>код для проверки</v>
      </c>
      <c r="V1177" t="str">
        <f t="shared" si="167"/>
        <v>Низшая четверть</v>
      </c>
      <c r="W1177" t="str">
        <f t="shared" si="168"/>
        <v>Низшая четверть</v>
      </c>
      <c r="X1177">
        <v>15</v>
      </c>
    </row>
    <row r="1178" spans="1:24" x14ac:dyDescent="0.35">
      <c r="A1178" s="1" t="s">
        <v>2340</v>
      </c>
      <c r="B1178" s="2" t="s">
        <v>2341</v>
      </c>
      <c r="C1178" s="3" t="s">
        <v>55</v>
      </c>
      <c r="D1178" s="2" t="s">
        <v>1874</v>
      </c>
      <c r="E1178" s="3" t="s">
        <v>1875</v>
      </c>
      <c r="F1178" s="2" t="s">
        <v>34</v>
      </c>
      <c r="G1178" s="3" t="s">
        <v>17</v>
      </c>
      <c r="H1178" s="2" t="s">
        <v>97</v>
      </c>
      <c r="I1178" s="3" t="s">
        <v>19</v>
      </c>
      <c r="J1178" s="3">
        <v>506</v>
      </c>
      <c r="K1178" s="3">
        <v>101</v>
      </c>
      <c r="L1178" s="3">
        <v>1</v>
      </c>
      <c r="M1178" s="4">
        <f t="shared" si="162"/>
        <v>0.19960474308300397</v>
      </c>
      <c r="N1178" s="4">
        <f t="shared" si="163"/>
        <v>9.9009900990099011E-3</v>
      </c>
      <c r="O1178">
        <v>2051</v>
      </c>
      <c r="P1178" s="5">
        <v>1</v>
      </c>
      <c r="Q1178" s="7">
        <v>0</v>
      </c>
      <c r="R1178" t="s">
        <v>2344</v>
      </c>
      <c r="S1178" t="str">
        <f t="shared" si="164"/>
        <v>Больше половины</v>
      </c>
      <c r="T1178" t="str">
        <f t="shared" si="165"/>
        <v>Низшая четверть</v>
      </c>
      <c r="U1178" t="str">
        <f t="shared" si="166"/>
        <v>нормальный код</v>
      </c>
      <c r="V1178" t="str">
        <f t="shared" si="167"/>
        <v>Больше половины</v>
      </c>
      <c r="W1178" t="str">
        <f t="shared" si="168"/>
        <v>Больше половины</v>
      </c>
      <c r="X1178">
        <v>19</v>
      </c>
    </row>
    <row r="1179" spans="1:24" x14ac:dyDescent="0.35">
      <c r="A1179" s="1" t="s">
        <v>2799</v>
      </c>
      <c r="B1179" s="2" t="s">
        <v>2800</v>
      </c>
      <c r="C1179" s="3" t="s">
        <v>13</v>
      </c>
      <c r="D1179" s="2" t="s">
        <v>77</v>
      </c>
      <c r="E1179" s="3" t="s">
        <v>89</v>
      </c>
      <c r="F1179" s="2" t="s">
        <v>34</v>
      </c>
      <c r="G1179" s="3" t="s">
        <v>17</v>
      </c>
      <c r="H1179" s="2" t="s">
        <v>18</v>
      </c>
      <c r="I1179" s="3" t="s">
        <v>19</v>
      </c>
      <c r="J1179" s="3">
        <v>504</v>
      </c>
      <c r="K1179" s="3">
        <v>8</v>
      </c>
      <c r="L1179" s="3">
        <v>0</v>
      </c>
      <c r="M1179" s="4">
        <f t="shared" si="162"/>
        <v>1.5873015873015872E-2</v>
      </c>
      <c r="N1179" s="4">
        <f t="shared" si="163"/>
        <v>0</v>
      </c>
      <c r="O1179">
        <v>691</v>
      </c>
      <c r="P1179" s="5">
        <v>1</v>
      </c>
      <c r="Q1179" s="7">
        <v>0</v>
      </c>
      <c r="R1179" t="s">
        <v>2344</v>
      </c>
      <c r="S1179" t="str">
        <f t="shared" si="164"/>
        <v>Низшая четверть</v>
      </c>
      <c r="T1179" t="str">
        <f t="shared" si="165"/>
        <v>Низшая четверть</v>
      </c>
      <c r="U1179" t="str">
        <f t="shared" si="166"/>
        <v>код для проверки</v>
      </c>
      <c r="V1179" t="str">
        <f t="shared" si="167"/>
        <v>Низшая четверть</v>
      </c>
      <c r="W1179" t="str">
        <f t="shared" si="168"/>
        <v>Низшая четверть</v>
      </c>
      <c r="X1179">
        <v>13</v>
      </c>
    </row>
    <row r="1180" spans="1:24" x14ac:dyDescent="0.35">
      <c r="A1180" s="1" t="s">
        <v>2018</v>
      </c>
      <c r="B1180" s="2" t="s">
        <v>2019</v>
      </c>
      <c r="C1180" s="3" t="s">
        <v>55</v>
      </c>
      <c r="D1180" s="2" t="s">
        <v>217</v>
      </c>
      <c r="E1180" s="3" t="s">
        <v>218</v>
      </c>
      <c r="F1180" s="2" t="s">
        <v>34</v>
      </c>
      <c r="G1180" s="3" t="s">
        <v>17</v>
      </c>
      <c r="H1180" s="2" t="s">
        <v>18</v>
      </c>
      <c r="I1180" s="3" t="s">
        <v>19</v>
      </c>
      <c r="J1180" s="3">
        <v>500</v>
      </c>
      <c r="K1180" s="3">
        <v>138</v>
      </c>
      <c r="L1180" s="3">
        <v>4</v>
      </c>
      <c r="M1180" s="4">
        <f t="shared" si="162"/>
        <v>0.27600000000000002</v>
      </c>
      <c r="N1180" s="4">
        <f t="shared" si="163"/>
        <v>2.8985507246376812E-2</v>
      </c>
      <c r="O1180">
        <v>0</v>
      </c>
      <c r="P1180" s="5">
        <v>0.2</v>
      </c>
      <c r="Q1180" s="7">
        <v>0</v>
      </c>
      <c r="R1180" t="s">
        <v>2350</v>
      </c>
      <c r="S1180" t="str">
        <f t="shared" si="164"/>
        <v>Больше половины</v>
      </c>
      <c r="T1180" t="str">
        <f t="shared" si="165"/>
        <v>Больше половины</v>
      </c>
      <c r="U1180" t="str">
        <f t="shared" si="166"/>
        <v>нормальный код</v>
      </c>
      <c r="V1180" t="str">
        <f t="shared" si="167"/>
        <v>Больше половины</v>
      </c>
      <c r="W1180" t="str">
        <f t="shared" si="168"/>
        <v>Больше половины</v>
      </c>
      <c r="X1180">
        <v>8</v>
      </c>
    </row>
    <row r="1181" spans="1:24" x14ac:dyDescent="0.35">
      <c r="A1181" s="1" t="s">
        <v>2801</v>
      </c>
      <c r="B1181" s="2" t="s">
        <v>2802</v>
      </c>
      <c r="C1181" s="3" t="s">
        <v>13</v>
      </c>
      <c r="D1181" s="2" t="s">
        <v>155</v>
      </c>
      <c r="E1181" s="3" t="s">
        <v>156</v>
      </c>
      <c r="F1181" s="2" t="s">
        <v>34</v>
      </c>
      <c r="G1181" s="3" t="s">
        <v>17</v>
      </c>
      <c r="H1181" s="2" t="s">
        <v>18</v>
      </c>
      <c r="I1181" s="3" t="s">
        <v>19</v>
      </c>
      <c r="J1181" s="3">
        <v>495</v>
      </c>
      <c r="K1181" s="3">
        <v>8</v>
      </c>
      <c r="L1181" s="3">
        <v>0</v>
      </c>
      <c r="M1181" s="4">
        <f t="shared" si="162"/>
        <v>1.6161616161616162E-2</v>
      </c>
      <c r="N1181" s="4">
        <f t="shared" si="163"/>
        <v>0</v>
      </c>
      <c r="O1181">
        <v>414</v>
      </c>
      <c r="P1181" s="5">
        <v>1</v>
      </c>
      <c r="Q1181" s="7">
        <v>0</v>
      </c>
      <c r="R1181" t="s">
        <v>2344</v>
      </c>
      <c r="S1181" t="str">
        <f t="shared" si="164"/>
        <v>Низшая четверть</v>
      </c>
      <c r="T1181" t="str">
        <f t="shared" si="165"/>
        <v>Низшая четверть</v>
      </c>
      <c r="U1181" t="str">
        <f t="shared" si="166"/>
        <v>код для проверки</v>
      </c>
      <c r="V1181" t="str">
        <f t="shared" si="167"/>
        <v>Низшая четверть</v>
      </c>
      <c r="W1181" t="str">
        <f t="shared" si="168"/>
        <v>Низшая четверть</v>
      </c>
      <c r="X1181">
        <v>17</v>
      </c>
    </row>
    <row r="1182" spans="1:24" x14ac:dyDescent="0.35">
      <c r="A1182" s="1" t="s">
        <v>2422</v>
      </c>
      <c r="B1182" s="2" t="s">
        <v>2423</v>
      </c>
      <c r="C1182" s="3" t="s">
        <v>55</v>
      </c>
      <c r="D1182" s="2" t="s">
        <v>1874</v>
      </c>
      <c r="E1182" s="3" t="s">
        <v>2424</v>
      </c>
      <c r="F1182" s="2" t="s">
        <v>34</v>
      </c>
      <c r="G1182" s="3" t="s">
        <v>17</v>
      </c>
      <c r="H1182" s="2" t="s">
        <v>97</v>
      </c>
      <c r="I1182" s="3" t="s">
        <v>19</v>
      </c>
      <c r="J1182" s="3">
        <v>493</v>
      </c>
      <c r="K1182" s="3">
        <v>33</v>
      </c>
      <c r="L1182" s="3">
        <v>1</v>
      </c>
      <c r="M1182" s="4">
        <f t="shared" si="162"/>
        <v>6.6937119675456389E-2</v>
      </c>
      <c r="N1182" s="4">
        <f t="shared" si="163"/>
        <v>3.0303030303030304E-2</v>
      </c>
      <c r="O1182">
        <v>1650</v>
      </c>
      <c r="P1182" s="5">
        <v>1</v>
      </c>
      <c r="Q1182" s="7">
        <v>0</v>
      </c>
      <c r="R1182" t="s">
        <v>2344</v>
      </c>
      <c r="S1182" t="str">
        <f t="shared" si="164"/>
        <v>Вторая четверть</v>
      </c>
      <c r="T1182" t="str">
        <f t="shared" si="165"/>
        <v>Больше половины</v>
      </c>
      <c r="U1182" t="e">
        <f t="shared" si="166"/>
        <v>#DIV/0!</v>
      </c>
      <c r="V1182" t="e">
        <f t="shared" si="167"/>
        <v>#DIV/0!</v>
      </c>
      <c r="W1182" t="e">
        <f t="shared" si="168"/>
        <v>#DIV/0!</v>
      </c>
      <c r="X1182">
        <v>17</v>
      </c>
    </row>
    <row r="1183" spans="1:24" x14ac:dyDescent="0.35">
      <c r="A1183" s="1" t="s">
        <v>2185</v>
      </c>
      <c r="B1183" s="2" t="s">
        <v>2186</v>
      </c>
      <c r="C1183" s="3" t="s">
        <v>13</v>
      </c>
      <c r="D1183" s="2" t="s">
        <v>77</v>
      </c>
      <c r="E1183" s="3" t="s">
        <v>89</v>
      </c>
      <c r="F1183" s="2" t="s">
        <v>34</v>
      </c>
      <c r="G1183" s="3" t="s">
        <v>17</v>
      </c>
      <c r="H1183" s="2" t="s">
        <v>18</v>
      </c>
      <c r="I1183" s="3" t="s">
        <v>19</v>
      </c>
      <c r="J1183" s="3">
        <v>493</v>
      </c>
      <c r="K1183" s="3">
        <v>3</v>
      </c>
      <c r="L1183" s="3">
        <v>0</v>
      </c>
      <c r="M1183" s="4">
        <f t="shared" si="162"/>
        <v>6.0851926977687626E-3</v>
      </c>
      <c r="N1183" s="4">
        <f t="shared" si="163"/>
        <v>0</v>
      </c>
      <c r="O1183">
        <v>950</v>
      </c>
      <c r="P1183" s="5">
        <v>1</v>
      </c>
      <c r="Q1183" s="7">
        <v>0</v>
      </c>
      <c r="R1183" t="s">
        <v>2344</v>
      </c>
      <c r="S1183" t="str">
        <f t="shared" si="164"/>
        <v>Низшая четверть</v>
      </c>
      <c r="T1183" t="str">
        <f t="shared" si="165"/>
        <v>Низшая четверть</v>
      </c>
      <c r="U1183" t="str">
        <f t="shared" si="166"/>
        <v>код для проверки</v>
      </c>
      <c r="V1183" t="str">
        <f t="shared" si="167"/>
        <v>Низшая четверть</v>
      </c>
      <c r="W1183" t="str">
        <f t="shared" si="168"/>
        <v>Низшая четверть</v>
      </c>
      <c r="X1183">
        <v>14</v>
      </c>
    </row>
    <row r="1184" spans="1:24" x14ac:dyDescent="0.35">
      <c r="A1184" s="1" t="s">
        <v>2803</v>
      </c>
      <c r="B1184" s="2" t="s">
        <v>2804</v>
      </c>
      <c r="C1184" s="3" t="s">
        <v>13</v>
      </c>
      <c r="D1184" s="2" t="s">
        <v>77</v>
      </c>
      <c r="E1184" s="3" t="s">
        <v>1592</v>
      </c>
      <c r="F1184" s="2" t="s">
        <v>96</v>
      </c>
      <c r="G1184" s="3" t="s">
        <v>17</v>
      </c>
      <c r="H1184" s="2" t="s">
        <v>18</v>
      </c>
      <c r="I1184" s="3" t="s">
        <v>19</v>
      </c>
      <c r="J1184" s="3">
        <v>490</v>
      </c>
      <c r="K1184" s="3">
        <v>13</v>
      </c>
      <c r="L1184" s="3">
        <v>0</v>
      </c>
      <c r="M1184" s="4">
        <f t="shared" si="162"/>
        <v>2.6530612244897958E-2</v>
      </c>
      <c r="N1184" s="4">
        <f t="shared" si="163"/>
        <v>0</v>
      </c>
      <c r="O1184">
        <v>480</v>
      </c>
      <c r="P1184" s="5">
        <v>1</v>
      </c>
      <c r="Q1184" s="7">
        <v>0</v>
      </c>
      <c r="R1184" t="s">
        <v>2344</v>
      </c>
      <c r="S1184" t="str">
        <f t="shared" si="164"/>
        <v>Низшая четверть</v>
      </c>
      <c r="T1184" t="str">
        <f t="shared" si="165"/>
        <v>Низшая четверть</v>
      </c>
      <c r="U1184" t="str">
        <f t="shared" si="166"/>
        <v>код для проверки</v>
      </c>
      <c r="V1184" t="str">
        <f t="shared" si="167"/>
        <v>Низшая четверть</v>
      </c>
      <c r="W1184" t="str">
        <f t="shared" si="168"/>
        <v>Низшая четверть</v>
      </c>
      <c r="X1184">
        <v>17</v>
      </c>
    </row>
    <row r="1185" spans="1:24" x14ac:dyDescent="0.35">
      <c r="A1185" s="1" t="s">
        <v>2805</v>
      </c>
      <c r="B1185" s="2" t="s">
        <v>2806</v>
      </c>
      <c r="C1185" s="3" t="s">
        <v>55</v>
      </c>
      <c r="D1185" s="2" t="s">
        <v>1479</v>
      </c>
      <c r="E1185" s="3" t="s">
        <v>1480</v>
      </c>
      <c r="F1185" s="2" t="s">
        <v>34</v>
      </c>
      <c r="G1185" s="3" t="s">
        <v>17</v>
      </c>
      <c r="H1185" s="2" t="s">
        <v>18</v>
      </c>
      <c r="I1185" s="3" t="s">
        <v>19</v>
      </c>
      <c r="J1185" s="3">
        <v>485</v>
      </c>
      <c r="K1185" s="3">
        <v>7</v>
      </c>
      <c r="L1185" s="3">
        <v>0</v>
      </c>
      <c r="M1185" s="4">
        <f t="shared" si="162"/>
        <v>1.443298969072165E-2</v>
      </c>
      <c r="N1185" s="4">
        <f t="shared" si="163"/>
        <v>0</v>
      </c>
      <c r="O1185">
        <v>100</v>
      </c>
      <c r="P1185" s="5">
        <v>0.7142857142857143</v>
      </c>
      <c r="Q1185" s="7">
        <v>0</v>
      </c>
      <c r="R1185" t="s">
        <v>2344</v>
      </c>
      <c r="S1185" t="str">
        <f t="shared" si="164"/>
        <v>Низшая четверть</v>
      </c>
      <c r="T1185" t="str">
        <f t="shared" si="165"/>
        <v>Низшая четверть</v>
      </c>
      <c r="U1185" t="str">
        <f t="shared" si="166"/>
        <v>код для проверки</v>
      </c>
      <c r="V1185" t="str">
        <f t="shared" si="167"/>
        <v>Низшая четверть</v>
      </c>
      <c r="W1185" t="str">
        <f t="shared" si="168"/>
        <v>Низшая четверть</v>
      </c>
      <c r="X1185">
        <v>18</v>
      </c>
    </row>
    <row r="1186" spans="1:24" x14ac:dyDescent="0.35">
      <c r="A1186" s="1" t="s">
        <v>2807</v>
      </c>
      <c r="B1186" s="2" t="s">
        <v>2808</v>
      </c>
      <c r="C1186" s="3" t="s">
        <v>13</v>
      </c>
      <c r="D1186" s="2" t="s">
        <v>77</v>
      </c>
      <c r="E1186" s="3" t="s">
        <v>1592</v>
      </c>
      <c r="F1186" s="2" t="s">
        <v>96</v>
      </c>
      <c r="G1186" s="3" t="s">
        <v>17</v>
      </c>
      <c r="H1186" s="2" t="s">
        <v>18</v>
      </c>
      <c r="I1186" s="3" t="s">
        <v>19</v>
      </c>
      <c r="J1186" s="3">
        <v>481</v>
      </c>
      <c r="K1186" s="3">
        <v>10</v>
      </c>
      <c r="L1186" s="3">
        <v>0</v>
      </c>
      <c r="M1186" s="4">
        <f t="shared" si="162"/>
        <v>2.0790020790020791E-2</v>
      </c>
      <c r="N1186" s="4">
        <f t="shared" si="163"/>
        <v>0</v>
      </c>
      <c r="O1186">
        <v>450</v>
      </c>
      <c r="P1186" s="5">
        <v>1</v>
      </c>
      <c r="Q1186" s="7">
        <v>0</v>
      </c>
      <c r="R1186" t="s">
        <v>2344</v>
      </c>
      <c r="S1186" t="str">
        <f t="shared" si="164"/>
        <v>Низшая четверть</v>
      </c>
      <c r="T1186" t="str">
        <f t="shared" si="165"/>
        <v>Низшая четверть</v>
      </c>
      <c r="U1186" t="str">
        <f t="shared" si="166"/>
        <v>код для проверки</v>
      </c>
      <c r="V1186" t="str">
        <f t="shared" si="167"/>
        <v>Низшая четверть</v>
      </c>
      <c r="W1186" t="str">
        <f t="shared" si="168"/>
        <v>Низшая четверть</v>
      </c>
      <c r="X1186">
        <v>17</v>
      </c>
    </row>
    <row r="1187" spans="1:24" x14ac:dyDescent="0.35">
      <c r="A1187" s="1" t="s">
        <v>2809</v>
      </c>
      <c r="B1187" s="2" t="s">
        <v>2810</v>
      </c>
      <c r="C1187" s="3" t="s">
        <v>13</v>
      </c>
      <c r="D1187" s="2" t="s">
        <v>77</v>
      </c>
      <c r="E1187" s="3" t="s">
        <v>1592</v>
      </c>
      <c r="F1187" s="2" t="s">
        <v>96</v>
      </c>
      <c r="G1187" s="3" t="s">
        <v>17</v>
      </c>
      <c r="H1187" s="2" t="s">
        <v>18</v>
      </c>
      <c r="I1187" s="3" t="s">
        <v>19</v>
      </c>
      <c r="J1187" s="3">
        <v>481</v>
      </c>
      <c r="K1187" s="3">
        <v>12</v>
      </c>
      <c r="L1187" s="3">
        <v>0</v>
      </c>
      <c r="M1187" s="4">
        <f t="shared" si="162"/>
        <v>2.4948024948024949E-2</v>
      </c>
      <c r="N1187" s="4">
        <f t="shared" si="163"/>
        <v>0</v>
      </c>
      <c r="O1187">
        <v>401</v>
      </c>
      <c r="P1187" s="5">
        <v>1</v>
      </c>
      <c r="Q1187" s="7">
        <v>0</v>
      </c>
      <c r="R1187" t="s">
        <v>2344</v>
      </c>
      <c r="S1187" t="str">
        <f t="shared" si="164"/>
        <v>Низшая четверть</v>
      </c>
      <c r="T1187" t="str">
        <f t="shared" si="165"/>
        <v>Низшая четверть</v>
      </c>
      <c r="U1187" t="str">
        <f t="shared" si="166"/>
        <v>код для проверки</v>
      </c>
      <c r="V1187" t="str">
        <f t="shared" si="167"/>
        <v>Низшая четверть</v>
      </c>
      <c r="W1187" t="str">
        <f t="shared" si="168"/>
        <v>Низшая четверть</v>
      </c>
      <c r="X1187">
        <v>20</v>
      </c>
    </row>
    <row r="1188" spans="1:24" x14ac:dyDescent="0.35">
      <c r="A1188" s="1" t="s">
        <v>2811</v>
      </c>
      <c r="B1188" s="2" t="s">
        <v>2812</v>
      </c>
      <c r="C1188" s="3" t="s">
        <v>13</v>
      </c>
      <c r="D1188" s="2" t="s">
        <v>85</v>
      </c>
      <c r="E1188" s="3" t="s">
        <v>1937</v>
      </c>
      <c r="F1188" s="2" t="s">
        <v>96</v>
      </c>
      <c r="G1188" s="3" t="s">
        <v>17</v>
      </c>
      <c r="H1188" s="2" t="s">
        <v>18</v>
      </c>
      <c r="I1188" s="3" t="s">
        <v>19</v>
      </c>
      <c r="J1188" s="3">
        <v>481</v>
      </c>
      <c r="K1188" s="3">
        <v>18</v>
      </c>
      <c r="L1188" s="3">
        <v>1</v>
      </c>
      <c r="M1188" s="4">
        <f t="shared" si="162"/>
        <v>3.7422037422037424E-2</v>
      </c>
      <c r="N1188" s="4">
        <f t="shared" si="163"/>
        <v>5.5555555555555552E-2</v>
      </c>
      <c r="O1188">
        <v>1958</v>
      </c>
      <c r="P1188" s="5">
        <v>1</v>
      </c>
      <c r="Q1188" s="7">
        <v>0</v>
      </c>
      <c r="R1188" t="s">
        <v>2344</v>
      </c>
      <c r="S1188" t="str">
        <f t="shared" si="164"/>
        <v>Низшая четверть</v>
      </c>
      <c r="T1188" t="str">
        <f t="shared" si="165"/>
        <v>Больше половины</v>
      </c>
      <c r="U1188" t="str">
        <f t="shared" si="166"/>
        <v>нормальный код</v>
      </c>
      <c r="V1188" t="str">
        <f t="shared" si="167"/>
        <v>Вторая четверть</v>
      </c>
      <c r="W1188" t="str">
        <f t="shared" si="168"/>
        <v>Больше половины</v>
      </c>
      <c r="X1188">
        <v>10</v>
      </c>
    </row>
    <row r="1189" spans="1:24" x14ac:dyDescent="0.35">
      <c r="A1189" s="1" t="s">
        <v>2813</v>
      </c>
      <c r="B1189" s="2" t="s">
        <v>2814</v>
      </c>
      <c r="C1189" s="3" t="s">
        <v>13</v>
      </c>
      <c r="D1189" s="2" t="s">
        <v>69</v>
      </c>
      <c r="E1189" s="3" t="s">
        <v>2448</v>
      </c>
      <c r="F1189" s="2" t="s">
        <v>34</v>
      </c>
      <c r="G1189" s="3" t="s">
        <v>72</v>
      </c>
      <c r="H1189" s="2" t="s">
        <v>18</v>
      </c>
      <c r="I1189" s="3" t="s">
        <v>19</v>
      </c>
      <c r="J1189" s="3">
        <v>480</v>
      </c>
      <c r="K1189" s="3">
        <v>46</v>
      </c>
      <c r="L1189" s="3">
        <v>1</v>
      </c>
      <c r="M1189" s="4">
        <f t="shared" si="162"/>
        <v>9.583333333333334E-2</v>
      </c>
      <c r="N1189" s="4">
        <f t="shared" si="163"/>
        <v>2.1739130434782608E-2</v>
      </c>
      <c r="O1189">
        <v>200</v>
      </c>
      <c r="P1189" s="5">
        <v>1</v>
      </c>
      <c r="Q1189" s="7">
        <v>0</v>
      </c>
      <c r="R1189" t="s">
        <v>2344</v>
      </c>
      <c r="S1189" t="str">
        <f t="shared" si="164"/>
        <v>Больше половины</v>
      </c>
      <c r="T1189" t="str">
        <f t="shared" si="165"/>
        <v>Больше половины</v>
      </c>
      <c r="U1189" t="str">
        <f t="shared" si="166"/>
        <v>код для проверки</v>
      </c>
      <c r="V1189" t="str">
        <f t="shared" si="167"/>
        <v>Больше половины</v>
      </c>
      <c r="W1189" t="str">
        <f t="shared" si="168"/>
        <v>Низшая четверть</v>
      </c>
      <c r="X1189">
        <v>19</v>
      </c>
    </row>
    <row r="1190" spans="1:24" x14ac:dyDescent="0.35">
      <c r="A1190" s="1" t="s">
        <v>2254</v>
      </c>
      <c r="B1190" s="2" t="s">
        <v>2255</v>
      </c>
      <c r="C1190" s="3" t="s">
        <v>13</v>
      </c>
      <c r="D1190" s="2" t="s">
        <v>69</v>
      </c>
      <c r="E1190" s="3" t="s">
        <v>923</v>
      </c>
      <c r="F1190" s="2" t="s">
        <v>34</v>
      </c>
      <c r="G1190" s="3" t="s">
        <v>72</v>
      </c>
      <c r="H1190" s="2" t="s">
        <v>18</v>
      </c>
      <c r="I1190" s="3" t="s">
        <v>19</v>
      </c>
      <c r="J1190" s="3">
        <v>479</v>
      </c>
      <c r="K1190" s="3">
        <v>198</v>
      </c>
      <c r="L1190" s="3">
        <v>4</v>
      </c>
      <c r="M1190" s="4">
        <f t="shared" si="162"/>
        <v>0.41336116910229648</v>
      </c>
      <c r="N1190" s="4">
        <f t="shared" si="163"/>
        <v>2.0202020202020204E-2</v>
      </c>
      <c r="O1190">
        <v>237</v>
      </c>
      <c r="P1190" s="5">
        <v>1</v>
      </c>
      <c r="Q1190" s="7">
        <v>0</v>
      </c>
      <c r="R1190" t="s">
        <v>2344</v>
      </c>
      <c r="S1190" t="str">
        <f t="shared" si="164"/>
        <v>Больше половины</v>
      </c>
      <c r="T1190" t="str">
        <f t="shared" si="165"/>
        <v>Вторая четверть</v>
      </c>
      <c r="U1190" t="str">
        <f t="shared" si="166"/>
        <v>нормальный код</v>
      </c>
      <c r="V1190" t="str">
        <f t="shared" si="167"/>
        <v>Больше половины</v>
      </c>
      <c r="W1190" t="str">
        <f t="shared" si="168"/>
        <v>Больше половины</v>
      </c>
      <c r="X1190">
        <v>14</v>
      </c>
    </row>
    <row r="1191" spans="1:24" x14ac:dyDescent="0.35">
      <c r="A1191" s="1" t="s">
        <v>1977</v>
      </c>
      <c r="B1191" s="2" t="s">
        <v>1978</v>
      </c>
      <c r="C1191" s="3" t="s">
        <v>13</v>
      </c>
      <c r="D1191" s="2" t="s">
        <v>630</v>
      </c>
      <c r="E1191" s="3" t="s">
        <v>685</v>
      </c>
      <c r="F1191" s="2" t="s">
        <v>61</v>
      </c>
      <c r="G1191" s="3" t="s">
        <v>17</v>
      </c>
      <c r="H1191" s="2" t="s">
        <v>97</v>
      </c>
      <c r="I1191" s="3" t="s">
        <v>19</v>
      </c>
      <c r="J1191" s="3">
        <v>475</v>
      </c>
      <c r="K1191" s="3">
        <v>55</v>
      </c>
      <c r="L1191" s="3">
        <v>1</v>
      </c>
      <c r="M1191" s="4">
        <f t="shared" si="162"/>
        <v>0.11578947368421053</v>
      </c>
      <c r="N1191" s="4">
        <f t="shared" si="163"/>
        <v>1.8181818181818181E-2</v>
      </c>
      <c r="O1191">
        <v>0</v>
      </c>
      <c r="P1191" s="5">
        <v>0</v>
      </c>
      <c r="Q1191" s="7">
        <v>0</v>
      </c>
      <c r="R1191" t="s">
        <v>2350</v>
      </c>
      <c r="S1191" t="str">
        <f t="shared" si="164"/>
        <v>Больше половины</v>
      </c>
      <c r="T1191" t="str">
        <f t="shared" si="165"/>
        <v>Вторая четверть</v>
      </c>
      <c r="U1191" t="str">
        <f t="shared" si="166"/>
        <v>нормальный код</v>
      </c>
      <c r="V1191" t="str">
        <f t="shared" si="167"/>
        <v>Больше половины</v>
      </c>
      <c r="W1191" t="str">
        <f t="shared" si="168"/>
        <v>Вторая четверть</v>
      </c>
      <c r="X1191">
        <v>7</v>
      </c>
    </row>
    <row r="1192" spans="1:24" x14ac:dyDescent="0.35">
      <c r="A1192" s="1" t="s">
        <v>2815</v>
      </c>
      <c r="B1192" s="2" t="s">
        <v>2816</v>
      </c>
      <c r="C1192" s="3" t="s">
        <v>13</v>
      </c>
      <c r="D1192" s="2" t="s">
        <v>77</v>
      </c>
      <c r="E1192" s="3" t="s">
        <v>89</v>
      </c>
      <c r="F1192" s="2" t="s">
        <v>34</v>
      </c>
      <c r="G1192" s="3" t="s">
        <v>17</v>
      </c>
      <c r="H1192" s="2" t="s">
        <v>18</v>
      </c>
      <c r="I1192" s="3" t="s">
        <v>19</v>
      </c>
      <c r="J1192" s="3">
        <v>465</v>
      </c>
      <c r="K1192" s="3">
        <v>7</v>
      </c>
      <c r="L1192" s="3">
        <v>0</v>
      </c>
      <c r="M1192" s="4">
        <f t="shared" si="162"/>
        <v>1.5053763440860216E-2</v>
      </c>
      <c r="N1192" s="4">
        <f t="shared" si="163"/>
        <v>0</v>
      </c>
      <c r="O1192">
        <v>151</v>
      </c>
      <c r="P1192" s="5">
        <v>0.55555555555555558</v>
      </c>
      <c r="Q1192" s="7">
        <v>0</v>
      </c>
      <c r="R1192" t="s">
        <v>2344</v>
      </c>
      <c r="S1192" t="str">
        <f t="shared" si="164"/>
        <v>Низшая четверть</v>
      </c>
      <c r="T1192" t="str">
        <f t="shared" si="165"/>
        <v>Низшая четверть</v>
      </c>
      <c r="U1192" t="str">
        <f t="shared" si="166"/>
        <v>код для проверки</v>
      </c>
      <c r="V1192" t="str">
        <f t="shared" si="167"/>
        <v>Низшая четверть</v>
      </c>
      <c r="W1192" t="str">
        <f t="shared" si="168"/>
        <v>Низшая четверть</v>
      </c>
      <c r="X1192">
        <v>8</v>
      </c>
    </row>
    <row r="1193" spans="1:24" x14ac:dyDescent="0.35">
      <c r="A1193" s="1" t="s">
        <v>2433</v>
      </c>
      <c r="B1193" s="2" t="s">
        <v>2434</v>
      </c>
      <c r="C1193" s="3" t="s">
        <v>55</v>
      </c>
      <c r="D1193" s="2" t="s">
        <v>1874</v>
      </c>
      <c r="E1193" s="3" t="s">
        <v>2424</v>
      </c>
      <c r="F1193" s="2" t="s">
        <v>34</v>
      </c>
      <c r="G1193" s="3" t="s">
        <v>17</v>
      </c>
      <c r="H1193" s="2" t="s">
        <v>97</v>
      </c>
      <c r="I1193" s="3" t="s">
        <v>19</v>
      </c>
      <c r="J1193" s="3">
        <v>463</v>
      </c>
      <c r="K1193" s="3">
        <v>86</v>
      </c>
      <c r="L1193" s="3">
        <v>0</v>
      </c>
      <c r="M1193" s="4">
        <f t="shared" si="162"/>
        <v>0.18574514038876891</v>
      </c>
      <c r="N1193" s="4">
        <f t="shared" si="163"/>
        <v>0</v>
      </c>
      <c r="O1193">
        <v>1948</v>
      </c>
      <c r="P1193" s="5">
        <v>1</v>
      </c>
      <c r="Q1193" s="7">
        <v>0</v>
      </c>
      <c r="R1193" t="s">
        <v>2344</v>
      </c>
      <c r="S1193" t="str">
        <f t="shared" si="164"/>
        <v>Больше половины</v>
      </c>
      <c r="T1193" t="str">
        <f t="shared" si="165"/>
        <v>Низшая четверть</v>
      </c>
      <c r="U1193" t="e">
        <f t="shared" si="166"/>
        <v>#DIV/0!</v>
      </c>
      <c r="V1193" t="e">
        <f t="shared" si="167"/>
        <v>#DIV/0!</v>
      </c>
      <c r="W1193" t="e">
        <f t="shared" si="168"/>
        <v>#DIV/0!</v>
      </c>
      <c r="X1193">
        <v>10</v>
      </c>
    </row>
    <row r="1194" spans="1:24" x14ac:dyDescent="0.35">
      <c r="A1194" s="1" t="s">
        <v>2817</v>
      </c>
      <c r="B1194" s="2" t="s">
        <v>2818</v>
      </c>
      <c r="C1194" s="3" t="s">
        <v>13</v>
      </c>
      <c r="D1194" s="2" t="s">
        <v>164</v>
      </c>
      <c r="E1194" s="3" t="s">
        <v>1210</v>
      </c>
      <c r="F1194" s="2" t="s">
        <v>123</v>
      </c>
      <c r="G1194" s="3" t="s">
        <v>35</v>
      </c>
      <c r="H1194" s="2" t="s">
        <v>18</v>
      </c>
      <c r="I1194" s="3" t="s">
        <v>19</v>
      </c>
      <c r="J1194" s="3">
        <v>458</v>
      </c>
      <c r="K1194" s="3">
        <v>7</v>
      </c>
      <c r="L1194" s="3">
        <v>0</v>
      </c>
      <c r="M1194" s="4">
        <f t="shared" si="162"/>
        <v>1.5283842794759825E-2</v>
      </c>
      <c r="N1194" s="4">
        <f t="shared" si="163"/>
        <v>0</v>
      </c>
      <c r="O1194">
        <v>209</v>
      </c>
      <c r="P1194" s="5">
        <v>0.6</v>
      </c>
      <c r="Q1194" s="7">
        <v>0</v>
      </c>
      <c r="R1194" t="s">
        <v>2344</v>
      </c>
      <c r="S1194" t="str">
        <f t="shared" si="164"/>
        <v>Низшая четверть</v>
      </c>
      <c r="T1194" t="str">
        <f t="shared" si="165"/>
        <v>Низшая четверть</v>
      </c>
      <c r="U1194" t="str">
        <f t="shared" si="166"/>
        <v>код для проверки</v>
      </c>
      <c r="V1194" t="str">
        <f t="shared" si="167"/>
        <v>Низшая четверть</v>
      </c>
      <c r="W1194" t="str">
        <f t="shared" si="168"/>
        <v>Низшая четверть</v>
      </c>
      <c r="X1194">
        <v>18</v>
      </c>
    </row>
    <row r="1195" spans="1:24" x14ac:dyDescent="0.35">
      <c r="A1195" s="1" t="s">
        <v>1455</v>
      </c>
      <c r="B1195" s="2" t="s">
        <v>1456</v>
      </c>
      <c r="C1195" s="3" t="s">
        <v>13</v>
      </c>
      <c r="D1195" s="2" t="s">
        <v>412</v>
      </c>
      <c r="E1195" s="3" t="s">
        <v>611</v>
      </c>
      <c r="F1195" s="2" t="s">
        <v>61</v>
      </c>
      <c r="G1195" s="3" t="s">
        <v>17</v>
      </c>
      <c r="H1195" s="2" t="s">
        <v>97</v>
      </c>
      <c r="I1195" s="3" t="s">
        <v>19</v>
      </c>
      <c r="J1195" s="3">
        <v>445</v>
      </c>
      <c r="K1195" s="3">
        <v>99</v>
      </c>
      <c r="L1195" s="3">
        <v>3</v>
      </c>
      <c r="M1195" s="4">
        <f t="shared" si="162"/>
        <v>0.22247191011235956</v>
      </c>
      <c r="N1195" s="4">
        <f t="shared" si="163"/>
        <v>3.0303030303030304E-2</v>
      </c>
      <c r="O1195">
        <v>0</v>
      </c>
      <c r="P1195" s="5">
        <v>0</v>
      </c>
      <c r="Q1195" s="7">
        <v>0</v>
      </c>
      <c r="R1195" t="s">
        <v>2350</v>
      </c>
      <c r="S1195" t="str">
        <f t="shared" si="164"/>
        <v>Больше половины</v>
      </c>
      <c r="T1195" t="str">
        <f t="shared" si="165"/>
        <v>Больше половины</v>
      </c>
      <c r="U1195" t="str">
        <f t="shared" si="166"/>
        <v>нормальный код</v>
      </c>
      <c r="V1195" t="str">
        <f t="shared" si="167"/>
        <v>Больше половины</v>
      </c>
      <c r="W1195" t="str">
        <f t="shared" si="168"/>
        <v>Больше половины</v>
      </c>
      <c r="X1195">
        <v>6</v>
      </c>
    </row>
    <row r="1196" spans="1:24" x14ac:dyDescent="0.35">
      <c r="A1196" s="1" t="s">
        <v>2285</v>
      </c>
      <c r="B1196" s="2" t="s">
        <v>2286</v>
      </c>
      <c r="C1196" s="3" t="s">
        <v>13</v>
      </c>
      <c r="D1196" s="2" t="s">
        <v>155</v>
      </c>
      <c r="E1196" s="3" t="s">
        <v>156</v>
      </c>
      <c r="F1196" s="2" t="s">
        <v>34</v>
      </c>
      <c r="G1196" s="3" t="s">
        <v>17</v>
      </c>
      <c r="H1196" s="2" t="s">
        <v>18</v>
      </c>
      <c r="I1196" s="3" t="s">
        <v>19</v>
      </c>
      <c r="J1196" s="3">
        <v>426</v>
      </c>
      <c r="K1196" s="3">
        <v>11</v>
      </c>
      <c r="L1196" s="3">
        <v>0</v>
      </c>
      <c r="M1196" s="4">
        <f t="shared" si="162"/>
        <v>2.5821596244131457E-2</v>
      </c>
      <c r="N1196" s="4">
        <f t="shared" si="163"/>
        <v>0</v>
      </c>
      <c r="O1196">
        <v>338</v>
      </c>
      <c r="P1196" s="5">
        <v>1</v>
      </c>
      <c r="Q1196" s="7">
        <v>0</v>
      </c>
      <c r="R1196" t="s">
        <v>2344</v>
      </c>
      <c r="S1196" t="str">
        <f t="shared" si="164"/>
        <v>Низшая четверть</v>
      </c>
      <c r="T1196" t="str">
        <f t="shared" si="165"/>
        <v>Низшая четверть</v>
      </c>
      <c r="U1196" t="str">
        <f t="shared" si="166"/>
        <v>код для проверки</v>
      </c>
      <c r="V1196" t="str">
        <f t="shared" si="167"/>
        <v>Низшая четверть</v>
      </c>
      <c r="W1196" t="str">
        <f t="shared" si="168"/>
        <v>Низшая четверть</v>
      </c>
      <c r="X1196">
        <v>17</v>
      </c>
    </row>
    <row r="1197" spans="1:24" x14ac:dyDescent="0.35">
      <c r="A1197" s="1" t="s">
        <v>191</v>
      </c>
      <c r="B1197" s="2" t="s">
        <v>192</v>
      </c>
      <c r="C1197" s="3" t="s">
        <v>13</v>
      </c>
      <c r="D1197" s="2" t="s">
        <v>77</v>
      </c>
      <c r="E1197" s="3" t="s">
        <v>193</v>
      </c>
      <c r="F1197" s="2" t="s">
        <v>34</v>
      </c>
      <c r="G1197" s="3" t="s">
        <v>35</v>
      </c>
      <c r="H1197" s="2" t="s">
        <v>18</v>
      </c>
      <c r="I1197" s="3" t="s">
        <v>19</v>
      </c>
      <c r="J1197" s="3">
        <v>423</v>
      </c>
      <c r="K1197" s="3">
        <v>61</v>
      </c>
      <c r="L1197" s="3">
        <v>0</v>
      </c>
      <c r="M1197" s="4">
        <f t="shared" si="162"/>
        <v>0.14420803782505912</v>
      </c>
      <c r="N1197" s="4">
        <f t="shared" si="163"/>
        <v>0</v>
      </c>
      <c r="O1197">
        <v>1</v>
      </c>
      <c r="P1197" s="5">
        <v>0.2</v>
      </c>
      <c r="Q1197" s="7">
        <v>0</v>
      </c>
      <c r="R1197" t="s">
        <v>2350</v>
      </c>
      <c r="S1197" t="str">
        <f t="shared" si="164"/>
        <v>Больше половины</v>
      </c>
      <c r="T1197" t="str">
        <f t="shared" si="165"/>
        <v>Низшая четверть</v>
      </c>
      <c r="U1197" t="str">
        <f t="shared" si="166"/>
        <v>код для проверки</v>
      </c>
      <c r="V1197" t="str">
        <f t="shared" si="167"/>
        <v>Больше половины</v>
      </c>
      <c r="W1197" t="str">
        <f t="shared" si="168"/>
        <v>Низшая четверть</v>
      </c>
      <c r="X1197">
        <v>25</v>
      </c>
    </row>
    <row r="1198" spans="1:24" x14ac:dyDescent="0.35">
      <c r="A1198" s="1" t="s">
        <v>2819</v>
      </c>
      <c r="B1198" s="2" t="s">
        <v>2820</v>
      </c>
      <c r="C1198" s="3" t="s">
        <v>13</v>
      </c>
      <c r="D1198" s="2" t="s">
        <v>77</v>
      </c>
      <c r="E1198" s="3" t="s">
        <v>89</v>
      </c>
      <c r="F1198" s="2" t="s">
        <v>34</v>
      </c>
      <c r="G1198" s="3" t="s">
        <v>17</v>
      </c>
      <c r="H1198" s="2" t="s">
        <v>18</v>
      </c>
      <c r="I1198" s="3" t="s">
        <v>19</v>
      </c>
      <c r="J1198" s="3">
        <v>415</v>
      </c>
      <c r="K1198" s="3">
        <v>6</v>
      </c>
      <c r="L1198" s="3">
        <v>0</v>
      </c>
      <c r="M1198" s="4">
        <f t="shared" si="162"/>
        <v>1.4457831325301205E-2</v>
      </c>
      <c r="N1198" s="4">
        <f t="shared" si="163"/>
        <v>0</v>
      </c>
      <c r="O1198">
        <v>300</v>
      </c>
      <c r="P1198" s="5">
        <v>1</v>
      </c>
      <c r="Q1198" s="7">
        <v>0</v>
      </c>
      <c r="R1198" t="s">
        <v>2344</v>
      </c>
      <c r="S1198" t="str">
        <f t="shared" si="164"/>
        <v>Низшая четверть</v>
      </c>
      <c r="T1198" t="str">
        <f t="shared" si="165"/>
        <v>Низшая четверть</v>
      </c>
      <c r="U1198" t="str">
        <f t="shared" si="166"/>
        <v>код для проверки</v>
      </c>
      <c r="V1198" t="str">
        <f t="shared" si="167"/>
        <v>Низшая четверть</v>
      </c>
      <c r="W1198" t="str">
        <f t="shared" si="168"/>
        <v>Низшая четверть</v>
      </c>
      <c r="X1198">
        <v>24</v>
      </c>
    </row>
    <row r="1199" spans="1:24" x14ac:dyDescent="0.35">
      <c r="A1199" s="1" t="s">
        <v>2821</v>
      </c>
      <c r="B1199" s="2" t="s">
        <v>2822</v>
      </c>
      <c r="C1199" s="3" t="s">
        <v>13</v>
      </c>
      <c r="D1199" s="2" t="s">
        <v>155</v>
      </c>
      <c r="E1199" s="3" t="s">
        <v>156</v>
      </c>
      <c r="F1199" s="2" t="s">
        <v>34</v>
      </c>
      <c r="G1199" s="3" t="s">
        <v>17</v>
      </c>
      <c r="H1199" s="2" t="s">
        <v>18</v>
      </c>
      <c r="I1199" s="3" t="s">
        <v>19</v>
      </c>
      <c r="J1199" s="3">
        <v>415</v>
      </c>
      <c r="K1199" s="3">
        <v>7</v>
      </c>
      <c r="L1199" s="3">
        <v>0</v>
      </c>
      <c r="M1199" s="4">
        <f t="shared" si="162"/>
        <v>1.6867469879518072E-2</v>
      </c>
      <c r="N1199" s="4">
        <f t="shared" si="163"/>
        <v>0</v>
      </c>
      <c r="O1199">
        <v>0</v>
      </c>
      <c r="P1199" s="5">
        <v>0</v>
      </c>
      <c r="Q1199" s="7">
        <v>0</v>
      </c>
      <c r="R1199" t="s">
        <v>2350</v>
      </c>
      <c r="S1199" t="str">
        <f t="shared" si="164"/>
        <v>Низшая четверть</v>
      </c>
      <c r="T1199" t="str">
        <f t="shared" si="165"/>
        <v>Низшая четверть</v>
      </c>
      <c r="U1199" t="str">
        <f t="shared" si="166"/>
        <v>код для проверки</v>
      </c>
      <c r="V1199" t="str">
        <f t="shared" si="167"/>
        <v>Низшая четверть</v>
      </c>
      <c r="W1199" t="str">
        <f t="shared" si="168"/>
        <v>Низшая четверть</v>
      </c>
      <c r="X1199">
        <v>12</v>
      </c>
    </row>
    <row r="1200" spans="1:24" x14ac:dyDescent="0.35">
      <c r="A1200" s="1" t="s">
        <v>2429</v>
      </c>
      <c r="B1200" s="2" t="s">
        <v>2430</v>
      </c>
      <c r="C1200" s="3" t="s">
        <v>55</v>
      </c>
      <c r="D1200" s="2" t="s">
        <v>1874</v>
      </c>
      <c r="E1200" s="3" t="s">
        <v>2424</v>
      </c>
      <c r="F1200" s="2" t="s">
        <v>34</v>
      </c>
      <c r="G1200" s="3" t="s">
        <v>17</v>
      </c>
      <c r="H1200" s="2" t="s">
        <v>97</v>
      </c>
      <c r="I1200" s="3" t="s">
        <v>19</v>
      </c>
      <c r="J1200" s="3">
        <v>408</v>
      </c>
      <c r="K1200" s="3">
        <v>98</v>
      </c>
      <c r="L1200" s="3">
        <v>2</v>
      </c>
      <c r="M1200" s="4">
        <f t="shared" si="162"/>
        <v>0.24019607843137256</v>
      </c>
      <c r="N1200" s="4">
        <f t="shared" si="163"/>
        <v>2.0408163265306121E-2</v>
      </c>
      <c r="O1200">
        <v>1498</v>
      </c>
      <c r="P1200" s="5">
        <v>1</v>
      </c>
      <c r="Q1200" s="7">
        <v>0</v>
      </c>
      <c r="R1200" t="s">
        <v>2344</v>
      </c>
      <c r="S1200" t="str">
        <f t="shared" si="164"/>
        <v>Больше половины</v>
      </c>
      <c r="T1200" t="str">
        <f t="shared" si="165"/>
        <v>Больше половины</v>
      </c>
      <c r="U1200" t="e">
        <f t="shared" si="166"/>
        <v>#DIV/0!</v>
      </c>
      <c r="V1200" t="e">
        <f t="shared" si="167"/>
        <v>#DIV/0!</v>
      </c>
      <c r="W1200" t="e">
        <f t="shared" si="168"/>
        <v>#DIV/0!</v>
      </c>
      <c r="X1200">
        <v>14</v>
      </c>
    </row>
    <row r="1201" spans="1:24" x14ac:dyDescent="0.35">
      <c r="A1201" s="1" t="s">
        <v>2823</v>
      </c>
      <c r="B1201" s="2" t="s">
        <v>2824</v>
      </c>
      <c r="C1201" s="3" t="s">
        <v>13</v>
      </c>
      <c r="D1201" s="2" t="s">
        <v>121</v>
      </c>
      <c r="E1201" s="3" t="s">
        <v>650</v>
      </c>
      <c r="F1201" s="2" t="s">
        <v>71</v>
      </c>
      <c r="G1201" s="3" t="s">
        <v>17</v>
      </c>
      <c r="H1201" s="2" t="s">
        <v>18</v>
      </c>
      <c r="I1201" s="3" t="s">
        <v>19</v>
      </c>
      <c r="J1201" s="3">
        <v>398</v>
      </c>
      <c r="K1201" s="3">
        <v>1</v>
      </c>
      <c r="L1201" s="3">
        <v>0</v>
      </c>
      <c r="M1201" s="4">
        <f t="shared" si="162"/>
        <v>2.5125628140703518E-3</v>
      </c>
      <c r="N1201" s="4">
        <f t="shared" si="163"/>
        <v>0</v>
      </c>
      <c r="O1201">
        <v>180</v>
      </c>
      <c r="P1201" s="5">
        <v>0.8</v>
      </c>
      <c r="Q1201" s="7">
        <v>0</v>
      </c>
      <c r="R1201" t="s">
        <v>2344</v>
      </c>
      <c r="S1201" t="str">
        <f t="shared" si="164"/>
        <v>Низшая четверть</v>
      </c>
      <c r="T1201" t="str">
        <f t="shared" si="165"/>
        <v>Низшая четверть</v>
      </c>
      <c r="U1201" t="str">
        <f t="shared" si="166"/>
        <v>код для проверки</v>
      </c>
      <c r="V1201" t="str">
        <f t="shared" si="167"/>
        <v>Низшая четверть</v>
      </c>
      <c r="W1201" t="str">
        <f t="shared" si="168"/>
        <v>Низшая четверть</v>
      </c>
      <c r="X1201">
        <v>9</v>
      </c>
    </row>
    <row r="1202" spans="1:24" x14ac:dyDescent="0.35">
      <c r="A1202" s="1" t="s">
        <v>2825</v>
      </c>
      <c r="B1202" s="2" t="s">
        <v>2826</v>
      </c>
      <c r="C1202" s="3" t="s">
        <v>13</v>
      </c>
      <c r="D1202" s="2" t="s">
        <v>69</v>
      </c>
      <c r="E1202" s="3" t="s">
        <v>2533</v>
      </c>
      <c r="F1202" s="2" t="s">
        <v>34</v>
      </c>
      <c r="G1202" s="3" t="s">
        <v>72</v>
      </c>
      <c r="H1202" s="2" t="s">
        <v>18</v>
      </c>
      <c r="I1202" s="3" t="s">
        <v>19</v>
      </c>
      <c r="J1202" s="3">
        <v>397</v>
      </c>
      <c r="K1202" s="3">
        <v>20</v>
      </c>
      <c r="L1202" s="3">
        <v>1</v>
      </c>
      <c r="M1202" s="4">
        <f t="shared" si="162"/>
        <v>5.0377833753148617E-2</v>
      </c>
      <c r="N1202" s="4">
        <f t="shared" si="163"/>
        <v>0.05</v>
      </c>
      <c r="O1202">
        <v>238</v>
      </c>
      <c r="P1202" s="5">
        <v>1</v>
      </c>
      <c r="Q1202" s="7">
        <v>0</v>
      </c>
      <c r="R1202" t="s">
        <v>2344</v>
      </c>
      <c r="S1202" t="str">
        <f t="shared" si="164"/>
        <v>Вторая четверть</v>
      </c>
      <c r="T1202" t="str">
        <f t="shared" si="165"/>
        <v>Больше половины</v>
      </c>
      <c r="U1202" t="str">
        <f t="shared" si="166"/>
        <v>нормальный код</v>
      </c>
      <c r="V1202" t="str">
        <f t="shared" si="167"/>
        <v>Больше половины</v>
      </c>
      <c r="W1202" t="str">
        <f t="shared" si="168"/>
        <v>Больше половины</v>
      </c>
      <c r="X1202">
        <v>26</v>
      </c>
    </row>
    <row r="1203" spans="1:24" x14ac:dyDescent="0.35">
      <c r="A1203" s="1" t="s">
        <v>2827</v>
      </c>
      <c r="B1203" s="2" t="s">
        <v>2828</v>
      </c>
      <c r="C1203" s="3" t="s">
        <v>13</v>
      </c>
      <c r="D1203" s="2" t="s">
        <v>1215</v>
      </c>
      <c r="E1203" s="3" t="s">
        <v>1216</v>
      </c>
      <c r="F1203" s="2" t="s">
        <v>34</v>
      </c>
      <c r="G1203" s="3" t="s">
        <v>17</v>
      </c>
      <c r="H1203" s="2" t="s">
        <v>18</v>
      </c>
      <c r="I1203" s="3" t="s">
        <v>19</v>
      </c>
      <c r="J1203" s="3">
        <v>397</v>
      </c>
      <c r="K1203" s="3">
        <v>60</v>
      </c>
      <c r="L1203" s="3">
        <v>1</v>
      </c>
      <c r="M1203" s="4">
        <f t="shared" si="162"/>
        <v>0.15113350125944586</v>
      </c>
      <c r="N1203" s="4">
        <f t="shared" si="163"/>
        <v>1.6666666666666666E-2</v>
      </c>
      <c r="O1203">
        <v>714</v>
      </c>
      <c r="P1203" s="5">
        <v>1</v>
      </c>
      <c r="Q1203" s="7">
        <v>0</v>
      </c>
      <c r="R1203" t="s">
        <v>2344</v>
      </c>
      <c r="S1203" t="str">
        <f t="shared" si="164"/>
        <v>Больше половины</v>
      </c>
      <c r="T1203" t="str">
        <f t="shared" si="165"/>
        <v>Вторая четверть</v>
      </c>
      <c r="U1203" t="str">
        <f t="shared" si="166"/>
        <v>нормальный код</v>
      </c>
      <c r="V1203" t="str">
        <f t="shared" si="167"/>
        <v>Больше половины</v>
      </c>
      <c r="W1203" t="str">
        <f t="shared" si="168"/>
        <v>Больше половины</v>
      </c>
      <c r="X1203">
        <v>26</v>
      </c>
    </row>
    <row r="1204" spans="1:24" x14ac:dyDescent="0.35">
      <c r="A1204" s="1" t="s">
        <v>2829</v>
      </c>
      <c r="B1204" s="2" t="s">
        <v>2830</v>
      </c>
      <c r="C1204" s="3" t="s">
        <v>55</v>
      </c>
      <c r="D1204" s="2" t="s">
        <v>2831</v>
      </c>
      <c r="E1204" s="3" t="s">
        <v>2832</v>
      </c>
      <c r="F1204" s="2" t="s">
        <v>34</v>
      </c>
      <c r="G1204" s="3" t="s">
        <v>17</v>
      </c>
      <c r="H1204" s="2" t="s">
        <v>97</v>
      </c>
      <c r="I1204" s="3" t="s">
        <v>19</v>
      </c>
      <c r="J1204" s="3">
        <v>394</v>
      </c>
      <c r="K1204" s="3">
        <v>21</v>
      </c>
      <c r="L1204" s="3">
        <v>0</v>
      </c>
      <c r="M1204" s="4">
        <f t="shared" si="162"/>
        <v>5.3299492385786802E-2</v>
      </c>
      <c r="N1204" s="4">
        <f t="shared" si="163"/>
        <v>0</v>
      </c>
      <c r="O1204">
        <v>3420</v>
      </c>
      <c r="P1204" s="5">
        <v>1</v>
      </c>
      <c r="Q1204" s="7">
        <v>0</v>
      </c>
      <c r="R1204" t="s">
        <v>2344</v>
      </c>
      <c r="S1204" t="str">
        <f t="shared" si="164"/>
        <v>Вторая четверть</v>
      </c>
      <c r="T1204" t="str">
        <f t="shared" si="165"/>
        <v>Низшая четверть</v>
      </c>
      <c r="U1204" t="e">
        <f t="shared" si="166"/>
        <v>#DIV/0!</v>
      </c>
      <c r="V1204" t="e">
        <f t="shared" si="167"/>
        <v>#DIV/0!</v>
      </c>
      <c r="W1204" t="e">
        <f t="shared" si="168"/>
        <v>#DIV/0!</v>
      </c>
      <c r="X1204">
        <v>20</v>
      </c>
    </row>
    <row r="1205" spans="1:24" x14ac:dyDescent="0.35">
      <c r="A1205" s="1" t="s">
        <v>2833</v>
      </c>
      <c r="B1205" s="2" t="s">
        <v>2834</v>
      </c>
      <c r="C1205" s="3" t="s">
        <v>55</v>
      </c>
      <c r="D1205" s="2" t="s">
        <v>2831</v>
      </c>
      <c r="E1205" s="3" t="s">
        <v>2832</v>
      </c>
      <c r="F1205" s="2" t="s">
        <v>34</v>
      </c>
      <c r="G1205" s="3" t="s">
        <v>17</v>
      </c>
      <c r="H1205" s="2" t="s">
        <v>97</v>
      </c>
      <c r="I1205" s="3" t="s">
        <v>19</v>
      </c>
      <c r="J1205" s="3">
        <v>388</v>
      </c>
      <c r="K1205" s="3">
        <v>19</v>
      </c>
      <c r="L1205" s="3">
        <v>0</v>
      </c>
      <c r="M1205" s="4">
        <f t="shared" si="162"/>
        <v>4.8969072164948453E-2</v>
      </c>
      <c r="N1205" s="4">
        <f t="shared" si="163"/>
        <v>0</v>
      </c>
      <c r="O1205">
        <v>1980</v>
      </c>
      <c r="P1205" s="5">
        <v>1</v>
      </c>
      <c r="Q1205" s="7">
        <v>0</v>
      </c>
      <c r="R1205" t="s">
        <v>2344</v>
      </c>
      <c r="S1205" t="str">
        <f t="shared" si="164"/>
        <v>Вторая четверть</v>
      </c>
      <c r="T1205" t="str">
        <f t="shared" si="165"/>
        <v>Низшая четверть</v>
      </c>
      <c r="U1205" t="e">
        <f t="shared" si="166"/>
        <v>#DIV/0!</v>
      </c>
      <c r="V1205" t="e">
        <f t="shared" si="167"/>
        <v>#DIV/0!</v>
      </c>
      <c r="W1205" t="e">
        <f t="shared" si="168"/>
        <v>#DIV/0!</v>
      </c>
      <c r="X1205">
        <v>19</v>
      </c>
    </row>
    <row r="1206" spans="1:24" x14ac:dyDescent="0.35">
      <c r="A1206" s="1" t="s">
        <v>2835</v>
      </c>
      <c r="B1206" s="2" t="s">
        <v>2836</v>
      </c>
      <c r="C1206" s="3" t="s">
        <v>55</v>
      </c>
      <c r="D1206" s="2" t="s">
        <v>1479</v>
      </c>
      <c r="E1206" s="3" t="s">
        <v>1985</v>
      </c>
      <c r="F1206" s="2" t="s">
        <v>61</v>
      </c>
      <c r="G1206" s="3" t="s">
        <v>17</v>
      </c>
      <c r="H1206" s="2" t="s">
        <v>18</v>
      </c>
      <c r="I1206" s="3" t="s">
        <v>19</v>
      </c>
      <c r="J1206" s="3">
        <v>387</v>
      </c>
      <c r="K1206" s="3">
        <v>8</v>
      </c>
      <c r="L1206" s="3">
        <v>1</v>
      </c>
      <c r="M1206" s="4">
        <f t="shared" si="162"/>
        <v>2.0671834625322998E-2</v>
      </c>
      <c r="N1206" s="4">
        <f t="shared" si="163"/>
        <v>0.125</v>
      </c>
      <c r="O1206">
        <v>268</v>
      </c>
      <c r="P1206" s="5">
        <v>1</v>
      </c>
      <c r="Q1206" s="7">
        <v>0</v>
      </c>
      <c r="R1206" t="s">
        <v>2344</v>
      </c>
      <c r="S1206" t="str">
        <f t="shared" si="164"/>
        <v>Низшая четверть</v>
      </c>
      <c r="T1206" t="str">
        <f t="shared" si="165"/>
        <v>Больше половины</v>
      </c>
      <c r="U1206" t="e">
        <f t="shared" si="166"/>
        <v>#DIV/0!</v>
      </c>
      <c r="V1206" t="e">
        <f t="shared" si="167"/>
        <v>#DIV/0!</v>
      </c>
      <c r="W1206" t="e">
        <f t="shared" si="168"/>
        <v>#DIV/0!</v>
      </c>
      <c r="X1206">
        <v>19</v>
      </c>
    </row>
    <row r="1207" spans="1:24" x14ac:dyDescent="0.35">
      <c r="A1207" s="1" t="s">
        <v>2837</v>
      </c>
      <c r="B1207" s="2" t="s">
        <v>2838</v>
      </c>
      <c r="C1207" s="3" t="s">
        <v>13</v>
      </c>
      <c r="D1207" s="2" t="s">
        <v>14</v>
      </c>
      <c r="E1207" s="3" t="s">
        <v>366</v>
      </c>
      <c r="F1207" s="2" t="s">
        <v>123</v>
      </c>
      <c r="G1207" s="3" t="s">
        <v>17</v>
      </c>
      <c r="H1207" s="2" t="s">
        <v>18</v>
      </c>
      <c r="I1207" s="3" t="s">
        <v>19</v>
      </c>
      <c r="J1207" s="3">
        <v>386</v>
      </c>
      <c r="K1207" s="3">
        <v>47</v>
      </c>
      <c r="L1207" s="3">
        <v>5</v>
      </c>
      <c r="M1207" s="4">
        <f t="shared" si="162"/>
        <v>0.12176165803108809</v>
      </c>
      <c r="N1207" s="4">
        <f t="shared" si="163"/>
        <v>0.10638297872340426</v>
      </c>
      <c r="O1207">
        <v>428</v>
      </c>
      <c r="P1207" s="5">
        <v>1</v>
      </c>
      <c r="Q1207" s="7">
        <v>0</v>
      </c>
      <c r="R1207" t="s">
        <v>2344</v>
      </c>
      <c r="S1207" t="str">
        <f t="shared" si="164"/>
        <v>Больше половины</v>
      </c>
      <c r="T1207" t="str">
        <f t="shared" si="165"/>
        <v>Больше половины</v>
      </c>
      <c r="U1207" t="str">
        <f t="shared" si="166"/>
        <v>нормальный код</v>
      </c>
      <c r="V1207" t="str">
        <f t="shared" si="167"/>
        <v>Больше половины</v>
      </c>
      <c r="W1207" t="str">
        <f t="shared" si="168"/>
        <v>Больше половины</v>
      </c>
      <c r="X1207">
        <v>28</v>
      </c>
    </row>
    <row r="1208" spans="1:24" x14ac:dyDescent="0.35">
      <c r="A1208" s="1" t="s">
        <v>1866</v>
      </c>
      <c r="B1208" s="2" t="s">
        <v>1867</v>
      </c>
      <c r="C1208" s="3" t="s">
        <v>55</v>
      </c>
      <c r="D1208" s="2" t="s">
        <v>1221</v>
      </c>
      <c r="E1208" s="3" t="s">
        <v>1450</v>
      </c>
      <c r="F1208" s="2" t="s">
        <v>61</v>
      </c>
      <c r="G1208" s="3" t="s">
        <v>17</v>
      </c>
      <c r="H1208" s="2" t="s">
        <v>18</v>
      </c>
      <c r="I1208" s="3" t="s">
        <v>19</v>
      </c>
      <c r="J1208" s="3">
        <v>385</v>
      </c>
      <c r="K1208" s="3">
        <v>22</v>
      </c>
      <c r="L1208" s="3">
        <v>0</v>
      </c>
      <c r="M1208" s="4">
        <f t="shared" si="162"/>
        <v>5.7142857142857141E-2</v>
      </c>
      <c r="N1208" s="4">
        <f t="shared" si="163"/>
        <v>0</v>
      </c>
      <c r="O1208">
        <v>360</v>
      </c>
      <c r="P1208" s="5">
        <v>1</v>
      </c>
      <c r="Q1208" s="7">
        <v>0</v>
      </c>
      <c r="R1208" t="s">
        <v>2344</v>
      </c>
      <c r="S1208" t="str">
        <f t="shared" si="164"/>
        <v>Вторая четверть</v>
      </c>
      <c r="T1208" t="str">
        <f t="shared" si="165"/>
        <v>Низшая четверть</v>
      </c>
      <c r="U1208" t="str">
        <f t="shared" si="166"/>
        <v>код для проверки</v>
      </c>
      <c r="V1208" t="str">
        <f t="shared" si="167"/>
        <v>Больше половины</v>
      </c>
      <c r="W1208" t="str">
        <f t="shared" si="168"/>
        <v>Низшая четверть</v>
      </c>
      <c r="X1208">
        <v>23</v>
      </c>
    </row>
    <row r="1209" spans="1:24" x14ac:dyDescent="0.35">
      <c r="A1209" s="1" t="s">
        <v>2839</v>
      </c>
      <c r="B1209" s="2" t="s">
        <v>2840</v>
      </c>
      <c r="C1209" s="3" t="s">
        <v>13</v>
      </c>
      <c r="D1209" s="2" t="s">
        <v>69</v>
      </c>
      <c r="E1209" s="3" t="s">
        <v>1780</v>
      </c>
      <c r="F1209" s="2" t="s">
        <v>61</v>
      </c>
      <c r="G1209" s="3" t="s">
        <v>72</v>
      </c>
      <c r="H1209" s="2" t="s">
        <v>18</v>
      </c>
      <c r="I1209" s="3" t="s">
        <v>19</v>
      </c>
      <c r="J1209" s="3">
        <v>385</v>
      </c>
      <c r="K1209" s="3">
        <v>14</v>
      </c>
      <c r="L1209" s="3">
        <v>0</v>
      </c>
      <c r="M1209" s="4">
        <f t="shared" si="162"/>
        <v>3.6363636363636362E-2</v>
      </c>
      <c r="N1209" s="4">
        <f t="shared" si="163"/>
        <v>0</v>
      </c>
      <c r="O1209">
        <v>450</v>
      </c>
      <c r="P1209" s="5">
        <v>1</v>
      </c>
      <c r="Q1209" s="7">
        <v>0</v>
      </c>
      <c r="R1209" t="s">
        <v>2344</v>
      </c>
      <c r="S1209" t="str">
        <f t="shared" si="164"/>
        <v>Низшая четверть</v>
      </c>
      <c r="T1209" t="str">
        <f t="shared" si="165"/>
        <v>Низшая четверть</v>
      </c>
      <c r="U1209" t="str">
        <f t="shared" si="166"/>
        <v>код для проверки</v>
      </c>
      <c r="V1209" t="str">
        <f t="shared" si="167"/>
        <v>Вторая четверть</v>
      </c>
      <c r="W1209" t="str">
        <f t="shared" si="168"/>
        <v>Низшая четверть</v>
      </c>
      <c r="X1209">
        <v>23</v>
      </c>
    </row>
    <row r="1210" spans="1:24" x14ac:dyDescent="0.35">
      <c r="A1210" s="1" t="s">
        <v>2841</v>
      </c>
      <c r="B1210" s="2" t="s">
        <v>2842</v>
      </c>
      <c r="C1210" s="3" t="s">
        <v>13</v>
      </c>
      <c r="D1210" s="2" t="s">
        <v>69</v>
      </c>
      <c r="E1210" s="3" t="s">
        <v>2533</v>
      </c>
      <c r="F1210" s="2" t="s">
        <v>34</v>
      </c>
      <c r="G1210" s="3" t="s">
        <v>72</v>
      </c>
      <c r="H1210" s="2" t="s">
        <v>18</v>
      </c>
      <c r="I1210" s="3" t="s">
        <v>19</v>
      </c>
      <c r="J1210" s="3">
        <v>384</v>
      </c>
      <c r="K1210" s="3">
        <v>36</v>
      </c>
      <c r="L1210" s="3">
        <v>0</v>
      </c>
      <c r="M1210" s="4">
        <f t="shared" si="162"/>
        <v>9.375E-2</v>
      </c>
      <c r="N1210" s="4">
        <f t="shared" si="163"/>
        <v>0</v>
      </c>
      <c r="O1210">
        <v>240</v>
      </c>
      <c r="P1210" s="5">
        <v>1</v>
      </c>
      <c r="Q1210" s="7">
        <v>0</v>
      </c>
      <c r="R1210" t="s">
        <v>2344</v>
      </c>
      <c r="S1210" t="str">
        <f t="shared" si="164"/>
        <v>Вторая четверть</v>
      </c>
      <c r="T1210" t="str">
        <f t="shared" si="165"/>
        <v>Низшая четверть</v>
      </c>
      <c r="U1210" t="str">
        <f t="shared" si="166"/>
        <v>код для проверки</v>
      </c>
      <c r="V1210" t="str">
        <f t="shared" si="167"/>
        <v>Больше половины</v>
      </c>
      <c r="W1210" t="str">
        <f t="shared" si="168"/>
        <v>Низшая четверть</v>
      </c>
      <c r="X1210">
        <v>28</v>
      </c>
    </row>
    <row r="1211" spans="1:24" x14ac:dyDescent="0.35">
      <c r="A1211" s="1" t="s">
        <v>2843</v>
      </c>
      <c r="B1211" s="2" t="s">
        <v>2844</v>
      </c>
      <c r="C1211" s="3" t="s">
        <v>13</v>
      </c>
      <c r="D1211" s="2" t="s">
        <v>104</v>
      </c>
      <c r="E1211" s="3" t="s">
        <v>711</v>
      </c>
      <c r="F1211" s="2" t="s">
        <v>96</v>
      </c>
      <c r="G1211" s="3" t="s">
        <v>17</v>
      </c>
      <c r="H1211" s="2" t="s">
        <v>18</v>
      </c>
      <c r="I1211" s="3" t="s">
        <v>19</v>
      </c>
      <c r="J1211" s="3">
        <v>383</v>
      </c>
      <c r="K1211" s="3">
        <v>14</v>
      </c>
      <c r="L1211" s="3">
        <v>0</v>
      </c>
      <c r="M1211" s="4">
        <f t="shared" si="162"/>
        <v>3.6553524804177548E-2</v>
      </c>
      <c r="N1211" s="4">
        <f t="shared" si="163"/>
        <v>0</v>
      </c>
      <c r="O1211">
        <v>1285</v>
      </c>
      <c r="P1211" s="5">
        <v>1</v>
      </c>
      <c r="Q1211" s="7">
        <v>0</v>
      </c>
      <c r="R1211" t="s">
        <v>2344</v>
      </c>
      <c r="S1211" t="str">
        <f t="shared" si="164"/>
        <v>Низшая четверть</v>
      </c>
      <c r="T1211" t="str">
        <f t="shared" si="165"/>
        <v>Низшая четверть</v>
      </c>
      <c r="U1211" t="str">
        <f t="shared" si="166"/>
        <v>код для проверки</v>
      </c>
      <c r="V1211" t="str">
        <f t="shared" si="167"/>
        <v>Вторая четверть</v>
      </c>
      <c r="W1211" t="str">
        <f t="shared" si="168"/>
        <v>Низшая четверть</v>
      </c>
      <c r="X1211">
        <v>12</v>
      </c>
    </row>
    <row r="1212" spans="1:24" x14ac:dyDescent="0.35">
      <c r="A1212" s="1" t="s">
        <v>2475</v>
      </c>
      <c r="B1212" s="2" t="s">
        <v>2476</v>
      </c>
      <c r="C1212" s="3" t="s">
        <v>13</v>
      </c>
      <c r="D1212" s="2" t="s">
        <v>155</v>
      </c>
      <c r="E1212" s="3" t="s">
        <v>156</v>
      </c>
      <c r="F1212" s="2" t="s">
        <v>34</v>
      </c>
      <c r="G1212" s="3" t="s">
        <v>17</v>
      </c>
      <c r="H1212" s="2" t="s">
        <v>18</v>
      </c>
      <c r="I1212" s="3" t="s">
        <v>19</v>
      </c>
      <c r="J1212" s="3">
        <v>381</v>
      </c>
      <c r="K1212" s="3">
        <v>7</v>
      </c>
      <c r="L1212" s="3">
        <v>0</v>
      </c>
      <c r="M1212" s="4">
        <f t="shared" si="162"/>
        <v>1.8372703412073491E-2</v>
      </c>
      <c r="N1212" s="4">
        <f t="shared" si="163"/>
        <v>0</v>
      </c>
      <c r="O1212">
        <v>259</v>
      </c>
      <c r="P1212" s="5">
        <v>1</v>
      </c>
      <c r="Q1212" s="7">
        <v>0</v>
      </c>
      <c r="R1212" t="s">
        <v>2344</v>
      </c>
      <c r="S1212" t="str">
        <f t="shared" si="164"/>
        <v>Низшая четверть</v>
      </c>
      <c r="T1212" t="str">
        <f t="shared" si="165"/>
        <v>Низшая четверть</v>
      </c>
      <c r="U1212" t="str">
        <f t="shared" si="166"/>
        <v>код для проверки</v>
      </c>
      <c r="V1212" t="str">
        <f t="shared" si="167"/>
        <v>Низшая четверть</v>
      </c>
      <c r="W1212" t="str">
        <f t="shared" si="168"/>
        <v>Низшая четверть</v>
      </c>
      <c r="X1212">
        <v>10</v>
      </c>
    </row>
    <row r="1213" spans="1:24" x14ac:dyDescent="0.35">
      <c r="A1213" s="1" t="s">
        <v>2845</v>
      </c>
      <c r="B1213" s="2" t="s">
        <v>2846</v>
      </c>
      <c r="C1213" s="3" t="s">
        <v>13</v>
      </c>
      <c r="D1213" s="2" t="s">
        <v>77</v>
      </c>
      <c r="E1213" s="3" t="s">
        <v>89</v>
      </c>
      <c r="F1213" s="2" t="s">
        <v>34</v>
      </c>
      <c r="G1213" s="3" t="s">
        <v>17</v>
      </c>
      <c r="H1213" s="2" t="s">
        <v>18</v>
      </c>
      <c r="I1213" s="3" t="s">
        <v>19</v>
      </c>
      <c r="J1213" s="3">
        <v>380</v>
      </c>
      <c r="K1213" s="3">
        <v>3</v>
      </c>
      <c r="L1213" s="3">
        <v>0</v>
      </c>
      <c r="M1213" s="4">
        <f t="shared" si="162"/>
        <v>7.8947368421052634E-3</v>
      </c>
      <c r="N1213" s="4">
        <f t="shared" si="163"/>
        <v>0</v>
      </c>
      <c r="O1213">
        <v>0</v>
      </c>
      <c r="P1213" s="5">
        <v>0</v>
      </c>
      <c r="Q1213" s="7">
        <v>0</v>
      </c>
      <c r="R1213" t="s">
        <v>2350</v>
      </c>
      <c r="S1213" t="str">
        <f t="shared" si="164"/>
        <v>Низшая четверть</v>
      </c>
      <c r="T1213" t="str">
        <f t="shared" si="165"/>
        <v>Низшая четверть</v>
      </c>
      <c r="U1213" t="str">
        <f t="shared" si="166"/>
        <v>код для проверки</v>
      </c>
      <c r="V1213" t="str">
        <f t="shared" si="167"/>
        <v>Низшая четверть</v>
      </c>
      <c r="W1213" t="str">
        <f t="shared" si="168"/>
        <v>Низшая четверть</v>
      </c>
      <c r="X1213">
        <v>8</v>
      </c>
    </row>
    <row r="1214" spans="1:24" x14ac:dyDescent="0.35">
      <c r="A1214" s="1" t="s">
        <v>2847</v>
      </c>
      <c r="B1214" s="2" t="s">
        <v>2848</v>
      </c>
      <c r="C1214" s="3" t="s">
        <v>13</v>
      </c>
      <c r="D1214" s="2" t="s">
        <v>69</v>
      </c>
      <c r="E1214" s="3" t="s">
        <v>958</v>
      </c>
      <c r="F1214" s="2" t="s">
        <v>96</v>
      </c>
      <c r="G1214" s="3" t="s">
        <v>72</v>
      </c>
      <c r="H1214" s="2" t="s">
        <v>18</v>
      </c>
      <c r="I1214" s="3" t="s">
        <v>19</v>
      </c>
      <c r="J1214" s="3">
        <v>379</v>
      </c>
      <c r="K1214" s="3">
        <v>68</v>
      </c>
      <c r="L1214" s="3">
        <v>0</v>
      </c>
      <c r="M1214" s="4">
        <f t="shared" si="162"/>
        <v>0.17941952506596306</v>
      </c>
      <c r="N1214" s="4">
        <f t="shared" si="163"/>
        <v>0</v>
      </c>
      <c r="O1214">
        <v>100</v>
      </c>
      <c r="P1214" s="5">
        <v>1</v>
      </c>
      <c r="Q1214" s="7">
        <v>0</v>
      </c>
      <c r="R1214" t="s">
        <v>2344</v>
      </c>
      <c r="S1214" t="str">
        <f t="shared" si="164"/>
        <v>Больше половины</v>
      </c>
      <c r="T1214" t="str">
        <f t="shared" si="165"/>
        <v>Низшая четверть</v>
      </c>
      <c r="U1214" t="str">
        <f t="shared" si="166"/>
        <v>код для проверки</v>
      </c>
      <c r="V1214" t="str">
        <f t="shared" si="167"/>
        <v>Вторая четверть</v>
      </c>
      <c r="W1214" t="str">
        <f t="shared" si="168"/>
        <v>Низшая четверть</v>
      </c>
      <c r="X1214">
        <v>14</v>
      </c>
    </row>
    <row r="1215" spans="1:24" x14ac:dyDescent="0.35">
      <c r="A1215" s="1" t="s">
        <v>2849</v>
      </c>
      <c r="B1215" s="2" t="s">
        <v>2850</v>
      </c>
      <c r="C1215" s="3" t="s">
        <v>55</v>
      </c>
      <c r="D1215" s="2" t="s">
        <v>1049</v>
      </c>
      <c r="E1215" s="3" t="s">
        <v>1050</v>
      </c>
      <c r="F1215" s="2" t="s">
        <v>34</v>
      </c>
      <c r="G1215" s="3" t="s">
        <v>17</v>
      </c>
      <c r="H1215" s="2" t="s">
        <v>18</v>
      </c>
      <c r="I1215" s="3" t="s">
        <v>19</v>
      </c>
      <c r="J1215" s="3">
        <v>378</v>
      </c>
      <c r="K1215" s="3">
        <v>7</v>
      </c>
      <c r="L1215" s="3">
        <v>0</v>
      </c>
      <c r="M1215" s="4">
        <f t="shared" si="162"/>
        <v>1.8518518518518517E-2</v>
      </c>
      <c r="N1215" s="4">
        <f t="shared" si="163"/>
        <v>0</v>
      </c>
      <c r="O1215">
        <v>30</v>
      </c>
      <c r="P1215" s="5">
        <v>0.2</v>
      </c>
      <c r="Q1215" s="7">
        <v>0</v>
      </c>
      <c r="R1215" t="s">
        <v>2344</v>
      </c>
      <c r="S1215" t="str">
        <f t="shared" si="164"/>
        <v>Низшая четверть</v>
      </c>
      <c r="T1215" t="str">
        <f t="shared" si="165"/>
        <v>Низшая четверть</v>
      </c>
      <c r="U1215" t="str">
        <f t="shared" si="166"/>
        <v>код для проверки</v>
      </c>
      <c r="V1215" t="str">
        <f t="shared" si="167"/>
        <v>Низшая четверть</v>
      </c>
      <c r="W1215" t="str">
        <f t="shared" si="168"/>
        <v>Низшая четверть</v>
      </c>
      <c r="X1215">
        <v>11</v>
      </c>
    </row>
    <row r="1216" spans="1:24" x14ac:dyDescent="0.35">
      <c r="A1216" s="1" t="s">
        <v>2851</v>
      </c>
      <c r="B1216" s="2" t="s">
        <v>2852</v>
      </c>
      <c r="C1216" s="3" t="s">
        <v>13</v>
      </c>
      <c r="D1216" s="2" t="s">
        <v>69</v>
      </c>
      <c r="E1216" s="3" t="s">
        <v>371</v>
      </c>
      <c r="F1216" s="2" t="s">
        <v>96</v>
      </c>
      <c r="G1216" s="3" t="s">
        <v>72</v>
      </c>
      <c r="H1216" s="2" t="s">
        <v>18</v>
      </c>
      <c r="I1216" s="3" t="s">
        <v>19</v>
      </c>
      <c r="J1216" s="3">
        <v>374</v>
      </c>
      <c r="K1216" s="3">
        <v>12</v>
      </c>
      <c r="L1216" s="3">
        <v>1</v>
      </c>
      <c r="M1216" s="4">
        <f t="shared" si="162"/>
        <v>3.2085561497326207E-2</v>
      </c>
      <c r="N1216" s="4">
        <f t="shared" si="163"/>
        <v>8.3333333333333329E-2</v>
      </c>
      <c r="O1216">
        <v>349</v>
      </c>
      <c r="P1216" s="5">
        <v>1</v>
      </c>
      <c r="Q1216" s="7">
        <v>0</v>
      </c>
      <c r="R1216" t="s">
        <v>2344</v>
      </c>
      <c r="S1216" t="str">
        <f t="shared" si="164"/>
        <v>Низшая четверть</v>
      </c>
      <c r="T1216" t="str">
        <f t="shared" si="165"/>
        <v>Больше половины</v>
      </c>
      <c r="U1216" t="str">
        <f t="shared" si="166"/>
        <v>код для проверки</v>
      </c>
      <c r="V1216" t="str">
        <f t="shared" si="167"/>
        <v>Низшая четверть</v>
      </c>
      <c r="W1216" t="str">
        <f t="shared" si="168"/>
        <v>Больше половины</v>
      </c>
      <c r="X1216">
        <v>17</v>
      </c>
    </row>
    <row r="1217" spans="1:24" x14ac:dyDescent="0.35">
      <c r="A1217" s="1" t="s">
        <v>2289</v>
      </c>
      <c r="B1217" s="2" t="s">
        <v>2290</v>
      </c>
      <c r="C1217" s="3" t="s">
        <v>13</v>
      </c>
      <c r="D1217" s="2" t="s">
        <v>104</v>
      </c>
      <c r="E1217" s="3" t="s">
        <v>711</v>
      </c>
      <c r="F1217" s="2" t="s">
        <v>96</v>
      </c>
      <c r="G1217" s="3" t="s">
        <v>17</v>
      </c>
      <c r="H1217" s="2" t="s">
        <v>18</v>
      </c>
      <c r="I1217" s="3" t="s">
        <v>19</v>
      </c>
      <c r="J1217" s="3">
        <v>374</v>
      </c>
      <c r="K1217" s="3">
        <v>12</v>
      </c>
      <c r="L1217" s="3">
        <v>0</v>
      </c>
      <c r="M1217" s="4">
        <f t="shared" si="162"/>
        <v>3.2085561497326207E-2</v>
      </c>
      <c r="N1217" s="4">
        <f t="shared" si="163"/>
        <v>0</v>
      </c>
      <c r="O1217">
        <v>701</v>
      </c>
      <c r="P1217" s="5">
        <v>1</v>
      </c>
      <c r="Q1217" s="7">
        <v>0</v>
      </c>
      <c r="R1217" t="s">
        <v>2344</v>
      </c>
      <c r="S1217" t="str">
        <f t="shared" si="164"/>
        <v>Низшая четверть</v>
      </c>
      <c r="T1217" t="str">
        <f t="shared" si="165"/>
        <v>Низшая четверть</v>
      </c>
      <c r="U1217" t="str">
        <f t="shared" si="166"/>
        <v>код для проверки</v>
      </c>
      <c r="V1217" t="str">
        <f t="shared" si="167"/>
        <v>Низшая четверть</v>
      </c>
      <c r="W1217" t="str">
        <f t="shared" si="168"/>
        <v>Низшая четверть</v>
      </c>
      <c r="X1217">
        <v>17</v>
      </c>
    </row>
    <row r="1218" spans="1:24" x14ac:dyDescent="0.35">
      <c r="A1218" s="1" t="s">
        <v>2853</v>
      </c>
      <c r="B1218" s="2" t="s">
        <v>2854</v>
      </c>
      <c r="C1218" s="3" t="s">
        <v>13</v>
      </c>
      <c r="D1218" s="2" t="s">
        <v>69</v>
      </c>
      <c r="E1218" s="3" t="s">
        <v>2533</v>
      </c>
      <c r="F1218" s="2" t="s">
        <v>34</v>
      </c>
      <c r="G1218" s="3" t="s">
        <v>72</v>
      </c>
      <c r="H1218" s="2" t="s">
        <v>18</v>
      </c>
      <c r="I1218" s="3" t="s">
        <v>19</v>
      </c>
      <c r="J1218" s="3">
        <v>372</v>
      </c>
      <c r="K1218" s="3">
        <v>20</v>
      </c>
      <c r="L1218" s="3">
        <v>1</v>
      </c>
      <c r="M1218" s="4">
        <f t="shared" si="162"/>
        <v>5.3763440860215055E-2</v>
      </c>
      <c r="N1218" s="4">
        <f t="shared" si="163"/>
        <v>0.05</v>
      </c>
      <c r="O1218">
        <v>239</v>
      </c>
      <c r="P1218" s="5">
        <v>1</v>
      </c>
      <c r="Q1218" s="7">
        <v>0</v>
      </c>
      <c r="R1218" t="s">
        <v>2344</v>
      </c>
      <c r="S1218" t="str">
        <f t="shared" si="164"/>
        <v>Вторая четверть</v>
      </c>
      <c r="T1218" t="str">
        <f t="shared" si="165"/>
        <v>Больше половины</v>
      </c>
      <c r="U1218" t="str">
        <f t="shared" si="166"/>
        <v>нормальный код</v>
      </c>
      <c r="V1218" t="str">
        <f t="shared" si="167"/>
        <v>Больше половины</v>
      </c>
      <c r="W1218" t="str">
        <f t="shared" si="168"/>
        <v>Больше половины</v>
      </c>
      <c r="X1218">
        <v>17</v>
      </c>
    </row>
    <row r="1219" spans="1:24" x14ac:dyDescent="0.35">
      <c r="A1219" s="1" t="s">
        <v>2855</v>
      </c>
      <c r="B1219" s="2" t="s">
        <v>2856</v>
      </c>
      <c r="C1219" s="3" t="s">
        <v>13</v>
      </c>
      <c r="D1219" s="2" t="s">
        <v>104</v>
      </c>
      <c r="E1219" s="3" t="s">
        <v>711</v>
      </c>
      <c r="F1219" s="2" t="s">
        <v>96</v>
      </c>
      <c r="G1219" s="3" t="s">
        <v>35</v>
      </c>
      <c r="H1219" s="2" t="s">
        <v>18</v>
      </c>
      <c r="I1219" s="3" t="s">
        <v>19</v>
      </c>
      <c r="J1219" s="3">
        <v>370</v>
      </c>
      <c r="K1219" s="3">
        <v>23</v>
      </c>
      <c r="L1219" s="3">
        <v>0</v>
      </c>
      <c r="M1219" s="4">
        <f t="shared" si="162"/>
        <v>6.2162162162162166E-2</v>
      </c>
      <c r="N1219" s="4">
        <f t="shared" si="163"/>
        <v>0</v>
      </c>
      <c r="O1219">
        <v>500</v>
      </c>
      <c r="P1219" s="5">
        <v>1</v>
      </c>
      <c r="Q1219" s="7">
        <v>0</v>
      </c>
      <c r="R1219" t="s">
        <v>2344</v>
      </c>
      <c r="S1219" t="str">
        <f t="shared" si="164"/>
        <v>Вторая четверть</v>
      </c>
      <c r="T1219" t="str">
        <f t="shared" si="165"/>
        <v>Низшая четверть</v>
      </c>
      <c r="U1219" t="str">
        <f t="shared" si="166"/>
        <v>код для проверки</v>
      </c>
      <c r="V1219" t="str">
        <f t="shared" si="167"/>
        <v>Вторая четверть</v>
      </c>
      <c r="W1219" t="str">
        <f t="shared" si="168"/>
        <v>Низшая четверть</v>
      </c>
      <c r="X1219">
        <v>15</v>
      </c>
    </row>
    <row r="1220" spans="1:24" x14ac:dyDescent="0.35">
      <c r="A1220" s="1" t="s">
        <v>2857</v>
      </c>
      <c r="B1220" s="2" t="s">
        <v>2858</v>
      </c>
      <c r="C1220" s="3" t="s">
        <v>55</v>
      </c>
      <c r="D1220" s="2" t="s">
        <v>1874</v>
      </c>
      <c r="E1220" s="3" t="s">
        <v>1875</v>
      </c>
      <c r="F1220" s="2" t="s">
        <v>34</v>
      </c>
      <c r="G1220" s="3" t="s">
        <v>17</v>
      </c>
      <c r="H1220" s="2" t="s">
        <v>97</v>
      </c>
      <c r="I1220" s="3" t="s">
        <v>19</v>
      </c>
      <c r="J1220" s="3">
        <v>368</v>
      </c>
      <c r="K1220" s="3">
        <v>42</v>
      </c>
      <c r="L1220" s="3">
        <v>1</v>
      </c>
      <c r="M1220" s="4">
        <f t="shared" si="162"/>
        <v>0.11413043478260869</v>
      </c>
      <c r="N1220" s="4">
        <f t="shared" si="163"/>
        <v>2.3809523809523808E-2</v>
      </c>
      <c r="O1220">
        <v>950</v>
      </c>
      <c r="P1220" s="5">
        <v>0.8</v>
      </c>
      <c r="Q1220" s="7">
        <v>0</v>
      </c>
      <c r="R1220" t="s">
        <v>2344</v>
      </c>
      <c r="S1220" t="str">
        <f t="shared" si="164"/>
        <v>Больше половины</v>
      </c>
      <c r="T1220" t="str">
        <f t="shared" si="165"/>
        <v>Больше половины</v>
      </c>
      <c r="U1220" t="str">
        <f t="shared" si="166"/>
        <v>нормальный код</v>
      </c>
      <c r="V1220" t="str">
        <f t="shared" si="167"/>
        <v>Больше половины</v>
      </c>
      <c r="W1220" t="str">
        <f t="shared" si="168"/>
        <v>Больше половины</v>
      </c>
      <c r="X1220">
        <v>12</v>
      </c>
    </row>
    <row r="1221" spans="1:24" x14ac:dyDescent="0.35">
      <c r="A1221" s="1" t="s">
        <v>2859</v>
      </c>
      <c r="B1221" s="2" t="s">
        <v>2860</v>
      </c>
      <c r="C1221" s="3" t="s">
        <v>55</v>
      </c>
      <c r="D1221" s="2" t="s">
        <v>2831</v>
      </c>
      <c r="E1221" s="3" t="s">
        <v>2832</v>
      </c>
      <c r="F1221" s="2" t="s">
        <v>34</v>
      </c>
      <c r="G1221" s="3" t="s">
        <v>17</v>
      </c>
      <c r="H1221" s="2" t="s">
        <v>97</v>
      </c>
      <c r="I1221" s="3" t="s">
        <v>19</v>
      </c>
      <c r="J1221" s="3">
        <v>365</v>
      </c>
      <c r="K1221" s="3">
        <v>35</v>
      </c>
      <c r="L1221" s="3">
        <v>0</v>
      </c>
      <c r="M1221" s="4">
        <f t="shared" si="162"/>
        <v>9.5890410958904104E-2</v>
      </c>
      <c r="N1221" s="4">
        <f t="shared" si="163"/>
        <v>0</v>
      </c>
      <c r="O1221">
        <v>2213</v>
      </c>
      <c r="P1221" s="5">
        <v>1</v>
      </c>
      <c r="Q1221" s="7">
        <v>0</v>
      </c>
      <c r="R1221" t="s">
        <v>2344</v>
      </c>
      <c r="S1221" t="str">
        <f t="shared" si="164"/>
        <v>Больше половины</v>
      </c>
      <c r="T1221" t="str">
        <f t="shared" si="165"/>
        <v>Низшая четверть</v>
      </c>
      <c r="U1221" t="e">
        <f t="shared" si="166"/>
        <v>#DIV/0!</v>
      </c>
      <c r="V1221" t="e">
        <f t="shared" si="167"/>
        <v>#DIV/0!</v>
      </c>
      <c r="W1221" t="e">
        <f t="shared" si="168"/>
        <v>#DIV/0!</v>
      </c>
      <c r="X1221">
        <v>19</v>
      </c>
    </row>
    <row r="1222" spans="1:24" x14ac:dyDescent="0.35">
      <c r="A1222" s="1" t="s">
        <v>2861</v>
      </c>
      <c r="B1222" s="2" t="s">
        <v>2862</v>
      </c>
      <c r="C1222" s="3" t="s">
        <v>13</v>
      </c>
      <c r="D1222" s="2" t="s">
        <v>155</v>
      </c>
      <c r="E1222" s="3" t="s">
        <v>156</v>
      </c>
      <c r="F1222" s="2" t="s">
        <v>34</v>
      </c>
      <c r="G1222" s="3" t="s">
        <v>35</v>
      </c>
      <c r="H1222" s="2" t="s">
        <v>18</v>
      </c>
      <c r="I1222" s="3" t="s">
        <v>19</v>
      </c>
      <c r="J1222" s="3">
        <v>362</v>
      </c>
      <c r="K1222" s="3">
        <v>17</v>
      </c>
      <c r="L1222" s="3">
        <v>1</v>
      </c>
      <c r="M1222" s="4">
        <f t="shared" si="162"/>
        <v>4.6961325966850827E-2</v>
      </c>
      <c r="N1222" s="4">
        <f t="shared" si="163"/>
        <v>5.8823529411764705E-2</v>
      </c>
      <c r="O1222">
        <v>179</v>
      </c>
      <c r="P1222" s="5">
        <v>1</v>
      </c>
      <c r="Q1222" s="7">
        <v>0</v>
      </c>
      <c r="R1222" t="s">
        <v>2344</v>
      </c>
      <c r="S1222" t="str">
        <f t="shared" si="164"/>
        <v>Низшая четверть</v>
      </c>
      <c r="T1222" t="str">
        <f t="shared" si="165"/>
        <v>Больше половины</v>
      </c>
      <c r="U1222" t="str">
        <f t="shared" si="166"/>
        <v>код для проверки</v>
      </c>
      <c r="V1222" t="str">
        <f t="shared" si="167"/>
        <v>Низшая четверть</v>
      </c>
      <c r="W1222" t="str">
        <f t="shared" si="168"/>
        <v>Больше половины</v>
      </c>
      <c r="X1222">
        <v>16</v>
      </c>
    </row>
    <row r="1223" spans="1:24" x14ac:dyDescent="0.35">
      <c r="A1223" s="1" t="s">
        <v>2863</v>
      </c>
      <c r="B1223" s="2" t="s">
        <v>2864</v>
      </c>
      <c r="C1223" s="3" t="s">
        <v>13</v>
      </c>
      <c r="D1223" s="2" t="s">
        <v>85</v>
      </c>
      <c r="E1223" s="3" t="s">
        <v>1937</v>
      </c>
      <c r="F1223" s="2" t="s">
        <v>96</v>
      </c>
      <c r="G1223" s="3" t="s">
        <v>17</v>
      </c>
      <c r="H1223" s="2" t="s">
        <v>18</v>
      </c>
      <c r="I1223" s="3" t="s">
        <v>19</v>
      </c>
      <c r="J1223" s="3">
        <v>359</v>
      </c>
      <c r="K1223" s="3">
        <v>9</v>
      </c>
      <c r="L1223" s="3">
        <v>1</v>
      </c>
      <c r="M1223" s="4">
        <f t="shared" si="162"/>
        <v>2.5069637883008356E-2</v>
      </c>
      <c r="N1223" s="4">
        <f t="shared" si="163"/>
        <v>0.1111111111111111</v>
      </c>
      <c r="O1223">
        <v>517</v>
      </c>
      <c r="P1223" s="5">
        <v>0.875</v>
      </c>
      <c r="Q1223" s="7">
        <v>0</v>
      </c>
      <c r="R1223" t="s">
        <v>2344</v>
      </c>
      <c r="S1223" t="str">
        <f t="shared" si="164"/>
        <v>Низшая четверть</v>
      </c>
      <c r="T1223" t="str">
        <f t="shared" si="165"/>
        <v>Больше половины</v>
      </c>
      <c r="U1223" t="str">
        <f t="shared" si="166"/>
        <v>код для проверки</v>
      </c>
      <c r="V1223" t="str">
        <f t="shared" si="167"/>
        <v>Низшая четверть</v>
      </c>
      <c r="W1223" t="str">
        <f t="shared" si="168"/>
        <v>Больше половины</v>
      </c>
      <c r="X1223">
        <v>16</v>
      </c>
    </row>
    <row r="1224" spans="1:24" x14ac:dyDescent="0.35">
      <c r="A1224" s="1" t="s">
        <v>2865</v>
      </c>
      <c r="B1224" s="2" t="s">
        <v>2866</v>
      </c>
      <c r="C1224" s="3" t="s">
        <v>13</v>
      </c>
      <c r="D1224" s="2" t="s">
        <v>69</v>
      </c>
      <c r="E1224" s="3" t="s">
        <v>2533</v>
      </c>
      <c r="F1224" s="2" t="s">
        <v>34</v>
      </c>
      <c r="G1224" s="3" t="s">
        <v>72</v>
      </c>
      <c r="H1224" s="2" t="s">
        <v>18</v>
      </c>
      <c r="I1224" s="3" t="s">
        <v>19</v>
      </c>
      <c r="J1224" s="3">
        <v>351</v>
      </c>
      <c r="K1224" s="3">
        <v>14</v>
      </c>
      <c r="L1224" s="3">
        <v>0</v>
      </c>
      <c r="M1224" s="4">
        <f t="shared" si="162"/>
        <v>3.9886039886039885E-2</v>
      </c>
      <c r="N1224" s="4">
        <f t="shared" si="163"/>
        <v>0</v>
      </c>
      <c r="O1224">
        <v>80</v>
      </c>
      <c r="P1224" s="5">
        <v>0.8</v>
      </c>
      <c r="Q1224" s="7">
        <v>0</v>
      </c>
      <c r="R1224" t="s">
        <v>2344</v>
      </c>
      <c r="S1224" t="str">
        <f t="shared" si="164"/>
        <v>Низшая четверть</v>
      </c>
      <c r="T1224" t="str">
        <f t="shared" si="165"/>
        <v>Низшая четверть</v>
      </c>
      <c r="U1224" t="str">
        <f t="shared" si="166"/>
        <v>код для проверки</v>
      </c>
      <c r="V1224" t="str">
        <f t="shared" si="167"/>
        <v>Вторая четверть</v>
      </c>
      <c r="W1224" t="str">
        <f t="shared" si="168"/>
        <v>Низшая четверть</v>
      </c>
      <c r="X1224">
        <v>15</v>
      </c>
    </row>
    <row r="1225" spans="1:24" x14ac:dyDescent="0.35">
      <c r="A1225" s="1" t="s">
        <v>2867</v>
      </c>
      <c r="B1225" s="2" t="s">
        <v>2868</v>
      </c>
      <c r="C1225" s="3" t="s">
        <v>13</v>
      </c>
      <c r="D1225" s="2" t="s">
        <v>69</v>
      </c>
      <c r="E1225" s="3" t="s">
        <v>159</v>
      </c>
      <c r="F1225" s="2" t="s">
        <v>34</v>
      </c>
      <c r="G1225" s="3" t="s">
        <v>72</v>
      </c>
      <c r="H1225" s="2" t="s">
        <v>18</v>
      </c>
      <c r="I1225" s="3" t="s">
        <v>19</v>
      </c>
      <c r="J1225" s="3">
        <v>349</v>
      </c>
      <c r="K1225" s="3">
        <v>27</v>
      </c>
      <c r="L1225" s="3">
        <v>1</v>
      </c>
      <c r="M1225" s="4">
        <f t="shared" si="162"/>
        <v>7.7363896848137534E-2</v>
      </c>
      <c r="N1225" s="4">
        <f t="shared" si="163"/>
        <v>3.7037037037037035E-2</v>
      </c>
      <c r="O1225">
        <v>159</v>
      </c>
      <c r="P1225" s="5">
        <v>1</v>
      </c>
      <c r="Q1225" s="7">
        <v>0</v>
      </c>
      <c r="R1225" t="s">
        <v>2344</v>
      </c>
      <c r="S1225" t="str">
        <f t="shared" si="164"/>
        <v>Вторая четверть</v>
      </c>
      <c r="T1225" t="str">
        <f t="shared" si="165"/>
        <v>Больше половины</v>
      </c>
      <c r="U1225" t="str">
        <f t="shared" si="166"/>
        <v>нормальный код</v>
      </c>
      <c r="V1225" t="str">
        <f t="shared" si="167"/>
        <v>Вторая четверть</v>
      </c>
      <c r="W1225" t="str">
        <f t="shared" si="168"/>
        <v>Больше половины</v>
      </c>
      <c r="X1225">
        <v>5</v>
      </c>
    </row>
    <row r="1226" spans="1:24" x14ac:dyDescent="0.35">
      <c r="A1226" s="1" t="s">
        <v>1262</v>
      </c>
      <c r="B1226" s="2" t="s">
        <v>1263</v>
      </c>
      <c r="C1226" s="3" t="s">
        <v>55</v>
      </c>
      <c r="D1226" s="2" t="s">
        <v>1264</v>
      </c>
      <c r="E1226" s="3" t="s">
        <v>1265</v>
      </c>
      <c r="F1226" s="2" t="s">
        <v>61</v>
      </c>
      <c r="G1226" s="3" t="s">
        <v>17</v>
      </c>
      <c r="H1226" s="2" t="s">
        <v>97</v>
      </c>
      <c r="I1226" s="3" t="s">
        <v>19</v>
      </c>
      <c r="J1226" s="3">
        <v>348</v>
      </c>
      <c r="K1226" s="3">
        <v>34</v>
      </c>
      <c r="L1226" s="3">
        <v>1</v>
      </c>
      <c r="M1226" s="4">
        <f t="shared" ref="M1226:M1289" si="169">IFERROR(K1226/J1226,0)</f>
        <v>9.7701149425287362E-2</v>
      </c>
      <c r="N1226" s="4">
        <f t="shared" ref="N1226:N1289" si="170">IFERROR(L1226/K1226,0)</f>
        <v>2.9411764705882353E-2</v>
      </c>
      <c r="O1226">
        <v>0</v>
      </c>
      <c r="P1226" s="5">
        <v>0</v>
      </c>
      <c r="Q1226" s="7">
        <v>0</v>
      </c>
      <c r="R1226" t="s">
        <v>2350</v>
      </c>
      <c r="S1226" t="str">
        <f t="shared" ref="S1226:S1289" si="171">IF(M1226&lt;$S$1*0.5,"Низшая четверть",IF(M1226&lt;$S$1,"Вторая четверть","Больше половины"))</f>
        <v>Больше половины</v>
      </c>
      <c r="T1226" t="str">
        <f t="shared" ref="T1226:T1289" si="172">IF(N1226&lt;$T$1*0.5,"Низшая четверть",IF(N1226&lt;$T$1,"Вторая четверть","Больше половины"))</f>
        <v>Больше половины</v>
      </c>
      <c r="U1226" t="e">
        <f t="shared" ref="U1226:U1289" si="173">IF(OR(M1226&lt;SUMIFS(K:K,Q:Q,1,E:E,E1226)/SUMIFS(J:J,Q:Q,1,E:E,E1226)*0.5,N1226&lt;SUMIFS(L:L,Q:Q,1,E:E,E1226)/SUMIFS(K:K,Q:Q,1,E:E,E1226)*0.5),"код для проверки","нормальный код")</f>
        <v>#DIV/0!</v>
      </c>
      <c r="V1226" t="e">
        <f t="shared" ref="V1226:V1289" si="174">IF(M1226&lt;SUMIFS(K:K,Q:Q,1,E:E,E1226)/SUMIFS(J:J,Q:Q,1,E:E,E1226)*0.5,"Низшая четверть",IF(M1226&lt;SUMIFS(K:K,Q:Q,1,E:E,E1226)/SUMIFS(J:J,Q:Q,1,E:E,E1226),"Вторая четверть","Больше половины"))</f>
        <v>#DIV/0!</v>
      </c>
      <c r="W1226" t="e">
        <f t="shared" ref="W1226:W1289" si="175">IF(N1226&lt;SUMIFS(L:L,Q:Q,1,E:E,E1226)/SUMIFS(K:K,Q:Q,1,E:E,E1226)*0.5,"Низшая четверть",IF(N1226&lt;SUMIFS(L:L,Q:Q,1,E:E,E1226)/SUMIFS(K:K,Q:Q,1,E:E,E1226),"Вторая четверть","Больше половины"))</f>
        <v>#DIV/0!</v>
      </c>
      <c r="X1226">
        <v>3</v>
      </c>
    </row>
    <row r="1227" spans="1:24" x14ac:dyDescent="0.35">
      <c r="A1227" s="1" t="s">
        <v>1674</v>
      </c>
      <c r="B1227" s="2" t="s">
        <v>1675</v>
      </c>
      <c r="C1227" s="3" t="s">
        <v>13</v>
      </c>
      <c r="D1227" s="2" t="s">
        <v>164</v>
      </c>
      <c r="E1227" s="3" t="s">
        <v>538</v>
      </c>
      <c r="F1227" s="2" t="s">
        <v>71</v>
      </c>
      <c r="G1227" s="3" t="s">
        <v>17</v>
      </c>
      <c r="H1227" s="2" t="s">
        <v>18</v>
      </c>
      <c r="I1227" s="3" t="s">
        <v>19</v>
      </c>
      <c r="J1227" s="3">
        <v>340</v>
      </c>
      <c r="K1227" s="3">
        <v>21</v>
      </c>
      <c r="L1227" s="3">
        <v>1</v>
      </c>
      <c r="M1227" s="4">
        <f t="shared" si="169"/>
        <v>6.1764705882352944E-2</v>
      </c>
      <c r="N1227" s="4">
        <f t="shared" si="170"/>
        <v>4.7619047619047616E-2</v>
      </c>
      <c r="O1227">
        <v>303</v>
      </c>
      <c r="P1227" s="5">
        <v>1</v>
      </c>
      <c r="Q1227" s="7">
        <v>0</v>
      </c>
      <c r="R1227" t="s">
        <v>2344</v>
      </c>
      <c r="S1227" t="str">
        <f t="shared" si="171"/>
        <v>Вторая четверть</v>
      </c>
      <c r="T1227" t="str">
        <f t="shared" si="172"/>
        <v>Больше половины</v>
      </c>
      <c r="U1227" t="str">
        <f t="shared" si="173"/>
        <v>нормальный код</v>
      </c>
      <c r="V1227" t="str">
        <f t="shared" si="174"/>
        <v>Вторая четверть</v>
      </c>
      <c r="W1227" t="str">
        <f t="shared" si="175"/>
        <v>Больше половины</v>
      </c>
      <c r="X1227">
        <v>23</v>
      </c>
    </row>
    <row r="1228" spans="1:24" x14ac:dyDescent="0.35">
      <c r="A1228" s="1" t="s">
        <v>2869</v>
      </c>
      <c r="B1228" s="2" t="s">
        <v>2870</v>
      </c>
      <c r="C1228" s="3" t="s">
        <v>55</v>
      </c>
      <c r="D1228" s="2" t="s">
        <v>2831</v>
      </c>
      <c r="E1228" s="3" t="s">
        <v>2832</v>
      </c>
      <c r="F1228" s="2" t="s">
        <v>34</v>
      </c>
      <c r="G1228" s="3" t="s">
        <v>17</v>
      </c>
      <c r="H1228" s="2" t="s">
        <v>97</v>
      </c>
      <c r="I1228" s="3" t="s">
        <v>19</v>
      </c>
      <c r="J1228" s="3">
        <v>339</v>
      </c>
      <c r="K1228" s="3">
        <v>22</v>
      </c>
      <c r="L1228" s="3">
        <v>0</v>
      </c>
      <c r="M1228" s="4">
        <f t="shared" si="169"/>
        <v>6.4896755162241887E-2</v>
      </c>
      <c r="N1228" s="4">
        <f t="shared" si="170"/>
        <v>0</v>
      </c>
      <c r="O1228">
        <v>2010</v>
      </c>
      <c r="P1228" s="5">
        <v>1</v>
      </c>
      <c r="Q1228" s="7">
        <v>0</v>
      </c>
      <c r="R1228" t="s">
        <v>2344</v>
      </c>
      <c r="S1228" t="str">
        <f t="shared" si="171"/>
        <v>Вторая четверть</v>
      </c>
      <c r="T1228" t="str">
        <f t="shared" si="172"/>
        <v>Низшая четверть</v>
      </c>
      <c r="U1228" t="e">
        <f t="shared" si="173"/>
        <v>#DIV/0!</v>
      </c>
      <c r="V1228" t="e">
        <f t="shared" si="174"/>
        <v>#DIV/0!</v>
      </c>
      <c r="W1228" t="e">
        <f t="shared" si="175"/>
        <v>#DIV/0!</v>
      </c>
      <c r="X1228">
        <v>18</v>
      </c>
    </row>
    <row r="1229" spans="1:24" x14ac:dyDescent="0.35">
      <c r="A1229" s="1" t="s">
        <v>2871</v>
      </c>
      <c r="B1229" s="2" t="s">
        <v>2872</v>
      </c>
      <c r="C1229" s="3" t="s">
        <v>13</v>
      </c>
      <c r="D1229" s="2" t="s">
        <v>69</v>
      </c>
      <c r="E1229" s="3" t="s">
        <v>371</v>
      </c>
      <c r="F1229" s="2" t="s">
        <v>96</v>
      </c>
      <c r="G1229" s="3" t="s">
        <v>72</v>
      </c>
      <c r="H1229" s="2" t="s">
        <v>18</v>
      </c>
      <c r="I1229" s="3" t="s">
        <v>19</v>
      </c>
      <c r="J1229" s="3">
        <v>338</v>
      </c>
      <c r="K1229" s="3">
        <v>18</v>
      </c>
      <c r="L1229" s="3">
        <v>0</v>
      </c>
      <c r="M1229" s="4">
        <f t="shared" si="169"/>
        <v>5.3254437869822487E-2</v>
      </c>
      <c r="N1229" s="4">
        <f t="shared" si="170"/>
        <v>0</v>
      </c>
      <c r="O1229">
        <v>100</v>
      </c>
      <c r="P1229" s="5">
        <v>1</v>
      </c>
      <c r="Q1229" s="7">
        <v>0</v>
      </c>
      <c r="R1229" t="s">
        <v>2344</v>
      </c>
      <c r="S1229" t="str">
        <f t="shared" si="171"/>
        <v>Вторая четверть</v>
      </c>
      <c r="T1229" t="str">
        <f t="shared" si="172"/>
        <v>Низшая четверть</v>
      </c>
      <c r="U1229" t="str">
        <f t="shared" si="173"/>
        <v>код для проверки</v>
      </c>
      <c r="V1229" t="str">
        <f t="shared" si="174"/>
        <v>Низшая четверть</v>
      </c>
      <c r="W1229" t="str">
        <f t="shared" si="175"/>
        <v>Низшая четверть</v>
      </c>
      <c r="X1229">
        <v>14</v>
      </c>
    </row>
    <row r="1230" spans="1:24" x14ac:dyDescent="0.35">
      <c r="A1230" s="1" t="s">
        <v>2873</v>
      </c>
      <c r="B1230" s="2" t="s">
        <v>2874</v>
      </c>
      <c r="C1230" s="3" t="s">
        <v>13</v>
      </c>
      <c r="D1230" s="2" t="s">
        <v>69</v>
      </c>
      <c r="E1230" s="3" t="s">
        <v>2592</v>
      </c>
      <c r="F1230" s="2" t="s">
        <v>34</v>
      </c>
      <c r="G1230" s="3" t="s">
        <v>72</v>
      </c>
      <c r="H1230" s="2" t="s">
        <v>18</v>
      </c>
      <c r="I1230" s="3" t="s">
        <v>19</v>
      </c>
      <c r="J1230" s="3">
        <v>335</v>
      </c>
      <c r="K1230" s="3">
        <v>10</v>
      </c>
      <c r="L1230" s="3">
        <v>0</v>
      </c>
      <c r="M1230" s="4">
        <f t="shared" si="169"/>
        <v>2.9850746268656716E-2</v>
      </c>
      <c r="N1230" s="4">
        <f t="shared" si="170"/>
        <v>0</v>
      </c>
      <c r="O1230">
        <v>585</v>
      </c>
      <c r="P1230" s="5">
        <v>1</v>
      </c>
      <c r="Q1230" s="7">
        <v>0</v>
      </c>
      <c r="R1230" t="s">
        <v>2344</v>
      </c>
      <c r="S1230" t="str">
        <f t="shared" si="171"/>
        <v>Низшая четверть</v>
      </c>
      <c r="T1230" t="str">
        <f t="shared" si="172"/>
        <v>Низшая четверть</v>
      </c>
      <c r="U1230" t="str">
        <f t="shared" si="173"/>
        <v>нормальный код</v>
      </c>
      <c r="V1230" t="str">
        <f t="shared" si="174"/>
        <v>Больше половины</v>
      </c>
      <c r="W1230" t="str">
        <f t="shared" si="175"/>
        <v>Больше половины</v>
      </c>
      <c r="X1230">
        <v>9</v>
      </c>
    </row>
    <row r="1231" spans="1:24" x14ac:dyDescent="0.35">
      <c r="A1231" s="1" t="s">
        <v>2875</v>
      </c>
      <c r="B1231" s="2" t="s">
        <v>2876</v>
      </c>
      <c r="C1231" s="3" t="s">
        <v>55</v>
      </c>
      <c r="D1231" s="2" t="s">
        <v>1479</v>
      </c>
      <c r="E1231" s="3" t="s">
        <v>1480</v>
      </c>
      <c r="F1231" s="2" t="s">
        <v>34</v>
      </c>
      <c r="G1231" s="3" t="s">
        <v>17</v>
      </c>
      <c r="H1231" s="2" t="s">
        <v>18</v>
      </c>
      <c r="I1231" s="3" t="s">
        <v>19</v>
      </c>
      <c r="J1231" s="3">
        <v>334</v>
      </c>
      <c r="K1231" s="3">
        <v>13</v>
      </c>
      <c r="L1231" s="3">
        <v>0</v>
      </c>
      <c r="M1231" s="4">
        <f t="shared" si="169"/>
        <v>3.8922155688622756E-2</v>
      </c>
      <c r="N1231" s="4">
        <f t="shared" si="170"/>
        <v>0</v>
      </c>
      <c r="O1231">
        <v>60</v>
      </c>
      <c r="P1231" s="5">
        <v>0.42857142857142855</v>
      </c>
      <c r="Q1231" s="7">
        <v>0</v>
      </c>
      <c r="R1231" t="s">
        <v>2344</v>
      </c>
      <c r="S1231" t="str">
        <f t="shared" si="171"/>
        <v>Низшая четверть</v>
      </c>
      <c r="T1231" t="str">
        <f t="shared" si="172"/>
        <v>Низшая четверть</v>
      </c>
      <c r="U1231" t="str">
        <f t="shared" si="173"/>
        <v>код для проверки</v>
      </c>
      <c r="V1231" t="str">
        <f t="shared" si="174"/>
        <v>Низшая четверть</v>
      </c>
      <c r="W1231" t="str">
        <f t="shared" si="175"/>
        <v>Низшая четверть</v>
      </c>
      <c r="X1231">
        <v>16</v>
      </c>
    </row>
    <row r="1232" spans="1:24" x14ac:dyDescent="0.35">
      <c r="A1232" s="1" t="s">
        <v>2877</v>
      </c>
      <c r="B1232" s="2" t="s">
        <v>2878</v>
      </c>
      <c r="C1232" s="3" t="s">
        <v>55</v>
      </c>
      <c r="D1232" s="2" t="s">
        <v>1479</v>
      </c>
      <c r="E1232" s="3" t="s">
        <v>1985</v>
      </c>
      <c r="F1232" s="2" t="s">
        <v>61</v>
      </c>
      <c r="G1232" s="3" t="s">
        <v>17</v>
      </c>
      <c r="H1232" s="2" t="s">
        <v>18</v>
      </c>
      <c r="I1232" s="3" t="s">
        <v>19</v>
      </c>
      <c r="J1232" s="3">
        <v>332</v>
      </c>
      <c r="K1232" s="3">
        <v>2</v>
      </c>
      <c r="L1232" s="3">
        <v>0</v>
      </c>
      <c r="M1232" s="4">
        <f t="shared" si="169"/>
        <v>6.024096385542169E-3</v>
      </c>
      <c r="N1232" s="4">
        <f t="shared" si="170"/>
        <v>0</v>
      </c>
      <c r="O1232">
        <v>249</v>
      </c>
      <c r="P1232" s="5">
        <v>1</v>
      </c>
      <c r="Q1232" s="7">
        <v>0</v>
      </c>
      <c r="R1232" t="s">
        <v>2344</v>
      </c>
      <c r="S1232" t="str">
        <f t="shared" si="171"/>
        <v>Низшая четверть</v>
      </c>
      <c r="T1232" t="str">
        <f t="shared" si="172"/>
        <v>Низшая четверть</v>
      </c>
      <c r="U1232" t="e">
        <f t="shared" si="173"/>
        <v>#DIV/0!</v>
      </c>
      <c r="V1232" t="e">
        <f t="shared" si="174"/>
        <v>#DIV/0!</v>
      </c>
      <c r="W1232" t="e">
        <f t="shared" si="175"/>
        <v>#DIV/0!</v>
      </c>
      <c r="X1232">
        <v>20</v>
      </c>
    </row>
    <row r="1233" spans="1:24" x14ac:dyDescent="0.35">
      <c r="A1233" s="1" t="s">
        <v>2879</v>
      </c>
      <c r="B1233" s="2" t="s">
        <v>2880</v>
      </c>
      <c r="C1233" s="3" t="s">
        <v>13</v>
      </c>
      <c r="D1233" s="2" t="s">
        <v>69</v>
      </c>
      <c r="E1233" s="3" t="s">
        <v>371</v>
      </c>
      <c r="F1233" s="2" t="s">
        <v>96</v>
      </c>
      <c r="G1233" s="3" t="s">
        <v>72</v>
      </c>
      <c r="H1233" s="2" t="s">
        <v>18</v>
      </c>
      <c r="I1233" s="3" t="s">
        <v>19</v>
      </c>
      <c r="J1233" s="3">
        <v>331</v>
      </c>
      <c r="K1233" s="3">
        <v>22</v>
      </c>
      <c r="L1233" s="3">
        <v>0</v>
      </c>
      <c r="M1233" s="4">
        <f t="shared" si="169"/>
        <v>6.6465256797583083E-2</v>
      </c>
      <c r="N1233" s="4">
        <f t="shared" si="170"/>
        <v>0</v>
      </c>
      <c r="O1233">
        <v>100</v>
      </c>
      <c r="P1233" s="5">
        <v>1</v>
      </c>
      <c r="Q1233" s="7">
        <v>0</v>
      </c>
      <c r="R1233" t="s">
        <v>2344</v>
      </c>
      <c r="S1233" t="str">
        <f t="shared" si="171"/>
        <v>Вторая четверть</v>
      </c>
      <c r="T1233" t="str">
        <f t="shared" si="172"/>
        <v>Низшая четверть</v>
      </c>
      <c r="U1233" t="str">
        <f t="shared" si="173"/>
        <v>код для проверки</v>
      </c>
      <c r="V1233" t="str">
        <f t="shared" si="174"/>
        <v>Вторая четверть</v>
      </c>
      <c r="W1233" t="str">
        <f t="shared" si="175"/>
        <v>Низшая четверть</v>
      </c>
      <c r="X1233">
        <v>15</v>
      </c>
    </row>
    <row r="1234" spans="1:24" x14ac:dyDescent="0.35">
      <c r="A1234" s="1" t="s">
        <v>2881</v>
      </c>
      <c r="B1234" s="2" t="s">
        <v>2882</v>
      </c>
      <c r="C1234" s="3" t="s">
        <v>55</v>
      </c>
      <c r="D1234" s="2" t="s">
        <v>1479</v>
      </c>
      <c r="E1234" s="3" t="s">
        <v>1985</v>
      </c>
      <c r="F1234" s="2" t="s">
        <v>61</v>
      </c>
      <c r="G1234" s="3" t="s">
        <v>17</v>
      </c>
      <c r="H1234" s="2" t="s">
        <v>18</v>
      </c>
      <c r="I1234" s="3" t="s">
        <v>19</v>
      </c>
      <c r="J1234" s="3">
        <v>330</v>
      </c>
      <c r="K1234" s="3">
        <v>7</v>
      </c>
      <c r="L1234" s="3">
        <v>1</v>
      </c>
      <c r="M1234" s="4">
        <f t="shared" si="169"/>
        <v>2.1212121212121213E-2</v>
      </c>
      <c r="N1234" s="4">
        <f t="shared" si="170"/>
        <v>0.14285714285714285</v>
      </c>
      <c r="O1234">
        <v>459</v>
      </c>
      <c r="P1234" s="5">
        <v>1</v>
      </c>
      <c r="Q1234" s="7">
        <v>0</v>
      </c>
      <c r="R1234" t="s">
        <v>2344</v>
      </c>
      <c r="S1234" t="str">
        <f t="shared" si="171"/>
        <v>Низшая четверть</v>
      </c>
      <c r="T1234" t="str">
        <f t="shared" si="172"/>
        <v>Больше половины</v>
      </c>
      <c r="U1234" t="e">
        <f t="shared" si="173"/>
        <v>#DIV/0!</v>
      </c>
      <c r="V1234" t="e">
        <f t="shared" si="174"/>
        <v>#DIV/0!</v>
      </c>
      <c r="W1234" t="e">
        <f t="shared" si="175"/>
        <v>#DIV/0!</v>
      </c>
      <c r="X1234">
        <v>20</v>
      </c>
    </row>
    <row r="1235" spans="1:24" x14ac:dyDescent="0.35">
      <c r="A1235" s="1" t="s">
        <v>2209</v>
      </c>
      <c r="B1235" s="2" t="s">
        <v>2210</v>
      </c>
      <c r="C1235" s="3" t="s">
        <v>13</v>
      </c>
      <c r="D1235" s="2" t="s">
        <v>164</v>
      </c>
      <c r="E1235" s="3" t="s">
        <v>485</v>
      </c>
      <c r="F1235" s="2" t="s">
        <v>123</v>
      </c>
      <c r="G1235" s="3" t="s">
        <v>17</v>
      </c>
      <c r="H1235" s="2" t="s">
        <v>18</v>
      </c>
      <c r="I1235" s="3" t="s">
        <v>19</v>
      </c>
      <c r="J1235" s="3">
        <v>330</v>
      </c>
      <c r="K1235" s="3">
        <v>42</v>
      </c>
      <c r="L1235" s="3">
        <v>1</v>
      </c>
      <c r="M1235" s="4">
        <f t="shared" si="169"/>
        <v>0.12727272727272726</v>
      </c>
      <c r="N1235" s="4">
        <f t="shared" si="170"/>
        <v>2.3809523809523808E-2</v>
      </c>
      <c r="O1235">
        <v>149</v>
      </c>
      <c r="P1235" s="5">
        <v>1</v>
      </c>
      <c r="Q1235" s="7">
        <v>0</v>
      </c>
      <c r="R1235" t="s">
        <v>2344</v>
      </c>
      <c r="S1235" t="str">
        <f t="shared" si="171"/>
        <v>Больше половины</v>
      </c>
      <c r="T1235" t="str">
        <f t="shared" si="172"/>
        <v>Больше половины</v>
      </c>
      <c r="U1235" t="str">
        <f t="shared" si="173"/>
        <v>нормальный код</v>
      </c>
      <c r="V1235" t="str">
        <f t="shared" si="174"/>
        <v>Больше половины</v>
      </c>
      <c r="W1235" t="str">
        <f t="shared" si="175"/>
        <v>Больше половины</v>
      </c>
      <c r="X1235">
        <v>15</v>
      </c>
    </row>
    <row r="1236" spans="1:24" x14ac:dyDescent="0.35">
      <c r="A1236" s="1" t="s">
        <v>2883</v>
      </c>
      <c r="B1236" s="2" t="s">
        <v>2884</v>
      </c>
      <c r="C1236" s="3" t="s">
        <v>55</v>
      </c>
      <c r="D1236" s="2" t="s">
        <v>2831</v>
      </c>
      <c r="E1236" s="3" t="s">
        <v>2832</v>
      </c>
      <c r="F1236" s="2" t="s">
        <v>34</v>
      </c>
      <c r="G1236" s="3" t="s">
        <v>17</v>
      </c>
      <c r="H1236" s="2" t="s">
        <v>97</v>
      </c>
      <c r="I1236" s="3" t="s">
        <v>19</v>
      </c>
      <c r="J1236" s="3">
        <v>327</v>
      </c>
      <c r="K1236" s="3">
        <v>27</v>
      </c>
      <c r="L1236" s="3">
        <v>0</v>
      </c>
      <c r="M1236" s="4">
        <f t="shared" si="169"/>
        <v>8.2568807339449546E-2</v>
      </c>
      <c r="N1236" s="4">
        <f t="shared" si="170"/>
        <v>0</v>
      </c>
      <c r="O1236">
        <v>2161</v>
      </c>
      <c r="P1236" s="5">
        <v>1</v>
      </c>
      <c r="Q1236" s="7">
        <v>0</v>
      </c>
      <c r="R1236" t="s">
        <v>2344</v>
      </c>
      <c r="S1236" t="str">
        <f t="shared" si="171"/>
        <v>Вторая четверть</v>
      </c>
      <c r="T1236" t="str">
        <f t="shared" si="172"/>
        <v>Низшая четверть</v>
      </c>
      <c r="U1236" t="e">
        <f t="shared" si="173"/>
        <v>#DIV/0!</v>
      </c>
      <c r="V1236" t="e">
        <f t="shared" si="174"/>
        <v>#DIV/0!</v>
      </c>
      <c r="W1236" t="e">
        <f t="shared" si="175"/>
        <v>#DIV/0!</v>
      </c>
      <c r="X1236">
        <v>22</v>
      </c>
    </row>
    <row r="1237" spans="1:24" x14ac:dyDescent="0.35">
      <c r="A1237" s="1" t="s">
        <v>2885</v>
      </c>
      <c r="B1237" s="2" t="s">
        <v>2886</v>
      </c>
      <c r="C1237" s="3" t="s">
        <v>55</v>
      </c>
      <c r="D1237" s="2" t="s">
        <v>1479</v>
      </c>
      <c r="E1237" s="3" t="s">
        <v>1985</v>
      </c>
      <c r="F1237" s="2" t="s">
        <v>61</v>
      </c>
      <c r="G1237" s="3" t="s">
        <v>17</v>
      </c>
      <c r="H1237" s="2" t="s">
        <v>18</v>
      </c>
      <c r="I1237" s="3" t="s">
        <v>19</v>
      </c>
      <c r="J1237" s="3">
        <v>326</v>
      </c>
      <c r="K1237" s="3">
        <v>6</v>
      </c>
      <c r="L1237" s="3">
        <v>0</v>
      </c>
      <c r="M1237" s="4">
        <f t="shared" si="169"/>
        <v>1.8404907975460124E-2</v>
      </c>
      <c r="N1237" s="4">
        <f t="shared" si="170"/>
        <v>0</v>
      </c>
      <c r="O1237">
        <v>220</v>
      </c>
      <c r="P1237" s="5">
        <v>1</v>
      </c>
      <c r="Q1237" s="7">
        <v>0</v>
      </c>
      <c r="R1237" t="s">
        <v>2344</v>
      </c>
      <c r="S1237" t="str">
        <f t="shared" si="171"/>
        <v>Низшая четверть</v>
      </c>
      <c r="T1237" t="str">
        <f t="shared" si="172"/>
        <v>Низшая четверть</v>
      </c>
      <c r="U1237" t="e">
        <f t="shared" si="173"/>
        <v>#DIV/0!</v>
      </c>
      <c r="V1237" t="e">
        <f t="shared" si="174"/>
        <v>#DIV/0!</v>
      </c>
      <c r="W1237" t="e">
        <f t="shared" si="175"/>
        <v>#DIV/0!</v>
      </c>
      <c r="X1237">
        <v>16</v>
      </c>
    </row>
    <row r="1238" spans="1:24" x14ac:dyDescent="0.35">
      <c r="A1238" s="1" t="s">
        <v>2887</v>
      </c>
      <c r="B1238" s="2" t="s">
        <v>2888</v>
      </c>
      <c r="C1238" s="3" t="s">
        <v>13</v>
      </c>
      <c r="D1238" s="2" t="s">
        <v>69</v>
      </c>
      <c r="E1238" s="3" t="s">
        <v>290</v>
      </c>
      <c r="F1238" s="2" t="s">
        <v>34</v>
      </c>
      <c r="G1238" s="3" t="s">
        <v>72</v>
      </c>
      <c r="H1238" s="2" t="s">
        <v>18</v>
      </c>
      <c r="I1238" s="3" t="s">
        <v>19</v>
      </c>
      <c r="J1238" s="3">
        <v>326</v>
      </c>
      <c r="K1238" s="3">
        <v>25</v>
      </c>
      <c r="L1238" s="3">
        <v>2</v>
      </c>
      <c r="M1238" s="4">
        <f t="shared" si="169"/>
        <v>7.6687116564417179E-2</v>
      </c>
      <c r="N1238" s="4">
        <f t="shared" si="170"/>
        <v>0.08</v>
      </c>
      <c r="O1238">
        <v>137</v>
      </c>
      <c r="P1238" s="5">
        <v>1</v>
      </c>
      <c r="Q1238" s="7">
        <v>0</v>
      </c>
      <c r="R1238" t="s">
        <v>2344</v>
      </c>
      <c r="S1238" t="str">
        <f t="shared" si="171"/>
        <v>Вторая четверть</v>
      </c>
      <c r="T1238" t="str">
        <f t="shared" si="172"/>
        <v>Больше половины</v>
      </c>
      <c r="U1238" t="str">
        <f t="shared" si="173"/>
        <v>нормальный код</v>
      </c>
      <c r="V1238" t="str">
        <f t="shared" si="174"/>
        <v>Вторая четверть</v>
      </c>
      <c r="W1238" t="str">
        <f t="shared" si="175"/>
        <v>Больше половины</v>
      </c>
      <c r="X1238">
        <v>24</v>
      </c>
    </row>
    <row r="1239" spans="1:24" x14ac:dyDescent="0.35">
      <c r="A1239" s="1" t="s">
        <v>2889</v>
      </c>
      <c r="B1239" s="2" t="s">
        <v>2890</v>
      </c>
      <c r="C1239" s="3" t="s">
        <v>55</v>
      </c>
      <c r="D1239" s="2" t="s">
        <v>1479</v>
      </c>
      <c r="E1239" s="3" t="s">
        <v>1985</v>
      </c>
      <c r="F1239" s="2" t="s">
        <v>61</v>
      </c>
      <c r="G1239" s="3" t="s">
        <v>17</v>
      </c>
      <c r="H1239" s="2" t="s">
        <v>18</v>
      </c>
      <c r="I1239" s="3" t="s">
        <v>19</v>
      </c>
      <c r="J1239" s="3">
        <v>322</v>
      </c>
      <c r="K1239" s="3">
        <v>3</v>
      </c>
      <c r="L1239" s="3">
        <v>0</v>
      </c>
      <c r="M1239" s="4">
        <f t="shared" si="169"/>
        <v>9.316770186335404E-3</v>
      </c>
      <c r="N1239" s="4">
        <f t="shared" si="170"/>
        <v>0</v>
      </c>
      <c r="O1239">
        <v>250</v>
      </c>
      <c r="P1239" s="5">
        <v>1</v>
      </c>
      <c r="Q1239" s="7">
        <v>0</v>
      </c>
      <c r="R1239" t="s">
        <v>2344</v>
      </c>
      <c r="S1239" t="str">
        <f t="shared" si="171"/>
        <v>Низшая четверть</v>
      </c>
      <c r="T1239" t="str">
        <f t="shared" si="172"/>
        <v>Низшая четверть</v>
      </c>
      <c r="U1239" t="e">
        <f t="shared" si="173"/>
        <v>#DIV/0!</v>
      </c>
      <c r="V1239" t="e">
        <f t="shared" si="174"/>
        <v>#DIV/0!</v>
      </c>
      <c r="W1239" t="e">
        <f t="shared" si="175"/>
        <v>#DIV/0!</v>
      </c>
      <c r="X1239">
        <v>15</v>
      </c>
    </row>
    <row r="1240" spans="1:24" x14ac:dyDescent="0.35">
      <c r="A1240" s="1" t="s">
        <v>2891</v>
      </c>
      <c r="B1240" s="2" t="s">
        <v>2892</v>
      </c>
      <c r="C1240" s="3" t="s">
        <v>55</v>
      </c>
      <c r="D1240" s="2" t="s">
        <v>2831</v>
      </c>
      <c r="E1240" s="3" t="s">
        <v>2832</v>
      </c>
      <c r="F1240" s="2" t="s">
        <v>34</v>
      </c>
      <c r="G1240" s="3" t="s">
        <v>17</v>
      </c>
      <c r="H1240" s="2" t="s">
        <v>97</v>
      </c>
      <c r="I1240" s="3" t="s">
        <v>19</v>
      </c>
      <c r="J1240" s="3">
        <v>322</v>
      </c>
      <c r="K1240" s="3">
        <v>32</v>
      </c>
      <c r="L1240" s="3">
        <v>1</v>
      </c>
      <c r="M1240" s="4">
        <f t="shared" si="169"/>
        <v>9.9378881987577633E-2</v>
      </c>
      <c r="N1240" s="4">
        <f t="shared" si="170"/>
        <v>3.125E-2</v>
      </c>
      <c r="O1240">
        <v>1349</v>
      </c>
      <c r="P1240" s="5">
        <v>0.8</v>
      </c>
      <c r="Q1240" s="7">
        <v>0</v>
      </c>
      <c r="R1240" t="s">
        <v>2344</v>
      </c>
      <c r="S1240" t="str">
        <f t="shared" si="171"/>
        <v>Больше половины</v>
      </c>
      <c r="T1240" t="str">
        <f t="shared" si="172"/>
        <v>Больше половины</v>
      </c>
      <c r="U1240" t="e">
        <f t="shared" si="173"/>
        <v>#DIV/0!</v>
      </c>
      <c r="V1240" t="e">
        <f t="shared" si="174"/>
        <v>#DIV/0!</v>
      </c>
      <c r="W1240" t="e">
        <f t="shared" si="175"/>
        <v>#DIV/0!</v>
      </c>
      <c r="X1240">
        <v>20</v>
      </c>
    </row>
    <row r="1241" spans="1:24" x14ac:dyDescent="0.35">
      <c r="A1241" s="1" t="s">
        <v>2893</v>
      </c>
      <c r="B1241" s="2" t="s">
        <v>2894</v>
      </c>
      <c r="C1241" s="3" t="s">
        <v>13</v>
      </c>
      <c r="D1241" s="2" t="s">
        <v>85</v>
      </c>
      <c r="E1241" s="3" t="s">
        <v>1937</v>
      </c>
      <c r="F1241" s="2" t="s">
        <v>96</v>
      </c>
      <c r="G1241" s="3" t="s">
        <v>17</v>
      </c>
      <c r="H1241" s="2" t="s">
        <v>18</v>
      </c>
      <c r="I1241" s="3" t="s">
        <v>19</v>
      </c>
      <c r="J1241" s="3">
        <v>320</v>
      </c>
      <c r="K1241" s="3">
        <v>17</v>
      </c>
      <c r="L1241" s="3">
        <v>0</v>
      </c>
      <c r="M1241" s="4">
        <f t="shared" si="169"/>
        <v>5.3124999999999999E-2</v>
      </c>
      <c r="N1241" s="4">
        <f t="shared" si="170"/>
        <v>0</v>
      </c>
      <c r="O1241">
        <v>1159</v>
      </c>
      <c r="P1241" s="5">
        <v>1</v>
      </c>
      <c r="Q1241" s="7">
        <v>0</v>
      </c>
      <c r="R1241" t="s">
        <v>2344</v>
      </c>
      <c r="S1241" t="str">
        <f t="shared" si="171"/>
        <v>Вторая четверть</v>
      </c>
      <c r="T1241" t="str">
        <f t="shared" si="172"/>
        <v>Низшая четверть</v>
      </c>
      <c r="U1241" t="str">
        <f t="shared" si="173"/>
        <v>код для проверки</v>
      </c>
      <c r="V1241" t="str">
        <f t="shared" si="174"/>
        <v>Вторая четверть</v>
      </c>
      <c r="W1241" t="str">
        <f t="shared" si="175"/>
        <v>Низшая четверть</v>
      </c>
      <c r="X1241">
        <v>18</v>
      </c>
    </row>
    <row r="1242" spans="1:24" x14ac:dyDescent="0.35">
      <c r="A1242" s="1" t="s">
        <v>2895</v>
      </c>
      <c r="B1242" s="2" t="s">
        <v>2896</v>
      </c>
      <c r="C1242" s="3" t="s">
        <v>55</v>
      </c>
      <c r="D1242" s="2" t="s">
        <v>1479</v>
      </c>
      <c r="E1242" s="3" t="s">
        <v>1985</v>
      </c>
      <c r="F1242" s="2" t="s">
        <v>61</v>
      </c>
      <c r="G1242" s="3" t="s">
        <v>17</v>
      </c>
      <c r="H1242" s="2" t="s">
        <v>18</v>
      </c>
      <c r="I1242" s="3" t="s">
        <v>19</v>
      </c>
      <c r="J1242" s="3">
        <v>319</v>
      </c>
      <c r="K1242" s="3">
        <v>4</v>
      </c>
      <c r="L1242" s="3">
        <v>1</v>
      </c>
      <c r="M1242" s="4">
        <f t="shared" si="169"/>
        <v>1.2539184952978056E-2</v>
      </c>
      <c r="N1242" s="4">
        <f t="shared" si="170"/>
        <v>0.25</v>
      </c>
      <c r="O1242">
        <v>449</v>
      </c>
      <c r="P1242" s="5">
        <v>1</v>
      </c>
      <c r="Q1242" s="7">
        <v>0</v>
      </c>
      <c r="R1242" t="s">
        <v>2344</v>
      </c>
      <c r="S1242" t="str">
        <f t="shared" si="171"/>
        <v>Низшая четверть</v>
      </c>
      <c r="T1242" t="str">
        <f t="shared" si="172"/>
        <v>Больше половины</v>
      </c>
      <c r="U1242" t="e">
        <f t="shared" si="173"/>
        <v>#DIV/0!</v>
      </c>
      <c r="V1242" t="e">
        <f t="shared" si="174"/>
        <v>#DIV/0!</v>
      </c>
      <c r="W1242" t="e">
        <f t="shared" si="175"/>
        <v>#DIV/0!</v>
      </c>
      <c r="X1242">
        <v>17</v>
      </c>
    </row>
    <row r="1243" spans="1:24" x14ac:dyDescent="0.35">
      <c r="A1243" s="1" t="s">
        <v>2897</v>
      </c>
      <c r="B1243" s="2" t="s">
        <v>2898</v>
      </c>
      <c r="C1243" s="3" t="s">
        <v>13</v>
      </c>
      <c r="D1243" s="2" t="s">
        <v>69</v>
      </c>
      <c r="E1243" s="3" t="s">
        <v>290</v>
      </c>
      <c r="F1243" s="2" t="s">
        <v>34</v>
      </c>
      <c r="G1243" s="3" t="s">
        <v>72</v>
      </c>
      <c r="H1243" s="2" t="s">
        <v>18</v>
      </c>
      <c r="I1243" s="3" t="s">
        <v>19</v>
      </c>
      <c r="J1243" s="3">
        <v>319</v>
      </c>
      <c r="K1243" s="3">
        <v>27</v>
      </c>
      <c r="L1243" s="3">
        <v>0</v>
      </c>
      <c r="M1243" s="4">
        <f t="shared" si="169"/>
        <v>8.4639498432601878E-2</v>
      </c>
      <c r="N1243" s="4">
        <f t="shared" si="170"/>
        <v>0</v>
      </c>
      <c r="O1243">
        <v>219</v>
      </c>
      <c r="P1243" s="5">
        <v>1</v>
      </c>
      <c r="Q1243" s="7">
        <v>0</v>
      </c>
      <c r="R1243" t="s">
        <v>2344</v>
      </c>
      <c r="S1243" t="str">
        <f t="shared" si="171"/>
        <v>Вторая четверть</v>
      </c>
      <c r="T1243" t="str">
        <f t="shared" si="172"/>
        <v>Низшая четверть</v>
      </c>
      <c r="U1243" t="str">
        <f t="shared" si="173"/>
        <v>код для проверки</v>
      </c>
      <c r="V1243" t="str">
        <f t="shared" si="174"/>
        <v>Вторая четверть</v>
      </c>
      <c r="W1243" t="str">
        <f t="shared" si="175"/>
        <v>Низшая четверть</v>
      </c>
      <c r="X1243">
        <v>24</v>
      </c>
    </row>
    <row r="1244" spans="1:24" x14ac:dyDescent="0.35">
      <c r="A1244" s="1" t="s">
        <v>2899</v>
      </c>
      <c r="B1244" s="2" t="s">
        <v>2900</v>
      </c>
      <c r="C1244" s="3" t="s">
        <v>13</v>
      </c>
      <c r="D1244" s="2" t="s">
        <v>1215</v>
      </c>
      <c r="E1244" s="3" t="s">
        <v>1216</v>
      </c>
      <c r="F1244" s="2" t="s">
        <v>34</v>
      </c>
      <c r="G1244" s="3" t="s">
        <v>17</v>
      </c>
      <c r="H1244" s="2" t="s">
        <v>18</v>
      </c>
      <c r="I1244" s="3" t="s">
        <v>19</v>
      </c>
      <c r="J1244" s="3">
        <v>319</v>
      </c>
      <c r="K1244" s="3">
        <v>27</v>
      </c>
      <c r="L1244" s="3">
        <v>0</v>
      </c>
      <c r="M1244" s="4">
        <f t="shared" si="169"/>
        <v>8.4639498432601878E-2</v>
      </c>
      <c r="N1244" s="4">
        <f t="shared" si="170"/>
        <v>0</v>
      </c>
      <c r="O1244">
        <v>679</v>
      </c>
      <c r="P1244" s="5">
        <v>1</v>
      </c>
      <c r="Q1244" s="7">
        <v>0</v>
      </c>
      <c r="R1244" t="s">
        <v>2344</v>
      </c>
      <c r="S1244" t="str">
        <f t="shared" si="171"/>
        <v>Вторая четверть</v>
      </c>
      <c r="T1244" t="str">
        <f t="shared" si="172"/>
        <v>Низшая четверть</v>
      </c>
      <c r="U1244" t="str">
        <f t="shared" si="173"/>
        <v>код для проверки</v>
      </c>
      <c r="V1244" t="str">
        <f t="shared" si="174"/>
        <v>Вторая четверть</v>
      </c>
      <c r="W1244" t="str">
        <f t="shared" si="175"/>
        <v>Низшая четверть</v>
      </c>
      <c r="X1244">
        <v>8</v>
      </c>
    </row>
    <row r="1245" spans="1:24" x14ac:dyDescent="0.35">
      <c r="A1245" s="1" t="s">
        <v>2431</v>
      </c>
      <c r="B1245" s="2" t="s">
        <v>2432</v>
      </c>
      <c r="C1245" s="3" t="s">
        <v>13</v>
      </c>
      <c r="D1245" s="2" t="s">
        <v>143</v>
      </c>
      <c r="E1245" s="3" t="s">
        <v>144</v>
      </c>
      <c r="F1245" s="2" t="s">
        <v>34</v>
      </c>
      <c r="G1245" s="3" t="s">
        <v>17</v>
      </c>
      <c r="H1245" s="2" t="s">
        <v>18</v>
      </c>
      <c r="I1245" s="3" t="s">
        <v>19</v>
      </c>
      <c r="J1245" s="3">
        <v>318</v>
      </c>
      <c r="K1245" s="3">
        <v>7</v>
      </c>
      <c r="L1245" s="3">
        <v>0</v>
      </c>
      <c r="M1245" s="4">
        <f t="shared" si="169"/>
        <v>2.20125786163522E-2</v>
      </c>
      <c r="N1245" s="4">
        <f t="shared" si="170"/>
        <v>0</v>
      </c>
      <c r="O1245">
        <v>974</v>
      </c>
      <c r="P1245" s="5">
        <v>0.875</v>
      </c>
      <c r="Q1245" s="7">
        <v>0</v>
      </c>
      <c r="R1245" t="s">
        <v>2344</v>
      </c>
      <c r="S1245" t="str">
        <f t="shared" si="171"/>
        <v>Низшая четверть</v>
      </c>
      <c r="T1245" t="str">
        <f t="shared" si="172"/>
        <v>Низшая четверть</v>
      </c>
      <c r="U1245" t="str">
        <f t="shared" si="173"/>
        <v>код для проверки</v>
      </c>
      <c r="V1245" t="str">
        <f t="shared" si="174"/>
        <v>Низшая четверть</v>
      </c>
      <c r="W1245" t="str">
        <f t="shared" si="175"/>
        <v>Низшая четверть</v>
      </c>
      <c r="X1245">
        <v>7</v>
      </c>
    </row>
    <row r="1246" spans="1:24" x14ac:dyDescent="0.35">
      <c r="A1246" s="1" t="s">
        <v>2901</v>
      </c>
      <c r="B1246" s="2" t="s">
        <v>2902</v>
      </c>
      <c r="C1246" s="3" t="s">
        <v>55</v>
      </c>
      <c r="D1246" s="2" t="s">
        <v>1479</v>
      </c>
      <c r="E1246" s="3" t="s">
        <v>1985</v>
      </c>
      <c r="F1246" s="2" t="s">
        <v>61</v>
      </c>
      <c r="G1246" s="3" t="s">
        <v>17</v>
      </c>
      <c r="H1246" s="2" t="s">
        <v>18</v>
      </c>
      <c r="I1246" s="3" t="s">
        <v>19</v>
      </c>
      <c r="J1246" s="3">
        <v>316</v>
      </c>
      <c r="K1246" s="3">
        <v>4</v>
      </c>
      <c r="L1246" s="3">
        <v>0</v>
      </c>
      <c r="M1246" s="4">
        <f t="shared" si="169"/>
        <v>1.2658227848101266E-2</v>
      </c>
      <c r="N1246" s="4">
        <f t="shared" si="170"/>
        <v>0</v>
      </c>
      <c r="O1246">
        <v>150</v>
      </c>
      <c r="P1246" s="5">
        <v>1</v>
      </c>
      <c r="Q1246" s="7">
        <v>0</v>
      </c>
      <c r="R1246" t="s">
        <v>2344</v>
      </c>
      <c r="S1246" t="str">
        <f t="shared" si="171"/>
        <v>Низшая четверть</v>
      </c>
      <c r="T1246" t="str">
        <f t="shared" si="172"/>
        <v>Низшая четверть</v>
      </c>
      <c r="U1246" t="e">
        <f t="shared" si="173"/>
        <v>#DIV/0!</v>
      </c>
      <c r="V1246" t="e">
        <f t="shared" si="174"/>
        <v>#DIV/0!</v>
      </c>
      <c r="W1246" t="e">
        <f t="shared" si="175"/>
        <v>#DIV/0!</v>
      </c>
      <c r="X1246">
        <v>18</v>
      </c>
    </row>
    <row r="1247" spans="1:24" x14ac:dyDescent="0.35">
      <c r="A1247" s="1" t="s">
        <v>2903</v>
      </c>
      <c r="B1247" s="2" t="s">
        <v>2904</v>
      </c>
      <c r="C1247" s="3" t="s">
        <v>13</v>
      </c>
      <c r="D1247" s="2" t="s">
        <v>85</v>
      </c>
      <c r="E1247" s="3" t="s">
        <v>1937</v>
      </c>
      <c r="F1247" s="2" t="s">
        <v>96</v>
      </c>
      <c r="G1247" s="3" t="s">
        <v>17</v>
      </c>
      <c r="H1247" s="2" t="s">
        <v>18</v>
      </c>
      <c r="I1247" s="3" t="s">
        <v>19</v>
      </c>
      <c r="J1247" s="3">
        <v>316</v>
      </c>
      <c r="K1247" s="3">
        <v>20</v>
      </c>
      <c r="L1247" s="3">
        <v>0</v>
      </c>
      <c r="M1247" s="4">
        <f t="shared" si="169"/>
        <v>6.3291139240506333E-2</v>
      </c>
      <c r="N1247" s="4">
        <f t="shared" si="170"/>
        <v>0</v>
      </c>
      <c r="O1247">
        <v>887</v>
      </c>
      <c r="P1247" s="5">
        <v>1</v>
      </c>
      <c r="Q1247" s="7">
        <v>0</v>
      </c>
      <c r="R1247" t="s">
        <v>2344</v>
      </c>
      <c r="S1247" t="str">
        <f t="shared" si="171"/>
        <v>Вторая четверть</v>
      </c>
      <c r="T1247" t="str">
        <f t="shared" si="172"/>
        <v>Низшая четверть</v>
      </c>
      <c r="U1247" t="str">
        <f t="shared" si="173"/>
        <v>код для проверки</v>
      </c>
      <c r="V1247" t="str">
        <f t="shared" si="174"/>
        <v>Вторая четверть</v>
      </c>
      <c r="W1247" t="str">
        <f t="shared" si="175"/>
        <v>Низшая четверть</v>
      </c>
      <c r="X1247">
        <v>18</v>
      </c>
    </row>
    <row r="1248" spans="1:24" x14ac:dyDescent="0.35">
      <c r="A1248" s="1" t="s">
        <v>2905</v>
      </c>
      <c r="B1248" s="2" t="s">
        <v>2906</v>
      </c>
      <c r="C1248" s="3" t="s">
        <v>55</v>
      </c>
      <c r="D1248" s="2" t="s">
        <v>1479</v>
      </c>
      <c r="E1248" s="3" t="s">
        <v>1985</v>
      </c>
      <c r="F1248" s="2" t="s">
        <v>61</v>
      </c>
      <c r="G1248" s="3" t="s">
        <v>17</v>
      </c>
      <c r="H1248" s="2" t="s">
        <v>18</v>
      </c>
      <c r="I1248" s="3" t="s">
        <v>19</v>
      </c>
      <c r="J1248" s="3">
        <v>315</v>
      </c>
      <c r="K1248" s="3">
        <v>2</v>
      </c>
      <c r="L1248" s="3">
        <v>0</v>
      </c>
      <c r="M1248" s="4">
        <f t="shared" si="169"/>
        <v>6.3492063492063492E-3</v>
      </c>
      <c r="N1248" s="4">
        <f t="shared" si="170"/>
        <v>0</v>
      </c>
      <c r="O1248">
        <v>161</v>
      </c>
      <c r="P1248" s="5">
        <v>1</v>
      </c>
      <c r="Q1248" s="7">
        <v>0</v>
      </c>
      <c r="R1248" t="s">
        <v>2344</v>
      </c>
      <c r="S1248" t="str">
        <f t="shared" si="171"/>
        <v>Низшая четверть</v>
      </c>
      <c r="T1248" t="str">
        <f t="shared" si="172"/>
        <v>Низшая четверть</v>
      </c>
      <c r="U1248" t="e">
        <f t="shared" si="173"/>
        <v>#DIV/0!</v>
      </c>
      <c r="V1248" t="e">
        <f t="shared" si="174"/>
        <v>#DIV/0!</v>
      </c>
      <c r="W1248" t="e">
        <f t="shared" si="175"/>
        <v>#DIV/0!</v>
      </c>
      <c r="X1248">
        <v>17</v>
      </c>
    </row>
    <row r="1249" spans="1:24" x14ac:dyDescent="0.35">
      <c r="A1249" s="1" t="s">
        <v>2907</v>
      </c>
      <c r="B1249" s="2" t="s">
        <v>2908</v>
      </c>
      <c r="C1249" s="3" t="s">
        <v>55</v>
      </c>
      <c r="D1249" s="2" t="s">
        <v>1049</v>
      </c>
      <c r="E1249" s="3" t="s">
        <v>1050</v>
      </c>
      <c r="F1249" s="2" t="s">
        <v>34</v>
      </c>
      <c r="G1249" s="3" t="s">
        <v>17</v>
      </c>
      <c r="H1249" s="2" t="s">
        <v>18</v>
      </c>
      <c r="I1249" s="3" t="s">
        <v>19</v>
      </c>
      <c r="J1249" s="3">
        <v>313</v>
      </c>
      <c r="K1249" s="3">
        <v>4</v>
      </c>
      <c r="L1249" s="3">
        <v>0</v>
      </c>
      <c r="M1249" s="4">
        <f t="shared" si="169"/>
        <v>1.2779552715654952E-2</v>
      </c>
      <c r="N1249" s="4">
        <f t="shared" si="170"/>
        <v>0</v>
      </c>
      <c r="O1249">
        <v>149</v>
      </c>
      <c r="P1249" s="5">
        <v>1</v>
      </c>
      <c r="Q1249" s="7">
        <v>0</v>
      </c>
      <c r="R1249" t="s">
        <v>2344</v>
      </c>
      <c r="S1249" t="str">
        <f t="shared" si="171"/>
        <v>Низшая четверть</v>
      </c>
      <c r="T1249" t="str">
        <f t="shared" si="172"/>
        <v>Низшая четверть</v>
      </c>
      <c r="U1249" t="str">
        <f t="shared" si="173"/>
        <v>код для проверки</v>
      </c>
      <c r="V1249" t="str">
        <f t="shared" si="174"/>
        <v>Низшая четверть</v>
      </c>
      <c r="W1249" t="str">
        <f t="shared" si="175"/>
        <v>Низшая четверть</v>
      </c>
      <c r="X1249">
        <v>17</v>
      </c>
    </row>
    <row r="1250" spans="1:24" x14ac:dyDescent="0.35">
      <c r="A1250" s="1" t="s">
        <v>2909</v>
      </c>
      <c r="B1250" s="2" t="s">
        <v>2910</v>
      </c>
      <c r="C1250" s="3" t="s">
        <v>55</v>
      </c>
      <c r="D1250" s="2" t="s">
        <v>1049</v>
      </c>
      <c r="E1250" s="3" t="s">
        <v>1050</v>
      </c>
      <c r="F1250" s="2" t="s">
        <v>34</v>
      </c>
      <c r="G1250" s="3" t="s">
        <v>17</v>
      </c>
      <c r="H1250" s="2" t="s">
        <v>18</v>
      </c>
      <c r="I1250" s="3" t="s">
        <v>19</v>
      </c>
      <c r="J1250" s="3">
        <v>313</v>
      </c>
      <c r="K1250" s="3">
        <v>2</v>
      </c>
      <c r="L1250" s="3">
        <v>0</v>
      </c>
      <c r="M1250" s="4">
        <f t="shared" si="169"/>
        <v>6.3897763578274758E-3</v>
      </c>
      <c r="N1250" s="4">
        <f t="shared" si="170"/>
        <v>0</v>
      </c>
      <c r="O1250">
        <v>137</v>
      </c>
      <c r="P1250" s="5">
        <v>1</v>
      </c>
      <c r="Q1250" s="7">
        <v>0</v>
      </c>
      <c r="R1250" t="s">
        <v>2344</v>
      </c>
      <c r="S1250" t="str">
        <f t="shared" si="171"/>
        <v>Низшая четверть</v>
      </c>
      <c r="T1250" t="str">
        <f t="shared" si="172"/>
        <v>Низшая четверть</v>
      </c>
      <c r="U1250" t="str">
        <f t="shared" si="173"/>
        <v>код для проверки</v>
      </c>
      <c r="V1250" t="str">
        <f t="shared" si="174"/>
        <v>Низшая четверть</v>
      </c>
      <c r="W1250" t="str">
        <f t="shared" si="175"/>
        <v>Низшая четверть</v>
      </c>
      <c r="X1250">
        <v>9</v>
      </c>
    </row>
    <row r="1251" spans="1:24" x14ac:dyDescent="0.35">
      <c r="A1251" s="1" t="s">
        <v>2124</v>
      </c>
      <c r="B1251" s="2" t="s">
        <v>2125</v>
      </c>
      <c r="C1251" s="3" t="s">
        <v>13</v>
      </c>
      <c r="D1251" s="2" t="s">
        <v>155</v>
      </c>
      <c r="E1251" s="3" t="s">
        <v>156</v>
      </c>
      <c r="F1251" s="2" t="s">
        <v>34</v>
      </c>
      <c r="G1251" s="3" t="s">
        <v>17</v>
      </c>
      <c r="H1251" s="2" t="s">
        <v>18</v>
      </c>
      <c r="I1251" s="3" t="s">
        <v>19</v>
      </c>
      <c r="J1251" s="3">
        <v>312</v>
      </c>
      <c r="K1251" s="3">
        <v>180</v>
      </c>
      <c r="L1251" s="3">
        <v>2</v>
      </c>
      <c r="M1251" s="4">
        <f t="shared" si="169"/>
        <v>0.57692307692307687</v>
      </c>
      <c r="N1251" s="4">
        <f t="shared" si="170"/>
        <v>1.1111111111111112E-2</v>
      </c>
      <c r="O1251">
        <v>1198</v>
      </c>
      <c r="P1251" s="5">
        <v>1</v>
      </c>
      <c r="Q1251" s="7">
        <v>0</v>
      </c>
      <c r="R1251" t="s">
        <v>2344</v>
      </c>
      <c r="S1251" t="str">
        <f t="shared" si="171"/>
        <v>Больше половины</v>
      </c>
      <c r="T1251" t="str">
        <f t="shared" si="172"/>
        <v>Вторая четверть</v>
      </c>
      <c r="U1251" t="str">
        <f t="shared" si="173"/>
        <v>нормальный код</v>
      </c>
      <c r="V1251" t="str">
        <f t="shared" si="174"/>
        <v>Больше половины</v>
      </c>
      <c r="W1251" t="str">
        <f t="shared" si="175"/>
        <v>Вторая четверть</v>
      </c>
      <c r="X1251">
        <v>9</v>
      </c>
    </row>
    <row r="1252" spans="1:24" x14ac:dyDescent="0.35">
      <c r="A1252" s="1" t="s">
        <v>2911</v>
      </c>
      <c r="B1252" s="2" t="s">
        <v>2912</v>
      </c>
      <c r="C1252" s="3" t="s">
        <v>13</v>
      </c>
      <c r="D1252" s="2" t="s">
        <v>69</v>
      </c>
      <c r="E1252" s="3" t="s">
        <v>2533</v>
      </c>
      <c r="F1252" s="2" t="s">
        <v>34</v>
      </c>
      <c r="G1252" s="3" t="s">
        <v>72</v>
      </c>
      <c r="H1252" s="2" t="s">
        <v>18</v>
      </c>
      <c r="I1252" s="3" t="s">
        <v>19</v>
      </c>
      <c r="J1252" s="3">
        <v>311</v>
      </c>
      <c r="K1252" s="3">
        <v>17</v>
      </c>
      <c r="L1252" s="3">
        <v>0</v>
      </c>
      <c r="M1252" s="4">
        <f t="shared" si="169"/>
        <v>5.4662379421221867E-2</v>
      </c>
      <c r="N1252" s="4">
        <f t="shared" si="170"/>
        <v>0</v>
      </c>
      <c r="O1252">
        <v>80</v>
      </c>
      <c r="P1252" s="5">
        <v>1</v>
      </c>
      <c r="Q1252" s="7">
        <v>0</v>
      </c>
      <c r="R1252" t="s">
        <v>2344</v>
      </c>
      <c r="S1252" t="str">
        <f t="shared" si="171"/>
        <v>Вторая четверть</v>
      </c>
      <c r="T1252" t="str">
        <f t="shared" si="172"/>
        <v>Низшая четверть</v>
      </c>
      <c r="U1252" t="str">
        <f t="shared" si="173"/>
        <v>код для проверки</v>
      </c>
      <c r="V1252" t="str">
        <f t="shared" si="174"/>
        <v>Больше половины</v>
      </c>
      <c r="W1252" t="str">
        <f t="shared" si="175"/>
        <v>Низшая четверть</v>
      </c>
      <c r="X1252">
        <v>17</v>
      </c>
    </row>
    <row r="1253" spans="1:24" x14ac:dyDescent="0.35">
      <c r="A1253" s="1" t="s">
        <v>1983</v>
      </c>
      <c r="B1253" s="2" t="s">
        <v>1984</v>
      </c>
      <c r="C1253" s="3" t="s">
        <v>55</v>
      </c>
      <c r="D1253" s="2" t="s">
        <v>1479</v>
      </c>
      <c r="E1253" s="3" t="s">
        <v>1985</v>
      </c>
      <c r="F1253" s="2" t="s">
        <v>61</v>
      </c>
      <c r="G1253" s="3" t="s">
        <v>17</v>
      </c>
      <c r="H1253" s="2" t="s">
        <v>18</v>
      </c>
      <c r="I1253" s="3" t="s">
        <v>19</v>
      </c>
      <c r="J1253" s="3">
        <v>310</v>
      </c>
      <c r="K1253" s="3">
        <v>8</v>
      </c>
      <c r="L1253" s="3">
        <v>0</v>
      </c>
      <c r="M1253" s="4">
        <f t="shared" si="169"/>
        <v>2.5806451612903226E-2</v>
      </c>
      <c r="N1253" s="4">
        <f t="shared" si="170"/>
        <v>0</v>
      </c>
      <c r="O1253">
        <v>1100</v>
      </c>
      <c r="P1253" s="5">
        <v>1</v>
      </c>
      <c r="Q1253" s="7">
        <v>0</v>
      </c>
      <c r="R1253" t="s">
        <v>2344</v>
      </c>
      <c r="S1253" t="str">
        <f t="shared" si="171"/>
        <v>Низшая четверть</v>
      </c>
      <c r="T1253" t="str">
        <f t="shared" si="172"/>
        <v>Низшая четверть</v>
      </c>
      <c r="U1253" t="e">
        <f t="shared" si="173"/>
        <v>#DIV/0!</v>
      </c>
      <c r="V1253" t="e">
        <f t="shared" si="174"/>
        <v>#DIV/0!</v>
      </c>
      <c r="W1253" t="e">
        <f t="shared" si="175"/>
        <v>#DIV/0!</v>
      </c>
      <c r="X1253">
        <v>8</v>
      </c>
    </row>
    <row r="1254" spans="1:24" x14ac:dyDescent="0.35">
      <c r="A1254" s="1" t="s">
        <v>2913</v>
      </c>
      <c r="B1254" s="2" t="s">
        <v>2914</v>
      </c>
      <c r="C1254" s="3" t="s">
        <v>13</v>
      </c>
      <c r="D1254" s="2" t="s">
        <v>77</v>
      </c>
      <c r="E1254" s="3" t="s">
        <v>2066</v>
      </c>
      <c r="F1254" s="2" t="s">
        <v>96</v>
      </c>
      <c r="G1254" s="3" t="s">
        <v>17</v>
      </c>
      <c r="H1254" s="2" t="s">
        <v>18</v>
      </c>
      <c r="I1254" s="3" t="s">
        <v>19</v>
      </c>
      <c r="J1254" s="3">
        <v>310</v>
      </c>
      <c r="K1254" s="3">
        <v>12</v>
      </c>
      <c r="L1254" s="3">
        <v>0</v>
      </c>
      <c r="M1254" s="4">
        <f t="shared" si="169"/>
        <v>3.870967741935484E-2</v>
      </c>
      <c r="N1254" s="4">
        <f t="shared" si="170"/>
        <v>0</v>
      </c>
      <c r="O1254">
        <v>100</v>
      </c>
      <c r="P1254" s="5">
        <v>1</v>
      </c>
      <c r="Q1254" s="7">
        <v>0</v>
      </c>
      <c r="R1254" t="s">
        <v>2344</v>
      </c>
      <c r="S1254" t="str">
        <f t="shared" si="171"/>
        <v>Низшая четверть</v>
      </c>
      <c r="T1254" t="str">
        <f t="shared" si="172"/>
        <v>Низшая четверть</v>
      </c>
      <c r="U1254" t="e">
        <f t="shared" si="173"/>
        <v>#DIV/0!</v>
      </c>
      <c r="V1254" t="e">
        <f t="shared" si="174"/>
        <v>#DIV/0!</v>
      </c>
      <c r="W1254" t="e">
        <f t="shared" si="175"/>
        <v>#DIV/0!</v>
      </c>
      <c r="X1254">
        <v>6</v>
      </c>
    </row>
    <row r="1255" spans="1:24" x14ac:dyDescent="0.35">
      <c r="A1255" s="1" t="s">
        <v>2915</v>
      </c>
      <c r="B1255" s="2" t="s">
        <v>2916</v>
      </c>
      <c r="C1255" s="3" t="s">
        <v>55</v>
      </c>
      <c r="D1255" s="2" t="s">
        <v>1479</v>
      </c>
      <c r="E1255" s="3" t="s">
        <v>1985</v>
      </c>
      <c r="F1255" s="2" t="s">
        <v>61</v>
      </c>
      <c r="G1255" s="3" t="s">
        <v>17</v>
      </c>
      <c r="H1255" s="2" t="s">
        <v>18</v>
      </c>
      <c r="I1255" s="3" t="s">
        <v>19</v>
      </c>
      <c r="J1255" s="3">
        <v>305</v>
      </c>
      <c r="K1255" s="3">
        <v>7</v>
      </c>
      <c r="L1255" s="3">
        <v>0</v>
      </c>
      <c r="M1255" s="4">
        <f t="shared" si="169"/>
        <v>2.2950819672131147E-2</v>
      </c>
      <c r="N1255" s="4">
        <f t="shared" si="170"/>
        <v>0</v>
      </c>
      <c r="O1255">
        <v>250</v>
      </c>
      <c r="P1255" s="5">
        <v>1</v>
      </c>
      <c r="Q1255" s="7">
        <v>0</v>
      </c>
      <c r="R1255" t="s">
        <v>2344</v>
      </c>
      <c r="S1255" t="str">
        <f t="shared" si="171"/>
        <v>Низшая четверть</v>
      </c>
      <c r="T1255" t="str">
        <f t="shared" si="172"/>
        <v>Низшая четверть</v>
      </c>
      <c r="U1255" t="e">
        <f t="shared" si="173"/>
        <v>#DIV/0!</v>
      </c>
      <c r="V1255" t="e">
        <f t="shared" si="174"/>
        <v>#DIV/0!</v>
      </c>
      <c r="W1255" t="e">
        <f t="shared" si="175"/>
        <v>#DIV/0!</v>
      </c>
      <c r="X1255">
        <v>18</v>
      </c>
    </row>
    <row r="1256" spans="1:24" x14ac:dyDescent="0.35">
      <c r="A1256" s="1" t="s">
        <v>2917</v>
      </c>
      <c r="B1256" s="2" t="s">
        <v>2918</v>
      </c>
      <c r="C1256" s="3" t="s">
        <v>13</v>
      </c>
      <c r="D1256" s="2" t="s">
        <v>69</v>
      </c>
      <c r="E1256" s="3" t="s">
        <v>455</v>
      </c>
      <c r="F1256" s="2" t="s">
        <v>34</v>
      </c>
      <c r="G1256" s="3" t="s">
        <v>72</v>
      </c>
      <c r="H1256" s="2" t="s">
        <v>18</v>
      </c>
      <c r="I1256" s="3" t="s">
        <v>19</v>
      </c>
      <c r="J1256" s="3">
        <v>305</v>
      </c>
      <c r="K1256" s="3">
        <v>14</v>
      </c>
      <c r="L1256" s="3">
        <v>0</v>
      </c>
      <c r="M1256" s="4">
        <f t="shared" si="169"/>
        <v>4.5901639344262293E-2</v>
      </c>
      <c r="N1256" s="4">
        <f t="shared" si="170"/>
        <v>0</v>
      </c>
      <c r="O1256">
        <v>120</v>
      </c>
      <c r="P1256" s="5">
        <v>1</v>
      </c>
      <c r="Q1256" s="7">
        <v>0</v>
      </c>
      <c r="R1256" t="s">
        <v>2344</v>
      </c>
      <c r="S1256" t="str">
        <f t="shared" si="171"/>
        <v>Низшая четверть</v>
      </c>
      <c r="T1256" t="str">
        <f t="shared" si="172"/>
        <v>Низшая четверть</v>
      </c>
      <c r="U1256" t="str">
        <f t="shared" si="173"/>
        <v>код для проверки</v>
      </c>
      <c r="V1256" t="str">
        <f t="shared" si="174"/>
        <v>Вторая четверть</v>
      </c>
      <c r="W1256" t="str">
        <f t="shared" si="175"/>
        <v>Низшая четверть</v>
      </c>
      <c r="X1256">
        <v>23</v>
      </c>
    </row>
    <row r="1257" spans="1:24" x14ac:dyDescent="0.35">
      <c r="A1257" s="1" t="s">
        <v>1698</v>
      </c>
      <c r="B1257" s="2" t="s">
        <v>1699</v>
      </c>
      <c r="C1257" s="3" t="s">
        <v>55</v>
      </c>
      <c r="D1257" s="2" t="s">
        <v>336</v>
      </c>
      <c r="E1257" s="3" t="s">
        <v>1700</v>
      </c>
      <c r="F1257" s="2" t="s">
        <v>34</v>
      </c>
      <c r="G1257" s="3" t="s">
        <v>17</v>
      </c>
      <c r="H1257" s="2" t="s">
        <v>18</v>
      </c>
      <c r="I1257" s="3" t="s">
        <v>19</v>
      </c>
      <c r="J1257" s="3">
        <v>305</v>
      </c>
      <c r="K1257" s="3">
        <v>20</v>
      </c>
      <c r="L1257" s="3">
        <v>1</v>
      </c>
      <c r="M1257" s="4">
        <f t="shared" si="169"/>
        <v>6.5573770491803282E-2</v>
      </c>
      <c r="N1257" s="4">
        <f t="shared" si="170"/>
        <v>0.05</v>
      </c>
      <c r="O1257">
        <v>0</v>
      </c>
      <c r="P1257" s="5">
        <v>1</v>
      </c>
      <c r="Q1257" s="7">
        <v>0</v>
      </c>
      <c r="R1257" t="s">
        <v>2350</v>
      </c>
      <c r="S1257" t="str">
        <f t="shared" si="171"/>
        <v>Вторая четверть</v>
      </c>
      <c r="T1257" t="str">
        <f t="shared" si="172"/>
        <v>Больше половины</v>
      </c>
      <c r="U1257" t="e">
        <f t="shared" si="173"/>
        <v>#DIV/0!</v>
      </c>
      <c r="V1257" t="e">
        <f t="shared" si="174"/>
        <v>#DIV/0!</v>
      </c>
      <c r="W1257" t="e">
        <f t="shared" si="175"/>
        <v>#DIV/0!</v>
      </c>
      <c r="X1257">
        <v>8</v>
      </c>
    </row>
    <row r="1258" spans="1:24" x14ac:dyDescent="0.35">
      <c r="A1258" s="1" t="s">
        <v>2919</v>
      </c>
      <c r="B1258" s="2" t="s">
        <v>2920</v>
      </c>
      <c r="C1258" s="3" t="s">
        <v>55</v>
      </c>
      <c r="D1258" s="2" t="s">
        <v>2831</v>
      </c>
      <c r="E1258" s="3" t="s">
        <v>2832</v>
      </c>
      <c r="F1258" s="2" t="s">
        <v>34</v>
      </c>
      <c r="G1258" s="3" t="s">
        <v>17</v>
      </c>
      <c r="H1258" s="2" t="s">
        <v>97</v>
      </c>
      <c r="I1258" s="3" t="s">
        <v>19</v>
      </c>
      <c r="J1258" s="3">
        <v>304</v>
      </c>
      <c r="K1258" s="3">
        <v>19</v>
      </c>
      <c r="L1258" s="3">
        <v>0</v>
      </c>
      <c r="M1258" s="4">
        <f t="shared" si="169"/>
        <v>6.25E-2</v>
      </c>
      <c r="N1258" s="4">
        <f t="shared" si="170"/>
        <v>0</v>
      </c>
      <c r="O1258">
        <v>1857</v>
      </c>
      <c r="P1258" s="5">
        <v>1</v>
      </c>
      <c r="Q1258" s="7">
        <v>0</v>
      </c>
      <c r="R1258" t="s">
        <v>2344</v>
      </c>
      <c r="S1258" t="str">
        <f t="shared" si="171"/>
        <v>Вторая четверть</v>
      </c>
      <c r="T1258" t="str">
        <f t="shared" si="172"/>
        <v>Низшая четверть</v>
      </c>
      <c r="U1258" t="e">
        <f t="shared" si="173"/>
        <v>#DIV/0!</v>
      </c>
      <c r="V1258" t="e">
        <f t="shared" si="174"/>
        <v>#DIV/0!</v>
      </c>
      <c r="W1258" t="e">
        <f t="shared" si="175"/>
        <v>#DIV/0!</v>
      </c>
      <c r="X1258">
        <v>14</v>
      </c>
    </row>
    <row r="1259" spans="1:24" x14ac:dyDescent="0.35">
      <c r="A1259" s="1" t="s">
        <v>1850</v>
      </c>
      <c r="B1259" s="2" t="s">
        <v>1851</v>
      </c>
      <c r="C1259" s="3" t="s">
        <v>13</v>
      </c>
      <c r="D1259" s="2" t="s">
        <v>77</v>
      </c>
      <c r="E1259" s="3" t="s">
        <v>89</v>
      </c>
      <c r="F1259" s="2" t="s">
        <v>34</v>
      </c>
      <c r="G1259" s="3" t="s">
        <v>17</v>
      </c>
      <c r="H1259" s="2" t="s">
        <v>18</v>
      </c>
      <c r="I1259" s="3" t="s">
        <v>19</v>
      </c>
      <c r="J1259" s="3">
        <v>303</v>
      </c>
      <c r="K1259" s="3">
        <v>3</v>
      </c>
      <c r="L1259" s="3">
        <v>0</v>
      </c>
      <c r="M1259" s="4">
        <f t="shared" si="169"/>
        <v>9.9009900990099011E-3</v>
      </c>
      <c r="N1259" s="4">
        <f t="shared" si="170"/>
        <v>0</v>
      </c>
      <c r="O1259">
        <v>89</v>
      </c>
      <c r="P1259" s="5">
        <v>0.44444444444444442</v>
      </c>
      <c r="Q1259" s="7">
        <v>0</v>
      </c>
      <c r="R1259" t="s">
        <v>2344</v>
      </c>
      <c r="S1259" t="str">
        <f t="shared" si="171"/>
        <v>Низшая четверть</v>
      </c>
      <c r="T1259" t="str">
        <f t="shared" si="172"/>
        <v>Низшая четверть</v>
      </c>
      <c r="U1259" t="str">
        <f t="shared" si="173"/>
        <v>код для проверки</v>
      </c>
      <c r="V1259" t="str">
        <f t="shared" si="174"/>
        <v>Низшая четверть</v>
      </c>
      <c r="W1259" t="str">
        <f t="shared" si="175"/>
        <v>Низшая четверть</v>
      </c>
      <c r="X1259">
        <v>16</v>
      </c>
    </row>
    <row r="1260" spans="1:24" x14ac:dyDescent="0.35">
      <c r="A1260" s="1" t="s">
        <v>2921</v>
      </c>
      <c r="B1260" s="2" t="s">
        <v>2922</v>
      </c>
      <c r="C1260" s="3" t="s">
        <v>13</v>
      </c>
      <c r="D1260" s="2" t="s">
        <v>155</v>
      </c>
      <c r="E1260" s="3" t="s">
        <v>2605</v>
      </c>
      <c r="F1260" s="2" t="s">
        <v>61</v>
      </c>
      <c r="G1260" s="3" t="s">
        <v>17</v>
      </c>
      <c r="H1260" s="2" t="s">
        <v>18</v>
      </c>
      <c r="I1260" s="3" t="s">
        <v>19</v>
      </c>
      <c r="J1260" s="3">
        <v>303</v>
      </c>
      <c r="K1260" s="3">
        <v>4</v>
      </c>
      <c r="L1260" s="3">
        <v>0</v>
      </c>
      <c r="M1260" s="4">
        <f t="shared" si="169"/>
        <v>1.3201320132013201E-2</v>
      </c>
      <c r="N1260" s="4">
        <f t="shared" si="170"/>
        <v>0</v>
      </c>
      <c r="O1260">
        <v>100</v>
      </c>
      <c r="P1260" s="5">
        <v>1</v>
      </c>
      <c r="Q1260" s="7">
        <v>0</v>
      </c>
      <c r="R1260" t="s">
        <v>2344</v>
      </c>
      <c r="S1260" t="str">
        <f t="shared" si="171"/>
        <v>Низшая четверть</v>
      </c>
      <c r="T1260" t="str">
        <f t="shared" si="172"/>
        <v>Низшая четверть</v>
      </c>
      <c r="U1260" t="e">
        <f t="shared" si="173"/>
        <v>#DIV/0!</v>
      </c>
      <c r="V1260" t="e">
        <f t="shared" si="174"/>
        <v>#DIV/0!</v>
      </c>
      <c r="W1260" t="e">
        <f t="shared" si="175"/>
        <v>#DIV/0!</v>
      </c>
      <c r="X1260">
        <v>17</v>
      </c>
    </row>
    <row r="1261" spans="1:24" x14ac:dyDescent="0.35">
      <c r="A1261" s="1" t="s">
        <v>2923</v>
      </c>
      <c r="B1261" s="2" t="s">
        <v>2924</v>
      </c>
      <c r="C1261" s="3" t="s">
        <v>13</v>
      </c>
      <c r="D1261" s="2" t="s">
        <v>69</v>
      </c>
      <c r="E1261" s="3" t="s">
        <v>455</v>
      </c>
      <c r="F1261" s="2" t="s">
        <v>34</v>
      </c>
      <c r="G1261" s="3" t="s">
        <v>72</v>
      </c>
      <c r="H1261" s="2" t="s">
        <v>18</v>
      </c>
      <c r="I1261" s="3" t="s">
        <v>19</v>
      </c>
      <c r="J1261" s="3">
        <v>301</v>
      </c>
      <c r="K1261" s="3">
        <v>12</v>
      </c>
      <c r="L1261" s="3">
        <v>0</v>
      </c>
      <c r="M1261" s="4">
        <f t="shared" si="169"/>
        <v>3.9867109634551492E-2</v>
      </c>
      <c r="N1261" s="4">
        <f t="shared" si="170"/>
        <v>0</v>
      </c>
      <c r="O1261">
        <v>120</v>
      </c>
      <c r="P1261" s="5">
        <v>1</v>
      </c>
      <c r="Q1261" s="7">
        <v>0</v>
      </c>
      <c r="R1261" t="s">
        <v>2344</v>
      </c>
      <c r="S1261" t="str">
        <f t="shared" si="171"/>
        <v>Низшая четверть</v>
      </c>
      <c r="T1261" t="str">
        <f t="shared" si="172"/>
        <v>Низшая четверть</v>
      </c>
      <c r="U1261" t="str">
        <f t="shared" si="173"/>
        <v>код для проверки</v>
      </c>
      <c r="V1261" t="str">
        <f t="shared" si="174"/>
        <v>Низшая четверть</v>
      </c>
      <c r="W1261" t="str">
        <f t="shared" si="175"/>
        <v>Низшая четверть</v>
      </c>
      <c r="X1261">
        <v>25</v>
      </c>
    </row>
    <row r="1262" spans="1:24" x14ac:dyDescent="0.35">
      <c r="A1262" s="1" t="s">
        <v>2925</v>
      </c>
      <c r="B1262" s="2" t="s">
        <v>2926</v>
      </c>
      <c r="C1262" s="3" t="s">
        <v>13</v>
      </c>
      <c r="D1262" s="2" t="s">
        <v>69</v>
      </c>
      <c r="E1262" s="3" t="s">
        <v>290</v>
      </c>
      <c r="F1262" s="2" t="s">
        <v>34</v>
      </c>
      <c r="G1262" s="3" t="s">
        <v>72</v>
      </c>
      <c r="H1262" s="2" t="s">
        <v>18</v>
      </c>
      <c r="I1262" s="3" t="s">
        <v>19</v>
      </c>
      <c r="J1262" s="3">
        <v>301</v>
      </c>
      <c r="K1262" s="3">
        <v>27</v>
      </c>
      <c r="L1262" s="3">
        <v>0</v>
      </c>
      <c r="M1262" s="4">
        <f t="shared" si="169"/>
        <v>8.9700996677740868E-2</v>
      </c>
      <c r="N1262" s="4">
        <f t="shared" si="170"/>
        <v>0</v>
      </c>
      <c r="O1262">
        <v>120</v>
      </c>
      <c r="P1262" s="5">
        <v>1</v>
      </c>
      <c r="Q1262" s="7">
        <v>0</v>
      </c>
      <c r="R1262" t="s">
        <v>2344</v>
      </c>
      <c r="S1262" t="str">
        <f t="shared" si="171"/>
        <v>Вторая четверть</v>
      </c>
      <c r="T1262" t="str">
        <f t="shared" si="172"/>
        <v>Низшая четверть</v>
      </c>
      <c r="U1262" t="str">
        <f t="shared" si="173"/>
        <v>код для проверки</v>
      </c>
      <c r="V1262" t="str">
        <f t="shared" si="174"/>
        <v>Вторая четверть</v>
      </c>
      <c r="W1262" t="str">
        <f t="shared" si="175"/>
        <v>Низшая четверть</v>
      </c>
      <c r="X1262">
        <v>23</v>
      </c>
    </row>
    <row r="1263" spans="1:24" x14ac:dyDescent="0.35">
      <c r="A1263" s="1" t="s">
        <v>2240</v>
      </c>
      <c r="B1263" s="2" t="s">
        <v>2241</v>
      </c>
      <c r="C1263" s="3" t="s">
        <v>13</v>
      </c>
      <c r="D1263" s="2" t="s">
        <v>69</v>
      </c>
      <c r="E1263" s="3" t="s">
        <v>371</v>
      </c>
      <c r="F1263" s="2" t="s">
        <v>96</v>
      </c>
      <c r="G1263" s="3" t="s">
        <v>72</v>
      </c>
      <c r="H1263" s="2" t="s">
        <v>18</v>
      </c>
      <c r="I1263" s="3" t="s">
        <v>19</v>
      </c>
      <c r="J1263" s="3">
        <v>299</v>
      </c>
      <c r="K1263" s="3">
        <v>78</v>
      </c>
      <c r="L1263" s="3">
        <v>0</v>
      </c>
      <c r="M1263" s="4">
        <f t="shared" si="169"/>
        <v>0.2608695652173913</v>
      </c>
      <c r="N1263" s="4">
        <f t="shared" si="170"/>
        <v>0</v>
      </c>
      <c r="O1263">
        <v>200</v>
      </c>
      <c r="P1263" s="5">
        <v>1</v>
      </c>
      <c r="Q1263" s="7">
        <v>0</v>
      </c>
      <c r="R1263" t="s">
        <v>2344</v>
      </c>
      <c r="S1263" t="str">
        <f t="shared" si="171"/>
        <v>Больше половины</v>
      </c>
      <c r="T1263" t="str">
        <f t="shared" si="172"/>
        <v>Низшая четверть</v>
      </c>
      <c r="U1263" t="str">
        <f t="shared" si="173"/>
        <v>код для проверки</v>
      </c>
      <c r="V1263" t="str">
        <f t="shared" si="174"/>
        <v>Больше половины</v>
      </c>
      <c r="W1263" t="str">
        <f t="shared" si="175"/>
        <v>Низшая четверть</v>
      </c>
      <c r="X1263">
        <v>15</v>
      </c>
    </row>
    <row r="1264" spans="1:24" x14ac:dyDescent="0.35">
      <c r="A1264" s="1" t="s">
        <v>2927</v>
      </c>
      <c r="B1264" s="2" t="s">
        <v>2928</v>
      </c>
      <c r="C1264" s="3" t="s">
        <v>13</v>
      </c>
      <c r="D1264" s="2" t="s">
        <v>69</v>
      </c>
      <c r="E1264" s="3" t="s">
        <v>2533</v>
      </c>
      <c r="F1264" s="2" t="s">
        <v>34</v>
      </c>
      <c r="G1264" s="3" t="s">
        <v>72</v>
      </c>
      <c r="H1264" s="2" t="s">
        <v>18</v>
      </c>
      <c r="I1264" s="3" t="s">
        <v>19</v>
      </c>
      <c r="J1264" s="3">
        <v>298</v>
      </c>
      <c r="K1264" s="3">
        <v>8</v>
      </c>
      <c r="L1264" s="3">
        <v>0</v>
      </c>
      <c r="M1264" s="4">
        <f t="shared" si="169"/>
        <v>2.6845637583892617E-2</v>
      </c>
      <c r="N1264" s="4">
        <f t="shared" si="170"/>
        <v>0</v>
      </c>
      <c r="O1264">
        <v>150</v>
      </c>
      <c r="P1264" s="5">
        <v>1</v>
      </c>
      <c r="Q1264" s="7">
        <v>0</v>
      </c>
      <c r="R1264" t="s">
        <v>2344</v>
      </c>
      <c r="S1264" t="str">
        <f t="shared" si="171"/>
        <v>Низшая четверть</v>
      </c>
      <c r="T1264" t="str">
        <f t="shared" si="172"/>
        <v>Низшая четверть</v>
      </c>
      <c r="U1264" t="str">
        <f t="shared" si="173"/>
        <v>код для проверки</v>
      </c>
      <c r="V1264" t="str">
        <f t="shared" si="174"/>
        <v>Вторая четверть</v>
      </c>
      <c r="W1264" t="str">
        <f t="shared" si="175"/>
        <v>Низшая четверть</v>
      </c>
      <c r="X1264">
        <v>14</v>
      </c>
    </row>
    <row r="1265" spans="1:24" x14ac:dyDescent="0.35">
      <c r="A1265" s="1" t="s">
        <v>2929</v>
      </c>
      <c r="B1265" s="2" t="s">
        <v>2930</v>
      </c>
      <c r="C1265" s="3" t="s">
        <v>55</v>
      </c>
      <c r="D1265" s="2" t="s">
        <v>1479</v>
      </c>
      <c r="E1265" s="3" t="s">
        <v>1480</v>
      </c>
      <c r="F1265" s="2" t="s">
        <v>34</v>
      </c>
      <c r="G1265" s="3" t="s">
        <v>17</v>
      </c>
      <c r="H1265" s="2" t="s">
        <v>18</v>
      </c>
      <c r="I1265" s="3" t="s">
        <v>19</v>
      </c>
      <c r="J1265" s="3">
        <v>296</v>
      </c>
      <c r="K1265" s="3">
        <v>7</v>
      </c>
      <c r="L1265" s="3">
        <v>0</v>
      </c>
      <c r="M1265" s="4">
        <f t="shared" si="169"/>
        <v>2.364864864864865E-2</v>
      </c>
      <c r="N1265" s="4">
        <f t="shared" si="170"/>
        <v>0</v>
      </c>
      <c r="O1265">
        <v>80</v>
      </c>
      <c r="P1265" s="5">
        <v>0.5714285714285714</v>
      </c>
      <c r="Q1265" s="7">
        <v>0</v>
      </c>
      <c r="R1265" t="s">
        <v>2344</v>
      </c>
      <c r="S1265" t="str">
        <f t="shared" si="171"/>
        <v>Низшая четверть</v>
      </c>
      <c r="T1265" t="str">
        <f t="shared" si="172"/>
        <v>Низшая четверть</v>
      </c>
      <c r="U1265" t="str">
        <f t="shared" si="173"/>
        <v>код для проверки</v>
      </c>
      <c r="V1265" t="str">
        <f t="shared" si="174"/>
        <v>Низшая четверть</v>
      </c>
      <c r="W1265" t="str">
        <f t="shared" si="175"/>
        <v>Низшая четверть</v>
      </c>
      <c r="X1265">
        <v>17</v>
      </c>
    </row>
    <row r="1266" spans="1:24" x14ac:dyDescent="0.35">
      <c r="A1266" s="1" t="s">
        <v>2931</v>
      </c>
      <c r="B1266" s="2" t="s">
        <v>2932</v>
      </c>
      <c r="C1266" s="3" t="s">
        <v>55</v>
      </c>
      <c r="D1266" s="2" t="s">
        <v>1479</v>
      </c>
      <c r="E1266" s="3" t="s">
        <v>1985</v>
      </c>
      <c r="F1266" s="2" t="s">
        <v>61</v>
      </c>
      <c r="G1266" s="3" t="s">
        <v>17</v>
      </c>
      <c r="H1266" s="2" t="s">
        <v>18</v>
      </c>
      <c r="I1266" s="3" t="s">
        <v>19</v>
      </c>
      <c r="J1266" s="3">
        <v>294</v>
      </c>
      <c r="K1266" s="3">
        <v>1</v>
      </c>
      <c r="L1266" s="3">
        <v>0</v>
      </c>
      <c r="M1266" s="4">
        <f t="shared" si="169"/>
        <v>3.4013605442176869E-3</v>
      </c>
      <c r="N1266" s="4">
        <f t="shared" si="170"/>
        <v>0</v>
      </c>
      <c r="O1266">
        <v>249</v>
      </c>
      <c r="P1266" s="5">
        <v>1</v>
      </c>
      <c r="Q1266" s="7">
        <v>0</v>
      </c>
      <c r="R1266" t="s">
        <v>2344</v>
      </c>
      <c r="S1266" t="str">
        <f t="shared" si="171"/>
        <v>Низшая четверть</v>
      </c>
      <c r="T1266" t="str">
        <f t="shared" si="172"/>
        <v>Низшая четверть</v>
      </c>
      <c r="U1266" t="e">
        <f t="shared" si="173"/>
        <v>#DIV/0!</v>
      </c>
      <c r="V1266" t="e">
        <f t="shared" si="174"/>
        <v>#DIV/0!</v>
      </c>
      <c r="W1266" t="e">
        <f t="shared" si="175"/>
        <v>#DIV/0!</v>
      </c>
      <c r="X1266">
        <v>15</v>
      </c>
    </row>
    <row r="1267" spans="1:24" x14ac:dyDescent="0.35">
      <c r="A1267" s="1" t="s">
        <v>2933</v>
      </c>
      <c r="B1267" s="2" t="s">
        <v>2934</v>
      </c>
      <c r="C1267" s="3" t="s">
        <v>13</v>
      </c>
      <c r="D1267" s="2" t="s">
        <v>69</v>
      </c>
      <c r="E1267" s="3" t="s">
        <v>455</v>
      </c>
      <c r="F1267" s="2" t="s">
        <v>34</v>
      </c>
      <c r="G1267" s="3" t="s">
        <v>72</v>
      </c>
      <c r="H1267" s="2" t="s">
        <v>18</v>
      </c>
      <c r="I1267" s="3" t="s">
        <v>19</v>
      </c>
      <c r="J1267" s="3">
        <v>289</v>
      </c>
      <c r="K1267" s="3">
        <v>10</v>
      </c>
      <c r="L1267" s="3">
        <v>0</v>
      </c>
      <c r="M1267" s="4">
        <f t="shared" si="169"/>
        <v>3.4602076124567477E-2</v>
      </c>
      <c r="N1267" s="4">
        <f t="shared" si="170"/>
        <v>0</v>
      </c>
      <c r="O1267">
        <v>120</v>
      </c>
      <c r="P1267" s="5">
        <v>1</v>
      </c>
      <c r="Q1267" s="7">
        <v>0</v>
      </c>
      <c r="R1267" t="s">
        <v>2344</v>
      </c>
      <c r="S1267" t="str">
        <f t="shared" si="171"/>
        <v>Низшая четверть</v>
      </c>
      <c r="T1267" t="str">
        <f t="shared" si="172"/>
        <v>Низшая четверть</v>
      </c>
      <c r="U1267" t="str">
        <f t="shared" si="173"/>
        <v>код для проверки</v>
      </c>
      <c r="V1267" t="str">
        <f t="shared" si="174"/>
        <v>Низшая четверть</v>
      </c>
      <c r="W1267" t="str">
        <f t="shared" si="175"/>
        <v>Низшая четверть</v>
      </c>
      <c r="X1267">
        <v>19</v>
      </c>
    </row>
    <row r="1268" spans="1:24" x14ac:dyDescent="0.35">
      <c r="A1268" s="1" t="s">
        <v>2935</v>
      </c>
      <c r="B1268" s="2" t="s">
        <v>2936</v>
      </c>
      <c r="C1268" s="3" t="s">
        <v>13</v>
      </c>
      <c r="D1268" s="2" t="s">
        <v>77</v>
      </c>
      <c r="E1268" s="3" t="s">
        <v>89</v>
      </c>
      <c r="F1268" s="2" t="s">
        <v>34</v>
      </c>
      <c r="G1268" s="3" t="s">
        <v>35</v>
      </c>
      <c r="H1268" s="2" t="s">
        <v>18</v>
      </c>
      <c r="I1268" s="3" t="s">
        <v>19</v>
      </c>
      <c r="J1268" s="3">
        <v>289</v>
      </c>
      <c r="K1268" s="3">
        <v>6</v>
      </c>
      <c r="L1268" s="3">
        <v>0</v>
      </c>
      <c r="M1268" s="4">
        <f t="shared" si="169"/>
        <v>2.0761245674740483E-2</v>
      </c>
      <c r="N1268" s="4">
        <f t="shared" si="170"/>
        <v>0</v>
      </c>
      <c r="O1268">
        <v>570</v>
      </c>
      <c r="P1268" s="5">
        <v>1</v>
      </c>
      <c r="Q1268" s="7">
        <v>0</v>
      </c>
      <c r="R1268" t="s">
        <v>2344</v>
      </c>
      <c r="S1268" t="str">
        <f t="shared" si="171"/>
        <v>Низшая четверть</v>
      </c>
      <c r="T1268" t="str">
        <f t="shared" si="172"/>
        <v>Низшая четверть</v>
      </c>
      <c r="U1268" t="str">
        <f t="shared" si="173"/>
        <v>код для проверки</v>
      </c>
      <c r="V1268" t="str">
        <f t="shared" si="174"/>
        <v>Низшая четверть</v>
      </c>
      <c r="W1268" t="str">
        <f t="shared" si="175"/>
        <v>Низшая четверть</v>
      </c>
      <c r="X1268">
        <v>15</v>
      </c>
    </row>
    <row r="1269" spans="1:24" x14ac:dyDescent="0.35">
      <c r="A1269" s="1" t="s">
        <v>2937</v>
      </c>
      <c r="B1269" s="2" t="s">
        <v>2938</v>
      </c>
      <c r="C1269" s="3" t="s">
        <v>13</v>
      </c>
      <c r="D1269" s="2" t="s">
        <v>77</v>
      </c>
      <c r="E1269" s="3" t="s">
        <v>2066</v>
      </c>
      <c r="F1269" s="2" t="s">
        <v>96</v>
      </c>
      <c r="G1269" s="3" t="s">
        <v>35</v>
      </c>
      <c r="H1269" s="2" t="s">
        <v>18</v>
      </c>
      <c r="I1269" s="3" t="s">
        <v>19</v>
      </c>
      <c r="J1269" s="3">
        <v>276</v>
      </c>
      <c r="K1269" s="3">
        <v>12</v>
      </c>
      <c r="L1269" s="3">
        <v>0</v>
      </c>
      <c r="M1269" s="4">
        <f t="shared" si="169"/>
        <v>4.3478260869565216E-2</v>
      </c>
      <c r="N1269" s="4">
        <f t="shared" si="170"/>
        <v>0</v>
      </c>
      <c r="O1269">
        <v>690</v>
      </c>
      <c r="P1269" s="5">
        <v>1</v>
      </c>
      <c r="Q1269" s="7">
        <v>0</v>
      </c>
      <c r="R1269" t="s">
        <v>2344</v>
      </c>
      <c r="S1269" t="str">
        <f t="shared" si="171"/>
        <v>Низшая четверть</v>
      </c>
      <c r="T1269" t="str">
        <f t="shared" si="172"/>
        <v>Низшая четверть</v>
      </c>
      <c r="U1269" t="e">
        <f t="shared" si="173"/>
        <v>#DIV/0!</v>
      </c>
      <c r="V1269" t="e">
        <f t="shared" si="174"/>
        <v>#DIV/0!</v>
      </c>
      <c r="W1269" t="e">
        <f t="shared" si="175"/>
        <v>#DIV/0!</v>
      </c>
      <c r="X1269">
        <v>18</v>
      </c>
    </row>
    <row r="1270" spans="1:24" x14ac:dyDescent="0.35">
      <c r="A1270" s="1" t="s">
        <v>2939</v>
      </c>
      <c r="B1270" s="2" t="s">
        <v>2940</v>
      </c>
      <c r="C1270" s="3" t="s">
        <v>13</v>
      </c>
      <c r="D1270" s="2" t="s">
        <v>69</v>
      </c>
      <c r="E1270" s="3" t="s">
        <v>2592</v>
      </c>
      <c r="F1270" s="2" t="s">
        <v>34</v>
      </c>
      <c r="G1270" s="3" t="s">
        <v>72</v>
      </c>
      <c r="H1270" s="2" t="s">
        <v>18</v>
      </c>
      <c r="I1270" s="3" t="s">
        <v>19</v>
      </c>
      <c r="J1270" s="3">
        <v>275</v>
      </c>
      <c r="K1270" s="3">
        <v>6</v>
      </c>
      <c r="L1270" s="3">
        <v>0</v>
      </c>
      <c r="M1270" s="4">
        <f t="shared" si="169"/>
        <v>2.181818181818182E-2</v>
      </c>
      <c r="N1270" s="4">
        <f t="shared" si="170"/>
        <v>0</v>
      </c>
      <c r="O1270">
        <v>140</v>
      </c>
      <c r="P1270" s="5">
        <v>1</v>
      </c>
      <c r="Q1270" s="7">
        <v>0</v>
      </c>
      <c r="R1270" t="s">
        <v>2344</v>
      </c>
      <c r="S1270" t="str">
        <f t="shared" si="171"/>
        <v>Низшая четверть</v>
      </c>
      <c r="T1270" t="str">
        <f t="shared" si="172"/>
        <v>Низшая четверть</v>
      </c>
      <c r="U1270" t="str">
        <f t="shared" si="173"/>
        <v>нормальный код</v>
      </c>
      <c r="V1270" t="str">
        <f t="shared" si="174"/>
        <v>Вторая четверть</v>
      </c>
      <c r="W1270" t="str">
        <f t="shared" si="175"/>
        <v>Больше половины</v>
      </c>
      <c r="X1270">
        <v>23</v>
      </c>
    </row>
    <row r="1271" spans="1:24" x14ac:dyDescent="0.35">
      <c r="A1271" s="1" t="s">
        <v>2234</v>
      </c>
      <c r="B1271" s="2" t="s">
        <v>2235</v>
      </c>
      <c r="C1271" s="3" t="s">
        <v>13</v>
      </c>
      <c r="D1271" s="2" t="s">
        <v>69</v>
      </c>
      <c r="E1271" s="3" t="s">
        <v>958</v>
      </c>
      <c r="F1271" s="2" t="s">
        <v>96</v>
      </c>
      <c r="G1271" s="3" t="s">
        <v>72</v>
      </c>
      <c r="H1271" s="2" t="s">
        <v>18</v>
      </c>
      <c r="I1271" s="3" t="s">
        <v>19</v>
      </c>
      <c r="J1271" s="3">
        <v>271</v>
      </c>
      <c r="K1271" s="3">
        <v>103</v>
      </c>
      <c r="L1271" s="3">
        <v>1</v>
      </c>
      <c r="M1271" s="4">
        <f t="shared" si="169"/>
        <v>0.38007380073800739</v>
      </c>
      <c r="N1271" s="4">
        <f t="shared" si="170"/>
        <v>9.7087378640776691E-3</v>
      </c>
      <c r="O1271">
        <v>99</v>
      </c>
      <c r="P1271" s="5">
        <v>1</v>
      </c>
      <c r="Q1271" s="7">
        <v>0</v>
      </c>
      <c r="R1271" t="s">
        <v>2344</v>
      </c>
      <c r="S1271" t="str">
        <f t="shared" si="171"/>
        <v>Больше половины</v>
      </c>
      <c r="T1271" t="str">
        <f t="shared" si="172"/>
        <v>Низшая четверть</v>
      </c>
      <c r="U1271" t="str">
        <f t="shared" si="173"/>
        <v>нормальный код</v>
      </c>
      <c r="V1271" t="str">
        <f t="shared" si="174"/>
        <v>Больше половины</v>
      </c>
      <c r="W1271" t="str">
        <f t="shared" si="175"/>
        <v>Больше половины</v>
      </c>
      <c r="X1271">
        <v>15</v>
      </c>
    </row>
    <row r="1272" spans="1:24" x14ac:dyDescent="0.35">
      <c r="A1272" s="1" t="s">
        <v>2941</v>
      </c>
      <c r="B1272" s="2" t="s">
        <v>2942</v>
      </c>
      <c r="C1272" s="3" t="s">
        <v>13</v>
      </c>
      <c r="D1272" s="2" t="s">
        <v>69</v>
      </c>
      <c r="E1272" s="3" t="s">
        <v>227</v>
      </c>
      <c r="F1272" s="2" t="s">
        <v>34</v>
      </c>
      <c r="G1272" s="3" t="s">
        <v>72</v>
      </c>
      <c r="H1272" s="2" t="s">
        <v>18</v>
      </c>
      <c r="I1272" s="3" t="s">
        <v>19</v>
      </c>
      <c r="J1272" s="3">
        <v>269</v>
      </c>
      <c r="K1272" s="3">
        <v>1</v>
      </c>
      <c r="L1272" s="3">
        <v>0</v>
      </c>
      <c r="M1272" s="4">
        <f t="shared" si="169"/>
        <v>3.7174721189591076E-3</v>
      </c>
      <c r="N1272" s="4">
        <f t="shared" si="170"/>
        <v>0</v>
      </c>
      <c r="O1272">
        <v>160</v>
      </c>
      <c r="P1272" s="5">
        <v>1</v>
      </c>
      <c r="Q1272" s="7">
        <v>0</v>
      </c>
      <c r="R1272" t="s">
        <v>2344</v>
      </c>
      <c r="S1272" t="str">
        <f t="shared" si="171"/>
        <v>Низшая четверть</v>
      </c>
      <c r="T1272" t="str">
        <f t="shared" si="172"/>
        <v>Низшая четверть</v>
      </c>
      <c r="U1272" t="str">
        <f t="shared" si="173"/>
        <v>код для проверки</v>
      </c>
      <c r="V1272" t="str">
        <f t="shared" si="174"/>
        <v>Низшая четверть</v>
      </c>
      <c r="W1272" t="str">
        <f t="shared" si="175"/>
        <v>Низшая четверть</v>
      </c>
      <c r="X1272">
        <v>25</v>
      </c>
    </row>
    <row r="1273" spans="1:24" x14ac:dyDescent="0.35">
      <c r="A1273" s="1" t="s">
        <v>2943</v>
      </c>
      <c r="B1273" s="2" t="s">
        <v>2944</v>
      </c>
      <c r="C1273" s="3" t="s">
        <v>13</v>
      </c>
      <c r="D1273" s="2" t="s">
        <v>567</v>
      </c>
      <c r="E1273" s="3" t="s">
        <v>842</v>
      </c>
      <c r="F1273" s="2" t="s">
        <v>61</v>
      </c>
      <c r="G1273" s="3" t="s">
        <v>35</v>
      </c>
      <c r="H1273" s="2" t="s">
        <v>18</v>
      </c>
      <c r="I1273" s="3" t="s">
        <v>19</v>
      </c>
      <c r="J1273" s="3">
        <v>267</v>
      </c>
      <c r="K1273" s="3">
        <v>4</v>
      </c>
      <c r="L1273" s="3">
        <v>0</v>
      </c>
      <c r="M1273" s="4">
        <f t="shared" si="169"/>
        <v>1.4981273408239701E-2</v>
      </c>
      <c r="N1273" s="4">
        <f t="shared" si="170"/>
        <v>0</v>
      </c>
      <c r="O1273">
        <v>180</v>
      </c>
      <c r="P1273" s="5">
        <v>1</v>
      </c>
      <c r="Q1273" s="7">
        <v>0</v>
      </c>
      <c r="R1273" t="s">
        <v>2344</v>
      </c>
      <c r="S1273" t="str">
        <f t="shared" si="171"/>
        <v>Низшая четверть</v>
      </c>
      <c r="T1273" t="str">
        <f t="shared" si="172"/>
        <v>Низшая четверть</v>
      </c>
      <c r="U1273" t="str">
        <f t="shared" si="173"/>
        <v>код для проверки</v>
      </c>
      <c r="V1273" t="str">
        <f t="shared" si="174"/>
        <v>Низшая четверть</v>
      </c>
      <c r="W1273" t="str">
        <f t="shared" si="175"/>
        <v>Низшая четверть</v>
      </c>
      <c r="X1273">
        <v>10</v>
      </c>
    </row>
    <row r="1274" spans="1:24" x14ac:dyDescent="0.35">
      <c r="A1274" s="1" t="s">
        <v>2228</v>
      </c>
      <c r="B1274" s="2" t="s">
        <v>2229</v>
      </c>
      <c r="C1274" s="3" t="s">
        <v>13</v>
      </c>
      <c r="D1274" s="2" t="s">
        <v>69</v>
      </c>
      <c r="E1274" s="3" t="s">
        <v>371</v>
      </c>
      <c r="F1274" s="2" t="s">
        <v>96</v>
      </c>
      <c r="G1274" s="3" t="s">
        <v>72</v>
      </c>
      <c r="H1274" s="2" t="s">
        <v>18</v>
      </c>
      <c r="I1274" s="3" t="s">
        <v>19</v>
      </c>
      <c r="J1274" s="3">
        <v>267</v>
      </c>
      <c r="K1274" s="3">
        <v>64</v>
      </c>
      <c r="L1274" s="3">
        <v>1</v>
      </c>
      <c r="M1274" s="4">
        <f t="shared" si="169"/>
        <v>0.23970037453183521</v>
      </c>
      <c r="N1274" s="4">
        <f t="shared" si="170"/>
        <v>1.5625E-2</v>
      </c>
      <c r="O1274">
        <v>99</v>
      </c>
      <c r="P1274" s="5">
        <v>1</v>
      </c>
      <c r="Q1274" s="7">
        <v>0</v>
      </c>
      <c r="R1274" t="s">
        <v>2344</v>
      </c>
      <c r="S1274" t="str">
        <f t="shared" si="171"/>
        <v>Больше половины</v>
      </c>
      <c r="T1274" t="str">
        <f t="shared" si="172"/>
        <v>Вторая четверть</v>
      </c>
      <c r="U1274" t="str">
        <f t="shared" si="173"/>
        <v>нормальный код</v>
      </c>
      <c r="V1274" t="str">
        <f t="shared" si="174"/>
        <v>Больше половины</v>
      </c>
      <c r="W1274" t="str">
        <f t="shared" si="175"/>
        <v>Больше половины</v>
      </c>
      <c r="X1274">
        <v>14</v>
      </c>
    </row>
    <row r="1275" spans="1:24" x14ac:dyDescent="0.35">
      <c r="A1275" s="1" t="s">
        <v>2277</v>
      </c>
      <c r="B1275" s="2" t="s">
        <v>2278</v>
      </c>
      <c r="C1275" s="3" t="s">
        <v>13</v>
      </c>
      <c r="D1275" s="2" t="s">
        <v>104</v>
      </c>
      <c r="E1275" s="3" t="s">
        <v>711</v>
      </c>
      <c r="F1275" s="2" t="s">
        <v>96</v>
      </c>
      <c r="G1275" s="3" t="s">
        <v>17</v>
      </c>
      <c r="H1275" s="2" t="s">
        <v>18</v>
      </c>
      <c r="I1275" s="3" t="s">
        <v>19</v>
      </c>
      <c r="J1275" s="3">
        <v>264</v>
      </c>
      <c r="K1275" s="3">
        <v>14</v>
      </c>
      <c r="L1275" s="3">
        <v>0</v>
      </c>
      <c r="M1275" s="4">
        <f t="shared" si="169"/>
        <v>5.3030303030303032E-2</v>
      </c>
      <c r="N1275" s="4">
        <f t="shared" si="170"/>
        <v>0</v>
      </c>
      <c r="O1275">
        <v>509</v>
      </c>
      <c r="P1275" s="5">
        <v>1</v>
      </c>
      <c r="Q1275" s="7">
        <v>0</v>
      </c>
      <c r="R1275" t="s">
        <v>2344</v>
      </c>
      <c r="S1275" t="str">
        <f t="shared" si="171"/>
        <v>Вторая четверть</v>
      </c>
      <c r="T1275" t="str">
        <f t="shared" si="172"/>
        <v>Низшая четверть</v>
      </c>
      <c r="U1275" t="str">
        <f t="shared" si="173"/>
        <v>код для проверки</v>
      </c>
      <c r="V1275" t="str">
        <f t="shared" si="174"/>
        <v>Вторая четверть</v>
      </c>
      <c r="W1275" t="str">
        <f t="shared" si="175"/>
        <v>Низшая четверть</v>
      </c>
      <c r="X1275">
        <v>18</v>
      </c>
    </row>
    <row r="1276" spans="1:24" x14ac:dyDescent="0.35">
      <c r="A1276" s="1" t="s">
        <v>2945</v>
      </c>
      <c r="B1276" s="2" t="s">
        <v>2946</v>
      </c>
      <c r="C1276" s="3" t="s">
        <v>13</v>
      </c>
      <c r="D1276" s="2" t="s">
        <v>69</v>
      </c>
      <c r="E1276" s="3" t="s">
        <v>2592</v>
      </c>
      <c r="F1276" s="2" t="s">
        <v>34</v>
      </c>
      <c r="G1276" s="3" t="s">
        <v>72</v>
      </c>
      <c r="H1276" s="2" t="s">
        <v>18</v>
      </c>
      <c r="I1276" s="3" t="s">
        <v>19</v>
      </c>
      <c r="J1276" s="3">
        <v>260</v>
      </c>
      <c r="K1276" s="3">
        <v>6</v>
      </c>
      <c r="L1276" s="3">
        <v>0</v>
      </c>
      <c r="M1276" s="4">
        <f t="shared" si="169"/>
        <v>2.3076923076923078E-2</v>
      </c>
      <c r="N1276" s="4">
        <f t="shared" si="170"/>
        <v>0</v>
      </c>
      <c r="O1276">
        <v>280</v>
      </c>
      <c r="P1276" s="5">
        <v>1</v>
      </c>
      <c r="Q1276" s="7">
        <v>0</v>
      </c>
      <c r="R1276" t="s">
        <v>2344</v>
      </c>
      <c r="S1276" t="str">
        <f t="shared" si="171"/>
        <v>Низшая четверть</v>
      </c>
      <c r="T1276" t="str">
        <f t="shared" si="172"/>
        <v>Низшая четверть</v>
      </c>
      <c r="U1276" t="str">
        <f t="shared" si="173"/>
        <v>нормальный код</v>
      </c>
      <c r="V1276" t="str">
        <f t="shared" si="174"/>
        <v>Вторая четверть</v>
      </c>
      <c r="W1276" t="str">
        <f t="shared" si="175"/>
        <v>Больше половины</v>
      </c>
      <c r="X1276">
        <v>17</v>
      </c>
    </row>
    <row r="1277" spans="1:24" x14ac:dyDescent="0.35">
      <c r="A1277" s="1" t="s">
        <v>2947</v>
      </c>
      <c r="B1277" s="2" t="s">
        <v>2948</v>
      </c>
      <c r="C1277" s="3" t="s">
        <v>13</v>
      </c>
      <c r="D1277" s="2" t="s">
        <v>69</v>
      </c>
      <c r="E1277" s="3" t="s">
        <v>2533</v>
      </c>
      <c r="F1277" s="2" t="s">
        <v>34</v>
      </c>
      <c r="G1277" s="3" t="s">
        <v>72</v>
      </c>
      <c r="H1277" s="2" t="s">
        <v>18</v>
      </c>
      <c r="I1277" s="3" t="s">
        <v>19</v>
      </c>
      <c r="J1277" s="3">
        <v>258</v>
      </c>
      <c r="K1277" s="3">
        <v>20</v>
      </c>
      <c r="L1277" s="3">
        <v>0</v>
      </c>
      <c r="M1277" s="4">
        <f t="shared" si="169"/>
        <v>7.7519379844961239E-2</v>
      </c>
      <c r="N1277" s="4">
        <f t="shared" si="170"/>
        <v>0</v>
      </c>
      <c r="O1277">
        <v>160</v>
      </c>
      <c r="P1277" s="5">
        <v>1</v>
      </c>
      <c r="Q1277" s="7">
        <v>0</v>
      </c>
      <c r="R1277" t="s">
        <v>2344</v>
      </c>
      <c r="S1277" t="str">
        <f t="shared" si="171"/>
        <v>Вторая четверть</v>
      </c>
      <c r="T1277" t="str">
        <f t="shared" si="172"/>
        <v>Низшая четверть</v>
      </c>
      <c r="U1277" t="str">
        <f t="shared" si="173"/>
        <v>код для проверки</v>
      </c>
      <c r="V1277" t="str">
        <f t="shared" si="174"/>
        <v>Больше половины</v>
      </c>
      <c r="W1277" t="str">
        <f t="shared" si="175"/>
        <v>Низшая четверть</v>
      </c>
      <c r="X1277">
        <v>18</v>
      </c>
    </row>
    <row r="1278" spans="1:24" x14ac:dyDescent="0.35">
      <c r="A1278" s="1" t="s">
        <v>2949</v>
      </c>
      <c r="B1278" s="2" t="s">
        <v>2950</v>
      </c>
      <c r="C1278" s="3" t="s">
        <v>55</v>
      </c>
      <c r="D1278" s="2" t="s">
        <v>1479</v>
      </c>
      <c r="E1278" s="3" t="s">
        <v>1480</v>
      </c>
      <c r="F1278" s="2" t="s">
        <v>34</v>
      </c>
      <c r="G1278" s="3" t="s">
        <v>17</v>
      </c>
      <c r="H1278" s="2" t="s">
        <v>18</v>
      </c>
      <c r="I1278" s="3" t="s">
        <v>19</v>
      </c>
      <c r="J1278" s="3">
        <v>257</v>
      </c>
      <c r="K1278" s="3">
        <v>3</v>
      </c>
      <c r="L1278" s="3">
        <v>0</v>
      </c>
      <c r="M1278" s="4">
        <f t="shared" si="169"/>
        <v>1.1673151750972763E-2</v>
      </c>
      <c r="N1278" s="4">
        <f t="shared" si="170"/>
        <v>0</v>
      </c>
      <c r="O1278">
        <v>100</v>
      </c>
      <c r="P1278" s="5">
        <v>0.7142857142857143</v>
      </c>
      <c r="Q1278" s="7">
        <v>0</v>
      </c>
      <c r="R1278" t="s">
        <v>2344</v>
      </c>
      <c r="S1278" t="str">
        <f t="shared" si="171"/>
        <v>Низшая четверть</v>
      </c>
      <c r="T1278" t="str">
        <f t="shared" si="172"/>
        <v>Низшая четверть</v>
      </c>
      <c r="U1278" t="str">
        <f t="shared" si="173"/>
        <v>код для проверки</v>
      </c>
      <c r="V1278" t="str">
        <f t="shared" si="174"/>
        <v>Низшая четверть</v>
      </c>
      <c r="W1278" t="str">
        <f t="shared" si="175"/>
        <v>Низшая четверть</v>
      </c>
      <c r="X1278">
        <v>19</v>
      </c>
    </row>
    <row r="1279" spans="1:24" x14ac:dyDescent="0.35">
      <c r="A1279" s="1" t="s">
        <v>2951</v>
      </c>
      <c r="B1279" s="2" t="s">
        <v>2952</v>
      </c>
      <c r="C1279" s="3" t="s">
        <v>13</v>
      </c>
      <c r="D1279" s="2" t="s">
        <v>143</v>
      </c>
      <c r="E1279" s="3" t="s">
        <v>1071</v>
      </c>
      <c r="F1279" s="2" t="s">
        <v>34</v>
      </c>
      <c r="G1279" s="3" t="s">
        <v>17</v>
      </c>
      <c r="H1279" s="2" t="s">
        <v>18</v>
      </c>
      <c r="I1279" s="3" t="s">
        <v>19</v>
      </c>
      <c r="J1279" s="3">
        <v>253</v>
      </c>
      <c r="K1279" s="3">
        <v>11</v>
      </c>
      <c r="L1279" s="3">
        <v>0</v>
      </c>
      <c r="M1279" s="4">
        <f t="shared" si="169"/>
        <v>4.3478260869565216E-2</v>
      </c>
      <c r="N1279" s="4">
        <f t="shared" si="170"/>
        <v>0</v>
      </c>
      <c r="O1279">
        <v>300</v>
      </c>
      <c r="P1279" s="5">
        <v>1</v>
      </c>
      <c r="Q1279" s="7">
        <v>0</v>
      </c>
      <c r="R1279" t="s">
        <v>2344</v>
      </c>
      <c r="S1279" t="str">
        <f t="shared" si="171"/>
        <v>Низшая четверть</v>
      </c>
      <c r="T1279" t="str">
        <f t="shared" si="172"/>
        <v>Низшая четверть</v>
      </c>
      <c r="U1279" t="str">
        <f t="shared" si="173"/>
        <v>нормальный код</v>
      </c>
      <c r="V1279" t="str">
        <f t="shared" si="174"/>
        <v>Больше половины</v>
      </c>
      <c r="W1279" t="str">
        <f t="shared" si="175"/>
        <v>Больше половины</v>
      </c>
      <c r="X1279">
        <v>10</v>
      </c>
    </row>
    <row r="1280" spans="1:24" x14ac:dyDescent="0.35">
      <c r="A1280" s="1" t="s">
        <v>2315</v>
      </c>
      <c r="B1280" s="2" t="s">
        <v>2316</v>
      </c>
      <c r="C1280" s="3" t="s">
        <v>13</v>
      </c>
      <c r="D1280" s="2" t="s">
        <v>104</v>
      </c>
      <c r="E1280" s="3" t="s">
        <v>711</v>
      </c>
      <c r="F1280" s="2" t="s">
        <v>96</v>
      </c>
      <c r="G1280" s="3" t="s">
        <v>17</v>
      </c>
      <c r="H1280" s="2" t="s">
        <v>18</v>
      </c>
      <c r="I1280" s="3" t="s">
        <v>19</v>
      </c>
      <c r="J1280" s="3">
        <v>253</v>
      </c>
      <c r="K1280" s="3">
        <v>17</v>
      </c>
      <c r="L1280" s="3">
        <v>1</v>
      </c>
      <c r="M1280" s="4">
        <f t="shared" si="169"/>
        <v>6.7193675889328064E-2</v>
      </c>
      <c r="N1280" s="4">
        <f t="shared" si="170"/>
        <v>5.8823529411764705E-2</v>
      </c>
      <c r="O1280">
        <v>913</v>
      </c>
      <c r="P1280" s="5">
        <v>1</v>
      </c>
      <c r="Q1280" s="7">
        <v>0</v>
      </c>
      <c r="R1280" t="s">
        <v>2344</v>
      </c>
      <c r="S1280" t="str">
        <f t="shared" si="171"/>
        <v>Вторая четверть</v>
      </c>
      <c r="T1280" t="str">
        <f t="shared" si="172"/>
        <v>Больше половины</v>
      </c>
      <c r="U1280" t="str">
        <f t="shared" si="173"/>
        <v>нормальный код</v>
      </c>
      <c r="V1280" t="str">
        <f t="shared" si="174"/>
        <v>Вторая четверть</v>
      </c>
      <c r="W1280" t="str">
        <f t="shared" si="175"/>
        <v>Больше половины</v>
      </c>
      <c r="X1280">
        <v>20</v>
      </c>
    </row>
    <row r="1281" spans="1:24" x14ac:dyDescent="0.35">
      <c r="A1281" s="1" t="s">
        <v>2953</v>
      </c>
      <c r="B1281" s="2" t="s">
        <v>2954</v>
      </c>
      <c r="C1281" s="3" t="s">
        <v>13</v>
      </c>
      <c r="D1281" s="2" t="s">
        <v>155</v>
      </c>
      <c r="E1281" s="3" t="s">
        <v>156</v>
      </c>
      <c r="F1281" s="2" t="s">
        <v>34</v>
      </c>
      <c r="G1281" s="3" t="s">
        <v>17</v>
      </c>
      <c r="H1281" s="2" t="s">
        <v>18</v>
      </c>
      <c r="I1281" s="3" t="s">
        <v>19</v>
      </c>
      <c r="J1281" s="3">
        <v>252</v>
      </c>
      <c r="K1281" s="3">
        <v>10</v>
      </c>
      <c r="L1281" s="3">
        <v>0</v>
      </c>
      <c r="M1281" s="4">
        <f t="shared" si="169"/>
        <v>3.968253968253968E-2</v>
      </c>
      <c r="N1281" s="4">
        <f t="shared" si="170"/>
        <v>0</v>
      </c>
      <c r="O1281">
        <v>240</v>
      </c>
      <c r="P1281" s="5">
        <v>1</v>
      </c>
      <c r="Q1281" s="7">
        <v>0</v>
      </c>
      <c r="R1281" t="s">
        <v>2344</v>
      </c>
      <c r="S1281" t="str">
        <f t="shared" si="171"/>
        <v>Низшая четверть</v>
      </c>
      <c r="T1281" t="str">
        <f t="shared" si="172"/>
        <v>Низшая четверть</v>
      </c>
      <c r="U1281" t="str">
        <f t="shared" si="173"/>
        <v>код для проверки</v>
      </c>
      <c r="V1281" t="str">
        <f t="shared" si="174"/>
        <v>Низшая четверть</v>
      </c>
      <c r="W1281" t="str">
        <f t="shared" si="175"/>
        <v>Низшая четверть</v>
      </c>
      <c r="X1281">
        <v>19</v>
      </c>
    </row>
    <row r="1282" spans="1:24" x14ac:dyDescent="0.35">
      <c r="A1282" s="1" t="s">
        <v>2955</v>
      </c>
      <c r="B1282" s="2" t="s">
        <v>2956</v>
      </c>
      <c r="C1282" s="3" t="s">
        <v>55</v>
      </c>
      <c r="D1282" s="2" t="s">
        <v>1874</v>
      </c>
      <c r="E1282" s="3" t="s">
        <v>1875</v>
      </c>
      <c r="F1282" s="2" t="s">
        <v>34</v>
      </c>
      <c r="G1282" s="3" t="s">
        <v>17</v>
      </c>
      <c r="H1282" s="2" t="s">
        <v>97</v>
      </c>
      <c r="I1282" s="3" t="s">
        <v>19</v>
      </c>
      <c r="J1282" s="3">
        <v>252</v>
      </c>
      <c r="K1282" s="3">
        <v>6</v>
      </c>
      <c r="L1282" s="3">
        <v>0</v>
      </c>
      <c r="M1282" s="4">
        <f t="shared" si="169"/>
        <v>2.3809523809523808E-2</v>
      </c>
      <c r="N1282" s="4">
        <f t="shared" si="170"/>
        <v>0</v>
      </c>
      <c r="O1282">
        <v>150</v>
      </c>
      <c r="P1282" s="5">
        <v>0.4</v>
      </c>
      <c r="Q1282" s="7">
        <v>0</v>
      </c>
      <c r="R1282" t="s">
        <v>2344</v>
      </c>
      <c r="S1282" t="str">
        <f t="shared" si="171"/>
        <v>Низшая четверть</v>
      </c>
      <c r="T1282" t="str">
        <f t="shared" si="172"/>
        <v>Низшая четверть</v>
      </c>
      <c r="U1282" t="str">
        <f t="shared" si="173"/>
        <v>код для проверки</v>
      </c>
      <c r="V1282" t="str">
        <f t="shared" si="174"/>
        <v>Вторая четверть</v>
      </c>
      <c r="W1282" t="str">
        <f t="shared" si="175"/>
        <v>Низшая четверть</v>
      </c>
      <c r="X1282">
        <v>10</v>
      </c>
    </row>
    <row r="1283" spans="1:24" x14ac:dyDescent="0.35">
      <c r="A1283" s="1" t="s">
        <v>2957</v>
      </c>
      <c r="B1283" s="2" t="s">
        <v>2958</v>
      </c>
      <c r="C1283" s="3" t="s">
        <v>55</v>
      </c>
      <c r="D1283" s="2" t="s">
        <v>1479</v>
      </c>
      <c r="E1283" s="3" t="s">
        <v>1985</v>
      </c>
      <c r="F1283" s="2" t="s">
        <v>61</v>
      </c>
      <c r="G1283" s="3" t="s">
        <v>17</v>
      </c>
      <c r="H1283" s="2" t="s">
        <v>18</v>
      </c>
      <c r="I1283" s="3" t="s">
        <v>19</v>
      </c>
      <c r="J1283" s="3">
        <v>251</v>
      </c>
      <c r="K1283" s="3">
        <v>6</v>
      </c>
      <c r="L1283" s="3">
        <v>0</v>
      </c>
      <c r="M1283" s="4">
        <f t="shared" si="169"/>
        <v>2.3904382470119521E-2</v>
      </c>
      <c r="N1283" s="4">
        <f t="shared" si="170"/>
        <v>0</v>
      </c>
      <c r="O1283">
        <v>300</v>
      </c>
      <c r="P1283" s="5">
        <v>1</v>
      </c>
      <c r="Q1283" s="7">
        <v>0</v>
      </c>
      <c r="R1283" t="s">
        <v>2344</v>
      </c>
      <c r="S1283" t="str">
        <f t="shared" si="171"/>
        <v>Низшая четверть</v>
      </c>
      <c r="T1283" t="str">
        <f t="shared" si="172"/>
        <v>Низшая четверть</v>
      </c>
      <c r="U1283" t="e">
        <f t="shared" si="173"/>
        <v>#DIV/0!</v>
      </c>
      <c r="V1283" t="e">
        <f t="shared" si="174"/>
        <v>#DIV/0!</v>
      </c>
      <c r="W1283" t="e">
        <f t="shared" si="175"/>
        <v>#DIV/0!</v>
      </c>
      <c r="X1283">
        <v>7</v>
      </c>
    </row>
    <row r="1284" spans="1:24" x14ac:dyDescent="0.35">
      <c r="A1284" s="1" t="s">
        <v>2435</v>
      </c>
      <c r="B1284" s="2" t="s">
        <v>2436</v>
      </c>
      <c r="C1284" s="3" t="s">
        <v>13</v>
      </c>
      <c r="D1284" s="2" t="s">
        <v>143</v>
      </c>
      <c r="E1284" s="3" t="s">
        <v>144</v>
      </c>
      <c r="F1284" s="2" t="s">
        <v>34</v>
      </c>
      <c r="G1284" s="3" t="s">
        <v>17</v>
      </c>
      <c r="H1284" s="2" t="s">
        <v>18</v>
      </c>
      <c r="I1284" s="3" t="s">
        <v>19</v>
      </c>
      <c r="J1284" s="3">
        <v>251</v>
      </c>
      <c r="K1284" s="3">
        <v>4</v>
      </c>
      <c r="L1284" s="3">
        <v>0</v>
      </c>
      <c r="M1284" s="4">
        <f t="shared" si="169"/>
        <v>1.5936254980079681E-2</v>
      </c>
      <c r="N1284" s="4">
        <f t="shared" si="170"/>
        <v>0</v>
      </c>
      <c r="O1284">
        <v>730</v>
      </c>
      <c r="P1284" s="5">
        <v>1</v>
      </c>
      <c r="Q1284" s="7">
        <v>0</v>
      </c>
      <c r="R1284" t="s">
        <v>2344</v>
      </c>
      <c r="S1284" t="str">
        <f t="shared" si="171"/>
        <v>Низшая четверть</v>
      </c>
      <c r="T1284" t="str">
        <f t="shared" si="172"/>
        <v>Низшая четверть</v>
      </c>
      <c r="U1284" t="str">
        <f t="shared" si="173"/>
        <v>код для проверки</v>
      </c>
      <c r="V1284" t="str">
        <f t="shared" si="174"/>
        <v>Низшая четверть</v>
      </c>
      <c r="W1284" t="str">
        <f t="shared" si="175"/>
        <v>Низшая четверть</v>
      </c>
      <c r="X1284">
        <v>7</v>
      </c>
    </row>
    <row r="1285" spans="1:24" x14ac:dyDescent="0.35">
      <c r="A1285" s="1" t="s">
        <v>1904</v>
      </c>
      <c r="B1285" s="2" t="s">
        <v>1905</v>
      </c>
      <c r="C1285" s="3" t="s">
        <v>55</v>
      </c>
      <c r="D1285" s="2" t="s">
        <v>1264</v>
      </c>
      <c r="E1285" s="3" t="s">
        <v>1265</v>
      </c>
      <c r="F1285" s="2" t="s">
        <v>61</v>
      </c>
      <c r="G1285" s="3" t="s">
        <v>17</v>
      </c>
      <c r="H1285" s="2" t="s">
        <v>97</v>
      </c>
      <c r="I1285" s="3" t="s">
        <v>19</v>
      </c>
      <c r="J1285" s="3">
        <v>250</v>
      </c>
      <c r="K1285" s="3">
        <v>28</v>
      </c>
      <c r="L1285" s="3">
        <v>2</v>
      </c>
      <c r="M1285" s="4">
        <f t="shared" si="169"/>
        <v>0.112</v>
      </c>
      <c r="N1285" s="4">
        <f t="shared" si="170"/>
        <v>7.1428571428571425E-2</v>
      </c>
      <c r="O1285">
        <v>0</v>
      </c>
      <c r="P1285" s="5">
        <v>1</v>
      </c>
      <c r="Q1285" s="7">
        <v>0</v>
      </c>
      <c r="R1285" t="s">
        <v>2350</v>
      </c>
      <c r="S1285" t="str">
        <f t="shared" si="171"/>
        <v>Больше половины</v>
      </c>
      <c r="T1285" t="str">
        <f t="shared" si="172"/>
        <v>Больше половины</v>
      </c>
      <c r="U1285" t="e">
        <f t="shared" si="173"/>
        <v>#DIV/0!</v>
      </c>
      <c r="V1285" t="e">
        <f t="shared" si="174"/>
        <v>#DIV/0!</v>
      </c>
      <c r="W1285" t="e">
        <f t="shared" si="175"/>
        <v>#DIV/0!</v>
      </c>
      <c r="X1285">
        <v>3</v>
      </c>
    </row>
    <row r="1286" spans="1:24" x14ac:dyDescent="0.35">
      <c r="A1286" s="1" t="s">
        <v>2959</v>
      </c>
      <c r="B1286" s="2" t="s">
        <v>2960</v>
      </c>
      <c r="C1286" s="3" t="s">
        <v>13</v>
      </c>
      <c r="D1286" s="2" t="s">
        <v>143</v>
      </c>
      <c r="E1286" s="3" t="s">
        <v>144</v>
      </c>
      <c r="F1286" s="2" t="s">
        <v>34</v>
      </c>
      <c r="G1286" s="3" t="s">
        <v>35</v>
      </c>
      <c r="H1286" s="2" t="s">
        <v>18</v>
      </c>
      <c r="I1286" s="3" t="s">
        <v>19</v>
      </c>
      <c r="J1286" s="3">
        <v>250</v>
      </c>
      <c r="K1286" s="3">
        <v>3</v>
      </c>
      <c r="L1286" s="3">
        <v>0</v>
      </c>
      <c r="M1286" s="4">
        <f t="shared" si="169"/>
        <v>1.2E-2</v>
      </c>
      <c r="N1286" s="4">
        <f t="shared" si="170"/>
        <v>0</v>
      </c>
      <c r="O1286">
        <v>280</v>
      </c>
      <c r="P1286" s="5">
        <v>1</v>
      </c>
      <c r="Q1286" s="7">
        <v>0</v>
      </c>
      <c r="R1286" t="s">
        <v>2344</v>
      </c>
      <c r="S1286" t="str">
        <f t="shared" si="171"/>
        <v>Низшая четверть</v>
      </c>
      <c r="T1286" t="str">
        <f t="shared" si="172"/>
        <v>Низшая четверть</v>
      </c>
      <c r="U1286" t="str">
        <f t="shared" si="173"/>
        <v>код для проверки</v>
      </c>
      <c r="V1286" t="str">
        <f t="shared" si="174"/>
        <v>Низшая четверть</v>
      </c>
      <c r="W1286" t="str">
        <f t="shared" si="175"/>
        <v>Низшая четверть</v>
      </c>
      <c r="X1286">
        <v>24</v>
      </c>
    </row>
    <row r="1287" spans="1:24" x14ac:dyDescent="0.35">
      <c r="A1287" s="1" t="s">
        <v>428</v>
      </c>
      <c r="B1287" s="2" t="s">
        <v>429</v>
      </c>
      <c r="C1287" s="3" t="s">
        <v>13</v>
      </c>
      <c r="D1287" s="2" t="s">
        <v>77</v>
      </c>
      <c r="E1287" s="3" t="s">
        <v>78</v>
      </c>
      <c r="F1287" s="2" t="s">
        <v>34</v>
      </c>
      <c r="G1287" s="3" t="s">
        <v>35</v>
      </c>
      <c r="H1287" s="2" t="s">
        <v>18</v>
      </c>
      <c r="I1287" s="3" t="s">
        <v>19</v>
      </c>
      <c r="J1287" s="3">
        <v>249</v>
      </c>
      <c r="K1287" s="3">
        <v>112</v>
      </c>
      <c r="L1287" s="3">
        <v>1</v>
      </c>
      <c r="M1287" s="4">
        <f t="shared" si="169"/>
        <v>0.44979919678714858</v>
      </c>
      <c r="N1287" s="4">
        <f t="shared" si="170"/>
        <v>8.9285714285714281E-3</v>
      </c>
      <c r="O1287">
        <v>0</v>
      </c>
      <c r="P1287" s="5">
        <v>0.2</v>
      </c>
      <c r="Q1287" s="7">
        <v>0</v>
      </c>
      <c r="R1287" t="s">
        <v>2350</v>
      </c>
      <c r="S1287" t="str">
        <f t="shared" si="171"/>
        <v>Больше половины</v>
      </c>
      <c r="T1287" t="str">
        <f t="shared" si="172"/>
        <v>Низшая четверть</v>
      </c>
      <c r="U1287" t="str">
        <f t="shared" si="173"/>
        <v>код для проверки</v>
      </c>
      <c r="V1287" t="str">
        <f t="shared" si="174"/>
        <v>Больше половины</v>
      </c>
      <c r="W1287" t="str">
        <f t="shared" si="175"/>
        <v>Низшая четверть</v>
      </c>
      <c r="X1287">
        <v>18</v>
      </c>
    </row>
    <row r="1288" spans="1:24" x14ac:dyDescent="0.35">
      <c r="A1288" s="1" t="s">
        <v>2961</v>
      </c>
      <c r="B1288" s="2" t="s">
        <v>2962</v>
      </c>
      <c r="C1288" s="3" t="s">
        <v>13</v>
      </c>
      <c r="D1288" s="2" t="s">
        <v>155</v>
      </c>
      <c r="E1288" s="3" t="s">
        <v>156</v>
      </c>
      <c r="F1288" s="2" t="s">
        <v>34</v>
      </c>
      <c r="G1288" s="3" t="s">
        <v>17</v>
      </c>
      <c r="H1288" s="2" t="s">
        <v>18</v>
      </c>
      <c r="I1288" s="3" t="s">
        <v>19</v>
      </c>
      <c r="J1288" s="3">
        <v>245</v>
      </c>
      <c r="K1288" s="3">
        <v>6</v>
      </c>
      <c r="L1288" s="3">
        <v>0</v>
      </c>
      <c r="M1288" s="4">
        <f t="shared" si="169"/>
        <v>2.4489795918367346E-2</v>
      </c>
      <c r="N1288" s="4">
        <f t="shared" si="170"/>
        <v>0</v>
      </c>
      <c r="O1288">
        <v>280</v>
      </c>
      <c r="P1288" s="5">
        <v>0.875</v>
      </c>
      <c r="Q1288" s="7">
        <v>0</v>
      </c>
      <c r="R1288" t="s">
        <v>2344</v>
      </c>
      <c r="S1288" t="str">
        <f t="shared" si="171"/>
        <v>Низшая четверть</v>
      </c>
      <c r="T1288" t="str">
        <f t="shared" si="172"/>
        <v>Низшая четверть</v>
      </c>
      <c r="U1288" t="str">
        <f t="shared" si="173"/>
        <v>код для проверки</v>
      </c>
      <c r="V1288" t="str">
        <f t="shared" si="174"/>
        <v>Низшая четверть</v>
      </c>
      <c r="W1288" t="str">
        <f t="shared" si="175"/>
        <v>Низшая четверть</v>
      </c>
      <c r="X1288">
        <v>17</v>
      </c>
    </row>
    <row r="1289" spans="1:24" x14ac:dyDescent="0.35">
      <c r="A1289" s="1" t="s">
        <v>2963</v>
      </c>
      <c r="B1289" s="2" t="s">
        <v>2964</v>
      </c>
      <c r="C1289" s="3" t="s">
        <v>13</v>
      </c>
      <c r="D1289" s="2" t="s">
        <v>69</v>
      </c>
      <c r="E1289" s="3" t="s">
        <v>1092</v>
      </c>
      <c r="F1289" s="2" t="s">
        <v>34</v>
      </c>
      <c r="G1289" s="3" t="s">
        <v>72</v>
      </c>
      <c r="H1289" s="2" t="s">
        <v>18</v>
      </c>
      <c r="I1289" s="3" t="s">
        <v>19</v>
      </c>
      <c r="J1289" s="3">
        <v>242</v>
      </c>
      <c r="K1289" s="3">
        <v>2</v>
      </c>
      <c r="L1289" s="3">
        <v>0</v>
      </c>
      <c r="M1289" s="4">
        <f t="shared" si="169"/>
        <v>8.2644628099173556E-3</v>
      </c>
      <c r="N1289" s="4">
        <f t="shared" si="170"/>
        <v>0</v>
      </c>
      <c r="O1289">
        <v>80</v>
      </c>
      <c r="P1289" s="5">
        <v>1</v>
      </c>
      <c r="Q1289" s="7">
        <v>0</v>
      </c>
      <c r="R1289" t="s">
        <v>2344</v>
      </c>
      <c r="S1289" t="str">
        <f t="shared" si="171"/>
        <v>Низшая четверть</v>
      </c>
      <c r="T1289" t="str">
        <f t="shared" si="172"/>
        <v>Низшая четверть</v>
      </c>
      <c r="U1289" t="str">
        <f t="shared" si="173"/>
        <v>код для проверки</v>
      </c>
      <c r="V1289" t="str">
        <f t="shared" si="174"/>
        <v>Низшая четверть</v>
      </c>
      <c r="W1289" t="str">
        <f t="shared" si="175"/>
        <v>Низшая четверть</v>
      </c>
      <c r="X1289">
        <v>11</v>
      </c>
    </row>
    <row r="1290" spans="1:24" x14ac:dyDescent="0.35">
      <c r="A1290" s="1" t="s">
        <v>2965</v>
      </c>
      <c r="B1290" s="2" t="s">
        <v>2966</v>
      </c>
      <c r="C1290" s="3" t="s">
        <v>13</v>
      </c>
      <c r="D1290" s="2" t="s">
        <v>69</v>
      </c>
      <c r="E1290" s="3" t="s">
        <v>2967</v>
      </c>
      <c r="F1290" s="2" t="s">
        <v>34</v>
      </c>
      <c r="G1290" s="3" t="s">
        <v>72</v>
      </c>
      <c r="H1290" s="2" t="s">
        <v>18</v>
      </c>
      <c r="I1290" s="3" t="s">
        <v>19</v>
      </c>
      <c r="J1290" s="3">
        <v>239</v>
      </c>
      <c r="K1290" s="3">
        <v>6</v>
      </c>
      <c r="L1290" s="3">
        <v>0</v>
      </c>
      <c r="M1290" s="4">
        <f t="shared" ref="M1290:M1353" si="176">IFERROR(K1290/J1290,0)</f>
        <v>2.5104602510460251E-2</v>
      </c>
      <c r="N1290" s="4">
        <f t="shared" ref="N1290:N1353" si="177">IFERROR(L1290/K1290,0)</f>
        <v>0</v>
      </c>
      <c r="O1290">
        <v>60</v>
      </c>
      <c r="P1290" s="5">
        <v>1</v>
      </c>
      <c r="Q1290" s="7">
        <v>0</v>
      </c>
      <c r="R1290" t="s">
        <v>2344</v>
      </c>
      <c r="S1290" t="str">
        <f t="shared" ref="S1290:S1353" si="178">IF(M1290&lt;$S$1*0.5,"Низшая четверть",IF(M1290&lt;$S$1,"Вторая четверть","Больше половины"))</f>
        <v>Низшая четверть</v>
      </c>
      <c r="T1290" t="str">
        <f t="shared" ref="T1290:T1353" si="179">IF(N1290&lt;$T$1*0.5,"Низшая четверть",IF(N1290&lt;$T$1,"Вторая четверть","Больше половины"))</f>
        <v>Низшая четверть</v>
      </c>
      <c r="U1290" t="e">
        <f t="shared" ref="U1290:U1353" si="180">IF(OR(M1290&lt;SUMIFS(K:K,Q:Q,1,E:E,E1290)/SUMIFS(J:J,Q:Q,1,E:E,E1290)*0.5,N1290&lt;SUMIFS(L:L,Q:Q,1,E:E,E1290)/SUMIFS(K:K,Q:Q,1,E:E,E1290)*0.5),"код для проверки","нормальный код")</f>
        <v>#DIV/0!</v>
      </c>
      <c r="V1290" t="e">
        <f t="shared" ref="V1290:V1353" si="181">IF(M1290&lt;SUMIFS(K:K,Q:Q,1,E:E,E1290)/SUMIFS(J:J,Q:Q,1,E:E,E1290)*0.5,"Низшая четверть",IF(M1290&lt;SUMIFS(K:K,Q:Q,1,E:E,E1290)/SUMIFS(J:J,Q:Q,1,E:E,E1290),"Вторая четверть","Больше половины"))</f>
        <v>#DIV/0!</v>
      </c>
      <c r="W1290" t="e">
        <f t="shared" ref="W1290:W1353" si="182">IF(N1290&lt;SUMIFS(L:L,Q:Q,1,E:E,E1290)/SUMIFS(K:K,Q:Q,1,E:E,E1290)*0.5,"Низшая четверть",IF(N1290&lt;SUMIFS(L:L,Q:Q,1,E:E,E1290)/SUMIFS(K:K,Q:Q,1,E:E,E1290),"Вторая четверть","Больше половины"))</f>
        <v>#DIV/0!</v>
      </c>
      <c r="X1290">
        <v>16</v>
      </c>
    </row>
    <row r="1291" spans="1:24" x14ac:dyDescent="0.35">
      <c r="A1291" s="1" t="s">
        <v>2968</v>
      </c>
      <c r="B1291" s="2" t="s">
        <v>2969</v>
      </c>
      <c r="C1291" s="3" t="s">
        <v>13</v>
      </c>
      <c r="D1291" s="2" t="s">
        <v>104</v>
      </c>
      <c r="E1291" s="3" t="s">
        <v>711</v>
      </c>
      <c r="F1291" s="2" t="s">
        <v>96</v>
      </c>
      <c r="G1291" s="3" t="s">
        <v>17</v>
      </c>
      <c r="H1291" s="2" t="s">
        <v>18</v>
      </c>
      <c r="I1291" s="3" t="s">
        <v>19</v>
      </c>
      <c r="J1291" s="3">
        <v>231</v>
      </c>
      <c r="K1291" s="3">
        <v>6</v>
      </c>
      <c r="L1291" s="3">
        <v>0</v>
      </c>
      <c r="M1291" s="4">
        <f t="shared" si="176"/>
        <v>2.5974025974025976E-2</v>
      </c>
      <c r="N1291" s="4">
        <f t="shared" si="177"/>
        <v>0</v>
      </c>
      <c r="O1291">
        <v>400</v>
      </c>
      <c r="P1291" s="5">
        <v>1</v>
      </c>
      <c r="Q1291" s="7">
        <v>0</v>
      </c>
      <c r="R1291" t="s">
        <v>2344</v>
      </c>
      <c r="S1291" t="str">
        <f t="shared" si="178"/>
        <v>Низшая четверть</v>
      </c>
      <c r="T1291" t="str">
        <f t="shared" si="179"/>
        <v>Низшая четверть</v>
      </c>
      <c r="U1291" t="str">
        <f t="shared" si="180"/>
        <v>код для проверки</v>
      </c>
      <c r="V1291" t="str">
        <f t="shared" si="181"/>
        <v>Низшая четверть</v>
      </c>
      <c r="W1291" t="str">
        <f t="shared" si="182"/>
        <v>Низшая четверть</v>
      </c>
      <c r="X1291">
        <v>17</v>
      </c>
    </row>
    <row r="1292" spans="1:24" x14ac:dyDescent="0.35">
      <c r="A1292" s="1" t="s">
        <v>2136</v>
      </c>
      <c r="B1292" s="2" t="s">
        <v>2137</v>
      </c>
      <c r="C1292" s="3" t="s">
        <v>13</v>
      </c>
      <c r="D1292" s="2" t="s">
        <v>155</v>
      </c>
      <c r="E1292" s="3" t="s">
        <v>156</v>
      </c>
      <c r="F1292" s="2" t="s">
        <v>34</v>
      </c>
      <c r="G1292" s="3" t="s">
        <v>17</v>
      </c>
      <c r="H1292" s="2" t="s">
        <v>18</v>
      </c>
      <c r="I1292" s="3" t="s">
        <v>19</v>
      </c>
      <c r="J1292" s="3">
        <v>229</v>
      </c>
      <c r="K1292" s="3">
        <v>143</v>
      </c>
      <c r="L1292" s="3">
        <v>3</v>
      </c>
      <c r="M1292" s="4">
        <f t="shared" si="176"/>
        <v>0.62445414847161573</v>
      </c>
      <c r="N1292" s="4">
        <f t="shared" si="177"/>
        <v>2.097902097902098E-2</v>
      </c>
      <c r="O1292">
        <v>99</v>
      </c>
      <c r="P1292" s="5">
        <v>1</v>
      </c>
      <c r="Q1292" s="7">
        <v>0</v>
      </c>
      <c r="R1292" t="s">
        <v>2344</v>
      </c>
      <c r="S1292" t="str">
        <f t="shared" si="178"/>
        <v>Больше половины</v>
      </c>
      <c r="T1292" t="str">
        <f t="shared" si="179"/>
        <v>Больше половины</v>
      </c>
      <c r="U1292" t="str">
        <f t="shared" si="180"/>
        <v>нормальный код</v>
      </c>
      <c r="V1292" t="str">
        <f t="shared" si="181"/>
        <v>Больше половины</v>
      </c>
      <c r="W1292" t="str">
        <f t="shared" si="182"/>
        <v>Больше половины</v>
      </c>
      <c r="X1292">
        <v>8</v>
      </c>
    </row>
    <row r="1293" spans="1:24" x14ac:dyDescent="0.35">
      <c r="A1293" s="1" t="s">
        <v>2970</v>
      </c>
      <c r="B1293" s="2" t="s">
        <v>2971</v>
      </c>
      <c r="C1293" s="3" t="s">
        <v>13</v>
      </c>
      <c r="D1293" s="2" t="s">
        <v>77</v>
      </c>
      <c r="E1293" s="3" t="s">
        <v>89</v>
      </c>
      <c r="F1293" s="2" t="s">
        <v>34</v>
      </c>
      <c r="G1293" s="3" t="s">
        <v>17</v>
      </c>
      <c r="H1293" s="2" t="s">
        <v>18</v>
      </c>
      <c r="I1293" s="3" t="s">
        <v>19</v>
      </c>
      <c r="J1293" s="3">
        <v>228</v>
      </c>
      <c r="K1293" s="3">
        <v>3</v>
      </c>
      <c r="L1293" s="3">
        <v>0</v>
      </c>
      <c r="M1293" s="4">
        <f t="shared" si="176"/>
        <v>1.3157894736842105E-2</v>
      </c>
      <c r="N1293" s="4">
        <f t="shared" si="177"/>
        <v>0</v>
      </c>
      <c r="O1293">
        <v>260</v>
      </c>
      <c r="P1293" s="5">
        <v>1</v>
      </c>
      <c r="Q1293" s="7">
        <v>0</v>
      </c>
      <c r="R1293" t="s">
        <v>2344</v>
      </c>
      <c r="S1293" t="str">
        <f t="shared" si="178"/>
        <v>Низшая четверть</v>
      </c>
      <c r="T1293" t="str">
        <f t="shared" si="179"/>
        <v>Низшая четверть</v>
      </c>
      <c r="U1293" t="str">
        <f t="shared" si="180"/>
        <v>код для проверки</v>
      </c>
      <c r="V1293" t="str">
        <f t="shared" si="181"/>
        <v>Низшая четверть</v>
      </c>
      <c r="W1293" t="str">
        <f t="shared" si="182"/>
        <v>Низшая четверть</v>
      </c>
      <c r="X1293">
        <v>26</v>
      </c>
    </row>
    <row r="1294" spans="1:24" x14ac:dyDescent="0.35">
      <c r="A1294" s="1" t="s">
        <v>2972</v>
      </c>
      <c r="B1294" s="2" t="s">
        <v>2973</v>
      </c>
      <c r="C1294" s="3" t="s">
        <v>13</v>
      </c>
      <c r="D1294" s="2" t="s">
        <v>77</v>
      </c>
      <c r="E1294" s="3" t="s">
        <v>89</v>
      </c>
      <c r="F1294" s="2" t="s">
        <v>34</v>
      </c>
      <c r="G1294" s="3" t="s">
        <v>17</v>
      </c>
      <c r="H1294" s="2" t="s">
        <v>18</v>
      </c>
      <c r="I1294" s="3" t="s">
        <v>19</v>
      </c>
      <c r="J1294" s="3">
        <v>227</v>
      </c>
      <c r="K1294" s="3">
        <v>5</v>
      </c>
      <c r="L1294" s="3">
        <v>0</v>
      </c>
      <c r="M1294" s="4">
        <f t="shared" si="176"/>
        <v>2.2026431718061675E-2</v>
      </c>
      <c r="N1294" s="4">
        <f t="shared" si="177"/>
        <v>0</v>
      </c>
      <c r="O1294">
        <v>340</v>
      </c>
      <c r="P1294" s="5">
        <v>1</v>
      </c>
      <c r="Q1294" s="7">
        <v>0</v>
      </c>
      <c r="R1294" t="s">
        <v>2344</v>
      </c>
      <c r="S1294" t="str">
        <f t="shared" si="178"/>
        <v>Низшая четверть</v>
      </c>
      <c r="T1294" t="str">
        <f t="shared" si="179"/>
        <v>Низшая четверть</v>
      </c>
      <c r="U1294" t="str">
        <f t="shared" si="180"/>
        <v>код для проверки</v>
      </c>
      <c r="V1294" t="str">
        <f t="shared" si="181"/>
        <v>Низшая четверть</v>
      </c>
      <c r="W1294" t="str">
        <f t="shared" si="182"/>
        <v>Низшая четверть</v>
      </c>
      <c r="X1294">
        <v>16</v>
      </c>
    </row>
    <row r="1295" spans="1:24" x14ac:dyDescent="0.35">
      <c r="A1295" s="1" t="s">
        <v>1712</v>
      </c>
      <c r="B1295" s="2" t="s">
        <v>1713</v>
      </c>
      <c r="C1295" s="3" t="s">
        <v>55</v>
      </c>
      <c r="D1295" s="2" t="s">
        <v>1264</v>
      </c>
      <c r="E1295" s="3" t="s">
        <v>1265</v>
      </c>
      <c r="F1295" s="2" t="s">
        <v>61</v>
      </c>
      <c r="G1295" s="3" t="s">
        <v>17</v>
      </c>
      <c r="H1295" s="2" t="s">
        <v>97</v>
      </c>
      <c r="I1295" s="3" t="s">
        <v>19</v>
      </c>
      <c r="J1295" s="3">
        <v>225</v>
      </c>
      <c r="K1295" s="3">
        <v>22</v>
      </c>
      <c r="L1295" s="3">
        <v>0</v>
      </c>
      <c r="M1295" s="4">
        <f t="shared" si="176"/>
        <v>9.7777777777777783E-2</v>
      </c>
      <c r="N1295" s="4">
        <f t="shared" si="177"/>
        <v>0</v>
      </c>
      <c r="O1295">
        <v>0</v>
      </c>
      <c r="P1295" s="5">
        <v>0</v>
      </c>
      <c r="Q1295" s="7">
        <v>0</v>
      </c>
      <c r="R1295" t="s">
        <v>2350</v>
      </c>
      <c r="S1295" t="str">
        <f t="shared" si="178"/>
        <v>Больше половины</v>
      </c>
      <c r="T1295" t="str">
        <f t="shared" si="179"/>
        <v>Низшая четверть</v>
      </c>
      <c r="U1295" t="e">
        <f t="shared" si="180"/>
        <v>#DIV/0!</v>
      </c>
      <c r="V1295" t="e">
        <f t="shared" si="181"/>
        <v>#DIV/0!</v>
      </c>
      <c r="W1295" t="e">
        <f t="shared" si="182"/>
        <v>#DIV/0!</v>
      </c>
      <c r="X1295">
        <v>3</v>
      </c>
    </row>
    <row r="1296" spans="1:24" x14ac:dyDescent="0.35">
      <c r="A1296" s="1" t="s">
        <v>2974</v>
      </c>
      <c r="B1296" s="2" t="s">
        <v>2975</v>
      </c>
      <c r="C1296" s="3" t="s">
        <v>55</v>
      </c>
      <c r="D1296" s="2" t="s">
        <v>1874</v>
      </c>
      <c r="E1296" s="3" t="s">
        <v>1875</v>
      </c>
      <c r="F1296" s="2" t="s">
        <v>34</v>
      </c>
      <c r="G1296" s="3" t="s">
        <v>17</v>
      </c>
      <c r="H1296" s="2" t="s">
        <v>97</v>
      </c>
      <c r="I1296" s="3" t="s">
        <v>19</v>
      </c>
      <c r="J1296" s="3">
        <v>225</v>
      </c>
      <c r="K1296" s="3">
        <v>24</v>
      </c>
      <c r="L1296" s="3">
        <v>0</v>
      </c>
      <c r="M1296" s="4">
        <f t="shared" si="176"/>
        <v>0.10666666666666667</v>
      </c>
      <c r="N1296" s="4">
        <f t="shared" si="177"/>
        <v>0</v>
      </c>
      <c r="O1296">
        <v>600</v>
      </c>
      <c r="P1296" s="5">
        <v>0.8</v>
      </c>
      <c r="Q1296" s="7">
        <v>0</v>
      </c>
      <c r="R1296" t="s">
        <v>2344</v>
      </c>
      <c r="S1296" t="str">
        <f t="shared" si="178"/>
        <v>Больше половины</v>
      </c>
      <c r="T1296" t="str">
        <f t="shared" si="179"/>
        <v>Низшая четверть</v>
      </c>
      <c r="U1296" t="str">
        <f t="shared" si="180"/>
        <v>код для проверки</v>
      </c>
      <c r="V1296" t="str">
        <f t="shared" si="181"/>
        <v>Больше половины</v>
      </c>
      <c r="W1296" t="str">
        <f t="shared" si="182"/>
        <v>Низшая четверть</v>
      </c>
      <c r="X1296">
        <v>10</v>
      </c>
    </row>
    <row r="1297" spans="1:24" x14ac:dyDescent="0.35">
      <c r="A1297" s="1" t="s">
        <v>2976</v>
      </c>
      <c r="B1297" s="2" t="s">
        <v>2977</v>
      </c>
      <c r="C1297" s="3" t="s">
        <v>13</v>
      </c>
      <c r="D1297" s="2" t="s">
        <v>104</v>
      </c>
      <c r="E1297" s="3" t="s">
        <v>711</v>
      </c>
      <c r="F1297" s="2" t="s">
        <v>96</v>
      </c>
      <c r="G1297" s="3" t="s">
        <v>17</v>
      </c>
      <c r="H1297" s="2" t="s">
        <v>18</v>
      </c>
      <c r="I1297" s="3" t="s">
        <v>19</v>
      </c>
      <c r="J1297" s="3">
        <v>223</v>
      </c>
      <c r="K1297" s="3">
        <v>7</v>
      </c>
      <c r="L1297" s="3">
        <v>0</v>
      </c>
      <c r="M1297" s="4">
        <f t="shared" si="176"/>
        <v>3.1390134529147982E-2</v>
      </c>
      <c r="N1297" s="4">
        <f t="shared" si="177"/>
        <v>0</v>
      </c>
      <c r="O1297">
        <v>600</v>
      </c>
      <c r="P1297" s="5">
        <v>1</v>
      </c>
      <c r="Q1297" s="7">
        <v>0</v>
      </c>
      <c r="R1297" t="s">
        <v>2344</v>
      </c>
      <c r="S1297" t="str">
        <f t="shared" si="178"/>
        <v>Низшая четверть</v>
      </c>
      <c r="T1297" t="str">
        <f t="shared" si="179"/>
        <v>Низшая четверть</v>
      </c>
      <c r="U1297" t="str">
        <f t="shared" si="180"/>
        <v>код для проверки</v>
      </c>
      <c r="V1297" t="str">
        <f t="shared" si="181"/>
        <v>Низшая четверть</v>
      </c>
      <c r="W1297" t="str">
        <f t="shared" si="182"/>
        <v>Низшая четверть</v>
      </c>
      <c r="X1297">
        <v>12</v>
      </c>
    </row>
    <row r="1298" spans="1:24" x14ac:dyDescent="0.35">
      <c r="A1298" s="1" t="s">
        <v>2978</v>
      </c>
      <c r="B1298" s="2" t="s">
        <v>2979</v>
      </c>
      <c r="C1298" s="3" t="s">
        <v>55</v>
      </c>
      <c r="D1298" s="2" t="s">
        <v>1874</v>
      </c>
      <c r="E1298" s="3" t="s">
        <v>1875</v>
      </c>
      <c r="F1298" s="2" t="s">
        <v>34</v>
      </c>
      <c r="G1298" s="3" t="s">
        <v>17</v>
      </c>
      <c r="H1298" s="2" t="s">
        <v>97</v>
      </c>
      <c r="I1298" s="3" t="s">
        <v>19</v>
      </c>
      <c r="J1298" s="3">
        <v>222</v>
      </c>
      <c r="K1298" s="3">
        <v>22</v>
      </c>
      <c r="L1298" s="3">
        <v>0</v>
      </c>
      <c r="M1298" s="4">
        <f t="shared" si="176"/>
        <v>9.90990990990991E-2</v>
      </c>
      <c r="N1298" s="4">
        <f t="shared" si="177"/>
        <v>0</v>
      </c>
      <c r="O1298">
        <v>1050</v>
      </c>
      <c r="P1298" s="5">
        <v>1</v>
      </c>
      <c r="Q1298" s="7">
        <v>0</v>
      </c>
      <c r="R1298" t="s">
        <v>2344</v>
      </c>
      <c r="S1298" t="str">
        <f t="shared" si="178"/>
        <v>Больше половины</v>
      </c>
      <c r="T1298" t="str">
        <f t="shared" si="179"/>
        <v>Низшая четверть</v>
      </c>
      <c r="U1298" t="str">
        <f t="shared" si="180"/>
        <v>код для проверки</v>
      </c>
      <c r="V1298" t="str">
        <f t="shared" si="181"/>
        <v>Больше половины</v>
      </c>
      <c r="W1298" t="str">
        <f t="shared" si="182"/>
        <v>Низшая четверть</v>
      </c>
      <c r="X1298">
        <v>11</v>
      </c>
    </row>
    <row r="1299" spans="1:24" x14ac:dyDescent="0.35">
      <c r="A1299" s="1" t="s">
        <v>2980</v>
      </c>
      <c r="B1299" s="2" t="s">
        <v>2981</v>
      </c>
      <c r="C1299" s="3" t="s">
        <v>13</v>
      </c>
      <c r="D1299" s="2" t="s">
        <v>155</v>
      </c>
      <c r="E1299" s="3" t="s">
        <v>156</v>
      </c>
      <c r="F1299" s="2" t="s">
        <v>34</v>
      </c>
      <c r="G1299" s="3" t="s">
        <v>17</v>
      </c>
      <c r="H1299" s="2" t="s">
        <v>18</v>
      </c>
      <c r="I1299" s="3" t="s">
        <v>19</v>
      </c>
      <c r="J1299" s="3">
        <v>221</v>
      </c>
      <c r="K1299" s="3">
        <v>0</v>
      </c>
      <c r="L1299" s="3">
        <v>0</v>
      </c>
      <c r="M1299" s="4">
        <f t="shared" si="176"/>
        <v>0</v>
      </c>
      <c r="N1299" s="4">
        <f t="shared" si="177"/>
        <v>0</v>
      </c>
      <c r="O1299">
        <v>300</v>
      </c>
      <c r="P1299" s="5">
        <v>1</v>
      </c>
      <c r="Q1299" s="7">
        <v>0</v>
      </c>
      <c r="R1299" t="s">
        <v>2344</v>
      </c>
      <c r="S1299" t="str">
        <f t="shared" si="178"/>
        <v>Низшая четверть</v>
      </c>
      <c r="T1299" t="str">
        <f t="shared" si="179"/>
        <v>Низшая четверть</v>
      </c>
      <c r="U1299" t="str">
        <f t="shared" si="180"/>
        <v>код для проверки</v>
      </c>
      <c r="V1299" t="str">
        <f t="shared" si="181"/>
        <v>Низшая четверть</v>
      </c>
      <c r="W1299" t="str">
        <f t="shared" si="182"/>
        <v>Низшая четверть</v>
      </c>
      <c r="X1299">
        <v>18</v>
      </c>
    </row>
    <row r="1300" spans="1:24" x14ac:dyDescent="0.35">
      <c r="A1300" s="1" t="s">
        <v>2982</v>
      </c>
      <c r="B1300" s="2" t="s">
        <v>2983</v>
      </c>
      <c r="C1300" s="3" t="s">
        <v>13</v>
      </c>
      <c r="D1300" s="2" t="s">
        <v>85</v>
      </c>
      <c r="E1300" s="3" t="s">
        <v>1937</v>
      </c>
      <c r="F1300" s="2" t="s">
        <v>96</v>
      </c>
      <c r="G1300" s="3" t="s">
        <v>17</v>
      </c>
      <c r="H1300" s="2" t="s">
        <v>18</v>
      </c>
      <c r="I1300" s="3" t="s">
        <v>19</v>
      </c>
      <c r="J1300" s="3">
        <v>221</v>
      </c>
      <c r="K1300" s="3">
        <v>4</v>
      </c>
      <c r="L1300" s="3">
        <v>0</v>
      </c>
      <c r="M1300" s="4">
        <f t="shared" si="176"/>
        <v>1.8099547511312219E-2</v>
      </c>
      <c r="N1300" s="4">
        <f t="shared" si="177"/>
        <v>0</v>
      </c>
      <c r="O1300">
        <v>199</v>
      </c>
      <c r="P1300" s="5">
        <v>1</v>
      </c>
      <c r="Q1300" s="7">
        <v>0</v>
      </c>
      <c r="R1300" t="s">
        <v>2344</v>
      </c>
      <c r="S1300" t="str">
        <f t="shared" si="178"/>
        <v>Низшая четверть</v>
      </c>
      <c r="T1300" t="str">
        <f t="shared" si="179"/>
        <v>Низшая четверть</v>
      </c>
      <c r="U1300" t="str">
        <f t="shared" si="180"/>
        <v>код для проверки</v>
      </c>
      <c r="V1300" t="str">
        <f t="shared" si="181"/>
        <v>Низшая четверть</v>
      </c>
      <c r="W1300" t="str">
        <f t="shared" si="182"/>
        <v>Низшая четверть</v>
      </c>
      <c r="X1300">
        <v>16</v>
      </c>
    </row>
    <row r="1301" spans="1:24" x14ac:dyDescent="0.35">
      <c r="A1301" s="1" t="s">
        <v>2984</v>
      </c>
      <c r="B1301" s="2" t="s">
        <v>2985</v>
      </c>
      <c r="C1301" s="3" t="s">
        <v>55</v>
      </c>
      <c r="D1301" s="2" t="s">
        <v>1874</v>
      </c>
      <c r="E1301" s="3" t="s">
        <v>1875</v>
      </c>
      <c r="F1301" s="2" t="s">
        <v>34</v>
      </c>
      <c r="G1301" s="3" t="s">
        <v>17</v>
      </c>
      <c r="H1301" s="2" t="s">
        <v>97</v>
      </c>
      <c r="I1301" s="3" t="s">
        <v>19</v>
      </c>
      <c r="J1301" s="3">
        <v>220</v>
      </c>
      <c r="K1301" s="3">
        <v>11</v>
      </c>
      <c r="L1301" s="3">
        <v>0</v>
      </c>
      <c r="M1301" s="4">
        <f t="shared" si="176"/>
        <v>0.05</v>
      </c>
      <c r="N1301" s="4">
        <f t="shared" si="177"/>
        <v>0</v>
      </c>
      <c r="O1301">
        <v>900</v>
      </c>
      <c r="P1301" s="5">
        <v>0.6</v>
      </c>
      <c r="Q1301" s="7">
        <v>0</v>
      </c>
      <c r="R1301" t="s">
        <v>2344</v>
      </c>
      <c r="S1301" t="str">
        <f t="shared" si="178"/>
        <v>Вторая четверть</v>
      </c>
      <c r="T1301" t="str">
        <f t="shared" si="179"/>
        <v>Низшая четверть</v>
      </c>
      <c r="U1301" t="str">
        <f t="shared" si="180"/>
        <v>код для проверки</v>
      </c>
      <c r="V1301" t="str">
        <f t="shared" si="181"/>
        <v>Больше половины</v>
      </c>
      <c r="W1301" t="str">
        <f t="shared" si="182"/>
        <v>Низшая четверть</v>
      </c>
      <c r="X1301">
        <v>14</v>
      </c>
    </row>
    <row r="1302" spans="1:24" x14ac:dyDescent="0.35">
      <c r="A1302" s="1" t="s">
        <v>2986</v>
      </c>
      <c r="B1302" s="2" t="s">
        <v>2987</v>
      </c>
      <c r="C1302" s="3" t="s">
        <v>13</v>
      </c>
      <c r="D1302" s="2" t="s">
        <v>104</v>
      </c>
      <c r="E1302" s="3" t="s">
        <v>711</v>
      </c>
      <c r="F1302" s="2" t="s">
        <v>96</v>
      </c>
      <c r="G1302" s="3" t="s">
        <v>17</v>
      </c>
      <c r="H1302" s="2" t="s">
        <v>18</v>
      </c>
      <c r="I1302" s="3" t="s">
        <v>19</v>
      </c>
      <c r="J1302" s="3">
        <v>218</v>
      </c>
      <c r="K1302" s="3">
        <v>9</v>
      </c>
      <c r="L1302" s="3">
        <v>0</v>
      </c>
      <c r="M1302" s="4">
        <f t="shared" si="176"/>
        <v>4.1284403669724773E-2</v>
      </c>
      <c r="N1302" s="4">
        <f t="shared" si="177"/>
        <v>0</v>
      </c>
      <c r="O1302">
        <v>839</v>
      </c>
      <c r="P1302" s="5">
        <v>1</v>
      </c>
      <c r="Q1302" s="7">
        <v>0</v>
      </c>
      <c r="R1302" t="s">
        <v>2344</v>
      </c>
      <c r="S1302" t="str">
        <f t="shared" si="178"/>
        <v>Низшая четверть</v>
      </c>
      <c r="T1302" t="str">
        <f t="shared" si="179"/>
        <v>Низшая четверть</v>
      </c>
      <c r="U1302" t="str">
        <f t="shared" si="180"/>
        <v>код для проверки</v>
      </c>
      <c r="V1302" t="str">
        <f t="shared" si="181"/>
        <v>Вторая четверть</v>
      </c>
      <c r="W1302" t="str">
        <f t="shared" si="182"/>
        <v>Низшая четверть</v>
      </c>
      <c r="X1302">
        <v>9</v>
      </c>
    </row>
    <row r="1303" spans="1:24" x14ac:dyDescent="0.35">
      <c r="A1303" s="1" t="s">
        <v>2988</v>
      </c>
      <c r="B1303" s="2" t="s">
        <v>2989</v>
      </c>
      <c r="C1303" s="3" t="s">
        <v>55</v>
      </c>
      <c r="D1303" s="2" t="s">
        <v>2683</v>
      </c>
      <c r="E1303" s="3" t="s">
        <v>2684</v>
      </c>
      <c r="F1303" s="2" t="s">
        <v>34</v>
      </c>
      <c r="G1303" s="3" t="s">
        <v>17</v>
      </c>
      <c r="H1303" s="2" t="s">
        <v>18</v>
      </c>
      <c r="I1303" s="3" t="s">
        <v>19</v>
      </c>
      <c r="J1303" s="3">
        <v>215</v>
      </c>
      <c r="K1303" s="3">
        <v>6</v>
      </c>
      <c r="L1303" s="3">
        <v>0</v>
      </c>
      <c r="M1303" s="4">
        <f t="shared" si="176"/>
        <v>2.7906976744186046E-2</v>
      </c>
      <c r="N1303" s="4">
        <f t="shared" si="177"/>
        <v>0</v>
      </c>
      <c r="O1303">
        <v>100</v>
      </c>
      <c r="P1303" s="5">
        <v>0.7142857142857143</v>
      </c>
      <c r="Q1303" s="7">
        <v>0</v>
      </c>
      <c r="R1303" t="s">
        <v>2344</v>
      </c>
      <c r="S1303" t="str">
        <f t="shared" si="178"/>
        <v>Низшая четверть</v>
      </c>
      <c r="T1303" t="str">
        <f t="shared" si="179"/>
        <v>Низшая четверть</v>
      </c>
      <c r="U1303" t="e">
        <f t="shared" si="180"/>
        <v>#DIV/0!</v>
      </c>
      <c r="V1303" t="e">
        <f t="shared" si="181"/>
        <v>#DIV/0!</v>
      </c>
      <c r="W1303" t="e">
        <f t="shared" si="182"/>
        <v>#DIV/0!</v>
      </c>
      <c r="X1303">
        <v>20</v>
      </c>
    </row>
    <row r="1304" spans="1:24" x14ac:dyDescent="0.35">
      <c r="A1304" s="1" t="s">
        <v>2990</v>
      </c>
      <c r="B1304" s="2" t="s">
        <v>2991</v>
      </c>
      <c r="C1304" s="3" t="s">
        <v>13</v>
      </c>
      <c r="D1304" s="2" t="s">
        <v>69</v>
      </c>
      <c r="E1304" s="3" t="s">
        <v>1780</v>
      </c>
      <c r="F1304" s="2" t="s">
        <v>61</v>
      </c>
      <c r="G1304" s="3" t="s">
        <v>72</v>
      </c>
      <c r="H1304" s="2" t="s">
        <v>18</v>
      </c>
      <c r="I1304" s="3" t="s">
        <v>19</v>
      </c>
      <c r="J1304" s="3">
        <v>210</v>
      </c>
      <c r="K1304" s="3">
        <v>5</v>
      </c>
      <c r="L1304" s="3">
        <v>0</v>
      </c>
      <c r="M1304" s="4">
        <f t="shared" si="176"/>
        <v>2.3809523809523808E-2</v>
      </c>
      <c r="N1304" s="4">
        <f t="shared" si="177"/>
        <v>0</v>
      </c>
      <c r="O1304">
        <v>240</v>
      </c>
      <c r="P1304" s="5">
        <v>1</v>
      </c>
      <c r="Q1304" s="7">
        <v>0</v>
      </c>
      <c r="R1304" t="s">
        <v>2344</v>
      </c>
      <c r="S1304" t="str">
        <f t="shared" si="178"/>
        <v>Низшая четверть</v>
      </c>
      <c r="T1304" t="str">
        <f t="shared" si="179"/>
        <v>Низшая четверть</v>
      </c>
      <c r="U1304" t="str">
        <f t="shared" si="180"/>
        <v>код для проверки</v>
      </c>
      <c r="V1304" t="str">
        <f t="shared" si="181"/>
        <v>Вторая четверть</v>
      </c>
      <c r="W1304" t="str">
        <f t="shared" si="182"/>
        <v>Низшая четверть</v>
      </c>
      <c r="X1304">
        <v>18</v>
      </c>
    </row>
    <row r="1305" spans="1:24" x14ac:dyDescent="0.35">
      <c r="A1305" s="1" t="s">
        <v>2992</v>
      </c>
      <c r="B1305" s="2" t="s">
        <v>2993</v>
      </c>
      <c r="C1305" s="3" t="s">
        <v>13</v>
      </c>
      <c r="D1305" s="2" t="s">
        <v>85</v>
      </c>
      <c r="E1305" s="3" t="s">
        <v>1937</v>
      </c>
      <c r="F1305" s="2" t="s">
        <v>96</v>
      </c>
      <c r="G1305" s="3" t="s">
        <v>17</v>
      </c>
      <c r="H1305" s="2" t="s">
        <v>18</v>
      </c>
      <c r="I1305" s="3" t="s">
        <v>19</v>
      </c>
      <c r="J1305" s="3">
        <v>208</v>
      </c>
      <c r="K1305" s="3">
        <v>11</v>
      </c>
      <c r="L1305" s="3">
        <v>1</v>
      </c>
      <c r="M1305" s="4">
        <f t="shared" si="176"/>
        <v>5.2884615384615384E-2</v>
      </c>
      <c r="N1305" s="4">
        <f t="shared" si="177"/>
        <v>9.0909090909090912E-2</v>
      </c>
      <c r="O1305">
        <v>279</v>
      </c>
      <c r="P1305" s="5">
        <v>1</v>
      </c>
      <c r="Q1305" s="7">
        <v>0</v>
      </c>
      <c r="R1305" t="s">
        <v>2344</v>
      </c>
      <c r="S1305" t="str">
        <f t="shared" si="178"/>
        <v>Вторая четверть</v>
      </c>
      <c r="T1305" t="str">
        <f t="shared" si="179"/>
        <v>Больше половины</v>
      </c>
      <c r="U1305" t="str">
        <f t="shared" si="180"/>
        <v>нормальный код</v>
      </c>
      <c r="V1305" t="str">
        <f t="shared" si="181"/>
        <v>Вторая четверть</v>
      </c>
      <c r="W1305" t="str">
        <f t="shared" si="182"/>
        <v>Больше половины</v>
      </c>
      <c r="X1305">
        <v>17</v>
      </c>
    </row>
    <row r="1306" spans="1:24" x14ac:dyDescent="0.35">
      <c r="A1306" s="1" t="s">
        <v>2122</v>
      </c>
      <c r="B1306" s="2" t="s">
        <v>2123</v>
      </c>
      <c r="C1306" s="3" t="s">
        <v>13</v>
      </c>
      <c r="D1306" s="2" t="s">
        <v>85</v>
      </c>
      <c r="E1306" s="3" t="s">
        <v>599</v>
      </c>
      <c r="F1306" s="2" t="s">
        <v>34</v>
      </c>
      <c r="G1306" s="3" t="s">
        <v>17</v>
      </c>
      <c r="H1306" s="2" t="s">
        <v>18</v>
      </c>
      <c r="I1306" s="3" t="s">
        <v>19</v>
      </c>
      <c r="J1306" s="3">
        <v>206</v>
      </c>
      <c r="K1306" s="3">
        <v>131</v>
      </c>
      <c r="L1306" s="3">
        <v>0</v>
      </c>
      <c r="M1306" s="4">
        <f t="shared" si="176"/>
        <v>0.63592233009708743</v>
      </c>
      <c r="N1306" s="4">
        <f t="shared" si="177"/>
        <v>0</v>
      </c>
      <c r="O1306">
        <v>225</v>
      </c>
      <c r="P1306" s="5">
        <v>1</v>
      </c>
      <c r="Q1306" s="7">
        <v>0</v>
      </c>
      <c r="R1306" t="s">
        <v>2344</v>
      </c>
      <c r="S1306" t="str">
        <f t="shared" si="178"/>
        <v>Больше половины</v>
      </c>
      <c r="T1306" t="str">
        <f t="shared" si="179"/>
        <v>Низшая четверть</v>
      </c>
      <c r="U1306" t="str">
        <f t="shared" si="180"/>
        <v>код для проверки</v>
      </c>
      <c r="V1306" t="str">
        <f t="shared" si="181"/>
        <v>Больше половины</v>
      </c>
      <c r="W1306" t="str">
        <f t="shared" si="182"/>
        <v>Низшая четверть</v>
      </c>
      <c r="X1306">
        <v>7</v>
      </c>
    </row>
    <row r="1307" spans="1:24" x14ac:dyDescent="0.35">
      <c r="A1307" s="1" t="s">
        <v>2994</v>
      </c>
      <c r="B1307" s="2" t="s">
        <v>2995</v>
      </c>
      <c r="C1307" s="3" t="s">
        <v>55</v>
      </c>
      <c r="D1307" s="2" t="s">
        <v>1874</v>
      </c>
      <c r="E1307" s="3" t="s">
        <v>1875</v>
      </c>
      <c r="F1307" s="2" t="s">
        <v>34</v>
      </c>
      <c r="G1307" s="3" t="s">
        <v>17</v>
      </c>
      <c r="H1307" s="2" t="s">
        <v>97</v>
      </c>
      <c r="I1307" s="3" t="s">
        <v>19</v>
      </c>
      <c r="J1307" s="3">
        <v>203</v>
      </c>
      <c r="K1307" s="3">
        <v>20</v>
      </c>
      <c r="L1307" s="3">
        <v>0</v>
      </c>
      <c r="M1307" s="4">
        <f t="shared" si="176"/>
        <v>9.8522167487684734E-2</v>
      </c>
      <c r="N1307" s="4">
        <f t="shared" si="177"/>
        <v>0</v>
      </c>
      <c r="O1307">
        <v>650</v>
      </c>
      <c r="P1307" s="5">
        <v>1</v>
      </c>
      <c r="Q1307" s="7">
        <v>0</v>
      </c>
      <c r="R1307" t="s">
        <v>2344</v>
      </c>
      <c r="S1307" t="str">
        <f t="shared" si="178"/>
        <v>Больше половины</v>
      </c>
      <c r="T1307" t="str">
        <f t="shared" si="179"/>
        <v>Низшая четверть</v>
      </c>
      <c r="U1307" t="str">
        <f t="shared" si="180"/>
        <v>код для проверки</v>
      </c>
      <c r="V1307" t="str">
        <f t="shared" si="181"/>
        <v>Больше половины</v>
      </c>
      <c r="W1307" t="str">
        <f t="shared" si="182"/>
        <v>Низшая четверть</v>
      </c>
      <c r="X1307">
        <v>6</v>
      </c>
    </row>
    <row r="1308" spans="1:24" x14ac:dyDescent="0.35">
      <c r="A1308" s="1" t="s">
        <v>2996</v>
      </c>
      <c r="B1308" s="2" t="s">
        <v>2997</v>
      </c>
      <c r="C1308" s="3" t="s">
        <v>13</v>
      </c>
      <c r="D1308" s="2" t="s">
        <v>155</v>
      </c>
      <c r="E1308" s="3" t="s">
        <v>156</v>
      </c>
      <c r="F1308" s="2" t="s">
        <v>34</v>
      </c>
      <c r="G1308" s="3" t="s">
        <v>35</v>
      </c>
      <c r="H1308" s="2" t="s">
        <v>18</v>
      </c>
      <c r="I1308" s="3" t="s">
        <v>19</v>
      </c>
      <c r="J1308" s="3">
        <v>200</v>
      </c>
      <c r="K1308" s="3">
        <v>1</v>
      </c>
      <c r="L1308" s="3">
        <v>0</v>
      </c>
      <c r="M1308" s="4">
        <f t="shared" si="176"/>
        <v>5.0000000000000001E-3</v>
      </c>
      <c r="N1308" s="4">
        <f t="shared" si="177"/>
        <v>0</v>
      </c>
      <c r="O1308">
        <v>220</v>
      </c>
      <c r="P1308" s="5">
        <v>0.8</v>
      </c>
      <c r="Q1308" s="7">
        <v>0</v>
      </c>
      <c r="R1308" t="s">
        <v>2344</v>
      </c>
      <c r="S1308" t="str">
        <f t="shared" si="178"/>
        <v>Низшая четверть</v>
      </c>
      <c r="T1308" t="str">
        <f t="shared" si="179"/>
        <v>Низшая четверть</v>
      </c>
      <c r="U1308" t="str">
        <f t="shared" si="180"/>
        <v>код для проверки</v>
      </c>
      <c r="V1308" t="str">
        <f t="shared" si="181"/>
        <v>Низшая четверть</v>
      </c>
      <c r="W1308" t="str">
        <f t="shared" si="182"/>
        <v>Низшая четверть</v>
      </c>
      <c r="X1308">
        <v>7</v>
      </c>
    </row>
    <row r="1309" spans="1:24" x14ac:dyDescent="0.35">
      <c r="A1309" s="1" t="s">
        <v>2998</v>
      </c>
      <c r="B1309" s="2" t="s">
        <v>2999</v>
      </c>
      <c r="C1309" s="3" t="s">
        <v>13</v>
      </c>
      <c r="D1309" s="2" t="s">
        <v>77</v>
      </c>
      <c r="E1309" s="3" t="s">
        <v>89</v>
      </c>
      <c r="F1309" s="2" t="s">
        <v>34</v>
      </c>
      <c r="G1309" s="3" t="s">
        <v>17</v>
      </c>
      <c r="H1309" s="2" t="s">
        <v>18</v>
      </c>
      <c r="I1309" s="3" t="s">
        <v>19</v>
      </c>
      <c r="J1309" s="3">
        <v>194</v>
      </c>
      <c r="K1309" s="3">
        <v>3</v>
      </c>
      <c r="L1309" s="3">
        <v>0</v>
      </c>
      <c r="M1309" s="4">
        <f t="shared" si="176"/>
        <v>1.5463917525773196E-2</v>
      </c>
      <c r="N1309" s="4">
        <f t="shared" si="177"/>
        <v>0</v>
      </c>
      <c r="O1309">
        <v>280</v>
      </c>
      <c r="P1309" s="5">
        <v>1</v>
      </c>
      <c r="Q1309" s="7">
        <v>0</v>
      </c>
      <c r="R1309" t="s">
        <v>2344</v>
      </c>
      <c r="S1309" t="str">
        <f t="shared" si="178"/>
        <v>Низшая четверть</v>
      </c>
      <c r="T1309" t="str">
        <f t="shared" si="179"/>
        <v>Низшая четверть</v>
      </c>
      <c r="U1309" t="str">
        <f t="shared" si="180"/>
        <v>код для проверки</v>
      </c>
      <c r="V1309" t="str">
        <f t="shared" si="181"/>
        <v>Низшая четверть</v>
      </c>
      <c r="W1309" t="str">
        <f t="shared" si="182"/>
        <v>Низшая четверть</v>
      </c>
      <c r="X1309">
        <v>18</v>
      </c>
    </row>
    <row r="1310" spans="1:24" x14ac:dyDescent="0.35">
      <c r="A1310" s="1" t="s">
        <v>3000</v>
      </c>
      <c r="B1310" s="2" t="s">
        <v>3001</v>
      </c>
      <c r="C1310" s="3" t="s">
        <v>13</v>
      </c>
      <c r="D1310" s="2" t="s">
        <v>155</v>
      </c>
      <c r="E1310" s="3" t="s">
        <v>156</v>
      </c>
      <c r="F1310" s="2" t="s">
        <v>34</v>
      </c>
      <c r="G1310" s="3" t="s">
        <v>35</v>
      </c>
      <c r="H1310" s="2" t="s">
        <v>18</v>
      </c>
      <c r="I1310" s="3" t="s">
        <v>19</v>
      </c>
      <c r="J1310" s="3">
        <v>190</v>
      </c>
      <c r="K1310" s="3">
        <v>2</v>
      </c>
      <c r="L1310" s="3">
        <v>0</v>
      </c>
      <c r="M1310" s="4">
        <f t="shared" si="176"/>
        <v>1.0526315789473684E-2</v>
      </c>
      <c r="N1310" s="4">
        <f t="shared" si="177"/>
        <v>0</v>
      </c>
      <c r="O1310">
        <v>199</v>
      </c>
      <c r="P1310" s="5">
        <v>1</v>
      </c>
      <c r="Q1310" s="7">
        <v>0</v>
      </c>
      <c r="R1310" t="s">
        <v>2344</v>
      </c>
      <c r="S1310" t="str">
        <f t="shared" si="178"/>
        <v>Низшая четверть</v>
      </c>
      <c r="T1310" t="str">
        <f t="shared" si="179"/>
        <v>Низшая четверть</v>
      </c>
      <c r="U1310" t="str">
        <f t="shared" si="180"/>
        <v>код для проверки</v>
      </c>
      <c r="V1310" t="str">
        <f t="shared" si="181"/>
        <v>Низшая четверть</v>
      </c>
      <c r="W1310" t="str">
        <f t="shared" si="182"/>
        <v>Низшая четверть</v>
      </c>
      <c r="X1310">
        <v>11</v>
      </c>
    </row>
    <row r="1311" spans="1:24" x14ac:dyDescent="0.35">
      <c r="A1311" s="1" t="s">
        <v>3002</v>
      </c>
      <c r="B1311" s="2" t="s">
        <v>3003</v>
      </c>
      <c r="C1311" s="3" t="s">
        <v>13</v>
      </c>
      <c r="D1311" s="2" t="s">
        <v>155</v>
      </c>
      <c r="E1311" s="3" t="s">
        <v>156</v>
      </c>
      <c r="F1311" s="2" t="s">
        <v>34</v>
      </c>
      <c r="G1311" s="3" t="s">
        <v>17</v>
      </c>
      <c r="H1311" s="2" t="s">
        <v>18</v>
      </c>
      <c r="I1311" s="3" t="s">
        <v>19</v>
      </c>
      <c r="J1311" s="3">
        <v>183</v>
      </c>
      <c r="K1311" s="3">
        <v>4</v>
      </c>
      <c r="L1311" s="3">
        <v>0</v>
      </c>
      <c r="M1311" s="4">
        <f t="shared" si="176"/>
        <v>2.185792349726776E-2</v>
      </c>
      <c r="N1311" s="4">
        <f t="shared" si="177"/>
        <v>0</v>
      </c>
      <c r="O1311">
        <v>959</v>
      </c>
      <c r="P1311" s="5">
        <v>1</v>
      </c>
      <c r="Q1311" s="7">
        <v>0</v>
      </c>
      <c r="R1311" t="s">
        <v>2344</v>
      </c>
      <c r="S1311" t="str">
        <f t="shared" si="178"/>
        <v>Низшая четверть</v>
      </c>
      <c r="T1311" t="str">
        <f t="shared" si="179"/>
        <v>Низшая четверть</v>
      </c>
      <c r="U1311" t="str">
        <f t="shared" si="180"/>
        <v>код для проверки</v>
      </c>
      <c r="V1311" t="str">
        <f t="shared" si="181"/>
        <v>Низшая четверть</v>
      </c>
      <c r="W1311" t="str">
        <f t="shared" si="182"/>
        <v>Низшая четверть</v>
      </c>
      <c r="X1311">
        <v>10</v>
      </c>
    </row>
    <row r="1312" spans="1:24" x14ac:dyDescent="0.35">
      <c r="A1312" s="1" t="s">
        <v>3004</v>
      </c>
      <c r="B1312" s="2" t="s">
        <v>3005</v>
      </c>
      <c r="C1312" s="3" t="s">
        <v>13</v>
      </c>
      <c r="D1312" s="2" t="s">
        <v>155</v>
      </c>
      <c r="E1312" s="3" t="s">
        <v>156</v>
      </c>
      <c r="F1312" s="2" t="s">
        <v>34</v>
      </c>
      <c r="G1312" s="3" t="s">
        <v>35</v>
      </c>
      <c r="H1312" s="2" t="s">
        <v>18</v>
      </c>
      <c r="I1312" s="3" t="s">
        <v>19</v>
      </c>
      <c r="J1312" s="3">
        <v>180</v>
      </c>
      <c r="K1312" s="3">
        <v>4</v>
      </c>
      <c r="L1312" s="3">
        <v>0</v>
      </c>
      <c r="M1312" s="4">
        <f t="shared" si="176"/>
        <v>2.2222222222222223E-2</v>
      </c>
      <c r="N1312" s="4">
        <f t="shared" si="177"/>
        <v>0</v>
      </c>
      <c r="O1312">
        <v>100</v>
      </c>
      <c r="P1312" s="5">
        <v>1</v>
      </c>
      <c r="Q1312" s="7">
        <v>0</v>
      </c>
      <c r="R1312" t="s">
        <v>2344</v>
      </c>
      <c r="S1312" t="str">
        <f t="shared" si="178"/>
        <v>Низшая четверть</v>
      </c>
      <c r="T1312" t="str">
        <f t="shared" si="179"/>
        <v>Низшая четверть</v>
      </c>
      <c r="U1312" t="str">
        <f t="shared" si="180"/>
        <v>код для проверки</v>
      </c>
      <c r="V1312" t="str">
        <f t="shared" si="181"/>
        <v>Низшая четверть</v>
      </c>
      <c r="W1312" t="str">
        <f t="shared" si="182"/>
        <v>Низшая четверть</v>
      </c>
      <c r="X1312">
        <v>17</v>
      </c>
    </row>
    <row r="1313" spans="1:24" x14ac:dyDescent="0.35">
      <c r="A1313" s="1" t="s">
        <v>3006</v>
      </c>
      <c r="B1313" s="2" t="s">
        <v>3007</v>
      </c>
      <c r="C1313" s="3" t="s">
        <v>13</v>
      </c>
      <c r="D1313" s="2" t="s">
        <v>69</v>
      </c>
      <c r="E1313" s="3" t="s">
        <v>311</v>
      </c>
      <c r="F1313" s="2" t="s">
        <v>34</v>
      </c>
      <c r="G1313" s="3" t="s">
        <v>72</v>
      </c>
      <c r="H1313" s="2" t="s">
        <v>18</v>
      </c>
      <c r="I1313" s="3" t="s">
        <v>19</v>
      </c>
      <c r="J1313" s="3">
        <v>156</v>
      </c>
      <c r="K1313" s="3">
        <v>3</v>
      </c>
      <c r="L1313" s="3">
        <v>0</v>
      </c>
      <c r="M1313" s="4">
        <f t="shared" si="176"/>
        <v>1.9230769230769232E-2</v>
      </c>
      <c r="N1313" s="4">
        <f t="shared" si="177"/>
        <v>0</v>
      </c>
      <c r="O1313">
        <v>240</v>
      </c>
      <c r="P1313" s="5">
        <v>1</v>
      </c>
      <c r="Q1313" s="7">
        <v>0</v>
      </c>
      <c r="R1313" t="s">
        <v>2344</v>
      </c>
      <c r="S1313" t="str">
        <f t="shared" si="178"/>
        <v>Низшая четверть</v>
      </c>
      <c r="T1313" t="str">
        <f t="shared" si="179"/>
        <v>Низшая четверть</v>
      </c>
      <c r="U1313" t="str">
        <f t="shared" si="180"/>
        <v>код для проверки</v>
      </c>
      <c r="V1313" t="str">
        <f t="shared" si="181"/>
        <v>Низшая четверть</v>
      </c>
      <c r="W1313" t="str">
        <f t="shared" si="182"/>
        <v>Низшая четверть</v>
      </c>
      <c r="X1313">
        <v>27</v>
      </c>
    </row>
    <row r="1314" spans="1:24" x14ac:dyDescent="0.35">
      <c r="A1314" s="1" t="s">
        <v>3008</v>
      </c>
      <c r="B1314" s="2" t="s">
        <v>3009</v>
      </c>
      <c r="C1314" s="3" t="s">
        <v>13</v>
      </c>
      <c r="D1314" s="2" t="s">
        <v>69</v>
      </c>
      <c r="E1314" s="3" t="s">
        <v>923</v>
      </c>
      <c r="F1314" s="2" t="s">
        <v>34</v>
      </c>
      <c r="G1314" s="3" t="s">
        <v>72</v>
      </c>
      <c r="H1314" s="2" t="s">
        <v>18</v>
      </c>
      <c r="I1314" s="3" t="s">
        <v>19</v>
      </c>
      <c r="J1314" s="3">
        <v>150</v>
      </c>
      <c r="K1314" s="3">
        <v>7</v>
      </c>
      <c r="L1314" s="3">
        <v>0</v>
      </c>
      <c r="M1314" s="4">
        <f t="shared" si="176"/>
        <v>4.6666666666666669E-2</v>
      </c>
      <c r="N1314" s="4">
        <f t="shared" si="177"/>
        <v>0</v>
      </c>
      <c r="O1314">
        <v>100</v>
      </c>
      <c r="P1314" s="5">
        <v>1</v>
      </c>
      <c r="Q1314" s="7">
        <v>0</v>
      </c>
      <c r="R1314" t="s">
        <v>2344</v>
      </c>
      <c r="S1314" t="str">
        <f t="shared" si="178"/>
        <v>Низшая четверть</v>
      </c>
      <c r="T1314" t="str">
        <f t="shared" si="179"/>
        <v>Низшая четверть</v>
      </c>
      <c r="U1314" t="str">
        <f t="shared" si="180"/>
        <v>код для проверки</v>
      </c>
      <c r="V1314" t="str">
        <f t="shared" si="181"/>
        <v>Вторая четверть</v>
      </c>
      <c r="W1314" t="str">
        <f t="shared" si="182"/>
        <v>Низшая четверть</v>
      </c>
      <c r="X1314">
        <v>26</v>
      </c>
    </row>
    <row r="1315" spans="1:24" x14ac:dyDescent="0.35">
      <c r="A1315" s="1" t="s">
        <v>3010</v>
      </c>
      <c r="B1315" s="2" t="s">
        <v>3011</v>
      </c>
      <c r="C1315" s="3" t="s">
        <v>13</v>
      </c>
      <c r="D1315" s="2" t="s">
        <v>155</v>
      </c>
      <c r="E1315" s="3" t="s">
        <v>156</v>
      </c>
      <c r="F1315" s="2" t="s">
        <v>34</v>
      </c>
      <c r="G1315" s="3" t="s">
        <v>17</v>
      </c>
      <c r="H1315" s="2" t="s">
        <v>18</v>
      </c>
      <c r="I1315" s="3" t="s">
        <v>19</v>
      </c>
      <c r="J1315" s="3">
        <v>149</v>
      </c>
      <c r="K1315" s="3">
        <v>1</v>
      </c>
      <c r="L1315" s="3">
        <v>0</v>
      </c>
      <c r="M1315" s="4">
        <f t="shared" si="176"/>
        <v>6.7114093959731542E-3</v>
      </c>
      <c r="N1315" s="4">
        <f t="shared" si="177"/>
        <v>0</v>
      </c>
      <c r="O1315">
        <v>300</v>
      </c>
      <c r="P1315" s="5">
        <v>1</v>
      </c>
      <c r="Q1315" s="7">
        <v>0</v>
      </c>
      <c r="R1315" t="s">
        <v>2344</v>
      </c>
      <c r="S1315" t="str">
        <f t="shared" si="178"/>
        <v>Низшая четверть</v>
      </c>
      <c r="T1315" t="str">
        <f t="shared" si="179"/>
        <v>Низшая четверть</v>
      </c>
      <c r="U1315" t="str">
        <f t="shared" si="180"/>
        <v>код для проверки</v>
      </c>
      <c r="V1315" t="str">
        <f t="shared" si="181"/>
        <v>Низшая четверть</v>
      </c>
      <c r="W1315" t="str">
        <f t="shared" si="182"/>
        <v>Низшая четверть</v>
      </c>
      <c r="X1315">
        <v>20</v>
      </c>
    </row>
    <row r="1316" spans="1:24" x14ac:dyDescent="0.35">
      <c r="A1316" s="1" t="s">
        <v>2451</v>
      </c>
      <c r="B1316" s="2" t="s">
        <v>2452</v>
      </c>
      <c r="C1316" s="3" t="s">
        <v>13</v>
      </c>
      <c r="D1316" s="2" t="s">
        <v>69</v>
      </c>
      <c r="E1316" s="3" t="s">
        <v>1511</v>
      </c>
      <c r="F1316" s="2" t="s">
        <v>34</v>
      </c>
      <c r="G1316" s="3" t="s">
        <v>72</v>
      </c>
      <c r="H1316" s="2" t="s">
        <v>18</v>
      </c>
      <c r="I1316" s="3" t="s">
        <v>19</v>
      </c>
      <c r="J1316" s="3">
        <v>104</v>
      </c>
      <c r="K1316" s="3">
        <v>6</v>
      </c>
      <c r="L1316" s="3">
        <v>0</v>
      </c>
      <c r="M1316" s="4">
        <f t="shared" si="176"/>
        <v>5.7692307692307696E-2</v>
      </c>
      <c r="N1316" s="4">
        <f t="shared" si="177"/>
        <v>0</v>
      </c>
      <c r="O1316">
        <v>0</v>
      </c>
      <c r="P1316" s="5">
        <v>0</v>
      </c>
      <c r="Q1316" s="7">
        <v>0</v>
      </c>
      <c r="R1316" t="s">
        <v>2350</v>
      </c>
      <c r="S1316" t="str">
        <f t="shared" si="178"/>
        <v>Вторая четверть</v>
      </c>
      <c r="T1316" t="str">
        <f t="shared" si="179"/>
        <v>Низшая четверть</v>
      </c>
      <c r="U1316" t="str">
        <f t="shared" si="180"/>
        <v>код для проверки</v>
      </c>
      <c r="V1316" t="str">
        <f t="shared" si="181"/>
        <v>Низшая четверть</v>
      </c>
      <c r="W1316" t="str">
        <f t="shared" si="182"/>
        <v>Низшая четверть</v>
      </c>
      <c r="X1316">
        <v>12</v>
      </c>
    </row>
    <row r="1317" spans="1:24" x14ac:dyDescent="0.35">
      <c r="A1317" s="1" t="s">
        <v>779</v>
      </c>
      <c r="B1317" s="2" t="s">
        <v>780</v>
      </c>
      <c r="C1317" s="3" t="s">
        <v>13</v>
      </c>
      <c r="D1317" s="2" t="s">
        <v>77</v>
      </c>
      <c r="E1317" s="3" t="s">
        <v>193</v>
      </c>
      <c r="F1317" s="2" t="s">
        <v>34</v>
      </c>
      <c r="G1317" s="3" t="s">
        <v>35</v>
      </c>
      <c r="H1317" s="2" t="s">
        <v>18</v>
      </c>
      <c r="I1317" s="3" t="s">
        <v>19</v>
      </c>
      <c r="J1317" s="3">
        <v>100</v>
      </c>
      <c r="K1317" s="3">
        <v>32</v>
      </c>
      <c r="L1317" s="3">
        <v>0</v>
      </c>
      <c r="M1317" s="4">
        <f t="shared" si="176"/>
        <v>0.32</v>
      </c>
      <c r="N1317" s="4">
        <f t="shared" si="177"/>
        <v>0</v>
      </c>
      <c r="O1317">
        <v>0</v>
      </c>
      <c r="P1317" s="5">
        <v>0.2</v>
      </c>
      <c r="Q1317" s="7">
        <v>0</v>
      </c>
      <c r="R1317" t="s">
        <v>2350</v>
      </c>
      <c r="S1317" t="str">
        <f t="shared" si="178"/>
        <v>Больше половины</v>
      </c>
      <c r="T1317" t="str">
        <f t="shared" si="179"/>
        <v>Низшая четверть</v>
      </c>
      <c r="U1317" t="str">
        <f t="shared" si="180"/>
        <v>код для проверки</v>
      </c>
      <c r="V1317" t="str">
        <f t="shared" si="181"/>
        <v>Больше половины</v>
      </c>
      <c r="W1317" t="str">
        <f t="shared" si="182"/>
        <v>Низшая четверть</v>
      </c>
      <c r="X1317">
        <v>9</v>
      </c>
    </row>
    <row r="1318" spans="1:24" x14ac:dyDescent="0.35">
      <c r="A1318" s="1" t="s">
        <v>1923</v>
      </c>
      <c r="B1318" s="2" t="s">
        <v>1924</v>
      </c>
      <c r="C1318" s="3" t="s">
        <v>55</v>
      </c>
      <c r="D1318" s="2" t="s">
        <v>1264</v>
      </c>
      <c r="E1318" s="3" t="s">
        <v>1756</v>
      </c>
      <c r="F1318" s="2" t="s">
        <v>34</v>
      </c>
      <c r="G1318" s="3" t="s">
        <v>17</v>
      </c>
      <c r="H1318" s="2" t="s">
        <v>18</v>
      </c>
      <c r="I1318" s="3" t="s">
        <v>19</v>
      </c>
      <c r="J1318" s="3">
        <v>71</v>
      </c>
      <c r="K1318" s="3">
        <v>12</v>
      </c>
      <c r="L1318" s="3">
        <v>0</v>
      </c>
      <c r="M1318" s="4">
        <f t="shared" si="176"/>
        <v>0.16901408450704225</v>
      </c>
      <c r="N1318" s="4">
        <f t="shared" si="177"/>
        <v>0</v>
      </c>
      <c r="O1318">
        <v>0</v>
      </c>
      <c r="P1318" s="5">
        <v>0</v>
      </c>
      <c r="Q1318" s="7">
        <v>0</v>
      </c>
      <c r="R1318" t="s">
        <v>2350</v>
      </c>
      <c r="S1318" t="str">
        <f t="shared" si="178"/>
        <v>Больше половины</v>
      </c>
      <c r="T1318" t="str">
        <f t="shared" si="179"/>
        <v>Низшая четверть</v>
      </c>
      <c r="U1318" t="e">
        <f t="shared" si="180"/>
        <v>#DIV/0!</v>
      </c>
      <c r="V1318" t="e">
        <f t="shared" si="181"/>
        <v>#DIV/0!</v>
      </c>
      <c r="W1318" t="e">
        <f t="shared" si="182"/>
        <v>#DIV/0!</v>
      </c>
      <c r="X1318">
        <v>9</v>
      </c>
    </row>
    <row r="1319" spans="1:24" x14ac:dyDescent="0.35">
      <c r="A1319" s="1" t="s">
        <v>1949</v>
      </c>
      <c r="B1319" s="2" t="s">
        <v>1950</v>
      </c>
      <c r="C1319" s="3" t="s">
        <v>13</v>
      </c>
      <c r="D1319" s="2" t="s">
        <v>32</v>
      </c>
      <c r="E1319" s="3" t="s">
        <v>1951</v>
      </c>
      <c r="F1319" s="2" t="s">
        <v>34</v>
      </c>
      <c r="G1319" s="3" t="s">
        <v>17</v>
      </c>
      <c r="H1319" s="2" t="s">
        <v>18</v>
      </c>
      <c r="I1319" s="3" t="s">
        <v>19</v>
      </c>
      <c r="J1319" s="3">
        <v>68</v>
      </c>
      <c r="K1319" s="3">
        <v>18</v>
      </c>
      <c r="L1319" s="3">
        <v>0</v>
      </c>
      <c r="M1319" s="4">
        <f t="shared" si="176"/>
        <v>0.26470588235294118</v>
      </c>
      <c r="N1319" s="4">
        <f t="shared" si="177"/>
        <v>0</v>
      </c>
      <c r="O1319">
        <v>0</v>
      </c>
      <c r="P1319" s="5">
        <v>0.33333333333333331</v>
      </c>
      <c r="Q1319" s="7">
        <v>0</v>
      </c>
      <c r="R1319" t="s">
        <v>2350</v>
      </c>
      <c r="S1319" t="str">
        <f t="shared" si="178"/>
        <v>Больше половины</v>
      </c>
      <c r="T1319" t="str">
        <f t="shared" si="179"/>
        <v>Низшая четверть</v>
      </c>
      <c r="U1319" t="e">
        <f t="shared" si="180"/>
        <v>#DIV/0!</v>
      </c>
      <c r="V1319" t="e">
        <f t="shared" si="181"/>
        <v>#DIV/0!</v>
      </c>
      <c r="W1319" t="e">
        <f t="shared" si="182"/>
        <v>#DIV/0!</v>
      </c>
      <c r="X1319">
        <v>4</v>
      </c>
    </row>
    <row r="1320" spans="1:24" x14ac:dyDescent="0.35">
      <c r="A1320" s="1" t="s">
        <v>1890</v>
      </c>
      <c r="B1320" s="2" t="s">
        <v>1891</v>
      </c>
      <c r="C1320" s="3" t="s">
        <v>55</v>
      </c>
      <c r="D1320" s="2" t="s">
        <v>1264</v>
      </c>
      <c r="E1320" s="3" t="s">
        <v>1756</v>
      </c>
      <c r="F1320" s="2" t="s">
        <v>34</v>
      </c>
      <c r="G1320" s="3" t="s">
        <v>17</v>
      </c>
      <c r="H1320" s="2" t="s">
        <v>18</v>
      </c>
      <c r="I1320" s="3" t="s">
        <v>19</v>
      </c>
      <c r="J1320" s="3">
        <v>51</v>
      </c>
      <c r="K1320" s="3">
        <v>19</v>
      </c>
      <c r="L1320" s="3">
        <v>1</v>
      </c>
      <c r="M1320" s="4">
        <f t="shared" si="176"/>
        <v>0.37254901960784315</v>
      </c>
      <c r="N1320" s="4">
        <f t="shared" si="177"/>
        <v>5.2631578947368418E-2</v>
      </c>
      <c r="O1320">
        <v>0</v>
      </c>
      <c r="P1320" s="5">
        <v>1</v>
      </c>
      <c r="Q1320" s="7">
        <v>0</v>
      </c>
      <c r="R1320" t="s">
        <v>2350</v>
      </c>
      <c r="S1320" t="str">
        <f t="shared" si="178"/>
        <v>Больше половины</v>
      </c>
      <c r="T1320" t="str">
        <f t="shared" si="179"/>
        <v>Больше половины</v>
      </c>
      <c r="U1320" t="e">
        <f t="shared" si="180"/>
        <v>#DIV/0!</v>
      </c>
      <c r="V1320" t="e">
        <f t="shared" si="181"/>
        <v>#DIV/0!</v>
      </c>
      <c r="W1320" t="e">
        <f t="shared" si="182"/>
        <v>#DIV/0!</v>
      </c>
      <c r="X1320">
        <v>8</v>
      </c>
    </row>
    <row r="1321" spans="1:24" x14ac:dyDescent="0.35">
      <c r="A1321" s="1" t="s">
        <v>1998</v>
      </c>
      <c r="B1321" s="2" t="s">
        <v>1999</v>
      </c>
      <c r="C1321" s="3" t="s">
        <v>13</v>
      </c>
      <c r="D1321" s="2" t="s">
        <v>412</v>
      </c>
      <c r="E1321" s="3" t="s">
        <v>1914</v>
      </c>
      <c r="F1321" s="2" t="s">
        <v>96</v>
      </c>
      <c r="G1321" s="3" t="s">
        <v>17</v>
      </c>
      <c r="H1321" s="2" t="s">
        <v>18</v>
      </c>
      <c r="I1321" s="3" t="s">
        <v>19</v>
      </c>
      <c r="J1321" s="3">
        <v>50</v>
      </c>
      <c r="K1321" s="3">
        <v>7</v>
      </c>
      <c r="L1321" s="3">
        <v>0</v>
      </c>
      <c r="M1321" s="4">
        <f t="shared" si="176"/>
        <v>0.14000000000000001</v>
      </c>
      <c r="N1321" s="4">
        <f t="shared" si="177"/>
        <v>0</v>
      </c>
      <c r="O1321">
        <v>3</v>
      </c>
      <c r="P1321" s="5">
        <v>1</v>
      </c>
      <c r="Q1321" s="7">
        <v>0</v>
      </c>
      <c r="R1321" t="s">
        <v>2350</v>
      </c>
      <c r="S1321" t="str">
        <f t="shared" si="178"/>
        <v>Больше половины</v>
      </c>
      <c r="T1321" t="str">
        <f t="shared" si="179"/>
        <v>Низшая четверть</v>
      </c>
      <c r="U1321" t="e">
        <f t="shared" si="180"/>
        <v>#DIV/0!</v>
      </c>
      <c r="V1321" t="e">
        <f t="shared" si="181"/>
        <v>#DIV/0!</v>
      </c>
      <c r="W1321" t="e">
        <f t="shared" si="182"/>
        <v>#DIV/0!</v>
      </c>
      <c r="X1321">
        <v>4</v>
      </c>
    </row>
    <row r="1322" spans="1:24" x14ac:dyDescent="0.35">
      <c r="A1322" s="1" t="s">
        <v>1912</v>
      </c>
      <c r="B1322" s="2" t="s">
        <v>1913</v>
      </c>
      <c r="C1322" s="3" t="s">
        <v>13</v>
      </c>
      <c r="D1322" s="2" t="s">
        <v>412</v>
      </c>
      <c r="E1322" s="3" t="s">
        <v>1914</v>
      </c>
      <c r="F1322" s="2" t="s">
        <v>96</v>
      </c>
      <c r="G1322" s="3" t="s">
        <v>17</v>
      </c>
      <c r="H1322" s="2" t="s">
        <v>18</v>
      </c>
      <c r="I1322" s="3" t="s">
        <v>19</v>
      </c>
      <c r="J1322" s="3">
        <v>45</v>
      </c>
      <c r="K1322" s="3">
        <v>2</v>
      </c>
      <c r="L1322" s="3">
        <v>0</v>
      </c>
      <c r="M1322" s="4">
        <f t="shared" si="176"/>
        <v>4.4444444444444446E-2</v>
      </c>
      <c r="N1322" s="4">
        <f t="shared" si="177"/>
        <v>0</v>
      </c>
      <c r="O1322">
        <v>2</v>
      </c>
      <c r="P1322" s="5">
        <v>1</v>
      </c>
      <c r="Q1322" s="7">
        <v>0</v>
      </c>
      <c r="R1322" t="s">
        <v>2350</v>
      </c>
      <c r="S1322" t="str">
        <f t="shared" si="178"/>
        <v>Низшая четверть</v>
      </c>
      <c r="T1322" t="str">
        <f t="shared" si="179"/>
        <v>Низшая четверть</v>
      </c>
      <c r="U1322" t="e">
        <f t="shared" si="180"/>
        <v>#DIV/0!</v>
      </c>
      <c r="V1322" t="e">
        <f t="shared" si="181"/>
        <v>#DIV/0!</v>
      </c>
      <c r="W1322" t="e">
        <f t="shared" si="182"/>
        <v>#DIV/0!</v>
      </c>
      <c r="X1322">
        <v>2</v>
      </c>
    </row>
    <row r="1323" spans="1:24" x14ac:dyDescent="0.35">
      <c r="A1323" s="1" t="s">
        <v>1894</v>
      </c>
      <c r="B1323" s="2" t="s">
        <v>1895</v>
      </c>
      <c r="C1323" s="3" t="s">
        <v>55</v>
      </c>
      <c r="D1323" s="2" t="s">
        <v>1264</v>
      </c>
      <c r="E1323" s="3" t="s">
        <v>1756</v>
      </c>
      <c r="F1323" s="2" t="s">
        <v>34</v>
      </c>
      <c r="G1323" s="3" t="s">
        <v>17</v>
      </c>
      <c r="H1323" s="2" t="s">
        <v>18</v>
      </c>
      <c r="I1323" s="3" t="s">
        <v>19</v>
      </c>
      <c r="J1323" s="3">
        <v>44</v>
      </c>
      <c r="K1323" s="3">
        <v>15</v>
      </c>
      <c r="L1323" s="3">
        <v>2</v>
      </c>
      <c r="M1323" s="4">
        <f t="shared" si="176"/>
        <v>0.34090909090909088</v>
      </c>
      <c r="N1323" s="4">
        <f t="shared" si="177"/>
        <v>0.13333333333333333</v>
      </c>
      <c r="O1323">
        <v>0</v>
      </c>
      <c r="P1323" s="5">
        <v>1</v>
      </c>
      <c r="Q1323" s="7">
        <v>0</v>
      </c>
      <c r="R1323" t="s">
        <v>2350</v>
      </c>
      <c r="S1323" t="str">
        <f t="shared" si="178"/>
        <v>Больше половины</v>
      </c>
      <c r="T1323" t="str">
        <f t="shared" si="179"/>
        <v>Больше половины</v>
      </c>
      <c r="U1323" t="e">
        <f t="shared" si="180"/>
        <v>#DIV/0!</v>
      </c>
      <c r="V1323" t="e">
        <f t="shared" si="181"/>
        <v>#DIV/0!</v>
      </c>
      <c r="W1323" t="e">
        <f t="shared" si="182"/>
        <v>#DIV/0!</v>
      </c>
      <c r="X1323">
        <v>8</v>
      </c>
    </row>
    <row r="1324" spans="1:24" x14ac:dyDescent="0.35">
      <c r="A1324" s="1" t="s">
        <v>2050</v>
      </c>
      <c r="B1324" s="2" t="s">
        <v>2051</v>
      </c>
      <c r="C1324" s="3" t="s">
        <v>13</v>
      </c>
      <c r="D1324" s="2" t="s">
        <v>412</v>
      </c>
      <c r="E1324" s="3" t="s">
        <v>1914</v>
      </c>
      <c r="F1324" s="2" t="s">
        <v>96</v>
      </c>
      <c r="G1324" s="3" t="s">
        <v>17</v>
      </c>
      <c r="H1324" s="2" t="s">
        <v>18</v>
      </c>
      <c r="I1324" s="3" t="s">
        <v>19</v>
      </c>
      <c r="J1324" s="3">
        <v>29</v>
      </c>
      <c r="K1324" s="3">
        <v>13</v>
      </c>
      <c r="L1324" s="3">
        <v>0</v>
      </c>
      <c r="M1324" s="4">
        <f t="shared" si="176"/>
        <v>0.44827586206896552</v>
      </c>
      <c r="N1324" s="4">
        <f t="shared" si="177"/>
        <v>0</v>
      </c>
      <c r="O1324">
        <v>2</v>
      </c>
      <c r="P1324" s="5">
        <v>1</v>
      </c>
      <c r="Q1324" s="7">
        <v>0</v>
      </c>
      <c r="R1324" t="s">
        <v>2350</v>
      </c>
      <c r="S1324" t="str">
        <f t="shared" si="178"/>
        <v>Больше половины</v>
      </c>
      <c r="T1324" t="str">
        <f t="shared" si="179"/>
        <v>Низшая четверть</v>
      </c>
      <c r="U1324" t="e">
        <f t="shared" si="180"/>
        <v>#DIV/0!</v>
      </c>
      <c r="V1324" t="e">
        <f t="shared" si="181"/>
        <v>#DIV/0!</v>
      </c>
      <c r="W1324" t="e">
        <f t="shared" si="182"/>
        <v>#DIV/0!</v>
      </c>
      <c r="X1324">
        <v>3</v>
      </c>
    </row>
    <row r="1325" spans="1:24" x14ac:dyDescent="0.35">
      <c r="A1325" s="1" t="s">
        <v>2250</v>
      </c>
      <c r="B1325" s="2" t="s">
        <v>2251</v>
      </c>
      <c r="C1325" s="3" t="s">
        <v>13</v>
      </c>
      <c r="D1325" s="2" t="s">
        <v>69</v>
      </c>
      <c r="E1325" s="3" t="s">
        <v>455</v>
      </c>
      <c r="F1325" s="2" t="s">
        <v>34</v>
      </c>
      <c r="G1325" s="3" t="s">
        <v>72</v>
      </c>
      <c r="H1325" s="2" t="s">
        <v>18</v>
      </c>
      <c r="I1325" s="3" t="s">
        <v>19</v>
      </c>
      <c r="J1325" s="3">
        <v>28</v>
      </c>
      <c r="K1325" s="3">
        <v>24</v>
      </c>
      <c r="L1325" s="3">
        <v>0</v>
      </c>
      <c r="M1325" s="4">
        <f t="shared" si="176"/>
        <v>0.8571428571428571</v>
      </c>
      <c r="N1325" s="4">
        <f t="shared" si="177"/>
        <v>0</v>
      </c>
      <c r="O1325">
        <v>0</v>
      </c>
      <c r="P1325" s="5">
        <v>0</v>
      </c>
      <c r="Q1325" s="7">
        <v>0</v>
      </c>
      <c r="R1325" t="s">
        <v>2350</v>
      </c>
      <c r="S1325" t="str">
        <f t="shared" si="178"/>
        <v>Больше половины</v>
      </c>
      <c r="T1325" t="str">
        <f t="shared" si="179"/>
        <v>Низшая четверть</v>
      </c>
      <c r="U1325" t="str">
        <f t="shared" si="180"/>
        <v>код для проверки</v>
      </c>
      <c r="V1325" t="str">
        <f t="shared" si="181"/>
        <v>Больше половины</v>
      </c>
      <c r="W1325" t="str">
        <f t="shared" si="182"/>
        <v>Низшая четверть</v>
      </c>
      <c r="X1325">
        <v>13</v>
      </c>
    </row>
    <row r="1326" spans="1:24" x14ac:dyDescent="0.35">
      <c r="A1326" s="1" t="s">
        <v>1963</v>
      </c>
      <c r="B1326" s="2" t="s">
        <v>1964</v>
      </c>
      <c r="C1326" s="3" t="s">
        <v>13</v>
      </c>
      <c r="D1326" s="2" t="s">
        <v>32</v>
      </c>
      <c r="E1326" s="3" t="s">
        <v>1951</v>
      </c>
      <c r="F1326" s="2" t="s">
        <v>34</v>
      </c>
      <c r="G1326" s="3" t="s">
        <v>17</v>
      </c>
      <c r="H1326" s="2" t="s">
        <v>18</v>
      </c>
      <c r="I1326" s="3" t="s">
        <v>19</v>
      </c>
      <c r="J1326" s="3">
        <v>28</v>
      </c>
      <c r="K1326" s="3">
        <v>8</v>
      </c>
      <c r="L1326" s="3">
        <v>0</v>
      </c>
      <c r="M1326" s="4">
        <f t="shared" si="176"/>
        <v>0.2857142857142857</v>
      </c>
      <c r="N1326" s="4">
        <f t="shared" si="177"/>
        <v>0</v>
      </c>
      <c r="O1326">
        <v>0</v>
      </c>
      <c r="P1326" s="5">
        <v>0</v>
      </c>
      <c r="Q1326" s="7">
        <v>0</v>
      </c>
      <c r="R1326" t="s">
        <v>2350</v>
      </c>
      <c r="S1326" t="str">
        <f t="shared" si="178"/>
        <v>Больше половины</v>
      </c>
      <c r="T1326" t="str">
        <f t="shared" si="179"/>
        <v>Низшая четверть</v>
      </c>
      <c r="U1326" t="e">
        <f t="shared" si="180"/>
        <v>#DIV/0!</v>
      </c>
      <c r="V1326" t="e">
        <f t="shared" si="181"/>
        <v>#DIV/0!</v>
      </c>
      <c r="W1326" t="e">
        <f t="shared" si="182"/>
        <v>#DIV/0!</v>
      </c>
      <c r="X1326">
        <v>4</v>
      </c>
    </row>
    <row r="1327" spans="1:24" x14ac:dyDescent="0.35">
      <c r="A1327" s="1" t="s">
        <v>2114</v>
      </c>
      <c r="B1327" s="2" t="s">
        <v>2115</v>
      </c>
      <c r="C1327" s="3" t="s">
        <v>55</v>
      </c>
      <c r="D1327" s="2" t="s">
        <v>336</v>
      </c>
      <c r="E1327" s="3" t="s">
        <v>1700</v>
      </c>
      <c r="F1327" s="2" t="s">
        <v>34</v>
      </c>
      <c r="G1327" s="3" t="s">
        <v>17</v>
      </c>
      <c r="H1327" s="2" t="s">
        <v>18</v>
      </c>
      <c r="I1327" s="3" t="s">
        <v>19</v>
      </c>
      <c r="J1327" s="3">
        <v>27</v>
      </c>
      <c r="K1327" s="3">
        <v>2</v>
      </c>
      <c r="L1327" s="3">
        <v>0</v>
      </c>
      <c r="M1327" s="4">
        <f t="shared" si="176"/>
        <v>7.407407407407407E-2</v>
      </c>
      <c r="N1327" s="4">
        <f t="shared" si="177"/>
        <v>0</v>
      </c>
      <c r="O1327">
        <v>0</v>
      </c>
      <c r="P1327" s="5">
        <v>0</v>
      </c>
      <c r="Q1327" s="7">
        <v>0</v>
      </c>
      <c r="R1327" t="s">
        <v>2350</v>
      </c>
      <c r="S1327" t="str">
        <f t="shared" si="178"/>
        <v>Вторая четверть</v>
      </c>
      <c r="T1327" t="str">
        <f t="shared" si="179"/>
        <v>Низшая четверть</v>
      </c>
      <c r="U1327" t="e">
        <f t="shared" si="180"/>
        <v>#DIV/0!</v>
      </c>
      <c r="V1327" t="e">
        <f t="shared" si="181"/>
        <v>#DIV/0!</v>
      </c>
      <c r="W1327" t="e">
        <f t="shared" si="182"/>
        <v>#DIV/0!</v>
      </c>
      <c r="X1327">
        <v>7</v>
      </c>
    </row>
    <row r="1328" spans="1:24" x14ac:dyDescent="0.35">
      <c r="A1328" s="1" t="s">
        <v>1969</v>
      </c>
      <c r="B1328" s="2" t="s">
        <v>1970</v>
      </c>
      <c r="C1328" s="3" t="s">
        <v>13</v>
      </c>
      <c r="D1328" s="2" t="s">
        <v>69</v>
      </c>
      <c r="E1328" s="3" t="s">
        <v>455</v>
      </c>
      <c r="F1328" s="2" t="s">
        <v>34</v>
      </c>
      <c r="G1328" s="3" t="s">
        <v>72</v>
      </c>
      <c r="H1328" s="2" t="s">
        <v>18</v>
      </c>
      <c r="I1328" s="3" t="s">
        <v>19</v>
      </c>
      <c r="J1328" s="3">
        <v>19</v>
      </c>
      <c r="K1328" s="3">
        <v>61</v>
      </c>
      <c r="L1328" s="3">
        <v>0</v>
      </c>
      <c r="M1328" s="4">
        <f t="shared" si="176"/>
        <v>3.2105263157894739</v>
      </c>
      <c r="N1328" s="4">
        <f t="shared" si="177"/>
        <v>0</v>
      </c>
      <c r="O1328">
        <v>0</v>
      </c>
      <c r="P1328" s="5">
        <v>0</v>
      </c>
      <c r="Q1328" s="7">
        <v>0</v>
      </c>
      <c r="R1328" t="s">
        <v>2350</v>
      </c>
      <c r="S1328" t="str">
        <f t="shared" si="178"/>
        <v>Больше половины</v>
      </c>
      <c r="T1328" t="str">
        <f t="shared" si="179"/>
        <v>Низшая четверть</v>
      </c>
      <c r="U1328" t="str">
        <f t="shared" si="180"/>
        <v>код для проверки</v>
      </c>
      <c r="V1328" t="str">
        <f t="shared" si="181"/>
        <v>Больше половины</v>
      </c>
      <c r="W1328" t="str">
        <f t="shared" si="182"/>
        <v>Низшая четверть</v>
      </c>
      <c r="X1328">
        <v>8</v>
      </c>
    </row>
    <row r="1329" spans="1:24" x14ac:dyDescent="0.35">
      <c r="A1329" s="1" t="s">
        <v>2002</v>
      </c>
      <c r="B1329" s="2" t="s">
        <v>2003</v>
      </c>
      <c r="C1329" s="3" t="s">
        <v>55</v>
      </c>
      <c r="D1329" s="2" t="s">
        <v>2004</v>
      </c>
      <c r="E1329" s="3" t="s">
        <v>2005</v>
      </c>
      <c r="F1329" s="2" t="s">
        <v>96</v>
      </c>
      <c r="G1329" s="3" t="s">
        <v>17</v>
      </c>
      <c r="H1329" s="2" t="s">
        <v>97</v>
      </c>
      <c r="I1329" s="3" t="s">
        <v>19</v>
      </c>
      <c r="J1329" s="3">
        <v>19</v>
      </c>
      <c r="K1329" s="3">
        <v>4</v>
      </c>
      <c r="L1329" s="3">
        <v>0</v>
      </c>
      <c r="M1329" s="4">
        <f t="shared" si="176"/>
        <v>0.21052631578947367</v>
      </c>
      <c r="N1329" s="4">
        <f t="shared" si="177"/>
        <v>0</v>
      </c>
      <c r="O1329">
        <v>0</v>
      </c>
      <c r="P1329" s="5">
        <v>0.2</v>
      </c>
      <c r="Q1329" s="7">
        <v>0</v>
      </c>
      <c r="R1329" t="s">
        <v>2350</v>
      </c>
      <c r="S1329" t="str">
        <f t="shared" si="178"/>
        <v>Больше половины</v>
      </c>
      <c r="T1329" t="str">
        <f t="shared" si="179"/>
        <v>Низшая четверть</v>
      </c>
      <c r="U1329" t="e">
        <f t="shared" si="180"/>
        <v>#DIV/0!</v>
      </c>
      <c r="V1329" t="e">
        <f t="shared" si="181"/>
        <v>#DIV/0!</v>
      </c>
      <c r="W1329" t="e">
        <f t="shared" si="182"/>
        <v>#DIV/0!</v>
      </c>
      <c r="X1329">
        <v>5</v>
      </c>
    </row>
    <row r="1330" spans="1:24" x14ac:dyDescent="0.35">
      <c r="A1330" s="1" t="s">
        <v>2014</v>
      </c>
      <c r="B1330" s="2" t="s">
        <v>2015</v>
      </c>
      <c r="C1330" s="3" t="s">
        <v>13</v>
      </c>
      <c r="D1330" s="2" t="s">
        <v>2016</v>
      </c>
      <c r="E1330" s="3" t="s">
        <v>2017</v>
      </c>
      <c r="F1330" s="2" t="s">
        <v>34</v>
      </c>
      <c r="G1330" s="3" t="s">
        <v>17</v>
      </c>
      <c r="H1330" s="2" t="s">
        <v>18</v>
      </c>
      <c r="I1330" s="3" t="s">
        <v>19</v>
      </c>
      <c r="J1330" s="3">
        <v>17</v>
      </c>
      <c r="K1330" s="3">
        <v>4</v>
      </c>
      <c r="L1330" s="3">
        <v>0</v>
      </c>
      <c r="M1330" s="4">
        <f t="shared" si="176"/>
        <v>0.23529411764705882</v>
      </c>
      <c r="N1330" s="4">
        <f t="shared" si="177"/>
        <v>0</v>
      </c>
      <c r="O1330">
        <v>0</v>
      </c>
      <c r="P1330" s="5">
        <v>0</v>
      </c>
      <c r="Q1330" s="7">
        <v>0</v>
      </c>
      <c r="R1330" t="s">
        <v>2350</v>
      </c>
      <c r="S1330" t="str">
        <f t="shared" si="178"/>
        <v>Больше половины</v>
      </c>
      <c r="T1330" t="str">
        <f t="shared" si="179"/>
        <v>Низшая четверть</v>
      </c>
      <c r="U1330" t="e">
        <f t="shared" si="180"/>
        <v>#DIV/0!</v>
      </c>
      <c r="V1330" t="e">
        <f t="shared" si="181"/>
        <v>#DIV/0!</v>
      </c>
      <c r="W1330" t="e">
        <f t="shared" si="182"/>
        <v>#DIV/0!</v>
      </c>
      <c r="X1330">
        <v>6</v>
      </c>
    </row>
    <row r="1331" spans="1:24" x14ac:dyDescent="0.35">
      <c r="A1331" s="1" t="s">
        <v>2010</v>
      </c>
      <c r="B1331" s="2" t="s">
        <v>2011</v>
      </c>
      <c r="C1331" s="3" t="s">
        <v>13</v>
      </c>
      <c r="D1331" s="2" t="s">
        <v>630</v>
      </c>
      <c r="E1331" s="3" t="s">
        <v>685</v>
      </c>
      <c r="F1331" s="2" t="s">
        <v>61</v>
      </c>
      <c r="G1331" s="3" t="s">
        <v>17</v>
      </c>
      <c r="H1331" s="2" t="s">
        <v>97</v>
      </c>
      <c r="I1331" s="3" t="s">
        <v>19</v>
      </c>
      <c r="J1331" s="3">
        <v>14</v>
      </c>
      <c r="K1331" s="3">
        <v>37</v>
      </c>
      <c r="L1331" s="3">
        <v>0</v>
      </c>
      <c r="M1331" s="4">
        <f t="shared" si="176"/>
        <v>2.6428571428571428</v>
      </c>
      <c r="N1331" s="4">
        <f t="shared" si="177"/>
        <v>0</v>
      </c>
      <c r="O1331">
        <v>0</v>
      </c>
      <c r="P1331" s="5">
        <v>0</v>
      </c>
      <c r="Q1331" s="7">
        <v>0</v>
      </c>
      <c r="R1331" t="s">
        <v>2350</v>
      </c>
      <c r="S1331" t="str">
        <f t="shared" si="178"/>
        <v>Больше половины</v>
      </c>
      <c r="T1331" t="str">
        <f t="shared" si="179"/>
        <v>Низшая четверть</v>
      </c>
      <c r="U1331" t="str">
        <f t="shared" si="180"/>
        <v>код для проверки</v>
      </c>
      <c r="V1331" t="str">
        <f t="shared" si="181"/>
        <v>Больше половины</v>
      </c>
      <c r="W1331" t="str">
        <f t="shared" si="182"/>
        <v>Низшая четверть</v>
      </c>
      <c r="X1331">
        <v>7</v>
      </c>
    </row>
    <row r="1332" spans="1:24" x14ac:dyDescent="0.35">
      <c r="A1332" s="1" t="s">
        <v>1992</v>
      </c>
      <c r="B1332" s="2" t="s">
        <v>1993</v>
      </c>
      <c r="C1332" s="3" t="s">
        <v>55</v>
      </c>
      <c r="D1332" s="2" t="s">
        <v>1221</v>
      </c>
      <c r="E1332" s="3" t="s">
        <v>1450</v>
      </c>
      <c r="F1332" s="2" t="s">
        <v>61</v>
      </c>
      <c r="G1332" s="3" t="s">
        <v>17</v>
      </c>
      <c r="H1332" s="2" t="s">
        <v>18</v>
      </c>
      <c r="I1332" s="3" t="s">
        <v>19</v>
      </c>
      <c r="J1332" s="3">
        <v>13</v>
      </c>
      <c r="K1332" s="3">
        <v>15</v>
      </c>
      <c r="L1332" s="3">
        <v>0</v>
      </c>
      <c r="M1332" s="4">
        <f t="shared" si="176"/>
        <v>1.1538461538461537</v>
      </c>
      <c r="N1332" s="4">
        <f t="shared" si="177"/>
        <v>0</v>
      </c>
      <c r="O1332">
        <v>0</v>
      </c>
      <c r="P1332" s="5">
        <v>0</v>
      </c>
      <c r="Q1332" s="7">
        <v>0</v>
      </c>
      <c r="R1332" t="s">
        <v>2350</v>
      </c>
      <c r="S1332" t="str">
        <f t="shared" si="178"/>
        <v>Больше половины</v>
      </c>
      <c r="T1332" t="str">
        <f t="shared" si="179"/>
        <v>Низшая четверть</v>
      </c>
      <c r="U1332" t="str">
        <f t="shared" si="180"/>
        <v>код для проверки</v>
      </c>
      <c r="V1332" t="str">
        <f t="shared" si="181"/>
        <v>Больше половины</v>
      </c>
      <c r="W1332" t="str">
        <f t="shared" si="182"/>
        <v>Низшая четверть</v>
      </c>
      <c r="X1332">
        <v>7</v>
      </c>
    </row>
    <row r="1333" spans="1:24" x14ac:dyDescent="0.35">
      <c r="A1333" s="1" t="s">
        <v>1888</v>
      </c>
      <c r="B1333" s="2" t="s">
        <v>1889</v>
      </c>
      <c r="C1333" s="3" t="s">
        <v>55</v>
      </c>
      <c r="D1333" s="2" t="s">
        <v>1264</v>
      </c>
      <c r="E1333" s="3" t="s">
        <v>1756</v>
      </c>
      <c r="F1333" s="2" t="s">
        <v>34</v>
      </c>
      <c r="G1333" s="3" t="s">
        <v>17</v>
      </c>
      <c r="H1333" s="2" t="s">
        <v>18</v>
      </c>
      <c r="I1333" s="3" t="s">
        <v>19</v>
      </c>
      <c r="J1333" s="3">
        <v>12</v>
      </c>
      <c r="K1333" s="3">
        <v>22</v>
      </c>
      <c r="L1333" s="3">
        <v>0</v>
      </c>
      <c r="M1333" s="4">
        <f t="shared" si="176"/>
        <v>1.8333333333333333</v>
      </c>
      <c r="N1333" s="4">
        <f t="shared" si="177"/>
        <v>0</v>
      </c>
      <c r="O1333">
        <v>0</v>
      </c>
      <c r="P1333" s="5">
        <v>1</v>
      </c>
      <c r="Q1333" s="7">
        <v>0</v>
      </c>
      <c r="R1333" t="s">
        <v>2350</v>
      </c>
      <c r="S1333" t="str">
        <f t="shared" si="178"/>
        <v>Больше половины</v>
      </c>
      <c r="T1333" t="str">
        <f t="shared" si="179"/>
        <v>Низшая четверть</v>
      </c>
      <c r="U1333" t="e">
        <f t="shared" si="180"/>
        <v>#DIV/0!</v>
      </c>
      <c r="V1333" t="e">
        <f t="shared" si="181"/>
        <v>#DIV/0!</v>
      </c>
      <c r="W1333" t="e">
        <f t="shared" si="182"/>
        <v>#DIV/0!</v>
      </c>
      <c r="X1333">
        <v>8</v>
      </c>
    </row>
    <row r="1334" spans="1:24" x14ac:dyDescent="0.35">
      <c r="A1334" s="1" t="s">
        <v>2071</v>
      </c>
      <c r="B1334" s="2" t="s">
        <v>2072</v>
      </c>
      <c r="C1334" s="3" t="s">
        <v>55</v>
      </c>
      <c r="D1334" s="2" t="s">
        <v>336</v>
      </c>
      <c r="E1334" s="3" t="s">
        <v>1700</v>
      </c>
      <c r="F1334" s="2" t="s">
        <v>34</v>
      </c>
      <c r="G1334" s="3" t="s">
        <v>17</v>
      </c>
      <c r="H1334" s="2" t="s">
        <v>18</v>
      </c>
      <c r="I1334" s="3" t="s">
        <v>19</v>
      </c>
      <c r="J1334" s="3">
        <v>11</v>
      </c>
      <c r="K1334" s="3">
        <v>0</v>
      </c>
      <c r="L1334" s="3">
        <v>0</v>
      </c>
      <c r="M1334" s="4">
        <f t="shared" si="176"/>
        <v>0</v>
      </c>
      <c r="N1334" s="4">
        <f t="shared" si="177"/>
        <v>0</v>
      </c>
      <c r="O1334">
        <v>0</v>
      </c>
      <c r="P1334" s="5">
        <v>0</v>
      </c>
      <c r="Q1334" s="7">
        <v>0</v>
      </c>
      <c r="R1334" t="s">
        <v>2350</v>
      </c>
      <c r="S1334" t="str">
        <f t="shared" si="178"/>
        <v>Низшая четверть</v>
      </c>
      <c r="T1334" t="str">
        <f t="shared" si="179"/>
        <v>Низшая четверть</v>
      </c>
      <c r="U1334" t="e">
        <f t="shared" si="180"/>
        <v>#DIV/0!</v>
      </c>
      <c r="V1334" t="e">
        <f t="shared" si="181"/>
        <v>#DIV/0!</v>
      </c>
      <c r="W1334" t="e">
        <f t="shared" si="182"/>
        <v>#DIV/0!</v>
      </c>
      <c r="X1334">
        <v>6</v>
      </c>
    </row>
    <row r="1335" spans="1:24" x14ac:dyDescent="0.35">
      <c r="A1335" s="1" t="s">
        <v>1971</v>
      </c>
      <c r="B1335" s="2" t="s">
        <v>1972</v>
      </c>
      <c r="C1335" s="3" t="s">
        <v>13</v>
      </c>
      <c r="D1335" s="2" t="s">
        <v>630</v>
      </c>
      <c r="E1335" s="3" t="s">
        <v>685</v>
      </c>
      <c r="F1335" s="2" t="s">
        <v>61</v>
      </c>
      <c r="G1335" s="3" t="s">
        <v>17</v>
      </c>
      <c r="H1335" s="2" t="s">
        <v>97</v>
      </c>
      <c r="I1335" s="3" t="s">
        <v>19</v>
      </c>
      <c r="J1335" s="3">
        <v>10</v>
      </c>
      <c r="K1335" s="3">
        <v>5</v>
      </c>
      <c r="L1335" s="3">
        <v>0</v>
      </c>
      <c r="M1335" s="4">
        <f t="shared" si="176"/>
        <v>0.5</v>
      </c>
      <c r="N1335" s="4">
        <f t="shared" si="177"/>
        <v>0</v>
      </c>
      <c r="O1335">
        <v>0</v>
      </c>
      <c r="P1335" s="5">
        <v>0</v>
      </c>
      <c r="Q1335" s="7">
        <v>0</v>
      </c>
      <c r="R1335" t="s">
        <v>2350</v>
      </c>
      <c r="S1335" t="str">
        <f t="shared" si="178"/>
        <v>Больше половины</v>
      </c>
      <c r="T1335" t="str">
        <f t="shared" si="179"/>
        <v>Низшая четверть</v>
      </c>
      <c r="U1335" t="str">
        <f t="shared" si="180"/>
        <v>код для проверки</v>
      </c>
      <c r="V1335" t="str">
        <f t="shared" si="181"/>
        <v>Больше половины</v>
      </c>
      <c r="W1335" t="str">
        <f t="shared" si="182"/>
        <v>Низшая четверть</v>
      </c>
      <c r="X1335">
        <v>6</v>
      </c>
    </row>
    <row r="1336" spans="1:24" x14ac:dyDescent="0.35">
      <c r="A1336" s="1" t="s">
        <v>2126</v>
      </c>
      <c r="B1336" s="2" t="s">
        <v>2127</v>
      </c>
      <c r="C1336" s="3" t="s">
        <v>13</v>
      </c>
      <c r="D1336" s="2" t="s">
        <v>2016</v>
      </c>
      <c r="E1336" s="3" t="s">
        <v>2017</v>
      </c>
      <c r="F1336" s="2" t="s">
        <v>34</v>
      </c>
      <c r="G1336" s="3" t="s">
        <v>17</v>
      </c>
      <c r="H1336" s="2" t="s">
        <v>18</v>
      </c>
      <c r="I1336" s="3" t="s">
        <v>19</v>
      </c>
      <c r="J1336" s="3">
        <v>8</v>
      </c>
      <c r="K1336" s="3">
        <v>5</v>
      </c>
      <c r="L1336" s="3">
        <v>0</v>
      </c>
      <c r="M1336" s="4">
        <f t="shared" si="176"/>
        <v>0.625</v>
      </c>
      <c r="N1336" s="4">
        <f t="shared" si="177"/>
        <v>0</v>
      </c>
      <c r="O1336">
        <v>0</v>
      </c>
      <c r="P1336" s="5">
        <v>0</v>
      </c>
      <c r="Q1336" s="7">
        <v>0</v>
      </c>
      <c r="R1336" t="s">
        <v>2350</v>
      </c>
      <c r="S1336" t="str">
        <f t="shared" si="178"/>
        <v>Больше половины</v>
      </c>
      <c r="T1336" t="str">
        <f t="shared" si="179"/>
        <v>Низшая четверть</v>
      </c>
      <c r="U1336" t="e">
        <f t="shared" si="180"/>
        <v>#DIV/0!</v>
      </c>
      <c r="V1336" t="e">
        <f t="shared" si="181"/>
        <v>#DIV/0!</v>
      </c>
      <c r="W1336" t="e">
        <f t="shared" si="182"/>
        <v>#DIV/0!</v>
      </c>
      <c r="X1336">
        <v>4</v>
      </c>
    </row>
    <row r="1337" spans="1:24" x14ac:dyDescent="0.35">
      <c r="A1337" s="1" t="s">
        <v>2069</v>
      </c>
      <c r="B1337" s="2" t="s">
        <v>2070</v>
      </c>
      <c r="C1337" s="3" t="s">
        <v>13</v>
      </c>
      <c r="D1337" s="2" t="s">
        <v>32</v>
      </c>
      <c r="E1337" s="3" t="s">
        <v>2027</v>
      </c>
      <c r="F1337" s="2" t="s">
        <v>34</v>
      </c>
      <c r="G1337" s="3" t="s">
        <v>17</v>
      </c>
      <c r="H1337" s="2" t="s">
        <v>18</v>
      </c>
      <c r="I1337" s="3" t="s">
        <v>19</v>
      </c>
      <c r="J1337" s="3">
        <v>7</v>
      </c>
      <c r="K1337" s="3">
        <v>5</v>
      </c>
      <c r="L1337" s="3">
        <v>0</v>
      </c>
      <c r="M1337" s="4">
        <f t="shared" si="176"/>
        <v>0.7142857142857143</v>
      </c>
      <c r="N1337" s="4">
        <f t="shared" si="177"/>
        <v>0</v>
      </c>
      <c r="O1337">
        <v>0</v>
      </c>
      <c r="P1337" s="5">
        <v>0</v>
      </c>
      <c r="Q1337" s="7">
        <v>0</v>
      </c>
      <c r="R1337" t="s">
        <v>2350</v>
      </c>
      <c r="S1337" t="str">
        <f t="shared" si="178"/>
        <v>Больше половины</v>
      </c>
      <c r="T1337" t="str">
        <f t="shared" si="179"/>
        <v>Низшая четверть</v>
      </c>
      <c r="U1337" t="e">
        <f t="shared" si="180"/>
        <v>#DIV/0!</v>
      </c>
      <c r="V1337" t="e">
        <f t="shared" si="181"/>
        <v>#DIV/0!</v>
      </c>
      <c r="W1337" t="e">
        <f t="shared" si="182"/>
        <v>#DIV/0!</v>
      </c>
      <c r="X1337">
        <v>7</v>
      </c>
    </row>
    <row r="1338" spans="1:24" x14ac:dyDescent="0.35">
      <c r="A1338" s="1" t="s">
        <v>1868</v>
      </c>
      <c r="B1338" s="2" t="s">
        <v>1869</v>
      </c>
      <c r="C1338" s="3" t="s">
        <v>13</v>
      </c>
      <c r="D1338" s="2" t="s">
        <v>77</v>
      </c>
      <c r="E1338" s="3" t="s">
        <v>89</v>
      </c>
      <c r="F1338" s="2" t="s">
        <v>34</v>
      </c>
      <c r="G1338" s="3" t="s">
        <v>17</v>
      </c>
      <c r="H1338" s="2" t="s">
        <v>18</v>
      </c>
      <c r="I1338" s="3" t="s">
        <v>19</v>
      </c>
      <c r="J1338" s="3">
        <v>6</v>
      </c>
      <c r="K1338" s="3">
        <v>44</v>
      </c>
      <c r="L1338" s="3">
        <v>0</v>
      </c>
      <c r="M1338" s="4">
        <f t="shared" si="176"/>
        <v>7.333333333333333</v>
      </c>
      <c r="N1338" s="4">
        <f t="shared" si="177"/>
        <v>0</v>
      </c>
      <c r="O1338">
        <v>0</v>
      </c>
      <c r="P1338" s="5">
        <v>0</v>
      </c>
      <c r="Q1338" s="7">
        <v>0</v>
      </c>
      <c r="R1338" t="s">
        <v>2350</v>
      </c>
      <c r="S1338" t="str">
        <f t="shared" si="178"/>
        <v>Больше половины</v>
      </c>
      <c r="T1338" t="str">
        <f t="shared" si="179"/>
        <v>Низшая четверть</v>
      </c>
      <c r="U1338" t="str">
        <f t="shared" si="180"/>
        <v>код для проверки</v>
      </c>
      <c r="V1338" t="str">
        <f t="shared" si="181"/>
        <v>Больше половины</v>
      </c>
      <c r="W1338" t="str">
        <f t="shared" si="182"/>
        <v>Низшая четверть</v>
      </c>
      <c r="X1338">
        <v>10</v>
      </c>
    </row>
    <row r="1339" spans="1:24" x14ac:dyDescent="0.35">
      <c r="A1339" s="1" t="s">
        <v>2091</v>
      </c>
      <c r="B1339" s="2" t="s">
        <v>2092</v>
      </c>
      <c r="C1339" s="3" t="s">
        <v>55</v>
      </c>
      <c r="D1339" s="2" t="s">
        <v>2087</v>
      </c>
      <c r="E1339" s="3" t="s">
        <v>2093</v>
      </c>
      <c r="F1339" s="2" t="s">
        <v>34</v>
      </c>
      <c r="G1339" s="3" t="s">
        <v>17</v>
      </c>
      <c r="H1339" s="2" t="s">
        <v>18</v>
      </c>
      <c r="I1339" s="3" t="s">
        <v>19</v>
      </c>
      <c r="J1339" s="3">
        <v>6</v>
      </c>
      <c r="K1339" s="3">
        <v>0</v>
      </c>
      <c r="L1339" s="3">
        <v>0</v>
      </c>
      <c r="M1339" s="4">
        <f t="shared" si="176"/>
        <v>0</v>
      </c>
      <c r="N1339" s="4">
        <f t="shared" si="177"/>
        <v>0</v>
      </c>
      <c r="O1339">
        <v>0</v>
      </c>
      <c r="P1339" s="5">
        <v>0</v>
      </c>
      <c r="Q1339" s="7">
        <v>0</v>
      </c>
      <c r="R1339" t="s">
        <v>2350</v>
      </c>
      <c r="S1339" t="str">
        <f t="shared" si="178"/>
        <v>Низшая четверть</v>
      </c>
      <c r="T1339" t="str">
        <f t="shared" si="179"/>
        <v>Низшая четверть</v>
      </c>
      <c r="U1339" t="e">
        <f t="shared" si="180"/>
        <v>#DIV/0!</v>
      </c>
      <c r="V1339" t="e">
        <f t="shared" si="181"/>
        <v>#DIV/0!</v>
      </c>
      <c r="W1339" t="e">
        <f t="shared" si="182"/>
        <v>#DIV/0!</v>
      </c>
      <c r="X1339">
        <v>4</v>
      </c>
    </row>
    <row r="1340" spans="1:24" x14ac:dyDescent="0.35">
      <c r="A1340" s="1" t="s">
        <v>2042</v>
      </c>
      <c r="B1340" s="2" t="s">
        <v>2043</v>
      </c>
      <c r="C1340" s="3" t="s">
        <v>13</v>
      </c>
      <c r="D1340" s="2" t="s">
        <v>2016</v>
      </c>
      <c r="E1340" s="3" t="s">
        <v>2017</v>
      </c>
      <c r="F1340" s="2" t="s">
        <v>34</v>
      </c>
      <c r="G1340" s="3" t="s">
        <v>17</v>
      </c>
      <c r="H1340" s="2" t="s">
        <v>18</v>
      </c>
      <c r="I1340" s="3" t="s">
        <v>19</v>
      </c>
      <c r="J1340" s="3">
        <v>6</v>
      </c>
      <c r="K1340" s="3">
        <v>2</v>
      </c>
      <c r="L1340" s="3">
        <v>0</v>
      </c>
      <c r="M1340" s="4">
        <f t="shared" si="176"/>
        <v>0.33333333333333331</v>
      </c>
      <c r="N1340" s="4">
        <f t="shared" si="177"/>
        <v>0</v>
      </c>
      <c r="O1340">
        <v>0</v>
      </c>
      <c r="P1340" s="5">
        <v>0</v>
      </c>
      <c r="Q1340" s="7">
        <v>0</v>
      </c>
      <c r="R1340" t="s">
        <v>2350</v>
      </c>
      <c r="S1340" t="str">
        <f t="shared" si="178"/>
        <v>Больше половины</v>
      </c>
      <c r="T1340" t="str">
        <f t="shared" si="179"/>
        <v>Низшая четверть</v>
      </c>
      <c r="U1340" t="e">
        <f t="shared" si="180"/>
        <v>#DIV/0!</v>
      </c>
      <c r="V1340" t="e">
        <f t="shared" si="181"/>
        <v>#DIV/0!</v>
      </c>
      <c r="W1340" t="e">
        <f t="shared" si="182"/>
        <v>#DIV/0!</v>
      </c>
      <c r="X1340">
        <v>4</v>
      </c>
    </row>
    <row r="1341" spans="1:24" x14ac:dyDescent="0.35">
      <c r="A1341" s="1" t="s">
        <v>2134</v>
      </c>
      <c r="B1341" s="2" t="s">
        <v>2135</v>
      </c>
      <c r="C1341" s="3" t="s">
        <v>13</v>
      </c>
      <c r="D1341" s="2" t="s">
        <v>32</v>
      </c>
      <c r="E1341" s="3" t="s">
        <v>2027</v>
      </c>
      <c r="F1341" s="2" t="s">
        <v>34</v>
      </c>
      <c r="G1341" s="3" t="s">
        <v>17</v>
      </c>
      <c r="H1341" s="2" t="s">
        <v>18</v>
      </c>
      <c r="I1341" s="3" t="s">
        <v>19</v>
      </c>
      <c r="J1341" s="3">
        <v>5</v>
      </c>
      <c r="K1341" s="3">
        <v>0</v>
      </c>
      <c r="L1341" s="3">
        <v>0</v>
      </c>
      <c r="M1341" s="4">
        <f t="shared" si="176"/>
        <v>0</v>
      </c>
      <c r="N1341" s="4">
        <f t="shared" si="177"/>
        <v>0</v>
      </c>
      <c r="O1341">
        <v>0</v>
      </c>
      <c r="P1341" s="5">
        <v>0</v>
      </c>
      <c r="Q1341" s="7">
        <v>0</v>
      </c>
      <c r="R1341" t="s">
        <v>2350</v>
      </c>
      <c r="S1341" t="str">
        <f t="shared" si="178"/>
        <v>Низшая четверть</v>
      </c>
      <c r="T1341" t="str">
        <f t="shared" si="179"/>
        <v>Низшая четверть</v>
      </c>
      <c r="U1341" t="e">
        <f t="shared" si="180"/>
        <v>#DIV/0!</v>
      </c>
      <c r="V1341" t="e">
        <f t="shared" si="181"/>
        <v>#DIV/0!</v>
      </c>
      <c r="W1341" t="e">
        <f t="shared" si="182"/>
        <v>#DIV/0!</v>
      </c>
      <c r="X1341">
        <v>4</v>
      </c>
    </row>
    <row r="1342" spans="1:24" x14ac:dyDescent="0.35">
      <c r="A1342" s="1" t="s">
        <v>2025</v>
      </c>
      <c r="B1342" s="2" t="s">
        <v>2026</v>
      </c>
      <c r="C1342" s="3" t="s">
        <v>13</v>
      </c>
      <c r="D1342" s="2" t="s">
        <v>32</v>
      </c>
      <c r="E1342" s="3" t="s">
        <v>2027</v>
      </c>
      <c r="F1342" s="2" t="s">
        <v>34</v>
      </c>
      <c r="G1342" s="3" t="s">
        <v>17</v>
      </c>
      <c r="H1342" s="2" t="s">
        <v>18</v>
      </c>
      <c r="I1342" s="3" t="s">
        <v>19</v>
      </c>
      <c r="J1342" s="3">
        <v>5</v>
      </c>
      <c r="K1342" s="3">
        <v>0</v>
      </c>
      <c r="L1342" s="3">
        <v>0</v>
      </c>
      <c r="M1342" s="4">
        <f t="shared" si="176"/>
        <v>0</v>
      </c>
      <c r="N1342" s="4">
        <f t="shared" si="177"/>
        <v>0</v>
      </c>
      <c r="O1342">
        <v>0</v>
      </c>
      <c r="P1342" s="5">
        <v>0</v>
      </c>
      <c r="Q1342" s="7">
        <v>0</v>
      </c>
      <c r="R1342" t="s">
        <v>2350</v>
      </c>
      <c r="S1342" t="str">
        <f t="shared" si="178"/>
        <v>Низшая четверть</v>
      </c>
      <c r="T1342" t="str">
        <f t="shared" si="179"/>
        <v>Низшая четверть</v>
      </c>
      <c r="U1342" t="e">
        <f t="shared" si="180"/>
        <v>#DIV/0!</v>
      </c>
      <c r="V1342" t="e">
        <f t="shared" si="181"/>
        <v>#DIV/0!</v>
      </c>
      <c r="W1342" t="e">
        <f t="shared" si="182"/>
        <v>#DIV/0!</v>
      </c>
      <c r="X1342">
        <v>4</v>
      </c>
    </row>
    <row r="1343" spans="1:24" x14ac:dyDescent="0.35">
      <c r="A1343" s="1" t="s">
        <v>3012</v>
      </c>
      <c r="B1343" s="2" t="s">
        <v>3013</v>
      </c>
      <c r="C1343" s="3" t="s">
        <v>55</v>
      </c>
      <c r="D1343" s="2" t="s">
        <v>336</v>
      </c>
      <c r="E1343" s="3" t="s">
        <v>1700</v>
      </c>
      <c r="F1343" s="2" t="s">
        <v>34</v>
      </c>
      <c r="G1343" s="3" t="s">
        <v>17</v>
      </c>
      <c r="H1343" s="2" t="s">
        <v>18</v>
      </c>
      <c r="I1343" s="3" t="s">
        <v>19</v>
      </c>
      <c r="J1343" s="3">
        <v>5</v>
      </c>
      <c r="K1343" s="3">
        <v>1</v>
      </c>
      <c r="L1343" s="3">
        <v>0</v>
      </c>
      <c r="M1343" s="4">
        <f t="shared" si="176"/>
        <v>0.2</v>
      </c>
      <c r="N1343" s="4">
        <f t="shared" si="177"/>
        <v>0</v>
      </c>
      <c r="O1343">
        <v>0</v>
      </c>
      <c r="P1343" s="5">
        <v>0</v>
      </c>
      <c r="Q1343" s="7">
        <v>0</v>
      </c>
      <c r="R1343" t="s">
        <v>2350</v>
      </c>
      <c r="S1343" t="str">
        <f t="shared" si="178"/>
        <v>Больше половины</v>
      </c>
      <c r="T1343" t="str">
        <f t="shared" si="179"/>
        <v>Низшая четверть</v>
      </c>
      <c r="U1343" t="e">
        <f t="shared" si="180"/>
        <v>#DIV/0!</v>
      </c>
      <c r="V1343" t="e">
        <f t="shared" si="181"/>
        <v>#DIV/0!</v>
      </c>
      <c r="W1343" t="e">
        <f t="shared" si="182"/>
        <v>#DIV/0!</v>
      </c>
      <c r="X1343">
        <v>4</v>
      </c>
    </row>
    <row r="1344" spans="1:24" x14ac:dyDescent="0.35">
      <c r="A1344" s="1" t="s">
        <v>2012</v>
      </c>
      <c r="B1344" s="2" t="s">
        <v>2013</v>
      </c>
      <c r="C1344" s="3" t="s">
        <v>55</v>
      </c>
      <c r="D1344" s="2" t="s">
        <v>2004</v>
      </c>
      <c r="E1344" s="3" t="s">
        <v>2005</v>
      </c>
      <c r="F1344" s="2" t="s">
        <v>96</v>
      </c>
      <c r="G1344" s="3" t="s">
        <v>17</v>
      </c>
      <c r="H1344" s="2" t="s">
        <v>97</v>
      </c>
      <c r="I1344" s="3" t="s">
        <v>19</v>
      </c>
      <c r="J1344" s="3">
        <v>5</v>
      </c>
      <c r="K1344" s="3">
        <v>1</v>
      </c>
      <c r="L1344" s="3">
        <v>0</v>
      </c>
      <c r="M1344" s="4">
        <f t="shared" si="176"/>
        <v>0.2</v>
      </c>
      <c r="N1344" s="4">
        <f t="shared" si="177"/>
        <v>0</v>
      </c>
      <c r="O1344">
        <v>0</v>
      </c>
      <c r="P1344" s="5">
        <v>0</v>
      </c>
      <c r="Q1344" s="7">
        <v>0</v>
      </c>
      <c r="R1344" t="s">
        <v>2350</v>
      </c>
      <c r="S1344" t="str">
        <f t="shared" si="178"/>
        <v>Больше половины</v>
      </c>
      <c r="T1344" t="str">
        <f t="shared" si="179"/>
        <v>Низшая четверть</v>
      </c>
      <c r="U1344" t="e">
        <f t="shared" si="180"/>
        <v>#DIV/0!</v>
      </c>
      <c r="V1344" t="e">
        <f t="shared" si="181"/>
        <v>#DIV/0!</v>
      </c>
      <c r="W1344" t="e">
        <f t="shared" si="182"/>
        <v>#DIV/0!</v>
      </c>
      <c r="X1344">
        <v>5</v>
      </c>
    </row>
    <row r="1345" spans="1:24" x14ac:dyDescent="0.35">
      <c r="A1345" s="1" t="s">
        <v>2081</v>
      </c>
      <c r="B1345" s="2" t="s">
        <v>2082</v>
      </c>
      <c r="C1345" s="3" t="s">
        <v>55</v>
      </c>
      <c r="D1345" s="2" t="s">
        <v>336</v>
      </c>
      <c r="E1345" s="3" t="s">
        <v>1700</v>
      </c>
      <c r="F1345" s="2" t="s">
        <v>34</v>
      </c>
      <c r="G1345" s="3" t="s">
        <v>17</v>
      </c>
      <c r="H1345" s="2" t="s">
        <v>18</v>
      </c>
      <c r="I1345" s="3" t="s">
        <v>19</v>
      </c>
      <c r="J1345" s="3">
        <v>5</v>
      </c>
      <c r="K1345" s="3">
        <v>0</v>
      </c>
      <c r="L1345" s="3">
        <v>0</v>
      </c>
      <c r="M1345" s="4">
        <f t="shared" si="176"/>
        <v>0</v>
      </c>
      <c r="N1345" s="4">
        <f t="shared" si="177"/>
        <v>0</v>
      </c>
      <c r="O1345">
        <v>0</v>
      </c>
      <c r="P1345" s="5">
        <v>0</v>
      </c>
      <c r="Q1345" s="7">
        <v>0</v>
      </c>
      <c r="R1345" t="s">
        <v>2350</v>
      </c>
      <c r="S1345" t="str">
        <f t="shared" si="178"/>
        <v>Низшая четверть</v>
      </c>
      <c r="T1345" t="str">
        <f t="shared" si="179"/>
        <v>Низшая четверть</v>
      </c>
      <c r="U1345" t="e">
        <f t="shared" si="180"/>
        <v>#DIV/0!</v>
      </c>
      <c r="V1345" t="e">
        <f t="shared" si="181"/>
        <v>#DIV/0!</v>
      </c>
      <c r="W1345" t="e">
        <f t="shared" si="182"/>
        <v>#DIV/0!</v>
      </c>
      <c r="X1345">
        <v>5</v>
      </c>
    </row>
    <row r="1346" spans="1:24" x14ac:dyDescent="0.35">
      <c r="A1346" s="1" t="s">
        <v>2176</v>
      </c>
      <c r="B1346" s="2" t="s">
        <v>2177</v>
      </c>
      <c r="C1346" s="3" t="s">
        <v>13</v>
      </c>
      <c r="D1346" s="2" t="s">
        <v>32</v>
      </c>
      <c r="E1346" s="3" t="s">
        <v>2178</v>
      </c>
      <c r="F1346" s="2" t="s">
        <v>61</v>
      </c>
      <c r="G1346" s="3" t="s">
        <v>17</v>
      </c>
      <c r="H1346" s="2" t="s">
        <v>18</v>
      </c>
      <c r="I1346" s="3" t="s">
        <v>19</v>
      </c>
      <c r="J1346" s="3">
        <v>4</v>
      </c>
      <c r="K1346" s="3">
        <v>4</v>
      </c>
      <c r="L1346" s="3">
        <v>0</v>
      </c>
      <c r="M1346" s="4">
        <f t="shared" si="176"/>
        <v>1</v>
      </c>
      <c r="N1346" s="4">
        <f t="shared" si="177"/>
        <v>0</v>
      </c>
      <c r="O1346">
        <v>0</v>
      </c>
      <c r="P1346" s="5">
        <v>0</v>
      </c>
      <c r="Q1346" s="7">
        <v>0</v>
      </c>
      <c r="R1346" t="s">
        <v>2350</v>
      </c>
      <c r="S1346" t="str">
        <f t="shared" si="178"/>
        <v>Больше половины</v>
      </c>
      <c r="T1346" t="str">
        <f t="shared" si="179"/>
        <v>Низшая четверть</v>
      </c>
      <c r="U1346" t="str">
        <f t="shared" si="180"/>
        <v>код для проверки</v>
      </c>
      <c r="V1346" t="str">
        <f t="shared" si="181"/>
        <v>Больше половины</v>
      </c>
      <c r="W1346" t="str">
        <f t="shared" si="182"/>
        <v>Низшая четверть</v>
      </c>
      <c r="X1346">
        <v>5</v>
      </c>
    </row>
    <row r="1347" spans="1:24" x14ac:dyDescent="0.35">
      <c r="A1347" s="1" t="s">
        <v>2062</v>
      </c>
      <c r="B1347" s="2" t="s">
        <v>2063</v>
      </c>
      <c r="C1347" s="3" t="s">
        <v>13</v>
      </c>
      <c r="D1347" s="2" t="s">
        <v>32</v>
      </c>
      <c r="E1347" s="3" t="s">
        <v>1951</v>
      </c>
      <c r="F1347" s="2" t="s">
        <v>34</v>
      </c>
      <c r="G1347" s="3" t="s">
        <v>17</v>
      </c>
      <c r="H1347" s="2" t="s">
        <v>18</v>
      </c>
      <c r="I1347" s="3" t="s">
        <v>19</v>
      </c>
      <c r="J1347" s="3">
        <v>4</v>
      </c>
      <c r="K1347" s="3">
        <v>6</v>
      </c>
      <c r="L1347" s="3">
        <v>0</v>
      </c>
      <c r="M1347" s="4">
        <f t="shared" si="176"/>
        <v>1.5</v>
      </c>
      <c r="N1347" s="4">
        <f t="shared" si="177"/>
        <v>0</v>
      </c>
      <c r="O1347">
        <v>0</v>
      </c>
      <c r="P1347" s="5">
        <v>0</v>
      </c>
      <c r="Q1347" s="7">
        <v>0</v>
      </c>
      <c r="R1347" t="s">
        <v>2350</v>
      </c>
      <c r="S1347" t="str">
        <f t="shared" si="178"/>
        <v>Больше половины</v>
      </c>
      <c r="T1347" t="str">
        <f t="shared" si="179"/>
        <v>Низшая четверть</v>
      </c>
      <c r="U1347" t="e">
        <f t="shared" si="180"/>
        <v>#DIV/0!</v>
      </c>
      <c r="V1347" t="e">
        <f t="shared" si="181"/>
        <v>#DIV/0!</v>
      </c>
      <c r="W1347" t="e">
        <f t="shared" si="182"/>
        <v>#DIV/0!</v>
      </c>
      <c r="X1347">
        <v>4</v>
      </c>
    </row>
    <row r="1348" spans="1:24" x14ac:dyDescent="0.35">
      <c r="A1348" s="1" t="s">
        <v>2085</v>
      </c>
      <c r="B1348" s="2" t="s">
        <v>2086</v>
      </c>
      <c r="C1348" s="3" t="s">
        <v>55</v>
      </c>
      <c r="D1348" s="2" t="s">
        <v>2087</v>
      </c>
      <c r="E1348" s="3" t="s">
        <v>2088</v>
      </c>
      <c r="F1348" s="2" t="s">
        <v>61</v>
      </c>
      <c r="G1348" s="3" t="s">
        <v>17</v>
      </c>
      <c r="H1348" s="2" t="s">
        <v>18</v>
      </c>
      <c r="I1348" s="3" t="s">
        <v>19</v>
      </c>
      <c r="J1348" s="3">
        <v>3</v>
      </c>
      <c r="K1348" s="3">
        <v>0</v>
      </c>
      <c r="L1348" s="3">
        <v>0</v>
      </c>
      <c r="M1348" s="4">
        <f t="shared" si="176"/>
        <v>0</v>
      </c>
      <c r="N1348" s="4">
        <f t="shared" si="177"/>
        <v>0</v>
      </c>
      <c r="O1348">
        <v>0</v>
      </c>
      <c r="P1348" s="5">
        <v>0</v>
      </c>
      <c r="Q1348" s="7">
        <v>0</v>
      </c>
      <c r="R1348" t="s">
        <v>2350</v>
      </c>
      <c r="S1348" t="str">
        <f t="shared" si="178"/>
        <v>Низшая четверть</v>
      </c>
      <c r="T1348" t="str">
        <f t="shared" si="179"/>
        <v>Низшая четверть</v>
      </c>
      <c r="U1348" t="e">
        <f t="shared" si="180"/>
        <v>#DIV/0!</v>
      </c>
      <c r="V1348" t="e">
        <f t="shared" si="181"/>
        <v>#DIV/0!</v>
      </c>
      <c r="W1348" t="e">
        <f t="shared" si="182"/>
        <v>#DIV/0!</v>
      </c>
      <c r="X1348">
        <v>4</v>
      </c>
    </row>
    <row r="1349" spans="1:24" x14ac:dyDescent="0.35">
      <c r="A1349" s="1" t="s">
        <v>3014</v>
      </c>
      <c r="B1349" s="2" t="s">
        <v>3015</v>
      </c>
      <c r="C1349" s="3" t="s">
        <v>13</v>
      </c>
      <c r="D1349" s="2" t="s">
        <v>77</v>
      </c>
      <c r="E1349" s="3" t="s">
        <v>1592</v>
      </c>
      <c r="F1349" s="2" t="s">
        <v>96</v>
      </c>
      <c r="G1349" s="3" t="s">
        <v>17</v>
      </c>
      <c r="H1349" s="2" t="s">
        <v>18</v>
      </c>
      <c r="I1349" s="3" t="s">
        <v>19</v>
      </c>
      <c r="J1349" s="3">
        <v>3</v>
      </c>
      <c r="K1349" s="3">
        <v>3</v>
      </c>
      <c r="L1349" s="3">
        <v>0</v>
      </c>
      <c r="M1349" s="4">
        <f t="shared" si="176"/>
        <v>1</v>
      </c>
      <c r="N1349" s="4">
        <f t="shared" si="177"/>
        <v>0</v>
      </c>
      <c r="O1349">
        <v>0</v>
      </c>
      <c r="P1349" s="5">
        <v>0</v>
      </c>
      <c r="Q1349" s="7">
        <v>0</v>
      </c>
      <c r="R1349" t="s">
        <v>2350</v>
      </c>
      <c r="S1349" t="str">
        <f t="shared" si="178"/>
        <v>Больше половины</v>
      </c>
      <c r="T1349" t="str">
        <f t="shared" si="179"/>
        <v>Низшая четверть</v>
      </c>
      <c r="U1349" t="str">
        <f t="shared" si="180"/>
        <v>код для проверки</v>
      </c>
      <c r="V1349" t="str">
        <f t="shared" si="181"/>
        <v>Больше половины</v>
      </c>
      <c r="W1349" t="str">
        <f t="shared" si="182"/>
        <v>Низшая четверть</v>
      </c>
      <c r="X1349">
        <v>9</v>
      </c>
    </row>
    <row r="1350" spans="1:24" x14ac:dyDescent="0.35">
      <c r="A1350" s="1" t="s">
        <v>3016</v>
      </c>
      <c r="B1350" s="2" t="s">
        <v>3017</v>
      </c>
      <c r="C1350" s="3" t="s">
        <v>13</v>
      </c>
      <c r="D1350" s="2" t="s">
        <v>32</v>
      </c>
      <c r="E1350" s="3" t="s">
        <v>2178</v>
      </c>
      <c r="F1350" s="2" t="s">
        <v>61</v>
      </c>
      <c r="G1350" s="3" t="s">
        <v>17</v>
      </c>
      <c r="H1350" s="2" t="s">
        <v>18</v>
      </c>
      <c r="I1350" s="3" t="s">
        <v>19</v>
      </c>
      <c r="J1350" s="3">
        <v>3</v>
      </c>
      <c r="K1350" s="3">
        <v>3</v>
      </c>
      <c r="L1350" s="3">
        <v>0</v>
      </c>
      <c r="M1350" s="4">
        <f t="shared" si="176"/>
        <v>1</v>
      </c>
      <c r="N1350" s="4">
        <f t="shared" si="177"/>
        <v>0</v>
      </c>
      <c r="O1350">
        <v>0</v>
      </c>
      <c r="P1350" s="5">
        <v>0</v>
      </c>
      <c r="Q1350" s="7">
        <v>0</v>
      </c>
      <c r="R1350" t="s">
        <v>2350</v>
      </c>
      <c r="S1350" t="str">
        <f t="shared" si="178"/>
        <v>Больше половины</v>
      </c>
      <c r="T1350" t="str">
        <f t="shared" si="179"/>
        <v>Низшая четверть</v>
      </c>
      <c r="U1350" t="str">
        <f t="shared" si="180"/>
        <v>код для проверки</v>
      </c>
      <c r="V1350" t="str">
        <f t="shared" si="181"/>
        <v>Больше половины</v>
      </c>
      <c r="W1350" t="str">
        <f t="shared" si="182"/>
        <v>Низшая четверть</v>
      </c>
      <c r="X1350">
        <v>11</v>
      </c>
    </row>
    <row r="1351" spans="1:24" x14ac:dyDescent="0.35">
      <c r="A1351" s="1" t="s">
        <v>2075</v>
      </c>
      <c r="B1351" s="2" t="s">
        <v>2076</v>
      </c>
      <c r="C1351" s="3" t="s">
        <v>13</v>
      </c>
      <c r="D1351" s="2" t="s">
        <v>32</v>
      </c>
      <c r="E1351" s="3" t="s">
        <v>2027</v>
      </c>
      <c r="F1351" s="2" t="s">
        <v>34</v>
      </c>
      <c r="G1351" s="3" t="s">
        <v>17</v>
      </c>
      <c r="H1351" s="2" t="s">
        <v>18</v>
      </c>
      <c r="I1351" s="3" t="s">
        <v>19</v>
      </c>
      <c r="J1351" s="3">
        <v>3</v>
      </c>
      <c r="K1351" s="3">
        <v>5</v>
      </c>
      <c r="L1351" s="3">
        <v>0</v>
      </c>
      <c r="M1351" s="4">
        <f t="shared" si="176"/>
        <v>1.6666666666666667</v>
      </c>
      <c r="N1351" s="4">
        <f t="shared" si="177"/>
        <v>0</v>
      </c>
      <c r="O1351">
        <v>0</v>
      </c>
      <c r="P1351" s="5">
        <v>0</v>
      </c>
      <c r="Q1351" s="7">
        <v>0</v>
      </c>
      <c r="R1351" t="s">
        <v>2350</v>
      </c>
      <c r="S1351" t="str">
        <f t="shared" si="178"/>
        <v>Больше половины</v>
      </c>
      <c r="T1351" t="str">
        <f t="shared" si="179"/>
        <v>Низшая четверть</v>
      </c>
      <c r="U1351" t="e">
        <f t="shared" si="180"/>
        <v>#DIV/0!</v>
      </c>
      <c r="V1351" t="e">
        <f t="shared" si="181"/>
        <v>#DIV/0!</v>
      </c>
      <c r="W1351" t="e">
        <f t="shared" si="182"/>
        <v>#DIV/0!</v>
      </c>
      <c r="X1351">
        <v>8</v>
      </c>
    </row>
    <row r="1352" spans="1:24" x14ac:dyDescent="0.35">
      <c r="A1352" s="1" t="s">
        <v>2077</v>
      </c>
      <c r="B1352" s="2" t="s">
        <v>2078</v>
      </c>
      <c r="C1352" s="3" t="s">
        <v>13</v>
      </c>
      <c r="D1352" s="2" t="s">
        <v>32</v>
      </c>
      <c r="E1352" s="3" t="s">
        <v>2027</v>
      </c>
      <c r="F1352" s="2" t="s">
        <v>34</v>
      </c>
      <c r="G1352" s="3" t="s">
        <v>17</v>
      </c>
      <c r="H1352" s="2" t="s">
        <v>18</v>
      </c>
      <c r="I1352" s="3" t="s">
        <v>19</v>
      </c>
      <c r="J1352" s="3">
        <v>3</v>
      </c>
      <c r="K1352" s="3">
        <v>0</v>
      </c>
      <c r="L1352" s="3">
        <v>0</v>
      </c>
      <c r="M1352" s="4">
        <f t="shared" si="176"/>
        <v>0</v>
      </c>
      <c r="N1352" s="4">
        <f t="shared" si="177"/>
        <v>0</v>
      </c>
      <c r="O1352">
        <v>0</v>
      </c>
      <c r="P1352" s="5">
        <v>0</v>
      </c>
      <c r="Q1352" s="7">
        <v>0</v>
      </c>
      <c r="R1352" t="s">
        <v>2350</v>
      </c>
      <c r="S1352" t="str">
        <f t="shared" si="178"/>
        <v>Низшая четверть</v>
      </c>
      <c r="T1352" t="str">
        <f t="shared" si="179"/>
        <v>Низшая четверть</v>
      </c>
      <c r="U1352" t="e">
        <f t="shared" si="180"/>
        <v>#DIV/0!</v>
      </c>
      <c r="V1352" t="e">
        <f t="shared" si="181"/>
        <v>#DIV/0!</v>
      </c>
      <c r="W1352" t="e">
        <f t="shared" si="182"/>
        <v>#DIV/0!</v>
      </c>
      <c r="X1352">
        <v>3</v>
      </c>
    </row>
    <row r="1353" spans="1:24" x14ac:dyDescent="0.35">
      <c r="A1353" s="1" t="s">
        <v>2146</v>
      </c>
      <c r="B1353" s="2" t="s">
        <v>2147</v>
      </c>
      <c r="C1353" s="3" t="s">
        <v>13</v>
      </c>
      <c r="D1353" s="2" t="s">
        <v>104</v>
      </c>
      <c r="E1353" s="3" t="s">
        <v>711</v>
      </c>
      <c r="F1353" s="2" t="s">
        <v>96</v>
      </c>
      <c r="G1353" s="3" t="s">
        <v>35</v>
      </c>
      <c r="H1353" s="2" t="s">
        <v>18</v>
      </c>
      <c r="I1353" s="3" t="s">
        <v>19</v>
      </c>
      <c r="J1353" s="3">
        <v>3</v>
      </c>
      <c r="K1353" s="3">
        <v>5</v>
      </c>
      <c r="L1353" s="3">
        <v>0</v>
      </c>
      <c r="M1353" s="4">
        <f t="shared" si="176"/>
        <v>1.6666666666666667</v>
      </c>
      <c r="N1353" s="4">
        <f t="shared" si="177"/>
        <v>0</v>
      </c>
      <c r="O1353">
        <v>0</v>
      </c>
      <c r="P1353" s="5">
        <v>0</v>
      </c>
      <c r="Q1353" s="7">
        <v>0</v>
      </c>
      <c r="R1353" t="s">
        <v>2350</v>
      </c>
      <c r="S1353" t="str">
        <f t="shared" si="178"/>
        <v>Больше половины</v>
      </c>
      <c r="T1353" t="str">
        <f t="shared" si="179"/>
        <v>Низшая четверть</v>
      </c>
      <c r="U1353" t="str">
        <f t="shared" si="180"/>
        <v>код для проверки</v>
      </c>
      <c r="V1353" t="str">
        <f t="shared" si="181"/>
        <v>Больше половины</v>
      </c>
      <c r="W1353" t="str">
        <f t="shared" si="182"/>
        <v>Низшая четверть</v>
      </c>
      <c r="X1353">
        <v>16</v>
      </c>
    </row>
    <row r="1354" spans="1:24" x14ac:dyDescent="0.35">
      <c r="A1354" s="1" t="s">
        <v>2322</v>
      </c>
      <c r="B1354" s="2" t="s">
        <v>2323</v>
      </c>
      <c r="C1354" s="3" t="s">
        <v>55</v>
      </c>
      <c r="D1354" s="2" t="s">
        <v>336</v>
      </c>
      <c r="E1354" s="3" t="s">
        <v>1700</v>
      </c>
      <c r="F1354" s="2" t="s">
        <v>34</v>
      </c>
      <c r="G1354" s="3" t="s">
        <v>17</v>
      </c>
      <c r="H1354" s="2" t="s">
        <v>18</v>
      </c>
      <c r="I1354" s="3" t="s">
        <v>19</v>
      </c>
      <c r="J1354" s="3">
        <v>3</v>
      </c>
      <c r="K1354" s="3">
        <v>0</v>
      </c>
      <c r="L1354" s="3">
        <v>0</v>
      </c>
      <c r="M1354" s="4">
        <f t="shared" ref="M1354:M1417" si="183">IFERROR(K1354/J1354,0)</f>
        <v>0</v>
      </c>
      <c r="N1354" s="4">
        <f t="shared" ref="N1354:N1417" si="184">IFERROR(L1354/K1354,0)</f>
        <v>0</v>
      </c>
      <c r="O1354">
        <v>0</v>
      </c>
      <c r="P1354" s="5">
        <v>0</v>
      </c>
      <c r="Q1354" s="7">
        <v>0</v>
      </c>
      <c r="R1354" t="s">
        <v>2350</v>
      </c>
      <c r="S1354" t="str">
        <f t="shared" ref="S1354:S1417" si="185">IF(M1354&lt;$S$1*0.5,"Низшая четверть",IF(M1354&lt;$S$1,"Вторая четверть","Больше половины"))</f>
        <v>Низшая четверть</v>
      </c>
      <c r="T1354" t="str">
        <f t="shared" ref="T1354:T1417" si="186">IF(N1354&lt;$T$1*0.5,"Низшая четверть",IF(N1354&lt;$T$1,"Вторая четверть","Больше половины"))</f>
        <v>Низшая четверть</v>
      </c>
      <c r="U1354" t="e">
        <f t="shared" ref="U1354:U1417" si="187">IF(OR(M1354&lt;SUMIFS(K:K,Q:Q,1,E:E,E1354)/SUMIFS(J:J,Q:Q,1,E:E,E1354)*0.5,N1354&lt;SUMIFS(L:L,Q:Q,1,E:E,E1354)/SUMIFS(K:K,Q:Q,1,E:E,E1354)*0.5),"код для проверки","нормальный код")</f>
        <v>#DIV/0!</v>
      </c>
      <c r="V1354" t="e">
        <f t="shared" ref="V1354:V1417" si="188">IF(M1354&lt;SUMIFS(K:K,Q:Q,1,E:E,E1354)/SUMIFS(J:J,Q:Q,1,E:E,E1354)*0.5,"Низшая четверть",IF(M1354&lt;SUMIFS(K:K,Q:Q,1,E:E,E1354)/SUMIFS(J:J,Q:Q,1,E:E,E1354),"Вторая четверть","Больше половины"))</f>
        <v>#DIV/0!</v>
      </c>
      <c r="W1354" t="e">
        <f t="shared" ref="W1354:W1417" si="189">IF(N1354&lt;SUMIFS(L:L,Q:Q,1,E:E,E1354)/SUMIFS(K:K,Q:Q,1,E:E,E1354)*0.5,"Низшая четверть",IF(N1354&lt;SUMIFS(L:L,Q:Q,1,E:E,E1354)/SUMIFS(K:K,Q:Q,1,E:E,E1354),"Вторая четверть","Больше половины"))</f>
        <v>#DIV/0!</v>
      </c>
      <c r="X1354">
        <v>5</v>
      </c>
    </row>
    <row r="1355" spans="1:24" x14ac:dyDescent="0.35">
      <c r="A1355" s="1" t="s">
        <v>2028</v>
      </c>
      <c r="B1355" s="2" t="s">
        <v>2029</v>
      </c>
      <c r="C1355" s="3" t="s">
        <v>13</v>
      </c>
      <c r="D1355" s="2" t="s">
        <v>32</v>
      </c>
      <c r="E1355" s="3" t="s">
        <v>1951</v>
      </c>
      <c r="F1355" s="2" t="s">
        <v>34</v>
      </c>
      <c r="G1355" s="3" t="s">
        <v>17</v>
      </c>
      <c r="H1355" s="2" t="s">
        <v>18</v>
      </c>
      <c r="I1355" s="3" t="s">
        <v>19</v>
      </c>
      <c r="J1355" s="3">
        <v>3</v>
      </c>
      <c r="K1355" s="3">
        <v>0</v>
      </c>
      <c r="L1355" s="3">
        <v>0</v>
      </c>
      <c r="M1355" s="4">
        <f t="shared" si="183"/>
        <v>0</v>
      </c>
      <c r="N1355" s="4">
        <f t="shared" si="184"/>
        <v>0</v>
      </c>
      <c r="O1355">
        <v>0</v>
      </c>
      <c r="P1355" s="5">
        <v>0</v>
      </c>
      <c r="Q1355" s="7">
        <v>0</v>
      </c>
      <c r="R1355" t="s">
        <v>2350</v>
      </c>
      <c r="S1355" t="str">
        <f t="shared" si="185"/>
        <v>Низшая четверть</v>
      </c>
      <c r="T1355" t="str">
        <f t="shared" si="186"/>
        <v>Низшая четверть</v>
      </c>
      <c r="U1355" t="e">
        <f t="shared" si="187"/>
        <v>#DIV/0!</v>
      </c>
      <c r="V1355" t="e">
        <f t="shared" si="188"/>
        <v>#DIV/0!</v>
      </c>
      <c r="W1355" t="e">
        <f t="shared" si="189"/>
        <v>#DIV/0!</v>
      </c>
      <c r="X1355">
        <v>4</v>
      </c>
    </row>
    <row r="1356" spans="1:24" x14ac:dyDescent="0.35">
      <c r="A1356" s="1" t="s">
        <v>2166</v>
      </c>
      <c r="B1356" s="2" t="s">
        <v>2167</v>
      </c>
      <c r="C1356" s="3" t="s">
        <v>55</v>
      </c>
      <c r="D1356" s="2" t="s">
        <v>1049</v>
      </c>
      <c r="E1356" s="3" t="s">
        <v>1050</v>
      </c>
      <c r="F1356" s="2" t="s">
        <v>34</v>
      </c>
      <c r="G1356" s="3" t="s">
        <v>17</v>
      </c>
      <c r="H1356" s="2" t="s">
        <v>18</v>
      </c>
      <c r="I1356" s="3" t="s">
        <v>19</v>
      </c>
      <c r="J1356" s="3">
        <v>2</v>
      </c>
      <c r="K1356" s="3">
        <v>4</v>
      </c>
      <c r="L1356" s="3">
        <v>0</v>
      </c>
      <c r="M1356" s="4">
        <f t="shared" si="183"/>
        <v>2</v>
      </c>
      <c r="N1356" s="4">
        <f t="shared" si="184"/>
        <v>0</v>
      </c>
      <c r="O1356">
        <v>0</v>
      </c>
      <c r="P1356" s="5">
        <v>0</v>
      </c>
      <c r="Q1356" s="7">
        <v>0</v>
      </c>
      <c r="R1356" t="s">
        <v>2350</v>
      </c>
      <c r="S1356" t="str">
        <f t="shared" si="185"/>
        <v>Больше половины</v>
      </c>
      <c r="T1356" t="str">
        <f t="shared" si="186"/>
        <v>Низшая четверть</v>
      </c>
      <c r="U1356" t="str">
        <f t="shared" si="187"/>
        <v>код для проверки</v>
      </c>
      <c r="V1356" t="str">
        <f t="shared" si="188"/>
        <v>Больше половины</v>
      </c>
      <c r="W1356" t="str">
        <f t="shared" si="189"/>
        <v>Низшая четверть</v>
      </c>
      <c r="X1356">
        <v>14</v>
      </c>
    </row>
    <row r="1357" spans="1:24" x14ac:dyDescent="0.35">
      <c r="A1357" s="1" t="s">
        <v>3018</v>
      </c>
      <c r="B1357" s="2" t="s">
        <v>3019</v>
      </c>
      <c r="C1357" s="3" t="s">
        <v>13</v>
      </c>
      <c r="D1357" s="2" t="s">
        <v>77</v>
      </c>
      <c r="E1357" s="3" t="s">
        <v>89</v>
      </c>
      <c r="F1357" s="2" t="s">
        <v>34</v>
      </c>
      <c r="G1357" s="3" t="s">
        <v>35</v>
      </c>
      <c r="H1357" s="2" t="s">
        <v>18</v>
      </c>
      <c r="I1357" s="3" t="s">
        <v>19</v>
      </c>
      <c r="J1357" s="3">
        <v>2</v>
      </c>
      <c r="K1357" s="3">
        <v>1</v>
      </c>
      <c r="L1357" s="3">
        <v>0</v>
      </c>
      <c r="M1357" s="4">
        <f t="shared" si="183"/>
        <v>0.5</v>
      </c>
      <c r="N1357" s="4">
        <f t="shared" si="184"/>
        <v>0</v>
      </c>
      <c r="O1357">
        <v>0</v>
      </c>
      <c r="P1357" s="5">
        <v>0</v>
      </c>
      <c r="Q1357" s="7">
        <v>0</v>
      </c>
      <c r="R1357" t="s">
        <v>2350</v>
      </c>
      <c r="S1357" t="str">
        <f t="shared" si="185"/>
        <v>Больше половины</v>
      </c>
      <c r="T1357" t="str">
        <f t="shared" si="186"/>
        <v>Низшая четверть</v>
      </c>
      <c r="U1357" t="str">
        <f t="shared" si="187"/>
        <v>код для проверки</v>
      </c>
      <c r="V1357" t="str">
        <f t="shared" si="188"/>
        <v>Больше половины</v>
      </c>
      <c r="W1357" t="str">
        <f t="shared" si="189"/>
        <v>Низшая четверть</v>
      </c>
      <c r="X1357">
        <v>6</v>
      </c>
    </row>
    <row r="1358" spans="1:24" x14ac:dyDescent="0.35">
      <c r="A1358" s="1" t="s">
        <v>2252</v>
      </c>
      <c r="B1358" s="2" t="s">
        <v>2253</v>
      </c>
      <c r="C1358" s="3" t="s">
        <v>13</v>
      </c>
      <c r="D1358" s="2" t="s">
        <v>32</v>
      </c>
      <c r="E1358" s="3" t="s">
        <v>2178</v>
      </c>
      <c r="F1358" s="2" t="s">
        <v>61</v>
      </c>
      <c r="G1358" s="3" t="s">
        <v>35</v>
      </c>
      <c r="H1358" s="2" t="s">
        <v>18</v>
      </c>
      <c r="I1358" s="3" t="s">
        <v>19</v>
      </c>
      <c r="J1358" s="3">
        <v>2</v>
      </c>
      <c r="K1358" s="3">
        <v>3</v>
      </c>
      <c r="L1358" s="3">
        <v>0</v>
      </c>
      <c r="M1358" s="4">
        <f t="shared" si="183"/>
        <v>1.5</v>
      </c>
      <c r="N1358" s="4">
        <f t="shared" si="184"/>
        <v>0</v>
      </c>
      <c r="O1358">
        <v>0</v>
      </c>
      <c r="P1358" s="5">
        <v>0</v>
      </c>
      <c r="Q1358" s="7">
        <v>0</v>
      </c>
      <c r="R1358" t="s">
        <v>2350</v>
      </c>
      <c r="S1358" t="str">
        <f t="shared" si="185"/>
        <v>Больше половины</v>
      </c>
      <c r="T1358" t="str">
        <f t="shared" si="186"/>
        <v>Низшая четверть</v>
      </c>
      <c r="U1358" t="str">
        <f t="shared" si="187"/>
        <v>код для проверки</v>
      </c>
      <c r="V1358" t="str">
        <f t="shared" si="188"/>
        <v>Больше половины</v>
      </c>
      <c r="W1358" t="str">
        <f t="shared" si="189"/>
        <v>Низшая четверть</v>
      </c>
      <c r="X1358">
        <v>10</v>
      </c>
    </row>
    <row r="1359" spans="1:24" x14ac:dyDescent="0.35">
      <c r="A1359" s="1" t="s">
        <v>3020</v>
      </c>
      <c r="B1359" s="2" t="s">
        <v>3021</v>
      </c>
      <c r="C1359" s="3" t="s">
        <v>13</v>
      </c>
      <c r="D1359" s="2" t="s">
        <v>77</v>
      </c>
      <c r="E1359" s="3" t="s">
        <v>89</v>
      </c>
      <c r="F1359" s="2" t="s">
        <v>34</v>
      </c>
      <c r="G1359" s="3" t="s">
        <v>35</v>
      </c>
      <c r="H1359" s="2" t="s">
        <v>18</v>
      </c>
      <c r="I1359" s="3" t="s">
        <v>19</v>
      </c>
      <c r="J1359" s="3">
        <v>2</v>
      </c>
      <c r="K1359" s="3">
        <v>1</v>
      </c>
      <c r="L1359" s="3">
        <v>0</v>
      </c>
      <c r="M1359" s="4">
        <f t="shared" si="183"/>
        <v>0.5</v>
      </c>
      <c r="N1359" s="4">
        <f t="shared" si="184"/>
        <v>0</v>
      </c>
      <c r="O1359">
        <v>0</v>
      </c>
      <c r="P1359" s="5">
        <v>0</v>
      </c>
      <c r="Q1359" s="7">
        <v>0</v>
      </c>
      <c r="R1359" t="s">
        <v>2350</v>
      </c>
      <c r="S1359" t="str">
        <f t="shared" si="185"/>
        <v>Больше половины</v>
      </c>
      <c r="T1359" t="str">
        <f t="shared" si="186"/>
        <v>Низшая четверть</v>
      </c>
      <c r="U1359" t="str">
        <f t="shared" si="187"/>
        <v>код для проверки</v>
      </c>
      <c r="V1359" t="str">
        <f t="shared" si="188"/>
        <v>Больше половины</v>
      </c>
      <c r="W1359" t="str">
        <f t="shared" si="189"/>
        <v>Низшая четверть</v>
      </c>
      <c r="X1359">
        <v>18</v>
      </c>
    </row>
    <row r="1360" spans="1:24" x14ac:dyDescent="0.35">
      <c r="A1360" s="1" t="s">
        <v>2064</v>
      </c>
      <c r="B1360" s="2" t="s">
        <v>2065</v>
      </c>
      <c r="C1360" s="3" t="s">
        <v>13</v>
      </c>
      <c r="D1360" s="2" t="s">
        <v>77</v>
      </c>
      <c r="E1360" s="3" t="s">
        <v>2066</v>
      </c>
      <c r="F1360" s="2" t="s">
        <v>96</v>
      </c>
      <c r="G1360" s="3" t="s">
        <v>17</v>
      </c>
      <c r="H1360" s="2" t="s">
        <v>18</v>
      </c>
      <c r="I1360" s="3" t="s">
        <v>19</v>
      </c>
      <c r="J1360" s="3">
        <v>2</v>
      </c>
      <c r="K1360" s="3">
        <v>50</v>
      </c>
      <c r="L1360" s="3">
        <v>0</v>
      </c>
      <c r="M1360" s="4">
        <f t="shared" si="183"/>
        <v>25</v>
      </c>
      <c r="N1360" s="4">
        <f t="shared" si="184"/>
        <v>0</v>
      </c>
      <c r="O1360">
        <v>0</v>
      </c>
      <c r="P1360" s="5">
        <v>0</v>
      </c>
      <c r="Q1360" s="7">
        <v>0</v>
      </c>
      <c r="R1360" t="s">
        <v>2350</v>
      </c>
      <c r="S1360" t="str">
        <f t="shared" si="185"/>
        <v>Больше половины</v>
      </c>
      <c r="T1360" t="str">
        <f t="shared" si="186"/>
        <v>Низшая четверть</v>
      </c>
      <c r="U1360" t="e">
        <f t="shared" si="187"/>
        <v>#DIV/0!</v>
      </c>
      <c r="V1360" t="e">
        <f t="shared" si="188"/>
        <v>#DIV/0!</v>
      </c>
      <c r="W1360" t="e">
        <f t="shared" si="189"/>
        <v>#DIV/0!</v>
      </c>
      <c r="X1360">
        <v>18</v>
      </c>
    </row>
    <row r="1361" spans="1:24" x14ac:dyDescent="0.35">
      <c r="A1361" s="1" t="s">
        <v>3022</v>
      </c>
      <c r="B1361" s="2" t="s">
        <v>3023</v>
      </c>
      <c r="C1361" s="3" t="s">
        <v>13</v>
      </c>
      <c r="D1361" s="2" t="s">
        <v>104</v>
      </c>
      <c r="E1361" s="3" t="s">
        <v>711</v>
      </c>
      <c r="F1361" s="2" t="s">
        <v>96</v>
      </c>
      <c r="G1361" s="3" t="s">
        <v>35</v>
      </c>
      <c r="H1361" s="2" t="s">
        <v>18</v>
      </c>
      <c r="I1361" s="3" t="s">
        <v>19</v>
      </c>
      <c r="J1361" s="3">
        <v>2</v>
      </c>
      <c r="K1361" s="3">
        <v>2</v>
      </c>
      <c r="L1361" s="3">
        <v>0</v>
      </c>
      <c r="M1361" s="4">
        <f t="shared" si="183"/>
        <v>1</v>
      </c>
      <c r="N1361" s="4">
        <f t="shared" si="184"/>
        <v>0</v>
      </c>
      <c r="O1361">
        <v>0</v>
      </c>
      <c r="P1361" s="5">
        <v>0</v>
      </c>
      <c r="Q1361" s="7">
        <v>0</v>
      </c>
      <c r="R1361" t="s">
        <v>2350</v>
      </c>
      <c r="S1361" t="str">
        <f t="shared" si="185"/>
        <v>Больше половины</v>
      </c>
      <c r="T1361" t="str">
        <f t="shared" si="186"/>
        <v>Низшая четверть</v>
      </c>
      <c r="U1361" t="str">
        <f t="shared" si="187"/>
        <v>код для проверки</v>
      </c>
      <c r="V1361" t="str">
        <f t="shared" si="188"/>
        <v>Больше половины</v>
      </c>
      <c r="W1361" t="str">
        <f t="shared" si="189"/>
        <v>Низшая четверть</v>
      </c>
      <c r="X1361">
        <v>19</v>
      </c>
    </row>
    <row r="1362" spans="1:24" x14ac:dyDescent="0.35">
      <c r="A1362" s="1" t="s">
        <v>3024</v>
      </c>
      <c r="B1362" s="2" t="s">
        <v>3025</v>
      </c>
      <c r="C1362" s="3" t="s">
        <v>55</v>
      </c>
      <c r="D1362" s="2" t="s">
        <v>1874</v>
      </c>
      <c r="E1362" s="3" t="s">
        <v>1875</v>
      </c>
      <c r="F1362" s="2" t="s">
        <v>34</v>
      </c>
      <c r="G1362" s="3" t="s">
        <v>17</v>
      </c>
      <c r="H1362" s="2" t="s">
        <v>97</v>
      </c>
      <c r="I1362" s="3" t="s">
        <v>19</v>
      </c>
      <c r="J1362" s="3">
        <v>2</v>
      </c>
      <c r="K1362" s="3">
        <v>3</v>
      </c>
      <c r="L1362" s="3">
        <v>0</v>
      </c>
      <c r="M1362" s="4">
        <f t="shared" si="183"/>
        <v>1.5</v>
      </c>
      <c r="N1362" s="4">
        <f t="shared" si="184"/>
        <v>0</v>
      </c>
      <c r="O1362">
        <v>0</v>
      </c>
      <c r="P1362" s="5">
        <v>0</v>
      </c>
      <c r="Q1362" s="7">
        <v>0</v>
      </c>
      <c r="R1362" t="s">
        <v>2350</v>
      </c>
      <c r="S1362" t="str">
        <f t="shared" si="185"/>
        <v>Больше половины</v>
      </c>
      <c r="T1362" t="str">
        <f t="shared" si="186"/>
        <v>Низшая четверть</v>
      </c>
      <c r="U1362" t="str">
        <f t="shared" si="187"/>
        <v>код для проверки</v>
      </c>
      <c r="V1362" t="str">
        <f t="shared" si="188"/>
        <v>Больше половины</v>
      </c>
      <c r="W1362" t="str">
        <f t="shared" si="189"/>
        <v>Низшая четверть</v>
      </c>
      <c r="X1362">
        <v>11</v>
      </c>
    </row>
    <row r="1363" spans="1:24" x14ac:dyDescent="0.35">
      <c r="A1363" s="1" t="s">
        <v>1947</v>
      </c>
      <c r="B1363" s="2" t="s">
        <v>1948</v>
      </c>
      <c r="C1363" s="3" t="s">
        <v>55</v>
      </c>
      <c r="D1363" s="2" t="s">
        <v>336</v>
      </c>
      <c r="E1363" s="3" t="s">
        <v>1700</v>
      </c>
      <c r="F1363" s="2" t="s">
        <v>34</v>
      </c>
      <c r="G1363" s="3" t="s">
        <v>17</v>
      </c>
      <c r="H1363" s="2" t="s">
        <v>18</v>
      </c>
      <c r="I1363" s="3" t="s">
        <v>19</v>
      </c>
      <c r="J1363" s="3">
        <v>2</v>
      </c>
      <c r="K1363" s="3">
        <v>2</v>
      </c>
      <c r="L1363" s="3">
        <v>0</v>
      </c>
      <c r="M1363" s="4">
        <f t="shared" si="183"/>
        <v>1</v>
      </c>
      <c r="N1363" s="4">
        <f t="shared" si="184"/>
        <v>0</v>
      </c>
      <c r="O1363">
        <v>0</v>
      </c>
      <c r="P1363" s="5">
        <v>0</v>
      </c>
      <c r="Q1363" s="7">
        <v>0</v>
      </c>
      <c r="R1363" t="s">
        <v>2350</v>
      </c>
      <c r="S1363" t="str">
        <f t="shared" si="185"/>
        <v>Больше половины</v>
      </c>
      <c r="T1363" t="str">
        <f t="shared" si="186"/>
        <v>Низшая четверть</v>
      </c>
      <c r="U1363" t="e">
        <f t="shared" si="187"/>
        <v>#DIV/0!</v>
      </c>
      <c r="V1363" t="e">
        <f t="shared" si="188"/>
        <v>#DIV/0!</v>
      </c>
      <c r="W1363" t="e">
        <f t="shared" si="189"/>
        <v>#DIV/0!</v>
      </c>
      <c r="X1363">
        <v>6</v>
      </c>
    </row>
    <row r="1364" spans="1:24" x14ac:dyDescent="0.35">
      <c r="A1364" s="1" t="s">
        <v>2040</v>
      </c>
      <c r="B1364" s="2" t="s">
        <v>2041</v>
      </c>
      <c r="C1364" s="3" t="s">
        <v>55</v>
      </c>
      <c r="D1364" s="2" t="s">
        <v>336</v>
      </c>
      <c r="E1364" s="3" t="s">
        <v>1700</v>
      </c>
      <c r="F1364" s="2" t="s">
        <v>34</v>
      </c>
      <c r="G1364" s="3" t="s">
        <v>17</v>
      </c>
      <c r="H1364" s="2" t="s">
        <v>18</v>
      </c>
      <c r="I1364" s="3" t="s">
        <v>19</v>
      </c>
      <c r="J1364" s="3">
        <v>2</v>
      </c>
      <c r="K1364" s="3">
        <v>0</v>
      </c>
      <c r="L1364" s="3">
        <v>0</v>
      </c>
      <c r="M1364" s="4">
        <f t="shared" si="183"/>
        <v>0</v>
      </c>
      <c r="N1364" s="4">
        <f t="shared" si="184"/>
        <v>0</v>
      </c>
      <c r="O1364">
        <v>0</v>
      </c>
      <c r="P1364" s="5">
        <v>0</v>
      </c>
      <c r="Q1364" s="7">
        <v>0</v>
      </c>
      <c r="R1364" t="s">
        <v>2350</v>
      </c>
      <c r="S1364" t="str">
        <f t="shared" si="185"/>
        <v>Низшая четверть</v>
      </c>
      <c r="T1364" t="str">
        <f t="shared" si="186"/>
        <v>Низшая четверть</v>
      </c>
      <c r="U1364" t="e">
        <f t="shared" si="187"/>
        <v>#DIV/0!</v>
      </c>
      <c r="V1364" t="e">
        <f t="shared" si="188"/>
        <v>#DIV/0!</v>
      </c>
      <c r="W1364" t="e">
        <f t="shared" si="189"/>
        <v>#DIV/0!</v>
      </c>
      <c r="X1364">
        <v>5</v>
      </c>
    </row>
    <row r="1365" spans="1:24" x14ac:dyDescent="0.35">
      <c r="A1365" s="1" t="s">
        <v>2094</v>
      </c>
      <c r="B1365" s="2" t="s">
        <v>2095</v>
      </c>
      <c r="C1365" s="3" t="s">
        <v>55</v>
      </c>
      <c r="D1365" s="2" t="s">
        <v>336</v>
      </c>
      <c r="E1365" s="3" t="s">
        <v>2024</v>
      </c>
      <c r="F1365" s="2" t="s">
        <v>34</v>
      </c>
      <c r="G1365" s="3" t="s">
        <v>17</v>
      </c>
      <c r="H1365" s="2" t="s">
        <v>18</v>
      </c>
      <c r="I1365" s="3" t="s">
        <v>19</v>
      </c>
      <c r="J1365" s="3">
        <v>2</v>
      </c>
      <c r="K1365" s="3">
        <v>0</v>
      </c>
      <c r="L1365" s="3">
        <v>0</v>
      </c>
      <c r="M1365" s="4">
        <f t="shared" si="183"/>
        <v>0</v>
      </c>
      <c r="N1365" s="4">
        <f t="shared" si="184"/>
        <v>0</v>
      </c>
      <c r="O1365">
        <v>0</v>
      </c>
      <c r="P1365" s="5">
        <v>0</v>
      </c>
      <c r="Q1365" s="7">
        <v>0</v>
      </c>
      <c r="R1365" t="s">
        <v>2350</v>
      </c>
      <c r="S1365" t="str">
        <f t="shared" si="185"/>
        <v>Низшая четверть</v>
      </c>
      <c r="T1365" t="str">
        <f t="shared" si="186"/>
        <v>Низшая четверть</v>
      </c>
      <c r="U1365" t="e">
        <f t="shared" si="187"/>
        <v>#DIV/0!</v>
      </c>
      <c r="V1365" t="e">
        <f t="shared" si="188"/>
        <v>#DIV/0!</v>
      </c>
      <c r="W1365" t="e">
        <f t="shared" si="189"/>
        <v>#DIV/0!</v>
      </c>
      <c r="X1365">
        <v>5</v>
      </c>
    </row>
    <row r="1366" spans="1:24" x14ac:dyDescent="0.35">
      <c r="A1366" s="1" t="s">
        <v>2060</v>
      </c>
      <c r="B1366" s="2" t="s">
        <v>2061</v>
      </c>
      <c r="C1366" s="3" t="s">
        <v>13</v>
      </c>
      <c r="D1366" s="2" t="s">
        <v>2016</v>
      </c>
      <c r="E1366" s="3" t="s">
        <v>2017</v>
      </c>
      <c r="F1366" s="2" t="s">
        <v>34</v>
      </c>
      <c r="G1366" s="3" t="s">
        <v>17</v>
      </c>
      <c r="H1366" s="2" t="s">
        <v>18</v>
      </c>
      <c r="I1366" s="3" t="s">
        <v>19</v>
      </c>
      <c r="J1366" s="3">
        <v>2</v>
      </c>
      <c r="K1366" s="3">
        <v>0</v>
      </c>
      <c r="L1366" s="3">
        <v>0</v>
      </c>
      <c r="M1366" s="4">
        <f t="shared" si="183"/>
        <v>0</v>
      </c>
      <c r="N1366" s="4">
        <f t="shared" si="184"/>
        <v>0</v>
      </c>
      <c r="O1366">
        <v>0</v>
      </c>
      <c r="P1366" s="5">
        <v>0</v>
      </c>
      <c r="Q1366" s="7">
        <v>0</v>
      </c>
      <c r="R1366" t="s">
        <v>2350</v>
      </c>
      <c r="S1366" t="str">
        <f t="shared" si="185"/>
        <v>Низшая четверть</v>
      </c>
      <c r="T1366" t="str">
        <f t="shared" si="186"/>
        <v>Низшая четверть</v>
      </c>
      <c r="U1366" t="e">
        <f t="shared" si="187"/>
        <v>#DIV/0!</v>
      </c>
      <c r="V1366" t="e">
        <f t="shared" si="188"/>
        <v>#DIV/0!</v>
      </c>
      <c r="W1366" t="e">
        <f t="shared" si="189"/>
        <v>#DIV/0!</v>
      </c>
      <c r="X1366">
        <v>5</v>
      </c>
    </row>
    <row r="1367" spans="1:24" x14ac:dyDescent="0.35">
      <c r="A1367" s="1" t="s">
        <v>2156</v>
      </c>
      <c r="B1367" s="2" t="s">
        <v>2157</v>
      </c>
      <c r="C1367" s="3" t="s">
        <v>55</v>
      </c>
      <c r="D1367" s="2" t="s">
        <v>2087</v>
      </c>
      <c r="E1367" s="3" t="s">
        <v>2093</v>
      </c>
      <c r="F1367" s="2" t="s">
        <v>34</v>
      </c>
      <c r="G1367" s="3" t="s">
        <v>17</v>
      </c>
      <c r="H1367" s="2" t="s">
        <v>18</v>
      </c>
      <c r="I1367" s="3" t="s">
        <v>19</v>
      </c>
      <c r="J1367" s="3">
        <v>2</v>
      </c>
      <c r="K1367" s="3">
        <v>0</v>
      </c>
      <c r="L1367" s="3">
        <v>0</v>
      </c>
      <c r="M1367" s="4">
        <f t="shared" si="183"/>
        <v>0</v>
      </c>
      <c r="N1367" s="4">
        <f t="shared" si="184"/>
        <v>0</v>
      </c>
      <c r="O1367">
        <v>0</v>
      </c>
      <c r="P1367" s="5">
        <v>0</v>
      </c>
      <c r="Q1367" s="7">
        <v>0</v>
      </c>
      <c r="R1367" t="s">
        <v>2350</v>
      </c>
      <c r="S1367" t="str">
        <f t="shared" si="185"/>
        <v>Низшая четверть</v>
      </c>
      <c r="T1367" t="str">
        <f t="shared" si="186"/>
        <v>Низшая четверть</v>
      </c>
      <c r="U1367" t="e">
        <f t="shared" si="187"/>
        <v>#DIV/0!</v>
      </c>
      <c r="V1367" t="e">
        <f t="shared" si="188"/>
        <v>#DIV/0!</v>
      </c>
      <c r="W1367" t="e">
        <f t="shared" si="189"/>
        <v>#DIV/0!</v>
      </c>
      <c r="X1367">
        <v>3</v>
      </c>
    </row>
    <row r="1368" spans="1:24" x14ac:dyDescent="0.35">
      <c r="A1368" s="1" t="s">
        <v>2128</v>
      </c>
      <c r="B1368" s="2" t="s">
        <v>2129</v>
      </c>
      <c r="C1368" s="3" t="s">
        <v>55</v>
      </c>
      <c r="D1368" s="2" t="s">
        <v>336</v>
      </c>
      <c r="E1368" s="3" t="s">
        <v>1700</v>
      </c>
      <c r="F1368" s="2" t="s">
        <v>34</v>
      </c>
      <c r="G1368" s="3" t="s">
        <v>17</v>
      </c>
      <c r="H1368" s="2" t="s">
        <v>18</v>
      </c>
      <c r="I1368" s="3" t="s">
        <v>19</v>
      </c>
      <c r="J1368" s="3">
        <v>2</v>
      </c>
      <c r="K1368" s="3">
        <v>0</v>
      </c>
      <c r="L1368" s="3">
        <v>0</v>
      </c>
      <c r="M1368" s="4">
        <f t="shared" si="183"/>
        <v>0</v>
      </c>
      <c r="N1368" s="4">
        <f t="shared" si="184"/>
        <v>0</v>
      </c>
      <c r="O1368">
        <v>0</v>
      </c>
      <c r="P1368" s="5">
        <v>0</v>
      </c>
      <c r="Q1368" s="7">
        <v>0</v>
      </c>
      <c r="R1368" t="s">
        <v>2350</v>
      </c>
      <c r="S1368" t="str">
        <f t="shared" si="185"/>
        <v>Низшая четверть</v>
      </c>
      <c r="T1368" t="str">
        <f t="shared" si="186"/>
        <v>Низшая четверть</v>
      </c>
      <c r="U1368" t="e">
        <f t="shared" si="187"/>
        <v>#DIV/0!</v>
      </c>
      <c r="V1368" t="e">
        <f t="shared" si="188"/>
        <v>#DIV/0!</v>
      </c>
      <c r="W1368" t="e">
        <f t="shared" si="189"/>
        <v>#DIV/0!</v>
      </c>
      <c r="X1368">
        <v>4</v>
      </c>
    </row>
    <row r="1369" spans="1:24" x14ac:dyDescent="0.35">
      <c r="A1369" s="1" t="s">
        <v>2230</v>
      </c>
      <c r="B1369" s="2" t="s">
        <v>2231</v>
      </c>
      <c r="C1369" s="3" t="s">
        <v>13</v>
      </c>
      <c r="D1369" s="2" t="s">
        <v>32</v>
      </c>
      <c r="E1369" s="3" t="s">
        <v>2178</v>
      </c>
      <c r="F1369" s="2" t="s">
        <v>61</v>
      </c>
      <c r="G1369" s="3" t="s">
        <v>35</v>
      </c>
      <c r="H1369" s="2" t="s">
        <v>18</v>
      </c>
      <c r="I1369" s="3" t="s">
        <v>19</v>
      </c>
      <c r="J1369" s="3">
        <v>1</v>
      </c>
      <c r="K1369" s="3">
        <v>1</v>
      </c>
      <c r="L1369" s="3">
        <v>0</v>
      </c>
      <c r="M1369" s="4">
        <f t="shared" si="183"/>
        <v>1</v>
      </c>
      <c r="N1369" s="4">
        <f t="shared" si="184"/>
        <v>0</v>
      </c>
      <c r="O1369">
        <v>0</v>
      </c>
      <c r="P1369" s="5">
        <v>0</v>
      </c>
      <c r="Q1369" s="7">
        <v>0</v>
      </c>
      <c r="R1369" t="s">
        <v>2350</v>
      </c>
      <c r="S1369" t="str">
        <f t="shared" si="185"/>
        <v>Больше половины</v>
      </c>
      <c r="T1369" t="str">
        <f t="shared" si="186"/>
        <v>Низшая четверть</v>
      </c>
      <c r="U1369" t="str">
        <f t="shared" si="187"/>
        <v>код для проверки</v>
      </c>
      <c r="V1369" t="str">
        <f t="shared" si="188"/>
        <v>Больше половины</v>
      </c>
      <c r="W1369" t="str">
        <f t="shared" si="189"/>
        <v>Низшая четверть</v>
      </c>
      <c r="X1369">
        <v>8</v>
      </c>
    </row>
    <row r="1370" spans="1:24" x14ac:dyDescent="0.35">
      <c r="A1370" s="1" t="s">
        <v>3026</v>
      </c>
      <c r="B1370" s="2" t="s">
        <v>3027</v>
      </c>
      <c r="C1370" s="3" t="s">
        <v>13</v>
      </c>
      <c r="D1370" s="2" t="s">
        <v>32</v>
      </c>
      <c r="E1370" s="3" t="s">
        <v>2178</v>
      </c>
      <c r="F1370" s="2" t="s">
        <v>61</v>
      </c>
      <c r="G1370" s="3" t="s">
        <v>35</v>
      </c>
      <c r="H1370" s="2" t="s">
        <v>18</v>
      </c>
      <c r="I1370" s="3" t="s">
        <v>19</v>
      </c>
      <c r="J1370" s="3">
        <v>1</v>
      </c>
      <c r="K1370" s="3">
        <v>2</v>
      </c>
      <c r="L1370" s="3">
        <v>0</v>
      </c>
      <c r="M1370" s="4">
        <f t="shared" si="183"/>
        <v>2</v>
      </c>
      <c r="N1370" s="4">
        <f t="shared" si="184"/>
        <v>0</v>
      </c>
      <c r="O1370">
        <v>0</v>
      </c>
      <c r="P1370" s="5">
        <v>0</v>
      </c>
      <c r="Q1370" s="7">
        <v>0</v>
      </c>
      <c r="R1370" t="s">
        <v>2350</v>
      </c>
      <c r="S1370" t="str">
        <f t="shared" si="185"/>
        <v>Больше половины</v>
      </c>
      <c r="T1370" t="str">
        <f t="shared" si="186"/>
        <v>Низшая четверть</v>
      </c>
      <c r="U1370" t="str">
        <f t="shared" si="187"/>
        <v>код для проверки</v>
      </c>
      <c r="V1370" t="str">
        <f t="shared" si="188"/>
        <v>Больше половины</v>
      </c>
      <c r="W1370" t="str">
        <f t="shared" si="189"/>
        <v>Низшая четверть</v>
      </c>
      <c r="X1370">
        <v>13</v>
      </c>
    </row>
    <row r="1371" spans="1:24" x14ac:dyDescent="0.35">
      <c r="A1371" s="1" t="s">
        <v>3028</v>
      </c>
      <c r="B1371" s="2" t="s">
        <v>3029</v>
      </c>
      <c r="C1371" s="3" t="s">
        <v>13</v>
      </c>
      <c r="D1371" s="2" t="s">
        <v>77</v>
      </c>
      <c r="E1371" s="3" t="s">
        <v>89</v>
      </c>
      <c r="F1371" s="2" t="s">
        <v>34</v>
      </c>
      <c r="G1371" s="3" t="s">
        <v>35</v>
      </c>
      <c r="H1371" s="2" t="s">
        <v>18</v>
      </c>
      <c r="I1371" s="3" t="s">
        <v>19</v>
      </c>
      <c r="J1371" s="3">
        <v>1</v>
      </c>
      <c r="K1371" s="3">
        <v>1</v>
      </c>
      <c r="L1371" s="3">
        <v>0</v>
      </c>
      <c r="M1371" s="4">
        <f t="shared" si="183"/>
        <v>1</v>
      </c>
      <c r="N1371" s="4">
        <f t="shared" si="184"/>
        <v>0</v>
      </c>
      <c r="O1371">
        <v>0</v>
      </c>
      <c r="P1371" s="5">
        <v>0</v>
      </c>
      <c r="Q1371" s="7">
        <v>0</v>
      </c>
      <c r="R1371" t="s">
        <v>2350</v>
      </c>
      <c r="S1371" t="str">
        <f t="shared" si="185"/>
        <v>Больше половины</v>
      </c>
      <c r="T1371" t="str">
        <f t="shared" si="186"/>
        <v>Низшая четверть</v>
      </c>
      <c r="U1371" t="str">
        <f t="shared" si="187"/>
        <v>код для проверки</v>
      </c>
      <c r="V1371" t="str">
        <f t="shared" si="188"/>
        <v>Больше половины</v>
      </c>
      <c r="W1371" t="str">
        <f t="shared" si="189"/>
        <v>Низшая четверть</v>
      </c>
      <c r="X1371">
        <v>9</v>
      </c>
    </row>
    <row r="1372" spans="1:24" x14ac:dyDescent="0.35">
      <c r="A1372" s="1" t="s">
        <v>2269</v>
      </c>
      <c r="B1372" s="2" t="s">
        <v>2270</v>
      </c>
      <c r="C1372" s="3" t="s">
        <v>13</v>
      </c>
      <c r="D1372" s="2" t="s">
        <v>32</v>
      </c>
      <c r="E1372" s="3" t="s">
        <v>2178</v>
      </c>
      <c r="F1372" s="2" t="s">
        <v>61</v>
      </c>
      <c r="G1372" s="3" t="s">
        <v>35</v>
      </c>
      <c r="H1372" s="2" t="s">
        <v>18</v>
      </c>
      <c r="I1372" s="3" t="s">
        <v>19</v>
      </c>
      <c r="J1372" s="3">
        <v>1</v>
      </c>
      <c r="K1372" s="3">
        <v>1</v>
      </c>
      <c r="L1372" s="3">
        <v>0</v>
      </c>
      <c r="M1372" s="4">
        <f t="shared" si="183"/>
        <v>1</v>
      </c>
      <c r="N1372" s="4">
        <f t="shared" si="184"/>
        <v>0</v>
      </c>
      <c r="O1372">
        <v>0</v>
      </c>
      <c r="P1372" s="5">
        <v>0</v>
      </c>
      <c r="Q1372" s="7">
        <v>0</v>
      </c>
      <c r="R1372" t="s">
        <v>2350</v>
      </c>
      <c r="S1372" t="str">
        <f t="shared" si="185"/>
        <v>Больше половины</v>
      </c>
      <c r="T1372" t="str">
        <f t="shared" si="186"/>
        <v>Низшая четверть</v>
      </c>
      <c r="U1372" t="str">
        <f t="shared" si="187"/>
        <v>код для проверки</v>
      </c>
      <c r="V1372" t="str">
        <f t="shared" si="188"/>
        <v>Больше половины</v>
      </c>
      <c r="W1372" t="str">
        <f t="shared" si="189"/>
        <v>Низшая четверть</v>
      </c>
      <c r="X1372">
        <v>6</v>
      </c>
    </row>
    <row r="1373" spans="1:24" x14ac:dyDescent="0.35">
      <c r="A1373" s="1" t="s">
        <v>3030</v>
      </c>
      <c r="B1373" s="2" t="s">
        <v>3031</v>
      </c>
      <c r="C1373" s="3" t="s">
        <v>13</v>
      </c>
      <c r="D1373" s="2" t="s">
        <v>32</v>
      </c>
      <c r="E1373" s="3" t="s">
        <v>2178</v>
      </c>
      <c r="F1373" s="2" t="s">
        <v>61</v>
      </c>
      <c r="G1373" s="3" t="s">
        <v>17</v>
      </c>
      <c r="H1373" s="2" t="s">
        <v>18</v>
      </c>
      <c r="I1373" s="3" t="s">
        <v>19</v>
      </c>
      <c r="J1373" s="3">
        <v>1</v>
      </c>
      <c r="K1373" s="3">
        <v>2</v>
      </c>
      <c r="L1373" s="3">
        <v>0</v>
      </c>
      <c r="M1373" s="4">
        <f t="shared" si="183"/>
        <v>2</v>
      </c>
      <c r="N1373" s="4">
        <f t="shared" si="184"/>
        <v>0</v>
      </c>
      <c r="O1373">
        <v>0</v>
      </c>
      <c r="P1373" s="5">
        <v>0</v>
      </c>
      <c r="Q1373" s="7">
        <v>0</v>
      </c>
      <c r="R1373" t="s">
        <v>2350</v>
      </c>
      <c r="S1373" t="str">
        <f t="shared" si="185"/>
        <v>Больше половины</v>
      </c>
      <c r="T1373" t="str">
        <f t="shared" si="186"/>
        <v>Низшая четверть</v>
      </c>
      <c r="U1373" t="str">
        <f t="shared" si="187"/>
        <v>код для проверки</v>
      </c>
      <c r="V1373" t="str">
        <f t="shared" si="188"/>
        <v>Больше половины</v>
      </c>
      <c r="W1373" t="str">
        <f t="shared" si="189"/>
        <v>Низшая четверть</v>
      </c>
      <c r="X1373">
        <v>7</v>
      </c>
    </row>
    <row r="1374" spans="1:24" x14ac:dyDescent="0.35">
      <c r="A1374" s="1" t="s">
        <v>3032</v>
      </c>
      <c r="B1374" s="2" t="s">
        <v>3033</v>
      </c>
      <c r="C1374" s="3" t="s">
        <v>13</v>
      </c>
      <c r="D1374" s="2" t="s">
        <v>77</v>
      </c>
      <c r="E1374" s="3" t="s">
        <v>89</v>
      </c>
      <c r="F1374" s="2" t="s">
        <v>34</v>
      </c>
      <c r="G1374" s="3" t="s">
        <v>35</v>
      </c>
      <c r="H1374" s="2" t="s">
        <v>18</v>
      </c>
      <c r="I1374" s="3" t="s">
        <v>19</v>
      </c>
      <c r="J1374" s="3">
        <v>1</v>
      </c>
      <c r="K1374" s="3">
        <v>1</v>
      </c>
      <c r="L1374" s="3">
        <v>0</v>
      </c>
      <c r="M1374" s="4">
        <f t="shared" si="183"/>
        <v>1</v>
      </c>
      <c r="N1374" s="4">
        <f t="shared" si="184"/>
        <v>0</v>
      </c>
      <c r="O1374">
        <v>0</v>
      </c>
      <c r="P1374" s="5">
        <v>0</v>
      </c>
      <c r="Q1374" s="7">
        <v>0</v>
      </c>
      <c r="R1374" t="s">
        <v>2350</v>
      </c>
      <c r="S1374" t="str">
        <f t="shared" si="185"/>
        <v>Больше половины</v>
      </c>
      <c r="T1374" t="str">
        <f t="shared" si="186"/>
        <v>Низшая четверть</v>
      </c>
      <c r="U1374" t="str">
        <f t="shared" si="187"/>
        <v>код для проверки</v>
      </c>
      <c r="V1374" t="str">
        <f t="shared" si="188"/>
        <v>Больше половины</v>
      </c>
      <c r="W1374" t="str">
        <f t="shared" si="189"/>
        <v>Низшая четверть</v>
      </c>
      <c r="X1374">
        <v>19</v>
      </c>
    </row>
    <row r="1375" spans="1:24" x14ac:dyDescent="0.35">
      <c r="A1375" s="1" t="s">
        <v>2179</v>
      </c>
      <c r="B1375" s="2" t="s">
        <v>2180</v>
      </c>
      <c r="C1375" s="3" t="s">
        <v>13</v>
      </c>
      <c r="D1375" s="2" t="s">
        <v>77</v>
      </c>
      <c r="E1375" s="3" t="s">
        <v>89</v>
      </c>
      <c r="F1375" s="2" t="s">
        <v>34</v>
      </c>
      <c r="G1375" s="3" t="s">
        <v>35</v>
      </c>
      <c r="H1375" s="2" t="s">
        <v>18</v>
      </c>
      <c r="I1375" s="3" t="s">
        <v>19</v>
      </c>
      <c r="J1375" s="3">
        <v>1</v>
      </c>
      <c r="K1375" s="3">
        <v>1</v>
      </c>
      <c r="L1375" s="3">
        <v>0</v>
      </c>
      <c r="M1375" s="4">
        <f t="shared" si="183"/>
        <v>1</v>
      </c>
      <c r="N1375" s="4">
        <f t="shared" si="184"/>
        <v>0</v>
      </c>
      <c r="O1375">
        <v>0</v>
      </c>
      <c r="P1375" s="5">
        <v>0</v>
      </c>
      <c r="Q1375" s="7">
        <v>0</v>
      </c>
      <c r="R1375" t="s">
        <v>2350</v>
      </c>
      <c r="S1375" t="str">
        <f t="shared" si="185"/>
        <v>Больше половины</v>
      </c>
      <c r="T1375" t="str">
        <f t="shared" si="186"/>
        <v>Низшая четверть</v>
      </c>
      <c r="U1375" t="str">
        <f t="shared" si="187"/>
        <v>код для проверки</v>
      </c>
      <c r="V1375" t="str">
        <f t="shared" si="188"/>
        <v>Больше половины</v>
      </c>
      <c r="W1375" t="str">
        <f t="shared" si="189"/>
        <v>Низшая четверть</v>
      </c>
      <c r="X1375">
        <v>12</v>
      </c>
    </row>
    <row r="1376" spans="1:24" x14ac:dyDescent="0.35">
      <c r="A1376" s="1" t="s">
        <v>3034</v>
      </c>
      <c r="B1376" s="2" t="s">
        <v>3035</v>
      </c>
      <c r="C1376" s="3" t="s">
        <v>13</v>
      </c>
      <c r="D1376" s="2" t="s">
        <v>155</v>
      </c>
      <c r="E1376" s="3" t="s">
        <v>156</v>
      </c>
      <c r="F1376" s="2" t="s">
        <v>34</v>
      </c>
      <c r="G1376" s="3" t="s">
        <v>17</v>
      </c>
      <c r="H1376" s="2" t="s">
        <v>18</v>
      </c>
      <c r="I1376" s="3" t="s">
        <v>19</v>
      </c>
      <c r="J1376" s="3">
        <v>1</v>
      </c>
      <c r="K1376" s="3">
        <v>1</v>
      </c>
      <c r="L1376" s="3">
        <v>0</v>
      </c>
      <c r="M1376" s="4">
        <f t="shared" si="183"/>
        <v>1</v>
      </c>
      <c r="N1376" s="4">
        <f t="shared" si="184"/>
        <v>0</v>
      </c>
      <c r="O1376">
        <v>0</v>
      </c>
      <c r="P1376" s="5">
        <v>0</v>
      </c>
      <c r="Q1376" s="7">
        <v>0</v>
      </c>
      <c r="R1376" t="s">
        <v>2350</v>
      </c>
      <c r="S1376" t="str">
        <f t="shared" si="185"/>
        <v>Больше половины</v>
      </c>
      <c r="T1376" t="str">
        <f t="shared" si="186"/>
        <v>Низшая четверть</v>
      </c>
      <c r="U1376" t="str">
        <f t="shared" si="187"/>
        <v>код для проверки</v>
      </c>
      <c r="V1376" t="str">
        <f t="shared" si="188"/>
        <v>Больше половины</v>
      </c>
      <c r="W1376" t="str">
        <f t="shared" si="189"/>
        <v>Низшая четверть</v>
      </c>
      <c r="X1376">
        <v>8</v>
      </c>
    </row>
    <row r="1377" spans="1:24" x14ac:dyDescent="0.35">
      <c r="A1377" s="1" t="s">
        <v>2100</v>
      </c>
      <c r="B1377" s="2" t="s">
        <v>2101</v>
      </c>
      <c r="C1377" s="3" t="s">
        <v>13</v>
      </c>
      <c r="D1377" s="2" t="s">
        <v>32</v>
      </c>
      <c r="E1377" s="3" t="s">
        <v>2027</v>
      </c>
      <c r="F1377" s="2" t="s">
        <v>34</v>
      </c>
      <c r="G1377" s="3" t="s">
        <v>17</v>
      </c>
      <c r="H1377" s="2" t="s">
        <v>18</v>
      </c>
      <c r="I1377" s="3" t="s">
        <v>19</v>
      </c>
      <c r="J1377" s="3">
        <v>1</v>
      </c>
      <c r="K1377" s="3">
        <v>0</v>
      </c>
      <c r="L1377" s="3">
        <v>0</v>
      </c>
      <c r="M1377" s="4">
        <f t="shared" si="183"/>
        <v>0</v>
      </c>
      <c r="N1377" s="4">
        <f t="shared" si="184"/>
        <v>0</v>
      </c>
      <c r="O1377">
        <v>0</v>
      </c>
      <c r="P1377" s="5">
        <v>0</v>
      </c>
      <c r="Q1377" s="7">
        <v>0</v>
      </c>
      <c r="R1377" t="s">
        <v>2350</v>
      </c>
      <c r="S1377" t="str">
        <f t="shared" si="185"/>
        <v>Низшая четверть</v>
      </c>
      <c r="T1377" t="str">
        <f t="shared" si="186"/>
        <v>Низшая четверть</v>
      </c>
      <c r="U1377" t="e">
        <f t="shared" si="187"/>
        <v>#DIV/0!</v>
      </c>
      <c r="V1377" t="e">
        <f t="shared" si="188"/>
        <v>#DIV/0!</v>
      </c>
      <c r="W1377" t="e">
        <f t="shared" si="189"/>
        <v>#DIV/0!</v>
      </c>
      <c r="X1377">
        <v>4</v>
      </c>
    </row>
    <row r="1378" spans="1:24" x14ac:dyDescent="0.35">
      <c r="A1378" s="1" t="s">
        <v>3036</v>
      </c>
      <c r="B1378" s="2" t="s">
        <v>3037</v>
      </c>
      <c r="C1378" s="3" t="s">
        <v>13</v>
      </c>
      <c r="D1378" s="2" t="s">
        <v>155</v>
      </c>
      <c r="E1378" s="3" t="s">
        <v>156</v>
      </c>
      <c r="F1378" s="2" t="s">
        <v>34</v>
      </c>
      <c r="G1378" s="3" t="s">
        <v>17</v>
      </c>
      <c r="H1378" s="2" t="s">
        <v>18</v>
      </c>
      <c r="I1378" s="3" t="s">
        <v>19</v>
      </c>
      <c r="J1378" s="3">
        <v>1</v>
      </c>
      <c r="K1378" s="3">
        <v>3</v>
      </c>
      <c r="L1378" s="3">
        <v>0</v>
      </c>
      <c r="M1378" s="4">
        <f t="shared" si="183"/>
        <v>3</v>
      </c>
      <c r="N1378" s="4">
        <f t="shared" si="184"/>
        <v>0</v>
      </c>
      <c r="O1378">
        <v>0</v>
      </c>
      <c r="P1378" s="5">
        <v>0</v>
      </c>
      <c r="Q1378" s="7">
        <v>0</v>
      </c>
      <c r="R1378" t="s">
        <v>2350</v>
      </c>
      <c r="S1378" t="str">
        <f t="shared" si="185"/>
        <v>Больше половины</v>
      </c>
      <c r="T1378" t="str">
        <f t="shared" si="186"/>
        <v>Низшая четверть</v>
      </c>
      <c r="U1378" t="str">
        <f t="shared" si="187"/>
        <v>код для проверки</v>
      </c>
      <c r="V1378" t="str">
        <f t="shared" si="188"/>
        <v>Больше половины</v>
      </c>
      <c r="W1378" t="str">
        <f t="shared" si="189"/>
        <v>Низшая четверть</v>
      </c>
      <c r="X1378">
        <v>7</v>
      </c>
    </row>
    <row r="1379" spans="1:24" x14ac:dyDescent="0.35">
      <c r="A1379" s="1" t="s">
        <v>2313</v>
      </c>
      <c r="B1379" s="2" t="s">
        <v>2314</v>
      </c>
      <c r="C1379" s="3" t="s">
        <v>13</v>
      </c>
      <c r="D1379" s="2" t="s">
        <v>104</v>
      </c>
      <c r="E1379" s="3" t="s">
        <v>711</v>
      </c>
      <c r="F1379" s="2" t="s">
        <v>96</v>
      </c>
      <c r="G1379" s="3" t="s">
        <v>17</v>
      </c>
      <c r="H1379" s="2" t="s">
        <v>18</v>
      </c>
      <c r="I1379" s="3" t="s">
        <v>19</v>
      </c>
      <c r="J1379" s="3">
        <v>1</v>
      </c>
      <c r="K1379" s="3">
        <v>3</v>
      </c>
      <c r="L1379" s="3">
        <v>0</v>
      </c>
      <c r="M1379" s="4">
        <f t="shared" si="183"/>
        <v>3</v>
      </c>
      <c r="N1379" s="4">
        <f t="shared" si="184"/>
        <v>0</v>
      </c>
      <c r="O1379">
        <v>0</v>
      </c>
      <c r="P1379" s="5">
        <v>0</v>
      </c>
      <c r="Q1379" s="7">
        <v>0</v>
      </c>
      <c r="R1379" t="s">
        <v>2350</v>
      </c>
      <c r="S1379" t="str">
        <f t="shared" si="185"/>
        <v>Больше половины</v>
      </c>
      <c r="T1379" t="str">
        <f t="shared" si="186"/>
        <v>Низшая четверть</v>
      </c>
      <c r="U1379" t="str">
        <f t="shared" si="187"/>
        <v>код для проверки</v>
      </c>
      <c r="V1379" t="str">
        <f t="shared" si="188"/>
        <v>Больше половины</v>
      </c>
      <c r="W1379" t="str">
        <f t="shared" si="189"/>
        <v>Низшая четверть</v>
      </c>
      <c r="X1379">
        <v>12</v>
      </c>
    </row>
    <row r="1380" spans="1:24" x14ac:dyDescent="0.35">
      <c r="A1380" s="1" t="s">
        <v>2142</v>
      </c>
      <c r="B1380" s="2" t="s">
        <v>2143</v>
      </c>
      <c r="C1380" s="3" t="s">
        <v>13</v>
      </c>
      <c r="D1380" s="2" t="s">
        <v>104</v>
      </c>
      <c r="E1380" s="3" t="s">
        <v>711</v>
      </c>
      <c r="F1380" s="2" t="s">
        <v>96</v>
      </c>
      <c r="G1380" s="3" t="s">
        <v>17</v>
      </c>
      <c r="H1380" s="2" t="s">
        <v>18</v>
      </c>
      <c r="I1380" s="3" t="s">
        <v>19</v>
      </c>
      <c r="J1380" s="3">
        <v>1</v>
      </c>
      <c r="K1380" s="3">
        <v>3</v>
      </c>
      <c r="L1380" s="3">
        <v>0</v>
      </c>
      <c r="M1380" s="4">
        <f t="shared" si="183"/>
        <v>3</v>
      </c>
      <c r="N1380" s="4">
        <f t="shared" si="184"/>
        <v>0</v>
      </c>
      <c r="O1380">
        <v>0</v>
      </c>
      <c r="P1380" s="5">
        <v>0</v>
      </c>
      <c r="Q1380" s="7">
        <v>0</v>
      </c>
      <c r="R1380" t="s">
        <v>2350</v>
      </c>
      <c r="S1380" t="str">
        <f t="shared" si="185"/>
        <v>Больше половины</v>
      </c>
      <c r="T1380" t="str">
        <f t="shared" si="186"/>
        <v>Низшая четверть</v>
      </c>
      <c r="U1380" t="str">
        <f t="shared" si="187"/>
        <v>код для проверки</v>
      </c>
      <c r="V1380" t="str">
        <f t="shared" si="188"/>
        <v>Больше половины</v>
      </c>
      <c r="W1380" t="str">
        <f t="shared" si="189"/>
        <v>Низшая четверть</v>
      </c>
      <c r="X1380">
        <v>21</v>
      </c>
    </row>
    <row r="1381" spans="1:24" x14ac:dyDescent="0.35">
      <c r="A1381" s="1" t="s">
        <v>2148</v>
      </c>
      <c r="B1381" s="2" t="s">
        <v>2149</v>
      </c>
      <c r="C1381" s="3" t="s">
        <v>13</v>
      </c>
      <c r="D1381" s="2" t="s">
        <v>85</v>
      </c>
      <c r="E1381" s="3" t="s">
        <v>1937</v>
      </c>
      <c r="F1381" s="2" t="s">
        <v>96</v>
      </c>
      <c r="G1381" s="3" t="s">
        <v>35</v>
      </c>
      <c r="H1381" s="2" t="s">
        <v>18</v>
      </c>
      <c r="I1381" s="3" t="s">
        <v>19</v>
      </c>
      <c r="J1381" s="3">
        <v>1</v>
      </c>
      <c r="K1381" s="3">
        <v>3</v>
      </c>
      <c r="L1381" s="3">
        <v>0</v>
      </c>
      <c r="M1381" s="4">
        <f t="shared" si="183"/>
        <v>3</v>
      </c>
      <c r="N1381" s="4">
        <f t="shared" si="184"/>
        <v>0</v>
      </c>
      <c r="O1381">
        <v>0</v>
      </c>
      <c r="P1381" s="5">
        <v>0</v>
      </c>
      <c r="Q1381" s="7">
        <v>0</v>
      </c>
      <c r="R1381" t="s">
        <v>2350</v>
      </c>
      <c r="S1381" t="str">
        <f t="shared" si="185"/>
        <v>Больше половины</v>
      </c>
      <c r="T1381" t="str">
        <f t="shared" si="186"/>
        <v>Низшая четверть</v>
      </c>
      <c r="U1381" t="str">
        <f t="shared" si="187"/>
        <v>код для проверки</v>
      </c>
      <c r="V1381" t="str">
        <f t="shared" si="188"/>
        <v>Больше половины</v>
      </c>
      <c r="W1381" t="str">
        <f t="shared" si="189"/>
        <v>Низшая четверть</v>
      </c>
      <c r="X1381">
        <v>13</v>
      </c>
    </row>
    <row r="1382" spans="1:24" x14ac:dyDescent="0.35">
      <c r="A1382" s="1" t="s">
        <v>2108</v>
      </c>
      <c r="B1382" s="2" t="s">
        <v>2109</v>
      </c>
      <c r="C1382" s="3" t="s">
        <v>13</v>
      </c>
      <c r="D1382" s="2" t="s">
        <v>2016</v>
      </c>
      <c r="E1382" s="3" t="s">
        <v>2017</v>
      </c>
      <c r="F1382" s="2" t="s">
        <v>34</v>
      </c>
      <c r="G1382" s="3" t="s">
        <v>17</v>
      </c>
      <c r="H1382" s="2" t="s">
        <v>18</v>
      </c>
      <c r="I1382" s="3" t="s">
        <v>19</v>
      </c>
      <c r="J1382" s="3">
        <v>1</v>
      </c>
      <c r="K1382" s="3">
        <v>0</v>
      </c>
      <c r="L1382" s="3">
        <v>0</v>
      </c>
      <c r="M1382" s="4">
        <f t="shared" si="183"/>
        <v>0</v>
      </c>
      <c r="N1382" s="4">
        <f t="shared" si="184"/>
        <v>0</v>
      </c>
      <c r="O1382">
        <v>0</v>
      </c>
      <c r="P1382" s="5">
        <v>0</v>
      </c>
      <c r="Q1382" s="7">
        <v>0</v>
      </c>
      <c r="R1382" t="s">
        <v>2350</v>
      </c>
      <c r="S1382" t="str">
        <f t="shared" si="185"/>
        <v>Низшая четверть</v>
      </c>
      <c r="T1382" t="str">
        <f t="shared" si="186"/>
        <v>Низшая четверть</v>
      </c>
      <c r="U1382" t="e">
        <f t="shared" si="187"/>
        <v>#DIV/0!</v>
      </c>
      <c r="V1382" t="e">
        <f t="shared" si="188"/>
        <v>#DIV/0!</v>
      </c>
      <c r="W1382" t="e">
        <f t="shared" si="189"/>
        <v>#DIV/0!</v>
      </c>
      <c r="X1382">
        <v>4</v>
      </c>
    </row>
    <row r="1383" spans="1:24" x14ac:dyDescent="0.35">
      <c r="A1383" s="1" t="s">
        <v>2112</v>
      </c>
      <c r="B1383" s="2" t="s">
        <v>2113</v>
      </c>
      <c r="C1383" s="3" t="s">
        <v>55</v>
      </c>
      <c r="D1383" s="2" t="s">
        <v>336</v>
      </c>
      <c r="E1383" s="3" t="s">
        <v>2024</v>
      </c>
      <c r="F1383" s="2" t="s">
        <v>34</v>
      </c>
      <c r="G1383" s="3" t="s">
        <v>17</v>
      </c>
      <c r="H1383" s="2" t="s">
        <v>18</v>
      </c>
      <c r="I1383" s="3" t="s">
        <v>19</v>
      </c>
      <c r="J1383" s="3">
        <v>1</v>
      </c>
      <c r="K1383" s="3">
        <v>0</v>
      </c>
      <c r="L1383" s="3">
        <v>0</v>
      </c>
      <c r="M1383" s="4">
        <f t="shared" si="183"/>
        <v>0</v>
      </c>
      <c r="N1383" s="4">
        <f t="shared" si="184"/>
        <v>0</v>
      </c>
      <c r="O1383">
        <v>0</v>
      </c>
      <c r="P1383" s="5">
        <v>0</v>
      </c>
      <c r="Q1383" s="7">
        <v>0</v>
      </c>
      <c r="R1383" t="s">
        <v>2350</v>
      </c>
      <c r="S1383" t="str">
        <f t="shared" si="185"/>
        <v>Низшая четверть</v>
      </c>
      <c r="T1383" t="str">
        <f t="shared" si="186"/>
        <v>Низшая четверть</v>
      </c>
      <c r="U1383" t="e">
        <f t="shared" si="187"/>
        <v>#DIV/0!</v>
      </c>
      <c r="V1383" t="e">
        <f t="shared" si="188"/>
        <v>#DIV/0!</v>
      </c>
      <c r="W1383" t="e">
        <f t="shared" si="189"/>
        <v>#DIV/0!</v>
      </c>
      <c r="X1383">
        <v>4</v>
      </c>
    </row>
    <row r="1384" spans="1:24" x14ac:dyDescent="0.35">
      <c r="A1384" s="1" t="s">
        <v>2437</v>
      </c>
      <c r="B1384" s="2" t="s">
        <v>2438</v>
      </c>
      <c r="C1384" s="3" t="s">
        <v>55</v>
      </c>
      <c r="D1384" s="2" t="s">
        <v>336</v>
      </c>
      <c r="E1384" s="3" t="s">
        <v>1700</v>
      </c>
      <c r="F1384" s="2" t="s">
        <v>34</v>
      </c>
      <c r="G1384" s="3" t="s">
        <v>17</v>
      </c>
      <c r="H1384" s="2" t="s">
        <v>18</v>
      </c>
      <c r="I1384" s="3" t="s">
        <v>19</v>
      </c>
      <c r="J1384" s="3">
        <v>1</v>
      </c>
      <c r="K1384" s="3">
        <v>0</v>
      </c>
      <c r="L1384" s="3">
        <v>0</v>
      </c>
      <c r="M1384" s="4">
        <f t="shared" si="183"/>
        <v>0</v>
      </c>
      <c r="N1384" s="4">
        <f t="shared" si="184"/>
        <v>0</v>
      </c>
      <c r="O1384">
        <v>0</v>
      </c>
      <c r="P1384" s="5">
        <v>0</v>
      </c>
      <c r="Q1384" s="7">
        <v>0</v>
      </c>
      <c r="R1384" t="s">
        <v>2350</v>
      </c>
      <c r="S1384" t="str">
        <f t="shared" si="185"/>
        <v>Низшая четверть</v>
      </c>
      <c r="T1384" t="str">
        <f t="shared" si="186"/>
        <v>Низшая четверть</v>
      </c>
      <c r="U1384" t="e">
        <f t="shared" si="187"/>
        <v>#DIV/0!</v>
      </c>
      <c r="V1384" t="e">
        <f t="shared" si="188"/>
        <v>#DIV/0!</v>
      </c>
      <c r="W1384" t="e">
        <f t="shared" si="189"/>
        <v>#DIV/0!</v>
      </c>
      <c r="X1384">
        <v>5</v>
      </c>
    </row>
    <row r="1385" spans="1:24" x14ac:dyDescent="0.35">
      <c r="A1385" s="1" t="s">
        <v>3038</v>
      </c>
      <c r="B1385" s="2" t="s">
        <v>3039</v>
      </c>
      <c r="C1385" s="3" t="s">
        <v>55</v>
      </c>
      <c r="D1385" s="2" t="s">
        <v>336</v>
      </c>
      <c r="E1385" s="3" t="s">
        <v>2024</v>
      </c>
      <c r="F1385" s="2" t="s">
        <v>34</v>
      </c>
      <c r="G1385" s="3" t="s">
        <v>17</v>
      </c>
      <c r="H1385" s="2" t="s">
        <v>18</v>
      </c>
      <c r="I1385" s="3" t="s">
        <v>19</v>
      </c>
      <c r="J1385" s="3">
        <v>1</v>
      </c>
      <c r="K1385" s="3">
        <v>0</v>
      </c>
      <c r="L1385" s="3">
        <v>0</v>
      </c>
      <c r="M1385" s="4">
        <f t="shared" si="183"/>
        <v>0</v>
      </c>
      <c r="N1385" s="4">
        <f t="shared" si="184"/>
        <v>0</v>
      </c>
      <c r="O1385">
        <v>0</v>
      </c>
      <c r="P1385" s="5">
        <v>0</v>
      </c>
      <c r="Q1385" s="7">
        <v>0</v>
      </c>
      <c r="R1385" t="s">
        <v>2350</v>
      </c>
      <c r="S1385" t="str">
        <f t="shared" si="185"/>
        <v>Низшая четверть</v>
      </c>
      <c r="T1385" t="str">
        <f t="shared" si="186"/>
        <v>Низшая четверть</v>
      </c>
      <c r="U1385" t="e">
        <f t="shared" si="187"/>
        <v>#DIV/0!</v>
      </c>
      <c r="V1385" t="e">
        <f t="shared" si="188"/>
        <v>#DIV/0!</v>
      </c>
      <c r="W1385" t="e">
        <f t="shared" si="189"/>
        <v>#DIV/0!</v>
      </c>
      <c r="X1385">
        <v>4</v>
      </c>
    </row>
    <row r="1386" spans="1:24" x14ac:dyDescent="0.35">
      <c r="A1386" s="1" t="s">
        <v>3040</v>
      </c>
      <c r="B1386" s="2" t="s">
        <v>3041</v>
      </c>
      <c r="C1386" s="3" t="s">
        <v>55</v>
      </c>
      <c r="D1386" s="2" t="s">
        <v>336</v>
      </c>
      <c r="E1386" s="3" t="s">
        <v>2024</v>
      </c>
      <c r="F1386" s="2" t="s">
        <v>34</v>
      </c>
      <c r="G1386" s="3" t="s">
        <v>17</v>
      </c>
      <c r="H1386" s="2" t="s">
        <v>18</v>
      </c>
      <c r="I1386" s="3" t="s">
        <v>19</v>
      </c>
      <c r="J1386" s="3">
        <v>1</v>
      </c>
      <c r="K1386" s="3">
        <v>0</v>
      </c>
      <c r="L1386" s="3">
        <v>0</v>
      </c>
      <c r="M1386" s="4">
        <f t="shared" si="183"/>
        <v>0</v>
      </c>
      <c r="N1386" s="4">
        <f t="shared" si="184"/>
        <v>0</v>
      </c>
      <c r="O1386">
        <v>0</v>
      </c>
      <c r="P1386" s="5">
        <v>0</v>
      </c>
      <c r="Q1386" s="7">
        <v>0</v>
      </c>
      <c r="R1386" t="s">
        <v>2350</v>
      </c>
      <c r="S1386" t="str">
        <f t="shared" si="185"/>
        <v>Низшая четверть</v>
      </c>
      <c r="T1386" t="str">
        <f t="shared" si="186"/>
        <v>Низшая четверть</v>
      </c>
      <c r="U1386" t="e">
        <f t="shared" si="187"/>
        <v>#DIV/0!</v>
      </c>
      <c r="V1386" t="e">
        <f t="shared" si="188"/>
        <v>#DIV/0!</v>
      </c>
      <c r="W1386" t="e">
        <f t="shared" si="189"/>
        <v>#DIV/0!</v>
      </c>
      <c r="X1386">
        <v>5</v>
      </c>
    </row>
    <row r="1387" spans="1:24" x14ac:dyDescent="0.35">
      <c r="A1387" s="1" t="s">
        <v>2022</v>
      </c>
      <c r="B1387" s="2" t="s">
        <v>2023</v>
      </c>
      <c r="C1387" s="3" t="s">
        <v>55</v>
      </c>
      <c r="D1387" s="2" t="s">
        <v>336</v>
      </c>
      <c r="E1387" s="3" t="s">
        <v>2024</v>
      </c>
      <c r="F1387" s="2" t="s">
        <v>34</v>
      </c>
      <c r="G1387" s="3" t="s">
        <v>17</v>
      </c>
      <c r="H1387" s="2" t="s">
        <v>18</v>
      </c>
      <c r="I1387" s="3" t="s">
        <v>19</v>
      </c>
      <c r="J1387" s="3">
        <v>1</v>
      </c>
      <c r="K1387" s="3">
        <v>0</v>
      </c>
      <c r="L1387" s="3">
        <v>0</v>
      </c>
      <c r="M1387" s="4">
        <f t="shared" si="183"/>
        <v>0</v>
      </c>
      <c r="N1387" s="4">
        <f t="shared" si="184"/>
        <v>0</v>
      </c>
      <c r="O1387">
        <v>0</v>
      </c>
      <c r="P1387" s="5">
        <v>0</v>
      </c>
      <c r="Q1387" s="7">
        <v>0</v>
      </c>
      <c r="R1387" t="s">
        <v>2350</v>
      </c>
      <c r="S1387" t="str">
        <f t="shared" si="185"/>
        <v>Низшая четверть</v>
      </c>
      <c r="T1387" t="str">
        <f t="shared" si="186"/>
        <v>Низшая четверть</v>
      </c>
      <c r="U1387" t="e">
        <f t="shared" si="187"/>
        <v>#DIV/0!</v>
      </c>
      <c r="V1387" t="e">
        <f t="shared" si="188"/>
        <v>#DIV/0!</v>
      </c>
      <c r="W1387" t="e">
        <f t="shared" si="189"/>
        <v>#DIV/0!</v>
      </c>
      <c r="X1387">
        <v>5</v>
      </c>
    </row>
    <row r="1388" spans="1:24" x14ac:dyDescent="0.35">
      <c r="A1388" s="1" t="s">
        <v>2036</v>
      </c>
      <c r="B1388" s="2" t="s">
        <v>2037</v>
      </c>
      <c r="C1388" s="3" t="s">
        <v>55</v>
      </c>
      <c r="D1388" s="2" t="s">
        <v>336</v>
      </c>
      <c r="E1388" s="3" t="s">
        <v>1700</v>
      </c>
      <c r="F1388" s="2" t="s">
        <v>34</v>
      </c>
      <c r="G1388" s="3" t="s">
        <v>17</v>
      </c>
      <c r="H1388" s="2" t="s">
        <v>18</v>
      </c>
      <c r="I1388" s="3" t="s">
        <v>19</v>
      </c>
      <c r="J1388" s="3">
        <v>1</v>
      </c>
      <c r="K1388" s="3">
        <v>0</v>
      </c>
      <c r="L1388" s="3">
        <v>0</v>
      </c>
      <c r="M1388" s="4">
        <f t="shared" si="183"/>
        <v>0</v>
      </c>
      <c r="N1388" s="4">
        <f t="shared" si="184"/>
        <v>0</v>
      </c>
      <c r="O1388">
        <v>0</v>
      </c>
      <c r="P1388" s="5">
        <v>0</v>
      </c>
      <c r="Q1388" s="7">
        <v>0</v>
      </c>
      <c r="R1388" t="s">
        <v>2350</v>
      </c>
      <c r="S1388" t="str">
        <f t="shared" si="185"/>
        <v>Низшая четверть</v>
      </c>
      <c r="T1388" t="str">
        <f t="shared" si="186"/>
        <v>Низшая четверть</v>
      </c>
      <c r="U1388" t="e">
        <f t="shared" si="187"/>
        <v>#DIV/0!</v>
      </c>
      <c r="V1388" t="e">
        <f t="shared" si="188"/>
        <v>#DIV/0!</v>
      </c>
      <c r="W1388" t="e">
        <f t="shared" si="189"/>
        <v>#DIV/0!</v>
      </c>
      <c r="X1388">
        <v>3</v>
      </c>
    </row>
    <row r="1389" spans="1:24" x14ac:dyDescent="0.35">
      <c r="A1389" s="1" t="s">
        <v>2154</v>
      </c>
      <c r="B1389" s="2" t="s">
        <v>2155</v>
      </c>
      <c r="C1389" s="3" t="s">
        <v>55</v>
      </c>
      <c r="D1389" s="2" t="s">
        <v>336</v>
      </c>
      <c r="E1389" s="3" t="s">
        <v>2024</v>
      </c>
      <c r="F1389" s="2" t="s">
        <v>34</v>
      </c>
      <c r="G1389" s="3" t="s">
        <v>17</v>
      </c>
      <c r="H1389" s="2" t="s">
        <v>18</v>
      </c>
      <c r="I1389" s="3" t="s">
        <v>19</v>
      </c>
      <c r="J1389" s="3">
        <v>1</v>
      </c>
      <c r="K1389" s="3">
        <v>1</v>
      </c>
      <c r="L1389" s="3">
        <v>0</v>
      </c>
      <c r="M1389" s="4">
        <f t="shared" si="183"/>
        <v>1</v>
      </c>
      <c r="N1389" s="4">
        <f t="shared" si="184"/>
        <v>0</v>
      </c>
      <c r="O1389">
        <v>0</v>
      </c>
      <c r="P1389" s="5">
        <v>0</v>
      </c>
      <c r="Q1389" s="7">
        <v>0</v>
      </c>
      <c r="R1389" t="s">
        <v>2350</v>
      </c>
      <c r="S1389" t="str">
        <f t="shared" si="185"/>
        <v>Больше половины</v>
      </c>
      <c r="T1389" t="str">
        <f t="shared" si="186"/>
        <v>Низшая четверть</v>
      </c>
      <c r="U1389" t="e">
        <f t="shared" si="187"/>
        <v>#DIV/0!</v>
      </c>
      <c r="V1389" t="e">
        <f t="shared" si="188"/>
        <v>#DIV/0!</v>
      </c>
      <c r="W1389" t="e">
        <f t="shared" si="189"/>
        <v>#DIV/0!</v>
      </c>
      <c r="X1389">
        <v>4</v>
      </c>
    </row>
    <row r="1390" spans="1:24" x14ac:dyDescent="0.35">
      <c r="A1390" s="1" t="s">
        <v>3042</v>
      </c>
      <c r="B1390" s="2" t="s">
        <v>3043</v>
      </c>
      <c r="C1390" s="3" t="s">
        <v>13</v>
      </c>
      <c r="D1390" s="2" t="s">
        <v>567</v>
      </c>
      <c r="E1390" s="3" t="s">
        <v>842</v>
      </c>
      <c r="F1390" s="2" t="s">
        <v>61</v>
      </c>
      <c r="G1390" s="3" t="s">
        <v>17</v>
      </c>
      <c r="H1390" s="2" t="s">
        <v>18</v>
      </c>
      <c r="I1390" s="3" t="s">
        <v>19</v>
      </c>
      <c r="J1390" s="3">
        <v>0</v>
      </c>
      <c r="K1390" s="3">
        <v>8</v>
      </c>
      <c r="L1390" s="3">
        <v>0</v>
      </c>
      <c r="M1390" s="4">
        <f t="shared" si="183"/>
        <v>0</v>
      </c>
      <c r="N1390" s="4">
        <f t="shared" si="184"/>
        <v>0</v>
      </c>
      <c r="O1390">
        <v>0</v>
      </c>
      <c r="P1390" s="5">
        <v>0</v>
      </c>
      <c r="Q1390" s="7">
        <v>0</v>
      </c>
      <c r="R1390" t="s">
        <v>2350</v>
      </c>
      <c r="S1390" t="str">
        <f t="shared" si="185"/>
        <v>Низшая четверть</v>
      </c>
      <c r="T1390" t="str">
        <f t="shared" si="186"/>
        <v>Низшая четверть</v>
      </c>
      <c r="U1390" t="str">
        <f t="shared" si="187"/>
        <v>код для проверки</v>
      </c>
      <c r="V1390" t="str">
        <f t="shared" si="188"/>
        <v>Низшая четверть</v>
      </c>
      <c r="W1390" t="str">
        <f t="shared" si="189"/>
        <v>Низшая четверть</v>
      </c>
      <c r="X1390">
        <v>24</v>
      </c>
    </row>
    <row r="1391" spans="1:24" x14ac:dyDescent="0.35">
      <c r="A1391" s="1" t="s">
        <v>1943</v>
      </c>
      <c r="B1391" s="2" t="s">
        <v>1944</v>
      </c>
      <c r="C1391" s="3" t="s">
        <v>55</v>
      </c>
      <c r="D1391" s="2" t="s">
        <v>1264</v>
      </c>
      <c r="E1391" s="3" t="s">
        <v>1756</v>
      </c>
      <c r="F1391" s="2" t="s">
        <v>34</v>
      </c>
      <c r="G1391" s="3" t="s">
        <v>17</v>
      </c>
      <c r="H1391" s="2" t="s">
        <v>18</v>
      </c>
      <c r="I1391" s="3" t="s">
        <v>19</v>
      </c>
      <c r="J1391" s="3">
        <v>0</v>
      </c>
      <c r="K1391" s="3">
        <v>3</v>
      </c>
      <c r="L1391" s="3">
        <v>0</v>
      </c>
      <c r="M1391" s="4">
        <f t="shared" si="183"/>
        <v>0</v>
      </c>
      <c r="N1391" s="4">
        <f t="shared" si="184"/>
        <v>0</v>
      </c>
      <c r="O1391">
        <v>0</v>
      </c>
      <c r="P1391" s="5">
        <v>0</v>
      </c>
      <c r="Q1391" s="7">
        <v>0</v>
      </c>
      <c r="R1391" t="s">
        <v>2350</v>
      </c>
      <c r="S1391" t="str">
        <f t="shared" si="185"/>
        <v>Низшая четверть</v>
      </c>
      <c r="T1391" t="str">
        <f t="shared" si="186"/>
        <v>Низшая четверть</v>
      </c>
      <c r="U1391" t="e">
        <f t="shared" si="187"/>
        <v>#DIV/0!</v>
      </c>
      <c r="V1391" t="e">
        <f t="shared" si="188"/>
        <v>#DIV/0!</v>
      </c>
      <c r="W1391" t="e">
        <f t="shared" si="189"/>
        <v>#DIV/0!</v>
      </c>
      <c r="X1391">
        <v>8</v>
      </c>
    </row>
    <row r="1392" spans="1:24" x14ac:dyDescent="0.35">
      <c r="A1392" s="1" t="s">
        <v>3044</v>
      </c>
      <c r="B1392" s="2" t="s">
        <v>3045</v>
      </c>
      <c r="C1392" s="3" t="s">
        <v>13</v>
      </c>
      <c r="D1392" s="2" t="s">
        <v>405</v>
      </c>
      <c r="E1392" s="3" t="s">
        <v>1581</v>
      </c>
      <c r="F1392" s="2" t="s">
        <v>61</v>
      </c>
      <c r="G1392" s="3" t="s">
        <v>17</v>
      </c>
      <c r="H1392" s="2" t="s">
        <v>18</v>
      </c>
      <c r="I1392" s="3" t="s">
        <v>19</v>
      </c>
      <c r="J1392" s="3">
        <v>0</v>
      </c>
      <c r="K1392" s="3">
        <v>1</v>
      </c>
      <c r="L1392" s="3">
        <v>0</v>
      </c>
      <c r="M1392" s="4">
        <f t="shared" si="183"/>
        <v>0</v>
      </c>
      <c r="N1392" s="4">
        <f t="shared" si="184"/>
        <v>0</v>
      </c>
      <c r="O1392">
        <v>0</v>
      </c>
      <c r="P1392" s="5">
        <v>0</v>
      </c>
      <c r="Q1392" s="7">
        <v>0</v>
      </c>
      <c r="R1392" t="s">
        <v>2350</v>
      </c>
      <c r="S1392" t="str">
        <f t="shared" si="185"/>
        <v>Низшая четверть</v>
      </c>
      <c r="T1392" t="str">
        <f t="shared" si="186"/>
        <v>Низшая четверть</v>
      </c>
      <c r="U1392" t="str">
        <f t="shared" si="187"/>
        <v>код для проверки</v>
      </c>
      <c r="V1392" t="str">
        <f t="shared" si="188"/>
        <v>Низшая четверть</v>
      </c>
      <c r="W1392" t="str">
        <f t="shared" si="189"/>
        <v>Низшая четверть</v>
      </c>
      <c r="X1392">
        <v>8</v>
      </c>
    </row>
    <row r="1393" spans="1:24" x14ac:dyDescent="0.35">
      <c r="A1393" s="1" t="s">
        <v>2205</v>
      </c>
      <c r="B1393" s="2" t="s">
        <v>2206</v>
      </c>
      <c r="C1393" s="3" t="s">
        <v>13</v>
      </c>
      <c r="D1393" s="2" t="s">
        <v>77</v>
      </c>
      <c r="E1393" s="3" t="s">
        <v>89</v>
      </c>
      <c r="F1393" s="2" t="s">
        <v>34</v>
      </c>
      <c r="G1393" s="3" t="s">
        <v>17</v>
      </c>
      <c r="H1393" s="2" t="s">
        <v>18</v>
      </c>
      <c r="I1393" s="3" t="s">
        <v>19</v>
      </c>
      <c r="J1393" s="3">
        <v>0</v>
      </c>
      <c r="K1393" s="3">
        <v>3</v>
      </c>
      <c r="L1393" s="3">
        <v>0</v>
      </c>
      <c r="M1393" s="4">
        <f t="shared" si="183"/>
        <v>0</v>
      </c>
      <c r="N1393" s="4">
        <f t="shared" si="184"/>
        <v>0</v>
      </c>
      <c r="O1393">
        <v>0</v>
      </c>
      <c r="P1393" s="5">
        <v>0</v>
      </c>
      <c r="Q1393" s="7">
        <v>0</v>
      </c>
      <c r="R1393" t="s">
        <v>2350</v>
      </c>
      <c r="S1393" t="str">
        <f t="shared" si="185"/>
        <v>Низшая четверть</v>
      </c>
      <c r="T1393" t="str">
        <f t="shared" si="186"/>
        <v>Низшая четверть</v>
      </c>
      <c r="U1393" t="str">
        <f t="shared" si="187"/>
        <v>код для проверки</v>
      </c>
      <c r="V1393" t="str">
        <f t="shared" si="188"/>
        <v>Низшая четверть</v>
      </c>
      <c r="W1393" t="str">
        <f t="shared" si="189"/>
        <v>Низшая четверть</v>
      </c>
      <c r="X1393">
        <v>14</v>
      </c>
    </row>
    <row r="1394" spans="1:24" x14ac:dyDescent="0.35">
      <c r="A1394" s="1" t="s">
        <v>2170</v>
      </c>
      <c r="B1394" s="2" t="s">
        <v>2171</v>
      </c>
      <c r="C1394" s="3" t="s">
        <v>55</v>
      </c>
      <c r="D1394" s="2" t="s">
        <v>1049</v>
      </c>
      <c r="E1394" s="3" t="s">
        <v>1050</v>
      </c>
      <c r="F1394" s="2" t="s">
        <v>34</v>
      </c>
      <c r="G1394" s="3" t="s">
        <v>17</v>
      </c>
      <c r="H1394" s="2" t="s">
        <v>18</v>
      </c>
      <c r="I1394" s="3" t="s">
        <v>19</v>
      </c>
      <c r="J1394" s="3">
        <v>0</v>
      </c>
      <c r="K1394" s="3">
        <v>0</v>
      </c>
      <c r="L1394" s="3">
        <v>0</v>
      </c>
      <c r="M1394" s="4">
        <f t="shared" si="183"/>
        <v>0</v>
      </c>
      <c r="N1394" s="4">
        <f t="shared" si="184"/>
        <v>0</v>
      </c>
      <c r="O1394">
        <v>0</v>
      </c>
      <c r="P1394" s="5">
        <v>0</v>
      </c>
      <c r="Q1394" s="7">
        <v>0</v>
      </c>
      <c r="R1394" t="s">
        <v>2350</v>
      </c>
      <c r="S1394" t="str">
        <f t="shared" si="185"/>
        <v>Низшая четверть</v>
      </c>
      <c r="T1394" t="str">
        <f t="shared" si="186"/>
        <v>Низшая четверть</v>
      </c>
      <c r="U1394" t="str">
        <f t="shared" si="187"/>
        <v>код для проверки</v>
      </c>
      <c r="V1394" t="str">
        <f t="shared" si="188"/>
        <v>Низшая четверть</v>
      </c>
      <c r="W1394" t="str">
        <f t="shared" si="189"/>
        <v>Низшая четверть</v>
      </c>
      <c r="X1394" t="e">
        <v>#N/A</v>
      </c>
    </row>
    <row r="1395" spans="1:24" x14ac:dyDescent="0.35">
      <c r="A1395" s="1" t="s">
        <v>2189</v>
      </c>
      <c r="B1395" s="2" t="s">
        <v>2190</v>
      </c>
      <c r="C1395" s="3" t="s">
        <v>13</v>
      </c>
      <c r="D1395" s="2" t="s">
        <v>77</v>
      </c>
      <c r="E1395" s="3" t="s">
        <v>89</v>
      </c>
      <c r="F1395" s="2" t="s">
        <v>34</v>
      </c>
      <c r="G1395" s="3" t="s">
        <v>17</v>
      </c>
      <c r="H1395" s="2" t="s">
        <v>18</v>
      </c>
      <c r="I1395" s="3" t="s">
        <v>19</v>
      </c>
      <c r="J1395" s="3">
        <v>0</v>
      </c>
      <c r="K1395" s="3">
        <v>3</v>
      </c>
      <c r="L1395" s="3">
        <v>0</v>
      </c>
      <c r="M1395" s="4">
        <f t="shared" si="183"/>
        <v>0</v>
      </c>
      <c r="N1395" s="4">
        <f t="shared" si="184"/>
        <v>0</v>
      </c>
      <c r="O1395">
        <v>0</v>
      </c>
      <c r="P1395" s="5">
        <v>0</v>
      </c>
      <c r="Q1395" s="7">
        <v>0</v>
      </c>
      <c r="R1395" t="s">
        <v>2350</v>
      </c>
      <c r="S1395" t="str">
        <f t="shared" si="185"/>
        <v>Низшая четверть</v>
      </c>
      <c r="T1395" t="str">
        <f t="shared" si="186"/>
        <v>Низшая четверть</v>
      </c>
      <c r="U1395" t="str">
        <f t="shared" si="187"/>
        <v>код для проверки</v>
      </c>
      <c r="V1395" t="str">
        <f t="shared" si="188"/>
        <v>Низшая четверть</v>
      </c>
      <c r="W1395" t="str">
        <f t="shared" si="189"/>
        <v>Низшая четверть</v>
      </c>
      <c r="X1395">
        <v>14</v>
      </c>
    </row>
    <row r="1396" spans="1:24" x14ac:dyDescent="0.35">
      <c r="A1396" s="1" t="s">
        <v>3046</v>
      </c>
      <c r="B1396" s="2" t="s">
        <v>3047</v>
      </c>
      <c r="C1396" s="3" t="s">
        <v>13</v>
      </c>
      <c r="D1396" s="2" t="s">
        <v>77</v>
      </c>
      <c r="E1396" s="3" t="s">
        <v>89</v>
      </c>
      <c r="F1396" s="2" t="s">
        <v>34</v>
      </c>
      <c r="G1396" s="3" t="s">
        <v>35</v>
      </c>
      <c r="H1396" s="2" t="s">
        <v>18</v>
      </c>
      <c r="I1396" s="3" t="s">
        <v>19</v>
      </c>
      <c r="J1396" s="3">
        <v>0</v>
      </c>
      <c r="K1396" s="3">
        <v>7</v>
      </c>
      <c r="L1396" s="3">
        <v>0</v>
      </c>
      <c r="M1396" s="4">
        <f t="shared" si="183"/>
        <v>0</v>
      </c>
      <c r="N1396" s="4">
        <f t="shared" si="184"/>
        <v>0</v>
      </c>
      <c r="O1396">
        <v>0</v>
      </c>
      <c r="P1396" s="5">
        <v>0</v>
      </c>
      <c r="Q1396" s="7">
        <v>0</v>
      </c>
      <c r="R1396" t="s">
        <v>2350</v>
      </c>
      <c r="S1396" t="str">
        <f t="shared" si="185"/>
        <v>Низшая четверть</v>
      </c>
      <c r="T1396" t="str">
        <f t="shared" si="186"/>
        <v>Низшая четверть</v>
      </c>
      <c r="U1396" t="str">
        <f t="shared" si="187"/>
        <v>код для проверки</v>
      </c>
      <c r="V1396" t="str">
        <f t="shared" si="188"/>
        <v>Низшая четверть</v>
      </c>
      <c r="W1396" t="str">
        <f t="shared" si="189"/>
        <v>Низшая четверть</v>
      </c>
      <c r="X1396">
        <v>13</v>
      </c>
    </row>
    <row r="1397" spans="1:24" x14ac:dyDescent="0.35">
      <c r="A1397" s="1" t="s">
        <v>3048</v>
      </c>
      <c r="B1397" s="2" t="s">
        <v>3049</v>
      </c>
      <c r="C1397" s="3" t="s">
        <v>13</v>
      </c>
      <c r="D1397" s="2" t="s">
        <v>69</v>
      </c>
      <c r="E1397" s="3" t="s">
        <v>455</v>
      </c>
      <c r="F1397" s="2" t="s">
        <v>34</v>
      </c>
      <c r="G1397" s="3" t="s">
        <v>72</v>
      </c>
      <c r="H1397" s="2" t="s">
        <v>18</v>
      </c>
      <c r="I1397" s="3" t="s">
        <v>19</v>
      </c>
      <c r="J1397" s="3">
        <v>0</v>
      </c>
      <c r="K1397" s="3">
        <v>1</v>
      </c>
      <c r="L1397" s="3">
        <v>0</v>
      </c>
      <c r="M1397" s="4">
        <f t="shared" si="183"/>
        <v>0</v>
      </c>
      <c r="N1397" s="4">
        <f t="shared" si="184"/>
        <v>0</v>
      </c>
      <c r="O1397">
        <v>0</v>
      </c>
      <c r="P1397" s="5">
        <v>0</v>
      </c>
      <c r="Q1397" s="7">
        <v>0</v>
      </c>
      <c r="R1397" t="s">
        <v>2350</v>
      </c>
      <c r="S1397" t="str">
        <f t="shared" si="185"/>
        <v>Низшая четверть</v>
      </c>
      <c r="T1397" t="str">
        <f t="shared" si="186"/>
        <v>Низшая четверть</v>
      </c>
      <c r="U1397" t="str">
        <f t="shared" si="187"/>
        <v>код для проверки</v>
      </c>
      <c r="V1397" t="str">
        <f t="shared" si="188"/>
        <v>Низшая четверть</v>
      </c>
      <c r="W1397" t="str">
        <f t="shared" si="189"/>
        <v>Низшая четверть</v>
      </c>
      <c r="X1397">
        <v>13</v>
      </c>
    </row>
    <row r="1398" spans="1:24" x14ac:dyDescent="0.35">
      <c r="A1398" s="1" t="s">
        <v>3050</v>
      </c>
      <c r="B1398" s="2" t="s">
        <v>3051</v>
      </c>
      <c r="C1398" s="3" t="s">
        <v>13</v>
      </c>
      <c r="D1398" s="2" t="s">
        <v>69</v>
      </c>
      <c r="E1398" s="3" t="s">
        <v>969</v>
      </c>
      <c r="F1398" s="2" t="s">
        <v>96</v>
      </c>
      <c r="G1398" s="3" t="s">
        <v>72</v>
      </c>
      <c r="H1398" s="2" t="s">
        <v>18</v>
      </c>
      <c r="I1398" s="3" t="s">
        <v>19</v>
      </c>
      <c r="J1398" s="3">
        <v>0</v>
      </c>
      <c r="K1398" s="3">
        <v>2</v>
      </c>
      <c r="L1398" s="3">
        <v>0</v>
      </c>
      <c r="M1398" s="4">
        <f t="shared" si="183"/>
        <v>0</v>
      </c>
      <c r="N1398" s="4">
        <f t="shared" si="184"/>
        <v>0</v>
      </c>
      <c r="O1398">
        <v>0</v>
      </c>
      <c r="P1398" s="5">
        <v>0</v>
      </c>
      <c r="Q1398" s="7">
        <v>0</v>
      </c>
      <c r="R1398" t="s">
        <v>2350</v>
      </c>
      <c r="S1398" t="str">
        <f t="shared" si="185"/>
        <v>Низшая четверть</v>
      </c>
      <c r="T1398" t="str">
        <f t="shared" si="186"/>
        <v>Низшая четверть</v>
      </c>
      <c r="U1398" t="str">
        <f t="shared" si="187"/>
        <v>код для проверки</v>
      </c>
      <c r="V1398" t="str">
        <f t="shared" si="188"/>
        <v>Низшая четверть</v>
      </c>
      <c r="W1398" t="str">
        <f t="shared" si="189"/>
        <v>Низшая четверть</v>
      </c>
      <c r="X1398">
        <v>24</v>
      </c>
    </row>
    <row r="1399" spans="1:24" x14ac:dyDescent="0.35">
      <c r="A1399" s="1" t="s">
        <v>3052</v>
      </c>
      <c r="B1399" s="2" t="s">
        <v>3053</v>
      </c>
      <c r="C1399" s="3" t="s">
        <v>13</v>
      </c>
      <c r="D1399" s="2" t="s">
        <v>69</v>
      </c>
      <c r="E1399" s="3" t="s">
        <v>958</v>
      </c>
      <c r="F1399" s="2" t="s">
        <v>96</v>
      </c>
      <c r="G1399" s="3" t="s">
        <v>72</v>
      </c>
      <c r="H1399" s="2" t="s">
        <v>18</v>
      </c>
      <c r="I1399" s="3" t="s">
        <v>19</v>
      </c>
      <c r="J1399" s="3">
        <v>0</v>
      </c>
      <c r="K1399" s="3">
        <v>2</v>
      </c>
      <c r="L1399" s="3">
        <v>0</v>
      </c>
      <c r="M1399" s="4">
        <f t="shared" si="183"/>
        <v>0</v>
      </c>
      <c r="N1399" s="4">
        <f t="shared" si="184"/>
        <v>0</v>
      </c>
      <c r="O1399">
        <v>0</v>
      </c>
      <c r="P1399" s="5">
        <v>0</v>
      </c>
      <c r="Q1399" s="7">
        <v>0</v>
      </c>
      <c r="R1399" t="s">
        <v>2350</v>
      </c>
      <c r="S1399" t="str">
        <f t="shared" si="185"/>
        <v>Низшая четверть</v>
      </c>
      <c r="T1399" t="str">
        <f t="shared" si="186"/>
        <v>Низшая четверть</v>
      </c>
      <c r="U1399" t="str">
        <f t="shared" si="187"/>
        <v>код для проверки</v>
      </c>
      <c r="V1399" t="str">
        <f t="shared" si="188"/>
        <v>Низшая четверть</v>
      </c>
      <c r="W1399" t="str">
        <f t="shared" si="189"/>
        <v>Низшая четверть</v>
      </c>
      <c r="X1399">
        <v>14</v>
      </c>
    </row>
    <row r="1400" spans="1:24" x14ac:dyDescent="0.35">
      <c r="A1400" s="1" t="s">
        <v>3054</v>
      </c>
      <c r="B1400" s="2" t="s">
        <v>3055</v>
      </c>
      <c r="C1400" s="3" t="s">
        <v>13</v>
      </c>
      <c r="D1400" s="2" t="s">
        <v>32</v>
      </c>
      <c r="E1400" s="3" t="s">
        <v>2178</v>
      </c>
      <c r="F1400" s="2" t="s">
        <v>61</v>
      </c>
      <c r="G1400" s="3" t="s">
        <v>35</v>
      </c>
      <c r="H1400" s="2" t="s">
        <v>18</v>
      </c>
      <c r="I1400" s="3" t="s">
        <v>19</v>
      </c>
      <c r="J1400" s="3">
        <v>0</v>
      </c>
      <c r="K1400" s="3">
        <v>3</v>
      </c>
      <c r="L1400" s="3">
        <v>0</v>
      </c>
      <c r="M1400" s="4">
        <f t="shared" si="183"/>
        <v>0</v>
      </c>
      <c r="N1400" s="4">
        <f t="shared" si="184"/>
        <v>0</v>
      </c>
      <c r="O1400">
        <v>0</v>
      </c>
      <c r="P1400" s="5">
        <v>0</v>
      </c>
      <c r="Q1400" s="7">
        <v>0</v>
      </c>
      <c r="R1400" t="s">
        <v>2350</v>
      </c>
      <c r="S1400" t="str">
        <f t="shared" si="185"/>
        <v>Низшая четверть</v>
      </c>
      <c r="T1400" t="str">
        <f t="shared" si="186"/>
        <v>Низшая четверть</v>
      </c>
      <c r="U1400" t="str">
        <f t="shared" si="187"/>
        <v>код для проверки</v>
      </c>
      <c r="V1400" t="str">
        <f t="shared" si="188"/>
        <v>Низшая четверть</v>
      </c>
      <c r="W1400" t="str">
        <f t="shared" si="189"/>
        <v>Низшая четверть</v>
      </c>
      <c r="X1400">
        <v>17</v>
      </c>
    </row>
    <row r="1401" spans="1:24" x14ac:dyDescent="0.35">
      <c r="A1401" s="1" t="s">
        <v>3056</v>
      </c>
      <c r="B1401" s="2" t="s">
        <v>3057</v>
      </c>
      <c r="C1401" s="3" t="s">
        <v>13</v>
      </c>
      <c r="D1401" s="2" t="s">
        <v>32</v>
      </c>
      <c r="E1401" s="3" t="s">
        <v>2178</v>
      </c>
      <c r="F1401" s="2" t="s">
        <v>61</v>
      </c>
      <c r="G1401" s="3" t="s">
        <v>17</v>
      </c>
      <c r="H1401" s="2" t="s">
        <v>18</v>
      </c>
      <c r="I1401" s="3" t="s">
        <v>19</v>
      </c>
      <c r="J1401" s="3">
        <v>0</v>
      </c>
      <c r="K1401" s="3">
        <v>3</v>
      </c>
      <c r="L1401" s="3">
        <v>0</v>
      </c>
      <c r="M1401" s="4">
        <f t="shared" si="183"/>
        <v>0</v>
      </c>
      <c r="N1401" s="4">
        <f t="shared" si="184"/>
        <v>0</v>
      </c>
      <c r="O1401">
        <v>0</v>
      </c>
      <c r="P1401" s="5">
        <v>0</v>
      </c>
      <c r="Q1401" s="7">
        <v>0</v>
      </c>
      <c r="R1401" t="s">
        <v>2350</v>
      </c>
      <c r="S1401" t="str">
        <f t="shared" si="185"/>
        <v>Низшая четверть</v>
      </c>
      <c r="T1401" t="str">
        <f t="shared" si="186"/>
        <v>Низшая четверть</v>
      </c>
      <c r="U1401" t="str">
        <f t="shared" si="187"/>
        <v>код для проверки</v>
      </c>
      <c r="V1401" t="str">
        <f t="shared" si="188"/>
        <v>Низшая четверть</v>
      </c>
      <c r="W1401" t="str">
        <f t="shared" si="189"/>
        <v>Низшая четверть</v>
      </c>
      <c r="X1401">
        <v>7</v>
      </c>
    </row>
    <row r="1402" spans="1:24" x14ac:dyDescent="0.35">
      <c r="A1402" s="1" t="s">
        <v>3058</v>
      </c>
      <c r="B1402" s="2" t="s">
        <v>3059</v>
      </c>
      <c r="C1402" s="3" t="s">
        <v>13</v>
      </c>
      <c r="D1402" s="2" t="s">
        <v>32</v>
      </c>
      <c r="E1402" s="3" t="s">
        <v>2178</v>
      </c>
      <c r="F1402" s="2" t="s">
        <v>61</v>
      </c>
      <c r="G1402" s="3" t="s">
        <v>17</v>
      </c>
      <c r="H1402" s="2" t="s">
        <v>18</v>
      </c>
      <c r="I1402" s="3" t="s">
        <v>19</v>
      </c>
      <c r="J1402" s="3">
        <v>0</v>
      </c>
      <c r="K1402" s="3">
        <v>3</v>
      </c>
      <c r="L1402" s="3">
        <v>0</v>
      </c>
      <c r="M1402" s="4">
        <f t="shared" si="183"/>
        <v>0</v>
      </c>
      <c r="N1402" s="4">
        <f t="shared" si="184"/>
        <v>0</v>
      </c>
      <c r="O1402">
        <v>0</v>
      </c>
      <c r="P1402" s="5">
        <v>0</v>
      </c>
      <c r="Q1402" s="7">
        <v>0</v>
      </c>
      <c r="R1402" t="s">
        <v>2350</v>
      </c>
      <c r="S1402" t="str">
        <f t="shared" si="185"/>
        <v>Низшая четверть</v>
      </c>
      <c r="T1402" t="str">
        <f t="shared" si="186"/>
        <v>Низшая четверть</v>
      </c>
      <c r="U1402" t="str">
        <f t="shared" si="187"/>
        <v>код для проверки</v>
      </c>
      <c r="V1402" t="str">
        <f t="shared" si="188"/>
        <v>Низшая четверть</v>
      </c>
      <c r="W1402" t="str">
        <f t="shared" si="189"/>
        <v>Низшая четверть</v>
      </c>
      <c r="X1402">
        <v>7</v>
      </c>
    </row>
    <row r="1403" spans="1:24" x14ac:dyDescent="0.35">
      <c r="A1403" s="1" t="s">
        <v>3060</v>
      </c>
      <c r="B1403" s="2" t="s">
        <v>3061</v>
      </c>
      <c r="C1403" s="3" t="s">
        <v>13</v>
      </c>
      <c r="D1403" s="2" t="s">
        <v>69</v>
      </c>
      <c r="E1403" s="3" t="s">
        <v>371</v>
      </c>
      <c r="F1403" s="2" t="s">
        <v>96</v>
      </c>
      <c r="G1403" s="3" t="s">
        <v>72</v>
      </c>
      <c r="H1403" s="2" t="s">
        <v>18</v>
      </c>
      <c r="I1403" s="3" t="s">
        <v>19</v>
      </c>
      <c r="J1403" s="3">
        <v>0</v>
      </c>
      <c r="K1403" s="3">
        <v>3</v>
      </c>
      <c r="L1403" s="3">
        <v>0</v>
      </c>
      <c r="M1403" s="4">
        <f t="shared" si="183"/>
        <v>0</v>
      </c>
      <c r="N1403" s="4">
        <f t="shared" si="184"/>
        <v>0</v>
      </c>
      <c r="O1403">
        <v>0</v>
      </c>
      <c r="P1403" s="5">
        <v>0</v>
      </c>
      <c r="Q1403" s="7">
        <v>0</v>
      </c>
      <c r="R1403" t="s">
        <v>2350</v>
      </c>
      <c r="S1403" t="str">
        <f t="shared" si="185"/>
        <v>Низшая четверть</v>
      </c>
      <c r="T1403" t="str">
        <f t="shared" si="186"/>
        <v>Низшая четверть</v>
      </c>
      <c r="U1403" t="str">
        <f t="shared" si="187"/>
        <v>код для проверки</v>
      </c>
      <c r="V1403" t="str">
        <f t="shared" si="188"/>
        <v>Низшая четверть</v>
      </c>
      <c r="W1403" t="str">
        <f t="shared" si="189"/>
        <v>Низшая четверть</v>
      </c>
      <c r="X1403">
        <v>14</v>
      </c>
    </row>
    <row r="1404" spans="1:24" x14ac:dyDescent="0.35">
      <c r="A1404" s="1" t="s">
        <v>3062</v>
      </c>
      <c r="B1404" s="2" t="s">
        <v>3063</v>
      </c>
      <c r="C1404" s="3" t="s">
        <v>13</v>
      </c>
      <c r="D1404" s="2" t="s">
        <v>32</v>
      </c>
      <c r="E1404" s="3" t="s">
        <v>2178</v>
      </c>
      <c r="F1404" s="2" t="s">
        <v>61</v>
      </c>
      <c r="G1404" s="3" t="s">
        <v>17</v>
      </c>
      <c r="H1404" s="2" t="s">
        <v>18</v>
      </c>
      <c r="I1404" s="3" t="s">
        <v>19</v>
      </c>
      <c r="J1404" s="3">
        <v>0</v>
      </c>
      <c r="K1404" s="3">
        <v>3</v>
      </c>
      <c r="L1404" s="3">
        <v>0</v>
      </c>
      <c r="M1404" s="4">
        <f t="shared" si="183"/>
        <v>0</v>
      </c>
      <c r="N1404" s="4">
        <f t="shared" si="184"/>
        <v>0</v>
      </c>
      <c r="O1404">
        <v>0</v>
      </c>
      <c r="P1404" s="5">
        <v>0</v>
      </c>
      <c r="Q1404" s="7">
        <v>0</v>
      </c>
      <c r="R1404" t="s">
        <v>2350</v>
      </c>
      <c r="S1404" t="str">
        <f t="shared" si="185"/>
        <v>Низшая четверть</v>
      </c>
      <c r="T1404" t="str">
        <f t="shared" si="186"/>
        <v>Низшая четверть</v>
      </c>
      <c r="U1404" t="str">
        <f t="shared" si="187"/>
        <v>код для проверки</v>
      </c>
      <c r="V1404" t="str">
        <f t="shared" si="188"/>
        <v>Низшая четверть</v>
      </c>
      <c r="W1404" t="str">
        <f t="shared" si="189"/>
        <v>Низшая четверть</v>
      </c>
      <c r="X1404">
        <v>7</v>
      </c>
    </row>
    <row r="1405" spans="1:24" x14ac:dyDescent="0.35">
      <c r="A1405" s="1" t="s">
        <v>3064</v>
      </c>
      <c r="B1405" s="2" t="s">
        <v>3065</v>
      </c>
      <c r="C1405" s="3" t="s">
        <v>13</v>
      </c>
      <c r="D1405" s="2" t="s">
        <v>155</v>
      </c>
      <c r="E1405" s="3" t="s">
        <v>156</v>
      </c>
      <c r="F1405" s="2" t="s">
        <v>34</v>
      </c>
      <c r="G1405" s="3" t="s">
        <v>35</v>
      </c>
      <c r="H1405" s="2" t="s">
        <v>18</v>
      </c>
      <c r="I1405" s="3" t="s">
        <v>19</v>
      </c>
      <c r="J1405" s="3">
        <v>0</v>
      </c>
      <c r="K1405" s="3">
        <v>1</v>
      </c>
      <c r="L1405" s="3">
        <v>0</v>
      </c>
      <c r="M1405" s="4">
        <f t="shared" si="183"/>
        <v>0</v>
      </c>
      <c r="N1405" s="4">
        <f t="shared" si="184"/>
        <v>0</v>
      </c>
      <c r="O1405">
        <v>0</v>
      </c>
      <c r="P1405" s="5">
        <v>0</v>
      </c>
      <c r="Q1405" s="7">
        <v>0</v>
      </c>
      <c r="R1405" t="s">
        <v>2350</v>
      </c>
      <c r="S1405" t="str">
        <f t="shared" si="185"/>
        <v>Низшая четверть</v>
      </c>
      <c r="T1405" t="str">
        <f t="shared" si="186"/>
        <v>Низшая четверть</v>
      </c>
      <c r="U1405" t="str">
        <f t="shared" si="187"/>
        <v>код для проверки</v>
      </c>
      <c r="V1405" t="str">
        <f t="shared" si="188"/>
        <v>Низшая четверть</v>
      </c>
      <c r="W1405" t="str">
        <f t="shared" si="189"/>
        <v>Низшая четверть</v>
      </c>
      <c r="X1405">
        <v>9</v>
      </c>
    </row>
    <row r="1406" spans="1:24" x14ac:dyDescent="0.35">
      <c r="A1406" s="1" t="s">
        <v>3066</v>
      </c>
      <c r="B1406" s="2" t="s">
        <v>3067</v>
      </c>
      <c r="C1406" s="3" t="s">
        <v>13</v>
      </c>
      <c r="D1406" s="2" t="s">
        <v>155</v>
      </c>
      <c r="E1406" s="3" t="s">
        <v>156</v>
      </c>
      <c r="F1406" s="2" t="s">
        <v>34</v>
      </c>
      <c r="G1406" s="3" t="s">
        <v>35</v>
      </c>
      <c r="H1406" s="2" t="s">
        <v>18</v>
      </c>
      <c r="I1406" s="3" t="s">
        <v>19</v>
      </c>
      <c r="J1406" s="3">
        <v>0</v>
      </c>
      <c r="K1406" s="3">
        <v>1</v>
      </c>
      <c r="L1406" s="3">
        <v>0</v>
      </c>
      <c r="M1406" s="4">
        <f t="shared" si="183"/>
        <v>0</v>
      </c>
      <c r="N1406" s="4">
        <f t="shared" si="184"/>
        <v>0</v>
      </c>
      <c r="O1406">
        <v>0</v>
      </c>
      <c r="P1406" s="5">
        <v>0</v>
      </c>
      <c r="Q1406" s="7">
        <v>0</v>
      </c>
      <c r="R1406" t="s">
        <v>2350</v>
      </c>
      <c r="S1406" t="str">
        <f t="shared" si="185"/>
        <v>Низшая четверть</v>
      </c>
      <c r="T1406" t="str">
        <f t="shared" si="186"/>
        <v>Низшая четверть</v>
      </c>
      <c r="U1406" t="str">
        <f t="shared" si="187"/>
        <v>код для проверки</v>
      </c>
      <c r="V1406" t="str">
        <f t="shared" si="188"/>
        <v>Низшая четверть</v>
      </c>
      <c r="W1406" t="str">
        <f t="shared" si="189"/>
        <v>Низшая четверть</v>
      </c>
      <c r="X1406">
        <v>6</v>
      </c>
    </row>
    <row r="1407" spans="1:24" x14ac:dyDescent="0.35">
      <c r="A1407" s="1" t="s">
        <v>3068</v>
      </c>
      <c r="B1407" s="2" t="s">
        <v>3069</v>
      </c>
      <c r="C1407" s="3" t="s">
        <v>13</v>
      </c>
      <c r="D1407" s="2" t="s">
        <v>155</v>
      </c>
      <c r="E1407" s="3" t="s">
        <v>156</v>
      </c>
      <c r="F1407" s="2" t="s">
        <v>34</v>
      </c>
      <c r="G1407" s="3" t="s">
        <v>35</v>
      </c>
      <c r="H1407" s="2" t="s">
        <v>18</v>
      </c>
      <c r="I1407" s="3" t="s">
        <v>19</v>
      </c>
      <c r="J1407" s="3">
        <v>0</v>
      </c>
      <c r="K1407" s="3">
        <v>1</v>
      </c>
      <c r="L1407" s="3">
        <v>0</v>
      </c>
      <c r="M1407" s="4">
        <f t="shared" si="183"/>
        <v>0</v>
      </c>
      <c r="N1407" s="4">
        <f t="shared" si="184"/>
        <v>0</v>
      </c>
      <c r="O1407">
        <v>0</v>
      </c>
      <c r="P1407" s="5">
        <v>0</v>
      </c>
      <c r="Q1407" s="7">
        <v>0</v>
      </c>
      <c r="R1407" t="s">
        <v>2350</v>
      </c>
      <c r="S1407" t="str">
        <f t="shared" si="185"/>
        <v>Низшая четверть</v>
      </c>
      <c r="T1407" t="str">
        <f t="shared" si="186"/>
        <v>Низшая четверть</v>
      </c>
      <c r="U1407" t="str">
        <f t="shared" si="187"/>
        <v>код для проверки</v>
      </c>
      <c r="V1407" t="str">
        <f t="shared" si="188"/>
        <v>Низшая четверть</v>
      </c>
      <c r="W1407" t="str">
        <f t="shared" si="189"/>
        <v>Низшая четверть</v>
      </c>
      <c r="X1407">
        <v>6</v>
      </c>
    </row>
    <row r="1408" spans="1:24" x14ac:dyDescent="0.35">
      <c r="A1408" s="1" t="s">
        <v>2471</v>
      </c>
      <c r="B1408" s="2" t="s">
        <v>2472</v>
      </c>
      <c r="C1408" s="3" t="s">
        <v>13</v>
      </c>
      <c r="D1408" s="2" t="s">
        <v>155</v>
      </c>
      <c r="E1408" s="3" t="s">
        <v>156</v>
      </c>
      <c r="F1408" s="2" t="s">
        <v>34</v>
      </c>
      <c r="G1408" s="3" t="s">
        <v>35</v>
      </c>
      <c r="H1408" s="2" t="s">
        <v>18</v>
      </c>
      <c r="I1408" s="3" t="s">
        <v>19</v>
      </c>
      <c r="J1408" s="3">
        <v>0</v>
      </c>
      <c r="K1408" s="3">
        <v>99</v>
      </c>
      <c r="L1408" s="3">
        <v>0</v>
      </c>
      <c r="M1408" s="4">
        <f t="shared" si="183"/>
        <v>0</v>
      </c>
      <c r="N1408" s="4">
        <f t="shared" si="184"/>
        <v>0</v>
      </c>
      <c r="O1408">
        <v>0</v>
      </c>
      <c r="P1408" s="5">
        <v>0</v>
      </c>
      <c r="Q1408" s="7">
        <v>0</v>
      </c>
      <c r="R1408" t="s">
        <v>2350</v>
      </c>
      <c r="S1408" t="str">
        <f t="shared" si="185"/>
        <v>Низшая четверть</v>
      </c>
      <c r="T1408" t="str">
        <f t="shared" si="186"/>
        <v>Низшая четверть</v>
      </c>
      <c r="U1408" t="str">
        <f t="shared" si="187"/>
        <v>код для проверки</v>
      </c>
      <c r="V1408" t="str">
        <f t="shared" si="188"/>
        <v>Низшая четверть</v>
      </c>
      <c r="W1408" t="str">
        <f t="shared" si="189"/>
        <v>Низшая четверть</v>
      </c>
      <c r="X1408">
        <v>9</v>
      </c>
    </row>
    <row r="1409" spans="1:24" x14ac:dyDescent="0.35">
      <c r="A1409" s="1" t="s">
        <v>3070</v>
      </c>
      <c r="B1409" s="2" t="s">
        <v>3071</v>
      </c>
      <c r="C1409" s="3" t="s">
        <v>13</v>
      </c>
      <c r="D1409" s="2" t="s">
        <v>155</v>
      </c>
      <c r="E1409" s="3" t="s">
        <v>156</v>
      </c>
      <c r="F1409" s="2" t="s">
        <v>34</v>
      </c>
      <c r="G1409" s="3" t="s">
        <v>35</v>
      </c>
      <c r="H1409" s="2" t="s">
        <v>18</v>
      </c>
      <c r="I1409" s="3" t="s">
        <v>19</v>
      </c>
      <c r="J1409" s="3">
        <v>0</v>
      </c>
      <c r="K1409" s="3">
        <v>1</v>
      </c>
      <c r="L1409" s="3">
        <v>0</v>
      </c>
      <c r="M1409" s="4">
        <f t="shared" si="183"/>
        <v>0</v>
      </c>
      <c r="N1409" s="4">
        <f t="shared" si="184"/>
        <v>0</v>
      </c>
      <c r="O1409">
        <v>0</v>
      </c>
      <c r="P1409" s="5">
        <v>0</v>
      </c>
      <c r="Q1409" s="7">
        <v>0</v>
      </c>
      <c r="R1409" t="s">
        <v>2350</v>
      </c>
      <c r="S1409" t="str">
        <f t="shared" si="185"/>
        <v>Низшая четверть</v>
      </c>
      <c r="T1409" t="str">
        <f t="shared" si="186"/>
        <v>Низшая четверть</v>
      </c>
      <c r="U1409" t="str">
        <f t="shared" si="187"/>
        <v>код для проверки</v>
      </c>
      <c r="V1409" t="str">
        <f t="shared" si="188"/>
        <v>Низшая четверть</v>
      </c>
      <c r="W1409" t="str">
        <f t="shared" si="189"/>
        <v>Низшая четверть</v>
      </c>
      <c r="X1409">
        <v>6</v>
      </c>
    </row>
    <row r="1410" spans="1:24" x14ac:dyDescent="0.35">
      <c r="A1410" s="1" t="s">
        <v>2441</v>
      </c>
      <c r="B1410" s="2" t="s">
        <v>2442</v>
      </c>
      <c r="C1410" s="3" t="s">
        <v>55</v>
      </c>
      <c r="D1410" s="2" t="s">
        <v>1049</v>
      </c>
      <c r="E1410" s="3" t="s">
        <v>2405</v>
      </c>
      <c r="F1410" s="2" t="s">
        <v>96</v>
      </c>
      <c r="G1410" s="3" t="s">
        <v>17</v>
      </c>
      <c r="H1410" s="2" t="s">
        <v>1223</v>
      </c>
      <c r="I1410" s="3" t="s">
        <v>19</v>
      </c>
      <c r="J1410" s="3">
        <v>0</v>
      </c>
      <c r="K1410" s="3">
        <v>4</v>
      </c>
      <c r="L1410" s="3">
        <v>0</v>
      </c>
      <c r="M1410" s="4">
        <f t="shared" si="183"/>
        <v>0</v>
      </c>
      <c r="N1410" s="4">
        <f t="shared" si="184"/>
        <v>0</v>
      </c>
      <c r="O1410">
        <v>0</v>
      </c>
      <c r="P1410" s="5">
        <v>0</v>
      </c>
      <c r="Q1410" s="7">
        <v>0</v>
      </c>
      <c r="R1410" t="s">
        <v>2350</v>
      </c>
      <c r="S1410" t="str">
        <f t="shared" si="185"/>
        <v>Низшая четверть</v>
      </c>
      <c r="T1410" t="str">
        <f t="shared" si="186"/>
        <v>Низшая четверть</v>
      </c>
      <c r="U1410" t="e">
        <f t="shared" si="187"/>
        <v>#DIV/0!</v>
      </c>
      <c r="V1410" t="e">
        <f t="shared" si="188"/>
        <v>#DIV/0!</v>
      </c>
      <c r="W1410" t="e">
        <f t="shared" si="189"/>
        <v>#DIV/0!</v>
      </c>
      <c r="X1410">
        <v>9</v>
      </c>
    </row>
    <row r="1411" spans="1:24" x14ac:dyDescent="0.35">
      <c r="A1411" s="1" t="s">
        <v>3072</v>
      </c>
      <c r="B1411" s="2" t="s">
        <v>3073</v>
      </c>
      <c r="C1411" s="3" t="s">
        <v>13</v>
      </c>
      <c r="D1411" s="2" t="s">
        <v>69</v>
      </c>
      <c r="E1411" s="3" t="s">
        <v>290</v>
      </c>
      <c r="F1411" s="2" t="s">
        <v>34</v>
      </c>
      <c r="G1411" s="3" t="s">
        <v>72</v>
      </c>
      <c r="H1411" s="2" t="s">
        <v>18</v>
      </c>
      <c r="I1411" s="3" t="s">
        <v>19</v>
      </c>
      <c r="J1411" s="3">
        <v>0</v>
      </c>
      <c r="K1411" s="3">
        <v>1</v>
      </c>
      <c r="L1411" s="3">
        <v>0</v>
      </c>
      <c r="M1411" s="4">
        <f t="shared" si="183"/>
        <v>0</v>
      </c>
      <c r="N1411" s="4">
        <f t="shared" si="184"/>
        <v>0</v>
      </c>
      <c r="O1411">
        <v>0</v>
      </c>
      <c r="P1411" s="5">
        <v>0</v>
      </c>
      <c r="Q1411" s="7">
        <v>0</v>
      </c>
      <c r="R1411" t="s">
        <v>2350</v>
      </c>
      <c r="S1411" t="str">
        <f t="shared" si="185"/>
        <v>Низшая четверть</v>
      </c>
      <c r="T1411" t="str">
        <f t="shared" si="186"/>
        <v>Низшая четверть</v>
      </c>
      <c r="U1411" t="str">
        <f t="shared" si="187"/>
        <v>код для проверки</v>
      </c>
      <c r="V1411" t="str">
        <f t="shared" si="188"/>
        <v>Низшая четверть</v>
      </c>
      <c r="W1411" t="str">
        <f t="shared" si="189"/>
        <v>Низшая четверть</v>
      </c>
      <c r="X1411">
        <v>24</v>
      </c>
    </row>
    <row r="1412" spans="1:24" x14ac:dyDescent="0.35">
      <c r="A1412" s="1" t="s">
        <v>2461</v>
      </c>
      <c r="B1412" s="2" t="s">
        <v>2462</v>
      </c>
      <c r="C1412" s="3" t="s">
        <v>55</v>
      </c>
      <c r="D1412" s="2" t="s">
        <v>1049</v>
      </c>
      <c r="E1412" s="3" t="s">
        <v>2405</v>
      </c>
      <c r="F1412" s="2" t="s">
        <v>96</v>
      </c>
      <c r="G1412" s="3" t="s">
        <v>17</v>
      </c>
      <c r="H1412" s="2" t="s">
        <v>1223</v>
      </c>
      <c r="I1412" s="3" t="s">
        <v>19</v>
      </c>
      <c r="J1412" s="3">
        <v>0</v>
      </c>
      <c r="K1412" s="3">
        <v>4</v>
      </c>
      <c r="L1412" s="3">
        <v>0</v>
      </c>
      <c r="M1412" s="4">
        <f t="shared" si="183"/>
        <v>0</v>
      </c>
      <c r="N1412" s="4">
        <f t="shared" si="184"/>
        <v>0</v>
      </c>
      <c r="O1412">
        <v>0</v>
      </c>
      <c r="P1412" s="5">
        <v>0</v>
      </c>
      <c r="Q1412" s="7">
        <v>0</v>
      </c>
      <c r="R1412" t="s">
        <v>2350</v>
      </c>
      <c r="S1412" t="str">
        <f t="shared" si="185"/>
        <v>Низшая четверть</v>
      </c>
      <c r="T1412" t="str">
        <f t="shared" si="186"/>
        <v>Низшая четверть</v>
      </c>
      <c r="U1412" t="e">
        <f t="shared" si="187"/>
        <v>#DIV/0!</v>
      </c>
      <c r="V1412" t="e">
        <f t="shared" si="188"/>
        <v>#DIV/0!</v>
      </c>
      <c r="W1412" t="e">
        <f t="shared" si="189"/>
        <v>#DIV/0!</v>
      </c>
      <c r="X1412">
        <v>9</v>
      </c>
    </row>
    <row r="1413" spans="1:24" x14ac:dyDescent="0.35">
      <c r="A1413" s="1" t="s">
        <v>3074</v>
      </c>
      <c r="B1413" s="2" t="s">
        <v>3075</v>
      </c>
      <c r="C1413" s="3" t="s">
        <v>13</v>
      </c>
      <c r="D1413" s="2" t="s">
        <v>1215</v>
      </c>
      <c r="E1413" s="3" t="s">
        <v>3076</v>
      </c>
      <c r="F1413" s="2" t="s">
        <v>34</v>
      </c>
      <c r="G1413" s="3" t="s">
        <v>17</v>
      </c>
      <c r="H1413" s="2" t="s">
        <v>18</v>
      </c>
      <c r="I1413" s="3" t="s">
        <v>19</v>
      </c>
      <c r="J1413" s="3">
        <v>0</v>
      </c>
      <c r="K1413" s="3">
        <v>1</v>
      </c>
      <c r="L1413" s="3">
        <v>0</v>
      </c>
      <c r="M1413" s="4">
        <f t="shared" si="183"/>
        <v>0</v>
      </c>
      <c r="N1413" s="4">
        <f t="shared" si="184"/>
        <v>0</v>
      </c>
      <c r="O1413">
        <v>0</v>
      </c>
      <c r="P1413" s="5">
        <v>0</v>
      </c>
      <c r="Q1413" s="7">
        <v>0</v>
      </c>
      <c r="R1413" t="s">
        <v>2350</v>
      </c>
      <c r="S1413" t="str">
        <f t="shared" si="185"/>
        <v>Низшая четверть</v>
      </c>
      <c r="T1413" t="str">
        <f t="shared" si="186"/>
        <v>Низшая четверть</v>
      </c>
      <c r="U1413" t="e">
        <f t="shared" si="187"/>
        <v>#DIV/0!</v>
      </c>
      <c r="V1413" t="e">
        <f t="shared" si="188"/>
        <v>#DIV/0!</v>
      </c>
      <c r="W1413" t="e">
        <f t="shared" si="189"/>
        <v>#DIV/0!</v>
      </c>
      <c r="X1413">
        <v>9</v>
      </c>
    </row>
    <row r="1414" spans="1:24" x14ac:dyDescent="0.35">
      <c r="A1414" s="1" t="s">
        <v>3077</v>
      </c>
      <c r="B1414" s="2" t="s">
        <v>3078</v>
      </c>
      <c r="C1414" s="3" t="s">
        <v>13</v>
      </c>
      <c r="D1414" s="2" t="s">
        <v>104</v>
      </c>
      <c r="E1414" s="3" t="s">
        <v>711</v>
      </c>
      <c r="F1414" s="2" t="s">
        <v>96</v>
      </c>
      <c r="G1414" s="3" t="s">
        <v>35</v>
      </c>
      <c r="H1414" s="2" t="s">
        <v>18</v>
      </c>
      <c r="I1414" s="3" t="s">
        <v>19</v>
      </c>
      <c r="J1414" s="3">
        <v>0</v>
      </c>
      <c r="K1414" s="3">
        <v>1</v>
      </c>
      <c r="L1414" s="3">
        <v>0</v>
      </c>
      <c r="M1414" s="4">
        <f t="shared" si="183"/>
        <v>0</v>
      </c>
      <c r="N1414" s="4">
        <f t="shared" si="184"/>
        <v>0</v>
      </c>
      <c r="O1414">
        <v>0</v>
      </c>
      <c r="P1414" s="5">
        <v>0</v>
      </c>
      <c r="Q1414" s="7">
        <v>0</v>
      </c>
      <c r="R1414" t="s">
        <v>2350</v>
      </c>
      <c r="S1414" t="str">
        <f t="shared" si="185"/>
        <v>Низшая четверть</v>
      </c>
      <c r="T1414" t="str">
        <f t="shared" si="186"/>
        <v>Низшая четверть</v>
      </c>
      <c r="U1414" t="str">
        <f t="shared" si="187"/>
        <v>код для проверки</v>
      </c>
      <c r="V1414" t="str">
        <f t="shared" si="188"/>
        <v>Низшая четверть</v>
      </c>
      <c r="W1414" t="str">
        <f t="shared" si="189"/>
        <v>Низшая четверть</v>
      </c>
      <c r="X1414">
        <v>14</v>
      </c>
    </row>
    <row r="1415" spans="1:24" x14ac:dyDescent="0.35">
      <c r="A1415" s="1" t="s">
        <v>2275</v>
      </c>
      <c r="B1415" s="2" t="s">
        <v>2276</v>
      </c>
      <c r="C1415" s="3" t="s">
        <v>13</v>
      </c>
      <c r="D1415" s="2" t="s">
        <v>85</v>
      </c>
      <c r="E1415" s="3" t="s">
        <v>1937</v>
      </c>
      <c r="F1415" s="2" t="s">
        <v>96</v>
      </c>
      <c r="G1415" s="3" t="s">
        <v>35</v>
      </c>
      <c r="H1415" s="2" t="s">
        <v>18</v>
      </c>
      <c r="I1415" s="3" t="s">
        <v>19</v>
      </c>
      <c r="J1415" s="3">
        <v>0</v>
      </c>
      <c r="K1415" s="3">
        <v>7</v>
      </c>
      <c r="L1415" s="3">
        <v>0</v>
      </c>
      <c r="M1415" s="4">
        <f t="shared" si="183"/>
        <v>0</v>
      </c>
      <c r="N1415" s="4">
        <f t="shared" si="184"/>
        <v>0</v>
      </c>
      <c r="O1415">
        <v>0</v>
      </c>
      <c r="P1415" s="5">
        <v>0</v>
      </c>
      <c r="Q1415" s="7">
        <v>0</v>
      </c>
      <c r="R1415" t="s">
        <v>2350</v>
      </c>
      <c r="S1415" t="str">
        <f t="shared" si="185"/>
        <v>Низшая четверть</v>
      </c>
      <c r="T1415" t="str">
        <f t="shared" si="186"/>
        <v>Низшая четверть</v>
      </c>
      <c r="U1415" t="str">
        <f t="shared" si="187"/>
        <v>код для проверки</v>
      </c>
      <c r="V1415" t="str">
        <f t="shared" si="188"/>
        <v>Низшая четверть</v>
      </c>
      <c r="W1415" t="str">
        <f t="shared" si="189"/>
        <v>Низшая четверть</v>
      </c>
      <c r="X1415">
        <v>15</v>
      </c>
    </row>
    <row r="1416" spans="1:24" x14ac:dyDescent="0.35">
      <c r="A1416" s="1" t="s">
        <v>3079</v>
      </c>
      <c r="B1416" s="2" t="s">
        <v>3080</v>
      </c>
      <c r="C1416" s="3" t="s">
        <v>13</v>
      </c>
      <c r="D1416" s="2" t="s">
        <v>85</v>
      </c>
      <c r="E1416" s="3" t="s">
        <v>1937</v>
      </c>
      <c r="F1416" s="2" t="s">
        <v>96</v>
      </c>
      <c r="G1416" s="3" t="s">
        <v>35</v>
      </c>
      <c r="H1416" s="2" t="s">
        <v>18</v>
      </c>
      <c r="I1416" s="3" t="s">
        <v>19</v>
      </c>
      <c r="J1416" s="3">
        <v>0</v>
      </c>
      <c r="K1416" s="3">
        <v>1</v>
      </c>
      <c r="L1416" s="3">
        <v>0</v>
      </c>
      <c r="M1416" s="4">
        <f t="shared" si="183"/>
        <v>0</v>
      </c>
      <c r="N1416" s="4">
        <f t="shared" si="184"/>
        <v>0</v>
      </c>
      <c r="O1416">
        <v>0</v>
      </c>
      <c r="P1416" s="5">
        <v>0</v>
      </c>
      <c r="Q1416" s="7">
        <v>0</v>
      </c>
      <c r="R1416" t="s">
        <v>2350</v>
      </c>
      <c r="S1416" t="str">
        <f t="shared" si="185"/>
        <v>Низшая четверть</v>
      </c>
      <c r="T1416" t="str">
        <f t="shared" si="186"/>
        <v>Низшая четверть</v>
      </c>
      <c r="U1416" t="str">
        <f t="shared" si="187"/>
        <v>код для проверки</v>
      </c>
      <c r="V1416" t="str">
        <f t="shared" si="188"/>
        <v>Низшая четверть</v>
      </c>
      <c r="W1416" t="str">
        <f t="shared" si="189"/>
        <v>Низшая четверть</v>
      </c>
      <c r="X1416">
        <v>14</v>
      </c>
    </row>
    <row r="1417" spans="1:24" x14ac:dyDescent="0.35">
      <c r="A1417" s="1" t="s">
        <v>3081</v>
      </c>
      <c r="B1417" s="2" t="s">
        <v>3082</v>
      </c>
      <c r="C1417" s="3" t="s">
        <v>13</v>
      </c>
      <c r="D1417" s="2" t="s">
        <v>104</v>
      </c>
      <c r="E1417" s="3" t="s">
        <v>711</v>
      </c>
      <c r="F1417" s="2" t="s">
        <v>96</v>
      </c>
      <c r="G1417" s="3" t="s">
        <v>35</v>
      </c>
      <c r="H1417" s="2" t="s">
        <v>18</v>
      </c>
      <c r="I1417" s="3" t="s">
        <v>19</v>
      </c>
      <c r="J1417" s="3">
        <v>0</v>
      </c>
      <c r="K1417" s="3">
        <v>2</v>
      </c>
      <c r="L1417" s="3">
        <v>0</v>
      </c>
      <c r="M1417" s="4">
        <f t="shared" si="183"/>
        <v>0</v>
      </c>
      <c r="N1417" s="4">
        <f t="shared" si="184"/>
        <v>0</v>
      </c>
      <c r="O1417">
        <v>0</v>
      </c>
      <c r="P1417" s="5">
        <v>0</v>
      </c>
      <c r="Q1417" s="7">
        <v>0</v>
      </c>
      <c r="R1417" t="s">
        <v>2350</v>
      </c>
      <c r="S1417" t="str">
        <f t="shared" si="185"/>
        <v>Низшая четверть</v>
      </c>
      <c r="T1417" t="str">
        <f t="shared" si="186"/>
        <v>Низшая четверть</v>
      </c>
      <c r="U1417" t="str">
        <f t="shared" si="187"/>
        <v>код для проверки</v>
      </c>
      <c r="V1417" t="str">
        <f t="shared" si="188"/>
        <v>Низшая четверть</v>
      </c>
      <c r="W1417" t="str">
        <f t="shared" si="189"/>
        <v>Низшая четверть</v>
      </c>
      <c r="X1417">
        <v>7</v>
      </c>
    </row>
    <row r="1418" spans="1:24" x14ac:dyDescent="0.35">
      <c r="A1418" s="1" t="s">
        <v>3083</v>
      </c>
      <c r="B1418" s="2" t="s">
        <v>3084</v>
      </c>
      <c r="C1418" s="3" t="s">
        <v>13</v>
      </c>
      <c r="D1418" s="2" t="s">
        <v>104</v>
      </c>
      <c r="E1418" s="3" t="s">
        <v>711</v>
      </c>
      <c r="F1418" s="2" t="s">
        <v>96</v>
      </c>
      <c r="G1418" s="3" t="s">
        <v>17</v>
      </c>
      <c r="H1418" s="2" t="s">
        <v>18</v>
      </c>
      <c r="I1418" s="3" t="s">
        <v>19</v>
      </c>
      <c r="J1418" s="3">
        <v>0</v>
      </c>
      <c r="K1418" s="3">
        <v>2</v>
      </c>
      <c r="L1418" s="3">
        <v>0</v>
      </c>
      <c r="M1418" s="4">
        <f t="shared" ref="M1418:M1430" si="190">IFERROR(K1418/J1418,0)</f>
        <v>0</v>
      </c>
      <c r="N1418" s="4">
        <f t="shared" ref="N1418:N1430" si="191">IFERROR(L1418/K1418,0)</f>
        <v>0</v>
      </c>
      <c r="O1418">
        <v>0</v>
      </c>
      <c r="P1418" s="5">
        <v>0</v>
      </c>
      <c r="Q1418" s="7">
        <v>0</v>
      </c>
      <c r="R1418" t="s">
        <v>2350</v>
      </c>
      <c r="S1418" t="str">
        <f t="shared" ref="S1418:S1430" si="192">IF(M1418&lt;$S$1*0.5,"Низшая четверть",IF(M1418&lt;$S$1,"Вторая четверть","Больше половины"))</f>
        <v>Низшая четверть</v>
      </c>
      <c r="T1418" t="str">
        <f t="shared" ref="T1418:T1430" si="193">IF(N1418&lt;$T$1*0.5,"Низшая четверть",IF(N1418&lt;$T$1,"Вторая четверть","Больше половины"))</f>
        <v>Низшая четверть</v>
      </c>
      <c r="U1418" t="str">
        <f t="shared" ref="U1418:U1430" si="194">IF(OR(M1418&lt;SUMIFS(K:K,Q:Q,1,E:E,E1418)/SUMIFS(J:J,Q:Q,1,E:E,E1418)*0.5,N1418&lt;SUMIFS(L:L,Q:Q,1,E:E,E1418)/SUMIFS(K:K,Q:Q,1,E:E,E1418)*0.5),"код для проверки","нормальный код")</f>
        <v>код для проверки</v>
      </c>
      <c r="V1418" t="str">
        <f t="shared" ref="V1418:V1430" si="195">IF(M1418&lt;SUMIFS(K:K,Q:Q,1,E:E,E1418)/SUMIFS(J:J,Q:Q,1,E:E,E1418)*0.5,"Низшая четверть",IF(M1418&lt;SUMIFS(K:K,Q:Q,1,E:E,E1418)/SUMIFS(J:J,Q:Q,1,E:E,E1418),"Вторая четверть","Больше половины"))</f>
        <v>Низшая четверть</v>
      </c>
      <c r="W1418" t="str">
        <f t="shared" ref="W1418:W1430" si="196">IF(N1418&lt;SUMIFS(L:L,Q:Q,1,E:E,E1418)/SUMIFS(K:K,Q:Q,1,E:E,E1418)*0.5,"Низшая четверть",IF(N1418&lt;SUMIFS(L:L,Q:Q,1,E:E,E1418)/SUMIFS(K:K,Q:Q,1,E:E,E1418),"Вторая четверть","Больше половины"))</f>
        <v>Низшая четверть</v>
      </c>
      <c r="X1418">
        <v>8</v>
      </c>
    </row>
    <row r="1419" spans="1:24" x14ac:dyDescent="0.35">
      <c r="A1419" s="1" t="s">
        <v>3085</v>
      </c>
      <c r="B1419" s="2" t="s">
        <v>3086</v>
      </c>
      <c r="C1419" s="3" t="s">
        <v>13</v>
      </c>
      <c r="D1419" s="2" t="s">
        <v>104</v>
      </c>
      <c r="E1419" s="3" t="s">
        <v>711</v>
      </c>
      <c r="F1419" s="2" t="s">
        <v>96</v>
      </c>
      <c r="G1419" s="3" t="s">
        <v>35</v>
      </c>
      <c r="H1419" s="2" t="s">
        <v>18</v>
      </c>
      <c r="I1419" s="3" t="s">
        <v>19</v>
      </c>
      <c r="J1419" s="3">
        <v>0</v>
      </c>
      <c r="K1419" s="3">
        <v>1</v>
      </c>
      <c r="L1419" s="3">
        <v>0</v>
      </c>
      <c r="M1419" s="4">
        <f t="shared" si="190"/>
        <v>0</v>
      </c>
      <c r="N1419" s="4">
        <f t="shared" si="191"/>
        <v>0</v>
      </c>
      <c r="O1419">
        <v>0</v>
      </c>
      <c r="P1419" s="5">
        <v>0</v>
      </c>
      <c r="Q1419" s="7">
        <v>0</v>
      </c>
      <c r="R1419" t="s">
        <v>2350</v>
      </c>
      <c r="S1419" t="str">
        <f t="shared" si="192"/>
        <v>Низшая четверть</v>
      </c>
      <c r="T1419" t="str">
        <f t="shared" si="193"/>
        <v>Низшая четверть</v>
      </c>
      <c r="U1419" t="str">
        <f t="shared" si="194"/>
        <v>код для проверки</v>
      </c>
      <c r="V1419" t="str">
        <f t="shared" si="195"/>
        <v>Низшая четверть</v>
      </c>
      <c r="W1419" t="str">
        <f t="shared" si="196"/>
        <v>Низшая четверть</v>
      </c>
      <c r="X1419">
        <v>14</v>
      </c>
    </row>
    <row r="1420" spans="1:24" x14ac:dyDescent="0.35">
      <c r="A1420" s="1" t="s">
        <v>3087</v>
      </c>
      <c r="B1420" s="2" t="s">
        <v>3088</v>
      </c>
      <c r="C1420" s="3" t="s">
        <v>13</v>
      </c>
      <c r="D1420" s="2" t="s">
        <v>104</v>
      </c>
      <c r="E1420" s="3" t="s">
        <v>711</v>
      </c>
      <c r="F1420" s="2" t="s">
        <v>96</v>
      </c>
      <c r="G1420" s="3" t="s">
        <v>35</v>
      </c>
      <c r="H1420" s="2" t="s">
        <v>18</v>
      </c>
      <c r="I1420" s="3" t="s">
        <v>19</v>
      </c>
      <c r="J1420" s="3">
        <v>0</v>
      </c>
      <c r="K1420" s="3">
        <v>2</v>
      </c>
      <c r="L1420" s="3">
        <v>0</v>
      </c>
      <c r="M1420" s="4">
        <f t="shared" si="190"/>
        <v>0</v>
      </c>
      <c r="N1420" s="4">
        <f t="shared" si="191"/>
        <v>0</v>
      </c>
      <c r="O1420">
        <v>0</v>
      </c>
      <c r="P1420" s="5">
        <v>0</v>
      </c>
      <c r="Q1420" s="7">
        <v>0</v>
      </c>
      <c r="R1420" t="s">
        <v>2350</v>
      </c>
      <c r="S1420" t="str">
        <f t="shared" si="192"/>
        <v>Низшая четверть</v>
      </c>
      <c r="T1420" t="str">
        <f t="shared" si="193"/>
        <v>Низшая четверть</v>
      </c>
      <c r="U1420" t="str">
        <f t="shared" si="194"/>
        <v>код для проверки</v>
      </c>
      <c r="V1420" t="str">
        <f t="shared" si="195"/>
        <v>Низшая четверть</v>
      </c>
      <c r="W1420" t="str">
        <f t="shared" si="196"/>
        <v>Низшая четверть</v>
      </c>
      <c r="X1420">
        <v>7</v>
      </c>
    </row>
    <row r="1421" spans="1:24" x14ac:dyDescent="0.35">
      <c r="A1421" s="1" t="s">
        <v>2144</v>
      </c>
      <c r="B1421" s="2" t="s">
        <v>2145</v>
      </c>
      <c r="C1421" s="3" t="s">
        <v>13</v>
      </c>
      <c r="D1421" s="2" t="s">
        <v>85</v>
      </c>
      <c r="E1421" s="3" t="s">
        <v>1937</v>
      </c>
      <c r="F1421" s="2" t="s">
        <v>96</v>
      </c>
      <c r="G1421" s="3" t="s">
        <v>35</v>
      </c>
      <c r="H1421" s="2" t="s">
        <v>18</v>
      </c>
      <c r="I1421" s="3" t="s">
        <v>19</v>
      </c>
      <c r="J1421" s="3">
        <v>0</v>
      </c>
      <c r="K1421" s="3">
        <v>7</v>
      </c>
      <c r="L1421" s="3">
        <v>0</v>
      </c>
      <c r="M1421" s="4">
        <f t="shared" si="190"/>
        <v>0</v>
      </c>
      <c r="N1421" s="4">
        <f t="shared" si="191"/>
        <v>0</v>
      </c>
      <c r="O1421">
        <v>0</v>
      </c>
      <c r="P1421" s="5">
        <v>0</v>
      </c>
      <c r="Q1421" s="7">
        <v>0</v>
      </c>
      <c r="R1421" t="s">
        <v>2350</v>
      </c>
      <c r="S1421" t="str">
        <f t="shared" si="192"/>
        <v>Низшая четверть</v>
      </c>
      <c r="T1421" t="str">
        <f t="shared" si="193"/>
        <v>Низшая четверть</v>
      </c>
      <c r="U1421" t="str">
        <f t="shared" si="194"/>
        <v>код для проверки</v>
      </c>
      <c r="V1421" t="str">
        <f t="shared" si="195"/>
        <v>Низшая четверть</v>
      </c>
      <c r="W1421" t="str">
        <f t="shared" si="196"/>
        <v>Низшая четверть</v>
      </c>
      <c r="X1421">
        <v>16</v>
      </c>
    </row>
    <row r="1422" spans="1:24" x14ac:dyDescent="0.35">
      <c r="A1422" s="1" t="s">
        <v>2140</v>
      </c>
      <c r="B1422" s="2" t="s">
        <v>2141</v>
      </c>
      <c r="C1422" s="3" t="s">
        <v>13</v>
      </c>
      <c r="D1422" s="2" t="s">
        <v>32</v>
      </c>
      <c r="E1422" s="3" t="s">
        <v>136</v>
      </c>
      <c r="F1422" s="2" t="s">
        <v>34</v>
      </c>
      <c r="G1422" s="3" t="s">
        <v>17</v>
      </c>
      <c r="H1422" s="2" t="s">
        <v>18</v>
      </c>
      <c r="I1422" s="3" t="s">
        <v>19</v>
      </c>
      <c r="J1422" s="3">
        <v>0</v>
      </c>
      <c r="K1422" s="3">
        <v>83</v>
      </c>
      <c r="L1422" s="3">
        <v>0</v>
      </c>
      <c r="M1422" s="4">
        <f t="shared" si="190"/>
        <v>0</v>
      </c>
      <c r="N1422" s="4">
        <f t="shared" si="191"/>
        <v>0</v>
      </c>
      <c r="O1422">
        <v>0</v>
      </c>
      <c r="P1422" s="5">
        <v>0</v>
      </c>
      <c r="Q1422" s="7">
        <v>0</v>
      </c>
      <c r="R1422" t="s">
        <v>2350</v>
      </c>
      <c r="S1422" t="str">
        <f t="shared" si="192"/>
        <v>Низшая четверть</v>
      </c>
      <c r="T1422" t="str">
        <f t="shared" si="193"/>
        <v>Низшая четверть</v>
      </c>
      <c r="U1422" t="str">
        <f t="shared" si="194"/>
        <v>код для проверки</v>
      </c>
      <c r="V1422" t="str">
        <f t="shared" si="195"/>
        <v>Низшая четверть</v>
      </c>
      <c r="W1422" t="str">
        <f t="shared" si="196"/>
        <v>Низшая четверть</v>
      </c>
      <c r="X1422">
        <v>5</v>
      </c>
    </row>
    <row r="1423" spans="1:24" x14ac:dyDescent="0.35">
      <c r="A1423" s="1" t="s">
        <v>3089</v>
      </c>
      <c r="B1423" s="2" t="s">
        <v>3090</v>
      </c>
      <c r="C1423" s="3" t="s">
        <v>13</v>
      </c>
      <c r="D1423" s="2" t="s">
        <v>1215</v>
      </c>
      <c r="E1423" s="3" t="s">
        <v>1216</v>
      </c>
      <c r="F1423" s="2" t="s">
        <v>34</v>
      </c>
      <c r="G1423" s="3" t="s">
        <v>17</v>
      </c>
      <c r="H1423" s="2" t="s">
        <v>18</v>
      </c>
      <c r="I1423" s="3" t="s">
        <v>19</v>
      </c>
      <c r="J1423" s="3">
        <v>0</v>
      </c>
      <c r="K1423" s="3">
        <v>10</v>
      </c>
      <c r="L1423" s="3">
        <v>0</v>
      </c>
      <c r="M1423" s="4">
        <f t="shared" si="190"/>
        <v>0</v>
      </c>
      <c r="N1423" s="4">
        <f t="shared" si="191"/>
        <v>0</v>
      </c>
      <c r="O1423">
        <v>0</v>
      </c>
      <c r="P1423" s="5">
        <v>0</v>
      </c>
      <c r="Q1423" s="7">
        <v>0</v>
      </c>
      <c r="R1423" t="s">
        <v>2350</v>
      </c>
      <c r="S1423" t="str">
        <f t="shared" si="192"/>
        <v>Низшая четверть</v>
      </c>
      <c r="T1423" t="str">
        <f t="shared" si="193"/>
        <v>Низшая четверть</v>
      </c>
      <c r="U1423" t="str">
        <f t="shared" si="194"/>
        <v>код для проверки</v>
      </c>
      <c r="V1423" t="str">
        <f t="shared" si="195"/>
        <v>Низшая четверть</v>
      </c>
      <c r="W1423" t="str">
        <f t="shared" si="196"/>
        <v>Низшая четверть</v>
      </c>
      <c r="X1423">
        <v>9</v>
      </c>
    </row>
    <row r="1424" spans="1:24" x14ac:dyDescent="0.35">
      <c r="A1424" s="1" t="s">
        <v>2138</v>
      </c>
      <c r="B1424" s="2" t="s">
        <v>2139</v>
      </c>
      <c r="C1424" s="3" t="s">
        <v>13</v>
      </c>
      <c r="D1424" s="2" t="s">
        <v>32</v>
      </c>
      <c r="E1424" s="3" t="s">
        <v>136</v>
      </c>
      <c r="F1424" s="2" t="s">
        <v>34</v>
      </c>
      <c r="G1424" s="3" t="s">
        <v>17</v>
      </c>
      <c r="H1424" s="2" t="s">
        <v>18</v>
      </c>
      <c r="I1424" s="3" t="s">
        <v>19</v>
      </c>
      <c r="J1424" s="3">
        <v>0</v>
      </c>
      <c r="K1424" s="3">
        <v>126</v>
      </c>
      <c r="L1424" s="3">
        <v>0</v>
      </c>
      <c r="M1424" s="4">
        <f t="shared" si="190"/>
        <v>0</v>
      </c>
      <c r="N1424" s="4">
        <f t="shared" si="191"/>
        <v>0</v>
      </c>
      <c r="O1424">
        <v>0</v>
      </c>
      <c r="P1424" s="5">
        <v>0</v>
      </c>
      <c r="Q1424" s="7">
        <v>0</v>
      </c>
      <c r="R1424" t="s">
        <v>2350</v>
      </c>
      <c r="S1424" t="str">
        <f t="shared" si="192"/>
        <v>Низшая четверть</v>
      </c>
      <c r="T1424" t="str">
        <f t="shared" si="193"/>
        <v>Низшая четверть</v>
      </c>
      <c r="U1424" t="str">
        <f t="shared" si="194"/>
        <v>код для проверки</v>
      </c>
      <c r="V1424" t="str">
        <f t="shared" si="195"/>
        <v>Низшая четверть</v>
      </c>
      <c r="W1424" t="str">
        <f t="shared" si="196"/>
        <v>Низшая четверть</v>
      </c>
      <c r="X1424">
        <v>5</v>
      </c>
    </row>
    <row r="1425" spans="1:24" x14ac:dyDescent="0.35">
      <c r="A1425" s="1" t="s">
        <v>2152</v>
      </c>
      <c r="B1425" s="2" t="s">
        <v>2153</v>
      </c>
      <c r="C1425" s="3" t="s">
        <v>55</v>
      </c>
      <c r="D1425" s="2" t="s">
        <v>336</v>
      </c>
      <c r="E1425" s="3" t="s">
        <v>1700</v>
      </c>
      <c r="F1425" s="2" t="s">
        <v>34</v>
      </c>
      <c r="G1425" s="3" t="s">
        <v>17</v>
      </c>
      <c r="H1425" s="2" t="s">
        <v>18</v>
      </c>
      <c r="I1425" s="3" t="s">
        <v>19</v>
      </c>
      <c r="J1425" s="3">
        <v>0</v>
      </c>
      <c r="K1425" s="3">
        <v>0</v>
      </c>
      <c r="L1425" s="3">
        <v>0</v>
      </c>
      <c r="M1425" s="4">
        <f t="shared" si="190"/>
        <v>0</v>
      </c>
      <c r="N1425" s="4">
        <f t="shared" si="191"/>
        <v>0</v>
      </c>
      <c r="O1425">
        <v>0</v>
      </c>
      <c r="P1425" s="5">
        <v>0</v>
      </c>
      <c r="Q1425" s="7">
        <v>0</v>
      </c>
      <c r="R1425" t="s">
        <v>2350</v>
      </c>
      <c r="S1425" t="str">
        <f t="shared" si="192"/>
        <v>Низшая четверть</v>
      </c>
      <c r="T1425" t="str">
        <f t="shared" si="193"/>
        <v>Низшая четверть</v>
      </c>
      <c r="U1425" t="e">
        <f t="shared" si="194"/>
        <v>#DIV/0!</v>
      </c>
      <c r="V1425" t="e">
        <f t="shared" si="195"/>
        <v>#DIV/0!</v>
      </c>
      <c r="W1425" t="e">
        <f t="shared" si="196"/>
        <v>#DIV/0!</v>
      </c>
      <c r="X1425" t="e">
        <v>#N/A</v>
      </c>
    </row>
    <row r="1426" spans="1:24" x14ac:dyDescent="0.35">
      <c r="A1426" s="1" t="s">
        <v>2326</v>
      </c>
      <c r="B1426" s="2" t="s">
        <v>2327</v>
      </c>
      <c r="C1426" s="3" t="s">
        <v>55</v>
      </c>
      <c r="D1426" s="2" t="s">
        <v>336</v>
      </c>
      <c r="E1426" s="3" t="s">
        <v>1700</v>
      </c>
      <c r="F1426" s="2" t="s">
        <v>34</v>
      </c>
      <c r="G1426" s="3" t="s">
        <v>17</v>
      </c>
      <c r="H1426" s="2" t="s">
        <v>18</v>
      </c>
      <c r="I1426" s="3" t="s">
        <v>19</v>
      </c>
      <c r="J1426" s="3">
        <v>0</v>
      </c>
      <c r="K1426" s="3">
        <v>0</v>
      </c>
      <c r="L1426" s="3">
        <v>0</v>
      </c>
      <c r="M1426" s="4">
        <f t="shared" si="190"/>
        <v>0</v>
      </c>
      <c r="N1426" s="4">
        <f t="shared" si="191"/>
        <v>0</v>
      </c>
      <c r="O1426">
        <v>0</v>
      </c>
      <c r="P1426" s="5">
        <v>0</v>
      </c>
      <c r="Q1426" s="7">
        <v>0</v>
      </c>
      <c r="R1426" t="s">
        <v>2350</v>
      </c>
      <c r="S1426" t="str">
        <f t="shared" si="192"/>
        <v>Низшая четверть</v>
      </c>
      <c r="T1426" t="str">
        <f t="shared" si="193"/>
        <v>Низшая четверть</v>
      </c>
      <c r="U1426" t="e">
        <f t="shared" si="194"/>
        <v>#DIV/0!</v>
      </c>
      <c r="V1426" t="e">
        <f t="shared" si="195"/>
        <v>#DIV/0!</v>
      </c>
      <c r="W1426" t="e">
        <f t="shared" si="196"/>
        <v>#DIV/0!</v>
      </c>
      <c r="X1426" t="e">
        <v>#N/A</v>
      </c>
    </row>
    <row r="1427" spans="1:24" x14ac:dyDescent="0.35">
      <c r="A1427" s="1" t="s">
        <v>2319</v>
      </c>
      <c r="B1427" s="2" t="s">
        <v>2320</v>
      </c>
      <c r="C1427" s="3" t="s">
        <v>55</v>
      </c>
      <c r="D1427" s="2" t="s">
        <v>336</v>
      </c>
      <c r="E1427" s="3" t="s">
        <v>1700</v>
      </c>
      <c r="F1427" s="2" t="s">
        <v>34</v>
      </c>
      <c r="G1427" s="3" t="s">
        <v>17</v>
      </c>
      <c r="H1427" s="2" t="s">
        <v>18</v>
      </c>
      <c r="I1427" s="3" t="s">
        <v>19</v>
      </c>
      <c r="J1427" s="3">
        <v>0</v>
      </c>
      <c r="K1427" s="3">
        <v>2</v>
      </c>
      <c r="L1427" s="3">
        <v>0</v>
      </c>
      <c r="M1427" s="4">
        <f t="shared" si="190"/>
        <v>0</v>
      </c>
      <c r="N1427" s="4">
        <f t="shared" si="191"/>
        <v>0</v>
      </c>
      <c r="O1427">
        <v>0</v>
      </c>
      <c r="P1427" s="5">
        <v>0</v>
      </c>
      <c r="Q1427" s="7">
        <v>0</v>
      </c>
      <c r="R1427" t="s">
        <v>2350</v>
      </c>
      <c r="S1427" t="str">
        <f t="shared" si="192"/>
        <v>Низшая четверть</v>
      </c>
      <c r="T1427" t="str">
        <f t="shared" si="193"/>
        <v>Низшая четверть</v>
      </c>
      <c r="U1427" t="e">
        <f t="shared" si="194"/>
        <v>#DIV/0!</v>
      </c>
      <c r="V1427" t="e">
        <f t="shared" si="195"/>
        <v>#DIV/0!</v>
      </c>
      <c r="W1427" t="e">
        <f t="shared" si="196"/>
        <v>#DIV/0!</v>
      </c>
      <c r="X1427">
        <v>5</v>
      </c>
    </row>
    <row r="1428" spans="1:24" x14ac:dyDescent="0.35">
      <c r="A1428" s="1" t="s">
        <v>2324</v>
      </c>
      <c r="B1428" s="2" t="s">
        <v>2325</v>
      </c>
      <c r="C1428" s="3" t="s">
        <v>55</v>
      </c>
      <c r="D1428" s="2" t="s">
        <v>336</v>
      </c>
      <c r="E1428" s="3" t="s">
        <v>1700</v>
      </c>
      <c r="F1428" s="2" t="s">
        <v>34</v>
      </c>
      <c r="G1428" s="3" t="s">
        <v>17</v>
      </c>
      <c r="H1428" s="2" t="s">
        <v>18</v>
      </c>
      <c r="I1428" s="3" t="s">
        <v>19</v>
      </c>
      <c r="J1428" s="3">
        <v>0</v>
      </c>
      <c r="K1428" s="3">
        <v>0</v>
      </c>
      <c r="L1428" s="3">
        <v>0</v>
      </c>
      <c r="M1428" s="4">
        <f t="shared" si="190"/>
        <v>0</v>
      </c>
      <c r="N1428" s="4">
        <f t="shared" si="191"/>
        <v>0</v>
      </c>
      <c r="O1428">
        <v>0</v>
      </c>
      <c r="P1428" s="5">
        <v>0</v>
      </c>
      <c r="Q1428" s="7">
        <v>0</v>
      </c>
      <c r="R1428" t="s">
        <v>2350</v>
      </c>
      <c r="S1428" t="str">
        <f t="shared" si="192"/>
        <v>Низшая четверть</v>
      </c>
      <c r="T1428" t="str">
        <f t="shared" si="193"/>
        <v>Низшая четверть</v>
      </c>
      <c r="U1428" t="e">
        <f t="shared" si="194"/>
        <v>#DIV/0!</v>
      </c>
      <c r="V1428" t="e">
        <f t="shared" si="195"/>
        <v>#DIV/0!</v>
      </c>
      <c r="W1428" t="e">
        <f t="shared" si="196"/>
        <v>#DIV/0!</v>
      </c>
      <c r="X1428" t="e">
        <v>#N/A</v>
      </c>
    </row>
    <row r="1429" spans="1:24" x14ac:dyDescent="0.35">
      <c r="A1429" s="1" t="s">
        <v>2330</v>
      </c>
      <c r="B1429" s="2" t="s">
        <v>2331</v>
      </c>
      <c r="C1429" s="3" t="s">
        <v>13</v>
      </c>
      <c r="D1429" s="2" t="s">
        <v>412</v>
      </c>
      <c r="E1429" s="3" t="s">
        <v>2321</v>
      </c>
      <c r="F1429" s="2" t="s">
        <v>16</v>
      </c>
      <c r="G1429" s="3" t="s">
        <v>17</v>
      </c>
      <c r="H1429" s="2" t="s">
        <v>97</v>
      </c>
      <c r="I1429" s="3" t="s">
        <v>19</v>
      </c>
      <c r="J1429" s="3">
        <v>0</v>
      </c>
      <c r="K1429" s="3">
        <v>1</v>
      </c>
      <c r="L1429" s="3">
        <v>0</v>
      </c>
      <c r="M1429" s="4">
        <f t="shared" si="190"/>
        <v>0</v>
      </c>
      <c r="N1429" s="4">
        <f t="shared" si="191"/>
        <v>0</v>
      </c>
      <c r="O1429">
        <v>0</v>
      </c>
      <c r="P1429" s="5">
        <v>0</v>
      </c>
      <c r="Q1429" s="7">
        <v>0</v>
      </c>
      <c r="R1429" t="s">
        <v>2350</v>
      </c>
      <c r="S1429" t="str">
        <f t="shared" si="192"/>
        <v>Низшая четверть</v>
      </c>
      <c r="T1429" t="str">
        <f t="shared" si="193"/>
        <v>Низшая четверть</v>
      </c>
      <c r="U1429" t="e">
        <f t="shared" si="194"/>
        <v>#DIV/0!</v>
      </c>
      <c r="V1429" t="e">
        <f t="shared" si="195"/>
        <v>#DIV/0!</v>
      </c>
      <c r="W1429" t="e">
        <f t="shared" si="196"/>
        <v>#DIV/0!</v>
      </c>
      <c r="X1429">
        <v>6</v>
      </c>
    </row>
    <row r="1430" spans="1:24" x14ac:dyDescent="0.35">
      <c r="A1430" s="1" t="s">
        <v>2439</v>
      </c>
      <c r="B1430" s="2" t="s">
        <v>2440</v>
      </c>
      <c r="C1430" s="3" t="s">
        <v>13</v>
      </c>
      <c r="D1430" s="2" t="s">
        <v>32</v>
      </c>
      <c r="E1430" s="3" t="s">
        <v>1951</v>
      </c>
      <c r="F1430" s="2" t="s">
        <v>34</v>
      </c>
      <c r="G1430" s="3" t="s">
        <v>17</v>
      </c>
      <c r="H1430" s="2" t="s">
        <v>18</v>
      </c>
      <c r="I1430" s="3" t="s">
        <v>19</v>
      </c>
      <c r="J1430" s="3">
        <v>0</v>
      </c>
      <c r="K1430" s="3">
        <v>0</v>
      </c>
      <c r="L1430" s="3">
        <v>0</v>
      </c>
      <c r="M1430" s="4">
        <f t="shared" si="190"/>
        <v>0</v>
      </c>
      <c r="N1430" s="4">
        <f t="shared" si="191"/>
        <v>0</v>
      </c>
      <c r="O1430">
        <v>0</v>
      </c>
      <c r="P1430" s="5">
        <v>0</v>
      </c>
      <c r="Q1430" s="7">
        <v>0</v>
      </c>
      <c r="R1430" t="s">
        <v>2350</v>
      </c>
      <c r="S1430" t="str">
        <f t="shared" si="192"/>
        <v>Низшая четверть</v>
      </c>
      <c r="T1430" t="str">
        <f t="shared" si="193"/>
        <v>Низшая четверть</v>
      </c>
      <c r="U1430" t="e">
        <f t="shared" si="194"/>
        <v>#DIV/0!</v>
      </c>
      <c r="V1430" t="e">
        <f t="shared" si="195"/>
        <v>#DIV/0!</v>
      </c>
      <c r="W1430" t="e">
        <f t="shared" si="196"/>
        <v>#DIV/0!</v>
      </c>
      <c r="X1430">
        <v>5</v>
      </c>
    </row>
  </sheetData>
  <autoFilter ref="A2:X1430" xr:uid="{EA64BAA9-5187-4132-B969-4D791B9D71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Zhidkikh</dc:creator>
  <cp:lastModifiedBy>Aleksandr Zhidkikh</cp:lastModifiedBy>
  <dcterms:created xsi:type="dcterms:W3CDTF">2026-03-25T09:21:44Z</dcterms:created>
  <dcterms:modified xsi:type="dcterms:W3CDTF">2026-04-13T18:26:34Z</dcterms:modified>
</cp:coreProperties>
</file>